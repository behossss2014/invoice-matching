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A7380B5C-390E-4956-833F-9105418FCEA8}" xr6:coauthVersionLast="47" xr6:coauthVersionMax="47" xr10:uidLastSave="{00000000-0000-0000-0000-000000000000}"/>
  <bookViews>
    <workbookView xWindow="-108" yWindow="-108" windowWidth="23256" windowHeight="13896" tabRatio="666" activeTab="2" xr2:uid="{5BFB1C81-DDDE-440A-BFD1-5A1A08977FF4}"/>
  </bookViews>
  <sheets>
    <sheet name="PROs Today" sheetId="9" r:id="rId1"/>
    <sheet name="Next Day Scheduled" sheetId="3" r:id="rId2"/>
    <sheet name="Pending Returns" sheetId="2" r:id="rId3"/>
    <sheet name="Linked_With_PO" sheetId="20" r:id="rId4"/>
    <sheet name="Pending PROs" sheetId="22" r:id="rId5"/>
  </sheets>
  <calcPr calcId="191029"/>
  <pivotCaches>
    <pivotCache cacheId="3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3249" i="2" l="1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J30" i="20"/>
  <c r="J31" i="20"/>
  <c r="J32" i="20"/>
  <c r="J33" i="20"/>
  <c r="J34" i="20"/>
  <c r="J35" i="20"/>
  <c r="J36" i="20"/>
  <c r="J37" i="20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J25" i="20"/>
  <c r="J26" i="20"/>
  <c r="J27" i="20"/>
  <c r="J28" i="20"/>
  <c r="J29" i="20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J23" i="20"/>
  <c r="J24" i="20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J22" i="20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J21" i="20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18" i="2"/>
  <c r="Q219" i="2"/>
  <c r="Q220" i="2"/>
  <c r="Q221" i="2"/>
  <c r="Q222" i="2"/>
  <c r="Q223" i="2"/>
  <c r="Q224" i="2"/>
  <c r="Q225" i="2"/>
  <c r="Q211" i="2"/>
  <c r="Q212" i="2"/>
  <c r="Q213" i="2"/>
  <c r="Q214" i="2"/>
  <c r="Q215" i="2"/>
  <c r="Q216" i="2"/>
  <c r="Q217" i="2"/>
  <c r="J20" i="20"/>
  <c r="Q204" i="2"/>
  <c r="Q205" i="2"/>
  <c r="Q206" i="2"/>
  <c r="Q207" i="2"/>
  <c r="Q208" i="2"/>
  <c r="Q209" i="2"/>
  <c r="Q210" i="2"/>
  <c r="Q201" i="2"/>
  <c r="Q202" i="2"/>
  <c r="Q203" i="2"/>
  <c r="J19" i="20"/>
  <c r="Q196" i="2"/>
  <c r="Q197" i="2"/>
  <c r="Q198" i="2"/>
  <c r="Q199" i="2"/>
  <c r="Q200" i="2"/>
  <c r="Q191" i="2"/>
  <c r="Q192" i="2"/>
  <c r="Q193" i="2"/>
  <c r="Q194" i="2"/>
  <c r="Q195" i="2"/>
  <c r="Q187" i="2"/>
  <c r="Q188" i="2"/>
  <c r="Q189" i="2"/>
  <c r="Q190" i="2"/>
  <c r="Q180" i="2"/>
  <c r="Q181" i="2"/>
  <c r="Q182" i="2"/>
  <c r="Q183" i="2"/>
  <c r="Q184" i="2"/>
  <c r="Q185" i="2"/>
  <c r="Q186" i="2"/>
  <c r="Q178" i="2"/>
  <c r="Q179" i="2"/>
  <c r="Q173" i="2"/>
  <c r="Q174" i="2"/>
  <c r="Q175" i="2"/>
  <c r="Q176" i="2"/>
  <c r="Q177" i="2"/>
  <c r="Q170" i="2"/>
  <c r="Q171" i="2"/>
  <c r="Q172" i="2"/>
  <c r="Q166" i="2"/>
  <c r="Q167" i="2"/>
  <c r="Q168" i="2"/>
  <c r="Q169" i="2"/>
  <c r="Q164" i="2"/>
  <c r="Q165" i="2"/>
  <c r="Q162" i="2"/>
  <c r="Q163" i="2"/>
  <c r="Q158" i="2"/>
  <c r="Q159" i="2"/>
  <c r="Q160" i="2"/>
  <c r="Q161" i="2"/>
  <c r="J18" i="20"/>
  <c r="Q155" i="2"/>
  <c r="Q156" i="2"/>
  <c r="Q157" i="2"/>
  <c r="J16" i="20"/>
  <c r="J17" i="20"/>
  <c r="Q153" i="2"/>
  <c r="Q154" i="2"/>
  <c r="Q152" i="2"/>
  <c r="J14" i="20"/>
  <c r="J15" i="20"/>
  <c r="Q150" i="2"/>
  <c r="Q151" i="2"/>
  <c r="Q148" i="2"/>
  <c r="Q149" i="2"/>
  <c r="Q145" i="2"/>
  <c r="Q146" i="2"/>
  <c r="Q147" i="2"/>
  <c r="Q144" i="2"/>
  <c r="Q142" i="2"/>
  <c r="Q143" i="2"/>
  <c r="Q141" i="2"/>
  <c r="Q140" i="2"/>
  <c r="J3" i="20"/>
  <c r="J4" i="20"/>
  <c r="J5" i="20"/>
  <c r="J6" i="20"/>
  <c r="J7" i="20"/>
  <c r="J8" i="20"/>
  <c r="J9" i="20"/>
  <c r="J10" i="20"/>
  <c r="J11" i="20"/>
  <c r="J12" i="20"/>
  <c r="J13" i="20"/>
  <c r="J2" i="20"/>
  <c r="Q139" i="2"/>
  <c r="Q136" i="2"/>
  <c r="Q137" i="2"/>
  <c r="Q138" i="2"/>
  <c r="Q135" i="2"/>
  <c r="Q133" i="2"/>
  <c r="Q134" i="2"/>
  <c r="Q132" i="2"/>
  <c r="Q130" i="2"/>
  <c r="Q131" i="2"/>
  <c r="Q129" i="2"/>
  <c r="Q127" i="2"/>
  <c r="Q128" i="2"/>
  <c r="Q124" i="2"/>
  <c r="Q125" i="2"/>
  <c r="Q126" i="2"/>
  <c r="Q121" i="2"/>
  <c r="Q122" i="2"/>
  <c r="Q123" i="2"/>
  <c r="Q120" i="2"/>
  <c r="Q119" i="2"/>
  <c r="Q118" i="2"/>
  <c r="Q117" i="2"/>
  <c r="Q115" i="2"/>
  <c r="Q116" i="2"/>
  <c r="Q114" i="2"/>
  <c r="Q112" i="2"/>
  <c r="Q113" i="2"/>
  <c r="Q111" i="2"/>
  <c r="Q110" i="2"/>
  <c r="Q109" i="2"/>
  <c r="Q108" i="2"/>
  <c r="Q104" i="2"/>
  <c r="Q105" i="2"/>
  <c r="Q106" i="2"/>
  <c r="Q107" i="2"/>
  <c r="Q103" i="2"/>
  <c r="Q102" i="2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2" i="9"/>
  <c r="Q100" i="2"/>
  <c r="Q101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2" i="2" l="1"/>
  <c r="Q3" i="2" l="1"/>
</calcChain>
</file>

<file path=xl/sharedStrings.xml><?xml version="1.0" encoding="utf-8"?>
<sst xmlns="http://schemas.openxmlformats.org/spreadsheetml/2006/main" count="48162" uniqueCount="11707">
  <si>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</si>
  <si>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</si>
  <si>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</si>
  <si>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</si>
  <si>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</si>
  <si>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</si>
  <si>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</si>
  <si>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</si>
  <si>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</si>
  <si>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</si>
  <si>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</si>
  <si>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</si>
  <si>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</si>
  <si>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</si>
  <si>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</si>
  <si>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</si>
  <si>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</si>
  <si>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</si>
  <si>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</si>
  <si>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</si>
  <si>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</si>
  <si>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</si>
  <si>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</si>
  <si>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</si>
  <si>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</si>
  <si>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</si>
  <si>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</si>
  <si>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</si>
  <si>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</si>
  <si>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</si>
  <si>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</si>
  <si>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</si>
  <si>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</si>
  <si>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</si>
  <si>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</si>
  <si>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</si>
  <si>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</si>
  <si>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</si>
  <si>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</si>
  <si>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</si>
  <si>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</si>
  <si>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</si>
  <si>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</si>
  <si>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</si>
  <si>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</si>
  <si>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</si>
  <si>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</si>
  <si>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</si>
  <si>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</si>
  <si>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</si>
  <si>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</si>
  <si>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</si>
  <si>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</si>
  <si>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</si>
  <si>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</si>
  <si>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</si>
  <si>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</si>
  <si>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</si>
  <si>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</si>
  <si>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</si>
  <si>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</si>
  <si>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</si>
  <si>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</si>
  <si>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</si>
  <si>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</si>
  <si>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</si>
  <si>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</si>
  <si>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</si>
  <si>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</si>
  <si>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</si>
  <si>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</si>
  <si>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</si>
  <si>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</si>
  <si>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</si>
  <si>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</si>
  <si>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</si>
  <si>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</si>
  <si>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</si>
  <si>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</si>
  <si>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</si>
  <si>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</si>
  <si>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</si>
  <si>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</si>
  <si>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</si>
  <si>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</si>
  <si>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</si>
  <si>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</si>
  <si>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</si>
  <si>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</si>
  <si>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</si>
  <si>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</si>
  <si>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</si>
  <si>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</si>
  <si>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</si>
  <si>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</si>
  <si>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</si>
  <si>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</si>
  <si>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</si>
  <si>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</si>
  <si>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</si>
  <si>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</si>
  <si>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</si>
  <si>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</si>
  <si>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</si>
  <si>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</si>
  <si>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</si>
  <si>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PRO2600089180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</si>
  <si>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</si>
  <si>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</si>
  <si>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</si>
  <si>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</si>
  <si>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</si>
  <si>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</si>
  <si>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</si>
  <si>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</si>
  <si>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PRO2600093972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</si>
  <si>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</si>
  <si>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</si>
  <si>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</si>
  <si>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</si>
  <si>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</si>
  <si>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</si>
  <si>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</si>
  <si>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</si>
  <si>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</si>
  <si>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</si>
  <si>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</si>
  <si>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</si>
  <si>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</si>
  <si>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</si>
  <si>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</si>
  <si>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</si>
  <si>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</si>
  <si>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</si>
  <si>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</si>
  <si>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</si>
  <si>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</si>
  <si>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</si>
  <si>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</si>
  <si>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</si>
  <si>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</si>
  <si>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</si>
  <si>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</si>
  <si>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</si>
  <si>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</si>
  <si>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</si>
  <si>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</si>
  <si>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</si>
  <si>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</si>
  <si>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</si>
  <si>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</si>
  <si>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</si>
  <si>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</si>
  <si>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</si>
  <si>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</si>
  <si>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</si>
  <si>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</si>
  <si>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</si>
  <si>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</si>
  <si>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</si>
  <si>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</si>
  <si>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</si>
  <si>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</si>
  <si>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</si>
  <si>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</si>
  <si>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</si>
  <si>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</si>
  <si>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</si>
  <si>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</si>
  <si>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</si>
  <si>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</si>
  <si>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</si>
  <si>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</si>
  <si>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</si>
  <si>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</si>
  <si>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</si>
  <si>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</si>
  <si>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</si>
  <si>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</si>
  <si>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</si>
  <si>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</si>
  <si>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</si>
  <si>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</si>
  <si>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</si>
  <si>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</si>
  <si>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</si>
  <si>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</si>
  <si>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</si>
  <si>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</si>
  <si>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</si>
  <si>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</si>
  <si>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</si>
  <si>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</si>
  <si>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</si>
  <si>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</si>
  <si>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</si>
  <si>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</si>
  <si>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</si>
  <si>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</si>
  <si>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</si>
  <si>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</si>
  <si>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</si>
  <si>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</si>
  <si>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</si>
  <si>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</si>
  <si>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</si>
  <si>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</si>
  <si>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</si>
  <si>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</si>
  <si>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Document_Number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</si>
  <si>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</si>
  <si>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</si>
  <si>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</si>
  <si>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</si>
  <si>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</si>
  <si>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</si>
  <si>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</si>
  <si>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</si>
  <si>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</si>
  <si>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</si>
  <si>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</si>
  <si>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</si>
  <si>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</si>
  <si>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</si>
  <si>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</si>
  <si>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</si>
  <si>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</si>
  <si>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</si>
  <si>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</si>
  <si>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</si>
  <si>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</si>
  <si>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</si>
  <si>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</si>
  <si>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</si>
  <si>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</si>
  <si>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</si>
  <si>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</si>
  <si>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</si>
  <si>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</si>
  <si>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</si>
  <si>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</si>
  <si>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</si>
  <si>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</si>
  <si>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</si>
  <si>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</si>
  <si>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</si>
  <si>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</si>
  <si>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</si>
  <si>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</si>
  <si>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</si>
  <si>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</si>
  <si>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</si>
  <si>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</si>
  <si>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</si>
  <si>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</si>
  <si>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</si>
  <si>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</si>
  <si>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</si>
  <si>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</si>
  <si>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</si>
  <si>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</si>
  <si>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</si>
  <si>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</si>
  <si>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</si>
  <si>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</si>
  <si>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</si>
  <si>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</si>
  <si>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</si>
  <si>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</si>
  <si>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</si>
  <si>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</si>
  <si>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</si>
  <si>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</si>
  <si>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</si>
  <si>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</si>
  <si>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</si>
  <si>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</si>
  <si>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</si>
  <si>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</si>
  <si>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</si>
  <si>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</si>
  <si>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</si>
  <si>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</si>
  <si>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</si>
  <si>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</si>
  <si>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</si>
  <si>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</si>
  <si>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</si>
  <si>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</si>
  <si>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</si>
  <si>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</si>
  <si>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</si>
  <si>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</si>
  <si>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</si>
  <si>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</si>
  <si>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</si>
  <si>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</si>
  <si>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</si>
  <si>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</si>
  <si>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</si>
  <si>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Status2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</si>
  <si>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</si>
  <si>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</si>
  <si>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</si>
  <si>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</si>
  <si>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</si>
  <si>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</si>
  <si>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</si>
  <si>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</si>
  <si>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</si>
  <si>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</si>
  <si>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</si>
  <si>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</si>
  <si>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</si>
  <si>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</si>
  <si>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</si>
  <si>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Grand Total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</si>
  <si>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</si>
  <si>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</si>
  <si>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</si>
  <si>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</si>
  <si>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</si>
  <si>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</si>
  <si>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</si>
  <si>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</si>
  <si>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</si>
  <si>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</si>
  <si>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</si>
  <si>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</si>
  <si>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</si>
  <si>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</si>
  <si>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</si>
  <si>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</si>
  <si>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</si>
  <si>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</si>
  <si>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</si>
  <si>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</si>
  <si>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</si>
  <si>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</si>
  <si>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</si>
  <si>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</si>
  <si>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</si>
  <si>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</si>
  <si>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</si>
  <si>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</si>
  <si>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</si>
  <si>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</si>
  <si>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</si>
  <si>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</si>
  <si>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</si>
  <si>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</si>
  <si>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</si>
  <si>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</si>
  <si>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</si>
  <si>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</si>
  <si>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</si>
  <si>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</si>
  <si>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</si>
  <si>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</si>
  <si>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</si>
  <si>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</si>
  <si>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</si>
  <si>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</si>
  <si>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</si>
  <si>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</si>
  <si>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</si>
  <si>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</si>
  <si>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</si>
  <si>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</si>
  <si>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</si>
  <si>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</si>
  <si>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</si>
  <si>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</si>
  <si>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</si>
  <si>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</si>
  <si>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</si>
  <si>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</si>
  <si>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</si>
  <si>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</si>
  <si>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</si>
  <si>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</si>
  <si>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</si>
  <si>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</si>
  <si>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</si>
  <si>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</si>
  <si>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</si>
  <si>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</si>
  <si>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PRO2600106438</t>
  </si>
  <si>
    <t>PRO2600106707</t>
  </si>
  <si>
    <t>PRO2600106441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</si>
  <si>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</si>
  <si>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</si>
  <si>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</si>
  <si>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</si>
  <si>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</si>
  <si>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</si>
  <si>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</si>
  <si>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</si>
  <si>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</si>
  <si>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</si>
  <si>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</si>
  <si>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</si>
  <si>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</si>
  <si>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</si>
  <si>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</si>
  <si>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</si>
  <si>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</si>
  <si>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</si>
  <si>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</si>
  <si>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</si>
  <si>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</si>
  <si>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</si>
  <si>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</si>
  <si>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</si>
  <si>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</si>
  <si>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</si>
  <si>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</si>
  <si>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</si>
  <si>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</si>
  <si>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</si>
  <si>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</si>
  <si>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</si>
  <si>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</si>
  <si>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</si>
  <si>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</si>
  <si>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</si>
  <si>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</si>
  <si>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</si>
  <si>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</si>
  <si>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</si>
  <si>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</si>
  <si>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</si>
  <si>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</si>
  <si>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</si>
  <si>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</si>
  <si>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</si>
  <si>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</si>
  <si>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</si>
  <si>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</si>
  <si>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</si>
  <si>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</si>
  <si>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</si>
  <si>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</si>
  <si>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</si>
  <si>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</si>
  <si>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</si>
  <si>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</si>
  <si>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</si>
  <si>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</si>
  <si>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</si>
  <si>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</si>
  <si>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</si>
  <si>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</si>
  <si>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</si>
  <si>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</si>
  <si>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</si>
  <si>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</si>
  <si>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</si>
  <si>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</si>
  <si>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</si>
  <si>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</si>
  <si>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</si>
  <si>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</si>
  <si>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</si>
  <si>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</si>
  <si>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</si>
  <si>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</si>
  <si>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</si>
  <si>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</si>
  <si>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</si>
  <si>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</si>
  <si>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</si>
  <si>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</si>
  <si>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</si>
  <si>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</si>
  <si>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</si>
  <si>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</si>
  <si>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</si>
  <si>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</si>
  <si>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</si>
  <si>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</si>
  <si>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</si>
  <si>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</si>
  <si>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</si>
  <si>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</si>
  <si>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</si>
  <si>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</si>
  <si>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</si>
  <si>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</si>
  <si>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</si>
  <si>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</si>
  <si>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</si>
  <si>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</si>
  <si>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</si>
  <si>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</si>
  <si>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</si>
  <si>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</si>
  <si>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</si>
  <si>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</si>
  <si>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</si>
  <si>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</si>
  <si>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</si>
  <si>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</si>
  <si>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</si>
  <si>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</si>
  <si>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</si>
  <si>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</si>
  <si>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</si>
  <si>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</si>
  <si>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</si>
  <si>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</si>
  <si>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</si>
  <si>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</si>
  <si>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</si>
  <si>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</si>
  <si>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</si>
  <si>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</si>
  <si>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</si>
  <si>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</si>
  <si>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</si>
  <si>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</si>
  <si>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</si>
  <si>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</si>
  <si>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</si>
  <si>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</si>
  <si>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</si>
  <si>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</si>
  <si>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</si>
  <si>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</si>
  <si>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</si>
  <si>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</si>
  <si>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</si>
  <si>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</si>
  <si>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</si>
  <si>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</si>
  <si>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</si>
  <si>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</si>
  <si>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</si>
  <si>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</si>
  <si>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</si>
  <si>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</si>
  <si>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</si>
  <si>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</si>
  <si>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</si>
  <si>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</si>
  <si>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</si>
  <si>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</si>
  <si>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</si>
  <si>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</si>
  <si>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</si>
  <si>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</si>
  <si>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</si>
  <si>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</si>
  <si>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</si>
  <si>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</si>
  <si>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</si>
  <si>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</si>
  <si>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</si>
  <si>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</si>
  <si>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</si>
  <si>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</si>
  <si>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</si>
  <si>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</si>
  <si>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</si>
  <si>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</si>
  <si>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</si>
  <si>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</si>
  <si>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</si>
  <si>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</si>
  <si>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</si>
  <si>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</si>
  <si>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</si>
  <si>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</si>
  <si>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</si>
  <si>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</si>
  <si>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</si>
  <si>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</si>
  <si>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</si>
  <si>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</si>
  <si>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</si>
  <si>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</si>
  <si>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</si>
  <si>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</si>
  <si>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</si>
  <si>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</si>
  <si>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</si>
  <si>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</si>
  <si>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</si>
  <si>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</si>
  <si>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</si>
  <si>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</si>
  <si>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</si>
  <si>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</si>
  <si>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</si>
  <si>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</si>
  <si>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</si>
  <si>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</si>
  <si>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</si>
  <si>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</si>
  <si>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</si>
  <si>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</si>
  <si>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</si>
  <si>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</si>
  <si>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</si>
  <si>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</si>
  <si>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</si>
  <si>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</si>
  <si>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</si>
  <si>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</si>
  <si>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</si>
  <si>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</si>
  <si>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</si>
  <si>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</si>
  <si>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</si>
  <si>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</si>
  <si>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</si>
  <si>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</si>
  <si>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</si>
  <si>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</si>
  <si>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</si>
  <si>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</si>
  <si>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</si>
  <si>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</si>
  <si>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</si>
  <si>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</si>
  <si>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</si>
  <si>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</si>
  <si>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</si>
  <si>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</si>
  <si>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</si>
  <si>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</si>
  <si>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</si>
  <si>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</si>
  <si>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</si>
  <si>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</si>
  <si>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</si>
  <si>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</si>
  <si>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</si>
  <si>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</si>
  <si>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</si>
  <si>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</si>
  <si>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</si>
  <si>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</si>
  <si>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</si>
  <si>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</si>
  <si>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</si>
  <si>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</si>
  <si>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</si>
  <si>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</si>
  <si>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</si>
  <si>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</si>
  <si>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</si>
  <si>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</si>
  <si>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</si>
  <si>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</si>
  <si>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</si>
  <si>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</si>
  <si>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</si>
  <si>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</si>
  <si>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</si>
  <si>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</si>
  <si>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</si>
  <si>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</si>
  <si>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</si>
  <si>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</si>
  <si>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</si>
  <si>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</si>
  <si>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</si>
  <si>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</si>
  <si>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</si>
  <si>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</si>
  <si>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</si>
  <si>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</si>
  <si>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</si>
  <si>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</si>
  <si>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</si>
  <si>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</si>
  <si>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</si>
  <si>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</si>
  <si>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</si>
  <si>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</si>
  <si>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</si>
  <si>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</si>
  <si>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</si>
  <si>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</si>
  <si>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</si>
  <si>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</si>
  <si>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</si>
  <si>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</si>
  <si>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</si>
  <si>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</si>
  <si>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</si>
  <si>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</si>
  <si>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</si>
  <si>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</si>
  <si>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</si>
  <si>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</si>
  <si>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</si>
  <si>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</si>
  <si>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</si>
  <si>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</si>
  <si>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</si>
  <si>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</si>
  <si>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</si>
  <si>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</si>
  <si>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</si>
  <si>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</si>
  <si>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</si>
  <si>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</si>
  <si>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</si>
  <si>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</si>
  <si>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</si>
  <si>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</si>
  <si>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</si>
  <si>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</si>
  <si>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</si>
  <si>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</si>
  <si>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</si>
  <si>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</si>
  <si>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</si>
  <si>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</si>
  <si>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</si>
  <si>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</si>
  <si>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</si>
  <si>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</si>
  <si>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</si>
  <si>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</si>
  <si>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</si>
  <si>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</si>
  <si>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</si>
  <si>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</si>
  <si>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</si>
  <si>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</si>
  <si>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</si>
  <si>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</si>
  <si>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</si>
  <si>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</si>
  <si>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</si>
  <si>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</si>
  <si>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</si>
  <si>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</si>
  <si>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</si>
  <si>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</si>
  <si>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</si>
  <si>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</si>
  <si>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</si>
  <si>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</si>
  <si>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</si>
  <si>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</si>
  <si>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</si>
  <si>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</si>
  <si>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</si>
  <si>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</si>
  <si>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</si>
  <si>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</si>
  <si>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</si>
  <si>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</si>
  <si>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</si>
  <si>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</si>
  <si>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</si>
  <si>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</si>
  <si>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</si>
  <si>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</si>
  <si>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</si>
  <si>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</si>
  <si>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</si>
  <si>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</si>
  <si>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</si>
  <si>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</si>
  <si>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</si>
  <si>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</si>
  <si>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</si>
  <si>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</si>
  <si>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</si>
  <si>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</si>
  <si>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</si>
  <si>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</si>
  <si>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</si>
  <si>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</si>
  <si>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</si>
  <si>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</si>
  <si>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</si>
  <si>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</si>
  <si>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</si>
  <si>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</si>
  <si>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</si>
  <si>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</si>
  <si>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</si>
  <si>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</si>
  <si>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</si>
  <si>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</si>
  <si>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</si>
  <si>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</si>
  <si>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</si>
  <si>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</si>
  <si>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</si>
  <si>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</si>
  <si>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</si>
  <si>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</si>
  <si>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</si>
  <si>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</si>
  <si>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</si>
  <si>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</si>
  <si>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</si>
  <si>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</si>
  <si>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</si>
  <si>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</si>
  <si>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</si>
  <si>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</si>
  <si>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</si>
  <si>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</si>
  <si>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</si>
  <si>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</si>
  <si>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</si>
  <si>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</si>
  <si>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</si>
  <si>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</si>
  <si>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</si>
  <si>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</si>
  <si>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</si>
  <si>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</si>
  <si>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</si>
  <si>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</si>
  <si>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</si>
  <si>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</si>
  <si>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</si>
  <si>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</si>
  <si>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</si>
  <si>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</si>
  <si>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</si>
  <si>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</si>
  <si>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</si>
  <si>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</si>
  <si>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</si>
  <si>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</si>
  <si>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V03061</t>
  </si>
  <si>
    <t>Medical supplies &amp;services co. ltd.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</si>
  <si>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</si>
  <si>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</si>
  <si>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</si>
  <si>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</si>
  <si>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</si>
  <si>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</si>
  <si>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</si>
  <si>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</si>
  <si>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</si>
  <si>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</si>
  <si>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</si>
  <si>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</si>
  <si>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</si>
  <si>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</si>
  <si>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</si>
  <si>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</si>
  <si>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</si>
  <si>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</si>
  <si>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</si>
  <si>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</si>
  <si>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</si>
  <si>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</si>
  <si>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</si>
  <si>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</si>
  <si>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</si>
  <si>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</si>
  <si>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</si>
  <si>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</si>
  <si>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</si>
  <si>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</si>
  <si>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</si>
  <si>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</si>
  <si>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</si>
  <si>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</si>
  <si>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</si>
  <si>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</si>
  <si>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</si>
  <si>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</si>
  <si>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</si>
  <si>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</si>
  <si>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</si>
  <si>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</si>
  <si>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</si>
  <si>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</si>
  <si>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</si>
  <si>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</si>
  <si>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</si>
  <si>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</si>
  <si>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</si>
  <si>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</si>
  <si>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</si>
  <si>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</si>
  <si>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</si>
  <si>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</si>
  <si>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</si>
  <si>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</si>
  <si>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</si>
  <si>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</si>
  <si>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</si>
  <si>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</si>
  <si>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</si>
  <si>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</si>
  <si>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</si>
  <si>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</si>
  <si>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</si>
  <si>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</si>
  <si>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</si>
  <si>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</si>
  <si>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</si>
  <si>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</si>
  <si>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</si>
  <si>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</si>
  <si>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</si>
  <si>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</si>
  <si>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</si>
  <si>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</si>
  <si>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</si>
  <si>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</si>
  <si>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</si>
  <si>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</si>
  <si>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</si>
  <si>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Row Labels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</si>
  <si>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</si>
  <si>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</si>
  <si>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</si>
  <si>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</si>
  <si>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</si>
  <si>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</si>
  <si>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</si>
  <si>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</si>
  <si>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</si>
  <si>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</si>
  <si>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</si>
  <si>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</si>
  <si>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</si>
  <si>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</si>
  <si>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</si>
  <si>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</si>
  <si>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</si>
  <si>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</si>
  <si>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</si>
  <si>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</si>
  <si>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</si>
  <si>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</si>
  <si>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</si>
  <si>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</si>
  <si>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</si>
  <si>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</si>
  <si>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</si>
  <si>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</si>
  <si>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</si>
  <si>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</si>
  <si>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</si>
  <si>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</si>
  <si>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</si>
  <si>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</si>
  <si>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</si>
  <si>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</si>
  <si>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</si>
  <si>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</si>
  <si>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</si>
  <si>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</si>
  <si>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</si>
  <si>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</si>
  <si>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</si>
  <si>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</si>
  <si>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</si>
  <si>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</si>
  <si>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</si>
  <si>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</si>
  <si>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</si>
  <si>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</si>
  <si>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</si>
  <si>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</si>
  <si>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</si>
  <si>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</si>
  <si>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</si>
  <si>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</si>
  <si>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</si>
  <si>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</si>
  <si>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</si>
  <si>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</si>
  <si>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</si>
  <si>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</si>
  <si>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</si>
  <si>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</si>
  <si>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</si>
  <si>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</si>
  <si>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</si>
  <si>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</si>
  <si>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</si>
  <si>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</si>
  <si>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</si>
  <si>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</si>
  <si>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</si>
  <si>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</si>
  <si>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</si>
  <si>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</si>
  <si>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</si>
  <si>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</si>
  <si>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</si>
  <si>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</si>
  <si>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</si>
  <si>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</si>
  <si>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</si>
  <si>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</si>
  <si>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</si>
  <si>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</si>
  <si>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</si>
  <si>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</si>
  <si>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</si>
  <si>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</si>
  <si>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</si>
  <si>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</si>
  <si>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</si>
  <si>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</si>
  <si>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PRO2600126273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</si>
  <si>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</si>
  <si>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</si>
  <si>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</si>
  <si>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</si>
  <si>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</si>
  <si>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</si>
  <si>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</si>
  <si>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</si>
  <si>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</si>
  <si>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</si>
  <si>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</si>
  <si>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</si>
  <si>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</si>
  <si>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</si>
  <si>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</si>
  <si>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</si>
  <si>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</si>
  <si>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</si>
  <si>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</si>
  <si>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</si>
  <si>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</si>
  <si>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</si>
  <si>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</si>
  <si>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</si>
  <si>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</si>
  <si>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</si>
  <si>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</si>
  <si>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</si>
  <si>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</si>
  <si>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</si>
  <si>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</si>
  <si>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</si>
  <si>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</si>
  <si>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</si>
  <si>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</si>
  <si>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</si>
  <si>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</si>
  <si>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</si>
  <si>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</si>
  <si>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</si>
  <si>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</si>
  <si>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</si>
  <si>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</si>
  <si>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</si>
  <si>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</si>
  <si>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</si>
  <si>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</si>
  <si>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</si>
  <si>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</si>
  <si>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</si>
  <si>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</si>
  <si>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</si>
  <si>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</si>
  <si>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</si>
  <si>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</si>
  <si>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</si>
  <si>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</si>
  <si>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</si>
  <si>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</si>
  <si>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</si>
  <si>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</si>
  <si>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</si>
  <si>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</si>
  <si>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</si>
  <si>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</si>
  <si>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</si>
  <si>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</si>
  <si>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</si>
  <si>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</si>
  <si>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</si>
  <si>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</si>
  <si>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</si>
  <si>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</si>
  <si>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</si>
  <si>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</si>
  <si>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</si>
  <si>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</si>
  <si>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</si>
  <si>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</si>
  <si>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</si>
  <si>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</si>
  <si>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</si>
  <si>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</si>
  <si>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</si>
  <si>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</si>
  <si>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</si>
  <si>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</si>
  <si>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</si>
  <si>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</si>
  <si>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</si>
  <si>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</si>
  <si>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</si>
  <si>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</si>
  <si>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</si>
  <si>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</si>
  <si>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</si>
  <si>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</si>
  <si>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</si>
  <si>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</si>
  <si>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</si>
  <si>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</si>
  <si>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</si>
  <si>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</si>
  <si>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</si>
  <si>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</si>
  <si>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</si>
  <si>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</si>
  <si>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</si>
  <si>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</si>
  <si>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</si>
  <si>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</si>
  <si>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</si>
  <si>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</si>
  <si>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</si>
  <si>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</si>
  <si>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</si>
  <si>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</si>
  <si>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</si>
  <si>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</si>
  <si>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</si>
  <si>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</si>
  <si>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</si>
  <si>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</si>
  <si>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</si>
  <si>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</si>
  <si>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</si>
  <si>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</si>
  <si>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</si>
  <si>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</si>
  <si>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</si>
  <si>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</si>
  <si>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</si>
  <si>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</si>
  <si>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</si>
  <si>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</si>
  <si>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</si>
  <si>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</si>
  <si>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</si>
  <si>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</si>
  <si>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</si>
  <si>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</si>
  <si>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</si>
  <si>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</si>
  <si>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</si>
  <si>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</si>
  <si>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</si>
  <si>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</si>
  <si>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</si>
  <si>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</si>
  <si>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</si>
  <si>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</si>
  <si>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</si>
  <si>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</si>
  <si>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</si>
  <si>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</si>
  <si>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</si>
  <si>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</si>
  <si>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</si>
  <si>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</si>
  <si>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</si>
  <si>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</si>
  <si>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</si>
  <si>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</si>
  <si>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</si>
  <si>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</si>
  <si>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</si>
  <si>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</si>
  <si>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</si>
  <si>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</si>
  <si>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</si>
  <si>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</si>
  <si>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</si>
  <si>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</si>
  <si>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</si>
  <si>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</si>
  <si>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</si>
  <si>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</si>
  <si>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</si>
  <si>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</si>
  <si>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</si>
  <si>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</si>
  <si>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</si>
  <si>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</si>
  <si>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</si>
  <si>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</si>
  <si>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</si>
  <si>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</si>
  <si>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</si>
  <si>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</si>
  <si>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</si>
  <si>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</si>
  <si>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</si>
  <si>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</si>
  <si>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</si>
  <si>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</si>
  <si>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</si>
  <si>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</si>
  <si>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</si>
  <si>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</si>
  <si>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</si>
  <si>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</si>
  <si>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</si>
  <si>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</si>
  <si>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</si>
  <si>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</si>
  <si>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</si>
  <si>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</si>
  <si>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</si>
  <si>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</si>
  <si>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</si>
  <si>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</si>
  <si>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</si>
  <si>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</si>
  <si>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</si>
  <si>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</si>
  <si>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</si>
  <si>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</si>
  <si>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</si>
  <si>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</si>
  <si>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</si>
  <si>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</si>
  <si>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</si>
  <si>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</si>
  <si>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</si>
  <si>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</si>
  <si>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</si>
  <si>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</si>
  <si>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</si>
  <si>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</si>
  <si>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</si>
  <si>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</si>
  <si>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</si>
  <si>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</si>
  <si>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</si>
  <si>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</si>
  <si>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</si>
  <si>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</si>
  <si>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</si>
  <si>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</si>
  <si>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</si>
  <si>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</si>
  <si>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</si>
  <si>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</si>
  <si>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</si>
  <si>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</si>
  <si>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</si>
  <si>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</si>
  <si>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</si>
  <si>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</si>
  <si>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</si>
  <si>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</si>
  <si>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</si>
  <si>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</si>
  <si>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</si>
  <si>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</si>
  <si>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</si>
  <si>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</si>
  <si>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</si>
  <si>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</si>
  <si>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</si>
  <si>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</si>
  <si>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</si>
  <si>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</si>
  <si>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</si>
  <si>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</si>
  <si>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</si>
  <si>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</si>
  <si>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</si>
  <si>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</si>
  <si>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</si>
  <si>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</si>
  <si>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</si>
  <si>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</si>
  <si>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</si>
  <si>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</si>
  <si>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</si>
  <si>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</si>
  <si>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</si>
  <si>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</si>
  <si>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</si>
  <si>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</si>
  <si>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</si>
  <si>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</si>
  <si>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</si>
  <si>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</si>
  <si>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</si>
  <si>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</si>
  <si>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</si>
  <si>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</si>
  <si>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</si>
  <si>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</si>
  <si>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</si>
  <si>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</si>
  <si>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</si>
  <si>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</si>
  <si>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</si>
  <si>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</si>
  <si>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</si>
  <si>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</si>
  <si>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</si>
  <si>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</si>
  <si>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</si>
  <si>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</si>
  <si>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</si>
  <si>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</si>
  <si>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</si>
  <si>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</si>
  <si>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</si>
  <si>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</si>
  <si>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</si>
  <si>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</si>
  <si>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</si>
  <si>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</si>
  <si>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</si>
  <si>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</si>
  <si>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</si>
  <si>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</si>
  <si>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</si>
  <si>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</si>
  <si>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</si>
  <si>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</si>
  <si>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</si>
  <si>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</si>
  <si>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</si>
  <si>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</si>
  <si>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</si>
  <si>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</si>
  <si>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</si>
  <si>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</si>
  <si>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</si>
  <si>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</si>
  <si>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</si>
  <si>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</si>
  <si>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</si>
  <si>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</si>
  <si>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</si>
  <si>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</si>
  <si>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</si>
  <si>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</si>
  <si>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</si>
  <si>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</si>
  <si>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</si>
  <si>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</si>
  <si>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</si>
  <si>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</si>
  <si>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</si>
  <si>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</si>
  <si>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</si>
  <si>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</si>
  <si>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</si>
  <si>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</si>
  <si>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</si>
  <si>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</si>
  <si>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</si>
  <si>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</si>
  <si>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</si>
  <si>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</si>
  <si>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</si>
  <si>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</si>
  <si>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</si>
  <si>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</si>
  <si>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</si>
  <si>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</si>
  <si>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</si>
  <si>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</si>
  <si>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</si>
  <si>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</si>
  <si>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</si>
  <si>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</si>
  <si>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</si>
  <si>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</si>
  <si>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</si>
  <si>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</si>
  <si>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</si>
  <si>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</si>
  <si>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</si>
  <si>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</si>
  <si>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</si>
  <si>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</si>
  <si>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</si>
  <si>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</si>
  <si>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</si>
  <si>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</si>
  <si>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</si>
  <si>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</si>
  <si>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</si>
  <si>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</si>
  <si>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</si>
  <si>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</si>
  <si>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</si>
  <si>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</si>
  <si>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</si>
  <si>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</si>
  <si>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</si>
  <si>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</si>
  <si>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</si>
  <si>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</si>
  <si>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</si>
  <si>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</si>
  <si>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</si>
  <si>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</si>
  <si>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</si>
  <si>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</si>
  <si>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</si>
  <si>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</si>
  <si>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</si>
  <si>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</si>
  <si>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</si>
  <si>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</si>
  <si>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</si>
  <si>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</si>
  <si>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</si>
  <si>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</si>
  <si>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</si>
  <si>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</si>
  <si>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</si>
  <si>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</si>
  <si>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</si>
  <si>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</si>
  <si>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</si>
  <si>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</si>
  <si>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</si>
  <si>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</si>
  <si>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</si>
  <si>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</si>
  <si>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</si>
  <si>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</si>
  <si>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</si>
  <si>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</si>
  <si>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</si>
  <si>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</si>
  <si>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</si>
  <si>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</si>
  <si>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</si>
  <si>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</si>
  <si>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</si>
  <si>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</si>
  <si>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</si>
  <si>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</si>
  <si>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</si>
  <si>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</si>
  <si>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</si>
  <si>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</si>
  <si>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</si>
  <si>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</si>
  <si>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</si>
  <si>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</si>
  <si>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</si>
  <si>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</si>
  <si>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</si>
  <si>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</si>
  <si>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</si>
  <si>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</si>
  <si>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</si>
  <si>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</si>
  <si>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</si>
  <si>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</si>
  <si>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</si>
  <si>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</si>
  <si>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</si>
  <si>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</si>
  <si>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</si>
  <si>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</si>
  <si>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</si>
  <si>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</si>
  <si>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</si>
  <si>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</si>
  <si>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</si>
  <si>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</si>
  <si>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</si>
  <si>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</si>
  <si>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</si>
  <si>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</si>
  <si>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</si>
  <si>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</si>
  <si>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</si>
  <si>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</si>
  <si>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</si>
  <si>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</si>
  <si>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</si>
  <si>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</si>
  <si>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</si>
  <si>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</si>
  <si>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</si>
  <si>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</si>
  <si>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</si>
  <si>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</si>
  <si>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</si>
  <si>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</si>
  <si>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</si>
  <si>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</si>
  <si>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</si>
  <si>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</si>
  <si>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</si>
  <si>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</si>
  <si>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</si>
  <si>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</si>
  <si>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</si>
  <si>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</si>
  <si>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</si>
  <si>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</si>
  <si>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</si>
  <si>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</si>
  <si>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</si>
  <si>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</si>
  <si>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</si>
  <si>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</si>
  <si>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</si>
  <si>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</si>
  <si>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</si>
  <si>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</si>
  <si>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</si>
  <si>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</si>
  <si>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</si>
  <si>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</si>
  <si>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</si>
  <si>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</si>
  <si>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</si>
  <si>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</si>
  <si>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</si>
  <si>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</si>
  <si>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</si>
  <si>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</si>
  <si>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</si>
  <si>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</si>
  <si>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</si>
  <si>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</si>
  <si>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</si>
  <si>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</si>
  <si>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</si>
  <si>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</si>
  <si>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</si>
  <si>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</si>
  <si>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</si>
  <si>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</si>
  <si>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</si>
  <si>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</si>
  <si>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</si>
  <si>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</si>
  <si>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</si>
  <si>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</si>
  <si>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</si>
  <si>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</si>
  <si>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</si>
  <si>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</si>
  <si>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</si>
  <si>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</si>
  <si>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</si>
  <si>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</si>
  <si>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</si>
  <si>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</si>
  <si>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</si>
  <si>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</si>
  <si>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</si>
  <si>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</si>
  <si>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</si>
  <si>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</si>
  <si>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</si>
  <si>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</si>
  <si>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</si>
  <si>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</si>
  <si>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</si>
  <si>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</si>
  <si>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</si>
  <si>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</si>
  <si>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</si>
  <si>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</si>
  <si>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</si>
  <si>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</si>
  <si>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</si>
  <si>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</si>
  <si>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</si>
  <si>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</si>
  <si>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</si>
  <si>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</si>
  <si>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</si>
  <si>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</si>
  <si>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</si>
  <si>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</si>
  <si>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</si>
  <si>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</si>
  <si>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</si>
  <si>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</si>
  <si>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</si>
  <si>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</si>
  <si>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</si>
  <si>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</si>
  <si>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</si>
  <si>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</si>
  <si>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</si>
  <si>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</si>
  <si>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</si>
  <si>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</si>
  <si>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</si>
  <si>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</si>
  <si>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</si>
  <si>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</si>
  <si>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</si>
  <si>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</si>
  <si>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</si>
  <si>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</si>
  <si>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</si>
  <si>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</si>
  <si>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</si>
  <si>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</si>
  <si>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</si>
  <si>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</si>
  <si>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</si>
  <si>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</si>
  <si>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</si>
  <si>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</si>
  <si>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</si>
  <si>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</si>
  <si>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</si>
  <si>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</si>
  <si>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</si>
  <si>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</si>
  <si>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</si>
  <si>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</si>
  <si>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</si>
  <si>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</si>
  <si>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</si>
  <si>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</si>
  <si>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</si>
  <si>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</si>
  <si>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</si>
  <si>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</si>
  <si>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</si>
  <si>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</si>
  <si>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</si>
  <si>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</si>
  <si>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</si>
  <si>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</si>
  <si>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</si>
  <si>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</si>
  <si>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</si>
  <si>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</si>
  <si>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</si>
  <si>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</si>
  <si>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</si>
  <si>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</si>
  <si>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</si>
  <si>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</si>
  <si>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</si>
  <si>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</si>
  <si>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</si>
  <si>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</si>
  <si>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</si>
  <si>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</si>
  <si>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</si>
  <si>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</si>
  <si>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</si>
  <si>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</si>
  <si>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</si>
  <si>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</si>
  <si>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</si>
  <si>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</si>
  <si>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</si>
  <si>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</si>
  <si>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</si>
  <si>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</si>
  <si>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</si>
  <si>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</si>
  <si>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</si>
  <si>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</si>
  <si>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</si>
  <si>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</si>
  <si>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</si>
  <si>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</si>
  <si>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</si>
  <si>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</si>
  <si>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</si>
  <si>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</si>
  <si>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</si>
  <si>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</si>
  <si>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</si>
  <si>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</si>
  <si>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</si>
  <si>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</si>
  <si>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</si>
  <si>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</si>
  <si>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</si>
  <si>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</si>
  <si>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</si>
  <si>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</si>
  <si>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</si>
  <si>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</si>
  <si>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</si>
  <si>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</si>
  <si>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</si>
  <si>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</si>
  <si>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</si>
  <si>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</si>
  <si>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</si>
  <si>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</si>
  <si>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</si>
  <si>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</si>
  <si>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</si>
  <si>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</si>
  <si>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</si>
  <si>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</si>
  <si>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</si>
  <si>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</si>
  <si>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</si>
  <si>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</si>
  <si>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</si>
  <si>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</si>
  <si>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</si>
  <si>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</si>
  <si>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</si>
  <si>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</si>
  <si>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</si>
  <si>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</si>
  <si>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</si>
  <si>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</si>
  <si>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</si>
  <si>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</si>
  <si>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</si>
  <si>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</si>
  <si>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</si>
  <si>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</si>
  <si>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</si>
  <si>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</si>
  <si>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</si>
  <si>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</si>
  <si>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</si>
  <si>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</si>
  <si>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</si>
  <si>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</si>
  <si>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</si>
  <si>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</si>
  <si>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</si>
  <si>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</si>
  <si>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</si>
  <si>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</si>
  <si>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</si>
  <si>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</si>
  <si>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</si>
  <si>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</si>
  <si>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</si>
  <si>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</si>
  <si>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</si>
  <si>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</si>
  <si>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</si>
  <si>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</si>
  <si>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</si>
  <si>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</si>
  <si>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</si>
  <si>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</si>
  <si>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</si>
  <si>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PRO2600127423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</si>
  <si>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</si>
  <si>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</si>
  <si>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</si>
  <si>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</si>
  <si>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</si>
  <si>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</si>
  <si>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</si>
  <si>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</si>
  <si>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</si>
  <si>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</si>
  <si>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</si>
  <si>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</si>
  <si>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</si>
  <si>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</si>
  <si>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</si>
  <si>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</si>
  <si>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</si>
  <si>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</si>
  <si>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</si>
  <si>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</si>
  <si>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</si>
  <si>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</si>
  <si>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</si>
  <si>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</si>
  <si>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</si>
  <si>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</si>
  <si>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</si>
  <si>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</si>
  <si>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</si>
  <si>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</si>
  <si>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</si>
  <si>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</si>
  <si>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</si>
  <si>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</si>
  <si>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</si>
  <si>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</si>
  <si>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</si>
  <si>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</si>
  <si>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</si>
  <si>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</si>
  <si>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</si>
  <si>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</si>
  <si>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</si>
  <si>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</si>
  <si>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</si>
  <si>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</si>
  <si>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</si>
  <si>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</si>
  <si>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</si>
  <si>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</si>
  <si>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</si>
  <si>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</si>
  <si>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</si>
  <si>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</si>
  <si>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</si>
  <si>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</si>
  <si>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</si>
  <si>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</si>
  <si>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</si>
  <si>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</si>
  <si>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</si>
  <si>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</si>
  <si>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</si>
  <si>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</si>
  <si>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</si>
  <si>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</si>
  <si>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</si>
  <si>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</si>
  <si>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</si>
  <si>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</si>
  <si>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</si>
  <si>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</si>
  <si>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</si>
  <si>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</si>
  <si>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</si>
  <si>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</si>
  <si>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</si>
  <si>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</si>
  <si>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</si>
  <si>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</si>
  <si>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</si>
  <si>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</si>
  <si>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</si>
  <si>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</si>
  <si>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</si>
  <si>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</si>
  <si>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</si>
  <si>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</si>
  <si>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</si>
  <si>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</si>
  <si>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</si>
  <si>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</si>
  <si>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</si>
  <si>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</si>
  <si>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</si>
  <si>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</si>
  <si>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</si>
  <si>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</si>
  <si>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</si>
  <si>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</si>
  <si>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</si>
  <si>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</si>
  <si>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</si>
  <si>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</si>
  <si>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</si>
  <si>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</si>
  <si>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</si>
  <si>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</si>
  <si>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</si>
  <si>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</si>
  <si>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</si>
  <si>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</si>
  <si>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</si>
  <si>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</si>
  <si>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</si>
  <si>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</si>
  <si>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</si>
  <si>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</si>
  <si>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</si>
  <si>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</si>
  <si>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</si>
  <si>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</si>
  <si>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</si>
  <si>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</si>
  <si>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</si>
  <si>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</si>
  <si>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</si>
  <si>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</si>
  <si>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</si>
  <si>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</si>
  <si>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</si>
  <si>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</si>
  <si>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</si>
  <si>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</si>
  <si>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</si>
  <si>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</si>
  <si>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</si>
  <si>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</si>
  <si>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</si>
  <si>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</si>
  <si>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</si>
  <si>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</si>
  <si>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</si>
  <si>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</si>
  <si>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</si>
  <si>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</si>
  <si>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</si>
  <si>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</si>
  <si>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</si>
  <si>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</si>
  <si>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</si>
  <si>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</si>
  <si>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</si>
  <si>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</si>
  <si>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</si>
  <si>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</si>
  <si>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</si>
  <si>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</si>
  <si>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</si>
  <si>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</si>
  <si>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</si>
  <si>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</si>
  <si>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</si>
  <si>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</si>
  <si>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</si>
  <si>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</si>
  <si>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</si>
  <si>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</si>
  <si>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</si>
  <si>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</si>
  <si>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</si>
  <si>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</si>
  <si>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</si>
  <si>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</si>
  <si>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</si>
  <si>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</si>
  <si>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</si>
  <si>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</si>
  <si>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</si>
  <si>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</si>
  <si>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</si>
  <si>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</si>
  <si>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</si>
  <si>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</si>
  <si>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</si>
  <si>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</si>
  <si>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</si>
  <si>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</si>
  <si>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</si>
  <si>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</si>
  <si>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</si>
  <si>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</si>
  <si>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</si>
  <si>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</si>
  <si>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</si>
  <si>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</si>
  <si>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</si>
  <si>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</si>
  <si>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</si>
  <si>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</si>
  <si>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</si>
  <si>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</si>
  <si>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</si>
  <si>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</si>
  <si>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</si>
  <si>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</si>
  <si>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</si>
  <si>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</si>
  <si>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</si>
  <si>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</si>
  <si>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</si>
  <si>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</si>
  <si>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</si>
  <si>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</si>
  <si>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</si>
  <si>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</si>
  <si>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</si>
  <si>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</si>
  <si>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</si>
  <si>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</si>
  <si>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</si>
  <si>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</si>
  <si>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</si>
  <si>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</si>
  <si>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</si>
  <si>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</si>
  <si>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</si>
  <si>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</si>
  <si>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</si>
  <si>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</si>
  <si>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</si>
  <si>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</si>
  <si>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</si>
  <si>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</si>
  <si>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</si>
  <si>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</si>
  <si>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</si>
  <si>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</si>
  <si>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</si>
  <si>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</si>
  <si>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</si>
  <si>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</si>
  <si>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</si>
  <si>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</si>
  <si>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</si>
  <si>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</si>
  <si>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</si>
  <si>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</si>
  <si>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</si>
  <si>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</si>
  <si>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</si>
  <si>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</si>
  <si>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</si>
  <si>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</si>
  <si>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</si>
  <si>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</si>
  <si>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</si>
  <si>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</si>
  <si>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</si>
  <si>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</si>
  <si>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</si>
  <si>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</si>
  <si>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</si>
  <si>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</si>
  <si>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</si>
  <si>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</si>
  <si>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</si>
  <si>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</si>
  <si>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</si>
  <si>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</si>
  <si>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</si>
  <si>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</si>
  <si>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</si>
  <si>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</si>
  <si>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</si>
  <si>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</si>
  <si>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</si>
  <si>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</si>
  <si>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</si>
  <si>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</si>
  <si>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</si>
  <si>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</si>
  <si>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</si>
  <si>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</si>
  <si>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</si>
  <si>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</si>
  <si>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</si>
  <si>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</si>
  <si>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</si>
  <si>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</si>
  <si>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</si>
  <si>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</si>
  <si>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</si>
  <si>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</si>
  <si>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</si>
  <si>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</si>
  <si>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</si>
  <si>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</si>
  <si>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</si>
  <si>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</si>
  <si>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</si>
  <si>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</si>
  <si>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</si>
  <si>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</si>
  <si>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</si>
  <si>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</si>
  <si>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</si>
  <si>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</si>
  <si>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</si>
  <si>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</si>
  <si>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</si>
  <si>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</si>
  <si>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</si>
  <si>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</si>
  <si>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</si>
  <si>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</si>
  <si>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</si>
  <si>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</si>
  <si>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</si>
  <si>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</si>
  <si>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</si>
  <si>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</si>
  <si>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</si>
  <si>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</si>
  <si>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</si>
  <si>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</si>
  <si>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</si>
  <si>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</si>
  <si>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</si>
  <si>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</si>
  <si>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</si>
  <si>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</si>
  <si>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</si>
  <si>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</si>
  <si>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</si>
  <si>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</si>
  <si>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PRO2600134888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</si>
  <si>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</si>
  <si>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</si>
  <si>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</si>
  <si>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</si>
  <si>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</si>
  <si>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</si>
  <si>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</si>
  <si>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</si>
  <si>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PRO2600135248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</si>
  <si>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</si>
  <si>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</si>
  <si>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</si>
  <si>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</si>
  <si>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</si>
  <si>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</si>
  <si>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</si>
  <si>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</si>
  <si>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</si>
  <si>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</si>
  <si>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</si>
  <si>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</si>
  <si>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</si>
  <si>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</si>
  <si>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</si>
  <si>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</si>
  <si>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</si>
  <si>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</si>
  <si>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</si>
  <si>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</si>
  <si>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</si>
  <si>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</si>
  <si>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</si>
  <si>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</si>
  <si>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</si>
  <si>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</si>
  <si>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</si>
  <si>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</si>
  <si>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</si>
  <si>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</si>
  <si>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</si>
  <si>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PRO2600135824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</si>
  <si>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</si>
  <si>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</si>
  <si>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</si>
  <si>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</si>
  <si>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</si>
  <si>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</si>
  <si>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</si>
  <si>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</si>
  <si>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</si>
  <si>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</si>
  <si>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</si>
  <si>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</si>
  <si>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</si>
  <si>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</si>
  <si>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</si>
  <si>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</si>
  <si>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</si>
  <si>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</si>
  <si>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</si>
  <si>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</si>
  <si>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</si>
  <si>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</si>
  <si>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</si>
  <si>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</si>
  <si>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</si>
  <si>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</si>
  <si>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PRO2600136785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</si>
  <si>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</si>
  <si>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</si>
  <si>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</si>
  <si>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</si>
  <si>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</si>
  <si>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</si>
  <si>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</si>
  <si>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</si>
  <si>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</si>
  <si>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</si>
  <si>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</si>
  <si>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</si>
  <si>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</si>
  <si>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</si>
  <si>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</si>
  <si>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</si>
  <si>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</si>
  <si>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</si>
  <si>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</si>
  <si>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</si>
  <si>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</si>
  <si>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</si>
  <si>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</si>
  <si>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</si>
  <si>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</si>
  <si>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</si>
  <si>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</si>
  <si>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</si>
  <si>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</si>
  <si>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</si>
  <si>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</si>
  <si>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</si>
  <si>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</si>
  <si>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</si>
  <si>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</si>
  <si>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</si>
  <si>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</si>
  <si>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</si>
  <si>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</si>
  <si>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</si>
  <si>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</si>
  <si>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</si>
  <si>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</si>
  <si>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</si>
  <si>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</si>
  <si>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</si>
  <si>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PRO2600138153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</si>
  <si>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</si>
  <si>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</si>
  <si>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</si>
  <si>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</si>
  <si>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</si>
  <si>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</si>
  <si>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</si>
  <si>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</si>
  <si>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</si>
  <si>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</si>
  <si>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</si>
  <si>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</si>
  <si>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</si>
  <si>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</si>
  <si>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</si>
  <si>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</si>
  <si>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</si>
  <si>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</si>
  <si>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</si>
  <si>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</si>
  <si>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</si>
  <si>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</si>
  <si>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</si>
  <si>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</si>
  <si>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</si>
  <si>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</si>
  <si>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</si>
  <si>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</si>
  <si>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</si>
  <si>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</si>
  <si>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</si>
  <si>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</si>
  <si>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</si>
  <si>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</si>
  <si>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</si>
  <si>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</si>
  <si>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</si>
  <si>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</si>
  <si>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</si>
  <si>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</si>
  <si>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</si>
  <si>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</si>
  <si>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</si>
  <si>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</si>
  <si>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</si>
  <si>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</si>
  <si>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</si>
  <si>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</si>
  <si>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</si>
  <si>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</si>
  <si>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</si>
  <si>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</si>
  <si>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</si>
  <si>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</si>
  <si>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</si>
  <si>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</si>
  <si>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</si>
  <si>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</si>
  <si>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</si>
  <si>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</si>
  <si>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</si>
  <si>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</si>
  <si>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</si>
  <si>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</si>
  <si>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</si>
  <si>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</si>
  <si>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</si>
  <si>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</si>
  <si>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</si>
  <si>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</si>
  <si>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</si>
  <si>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</si>
  <si>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</si>
  <si>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</si>
  <si>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</si>
  <si>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</si>
  <si>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</si>
  <si>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</si>
  <si>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</si>
  <si>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</si>
  <si>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</si>
  <si>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</si>
  <si>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</si>
  <si>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</si>
  <si>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</si>
  <si>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</si>
  <si>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</si>
  <si>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</si>
  <si>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</si>
  <si>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</si>
  <si>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</si>
  <si>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</si>
  <si>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</si>
  <si>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</si>
  <si>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</si>
  <si>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</si>
  <si>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</si>
  <si>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</si>
  <si>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</si>
  <si>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</si>
  <si>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</si>
  <si>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</si>
  <si>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</si>
  <si>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</si>
  <si>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</si>
  <si>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</si>
  <si>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</si>
  <si>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</si>
  <si>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</si>
  <si>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</si>
  <si>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</si>
  <si>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</si>
  <si>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</si>
  <si>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</si>
  <si>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</si>
  <si>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</si>
  <si>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</si>
  <si>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</si>
  <si>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</si>
  <si>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</si>
  <si>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</si>
  <si>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</si>
  <si>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</si>
  <si>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</si>
  <si>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</si>
  <si>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</si>
  <si>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</si>
  <si>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</si>
  <si>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</si>
  <si>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</si>
  <si>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</si>
  <si>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</si>
  <si>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</si>
  <si>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</si>
  <si>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</si>
  <si>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</si>
  <si>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</si>
  <si>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</si>
  <si>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</si>
  <si>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</si>
  <si>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</si>
  <si>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</si>
  <si>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</si>
  <si>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</si>
  <si>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</si>
  <si>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</si>
  <si>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</si>
  <si>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</si>
  <si>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</si>
  <si>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</si>
  <si>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</si>
  <si>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</si>
  <si>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</si>
  <si>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</si>
  <si>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</si>
  <si>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</si>
  <si>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</si>
  <si>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</si>
  <si>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</si>
  <si>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</si>
  <si>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</si>
  <si>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</si>
  <si>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</si>
  <si>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</si>
  <si>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</si>
  <si>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</si>
  <si>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</si>
  <si>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</si>
  <si>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</si>
  <si>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</si>
  <si>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</si>
  <si>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</si>
  <si>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</si>
  <si>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</si>
  <si>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</si>
  <si>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</si>
  <si>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</si>
  <si>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</si>
  <si>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</si>
  <si>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</si>
  <si>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</si>
  <si>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</si>
  <si>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</si>
  <si>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</si>
  <si>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</si>
  <si>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</si>
  <si>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</si>
  <si>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</si>
  <si>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</si>
  <si>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</si>
  <si>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</si>
  <si>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</si>
  <si>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</si>
  <si>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</si>
  <si>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</si>
  <si>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</si>
  <si>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</si>
  <si>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</si>
  <si>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</si>
  <si>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</si>
  <si>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</si>
  <si>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</si>
  <si>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</si>
  <si>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</si>
  <si>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</si>
  <si>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</si>
  <si>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</si>
  <si>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</si>
  <si>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</si>
  <si>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</si>
  <si>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</si>
  <si>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</si>
  <si>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</si>
  <si>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</si>
  <si>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</si>
  <si>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</si>
  <si>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</si>
  <si>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PRO2600139284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</si>
  <si>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</si>
  <si>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</si>
  <si>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</si>
  <si>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</si>
  <si>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</si>
  <si>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</si>
  <si>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</si>
  <si>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</si>
  <si>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</si>
  <si>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</si>
  <si>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</si>
  <si>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</si>
  <si>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</si>
  <si>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</si>
  <si>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</si>
  <si>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</si>
  <si>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</si>
  <si>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</si>
  <si>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</si>
  <si>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</si>
  <si>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</si>
  <si>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</si>
  <si>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</si>
  <si>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</si>
  <si>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</si>
  <si>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</si>
  <si>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</si>
  <si>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</si>
  <si>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</si>
  <si>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</si>
  <si>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</si>
  <si>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</si>
  <si>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</si>
  <si>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</si>
  <si>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</si>
  <si>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</si>
  <si>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</si>
  <si>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</si>
  <si>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</si>
  <si>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</si>
  <si>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</si>
  <si>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</si>
  <si>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</si>
  <si>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</si>
  <si>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</si>
  <si>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</si>
  <si>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</si>
  <si>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</si>
  <si>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</si>
  <si>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</si>
  <si>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</si>
  <si>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</si>
  <si>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</si>
  <si>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</si>
  <si>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</si>
  <si>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</si>
  <si>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</si>
  <si>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</si>
  <si>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</si>
  <si>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</si>
  <si>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</si>
  <si>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</si>
  <si>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</si>
  <si>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</si>
  <si>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</si>
  <si>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</si>
  <si>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</si>
  <si>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</si>
  <si>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</si>
  <si>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</si>
  <si>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</si>
  <si>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</si>
  <si>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</si>
  <si>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</si>
  <si>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</si>
  <si>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</si>
  <si>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</si>
  <si>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</si>
  <si>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</si>
  <si>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</si>
  <si>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</si>
  <si>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</si>
  <si>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</si>
  <si>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</si>
  <si>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</si>
  <si>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</si>
  <si>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</si>
  <si>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</si>
  <si>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</si>
  <si>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</si>
  <si>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</si>
  <si>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</si>
  <si>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</si>
  <si>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</si>
  <si>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</si>
  <si>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</si>
  <si>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</si>
  <si>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</si>
  <si>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</si>
  <si>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</si>
  <si>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</si>
  <si>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</si>
  <si>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</si>
  <si>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</si>
  <si>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</si>
  <si>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</si>
  <si>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</si>
  <si>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</si>
  <si>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</si>
  <si>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</si>
  <si>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</si>
  <si>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</si>
  <si>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</si>
  <si>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</si>
  <si>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</si>
  <si>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</si>
  <si>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</si>
  <si>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</si>
  <si>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</si>
  <si>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</si>
  <si>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</si>
  <si>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</si>
  <si>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</si>
  <si>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</si>
  <si>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PRO2600140629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</si>
  <si>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</si>
  <si>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</si>
  <si>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</si>
  <si>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</si>
  <si>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</si>
  <si>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</si>
  <si>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</si>
  <si>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</si>
  <si>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</si>
  <si>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</si>
  <si>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</si>
  <si>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</si>
  <si>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</si>
  <si>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</si>
  <si>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</si>
  <si>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</si>
  <si>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</si>
  <si>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</si>
  <si>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</si>
  <si>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</si>
  <si>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</si>
  <si>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</si>
  <si>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</si>
  <si>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</si>
  <si>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</si>
  <si>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</si>
  <si>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</si>
  <si>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</si>
  <si>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</si>
  <si>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</si>
  <si>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</si>
  <si>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</si>
  <si>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</si>
  <si>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</si>
  <si>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</si>
  <si>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</si>
  <si>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</si>
  <si>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</si>
  <si>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</si>
  <si>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</si>
  <si>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</si>
  <si>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</si>
  <si>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</si>
  <si>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</si>
  <si>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</si>
  <si>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</si>
  <si>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</si>
  <si>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</si>
  <si>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</si>
  <si>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</si>
  <si>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</si>
  <si>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</si>
  <si>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</si>
  <si>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</si>
  <si>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</si>
  <si>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</si>
  <si>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</si>
  <si>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</si>
  <si>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</si>
  <si>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</si>
  <si>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</si>
  <si>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</si>
  <si>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</si>
  <si>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</si>
  <si>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</si>
  <si>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</si>
  <si>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</si>
  <si>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</si>
  <si>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</si>
  <si>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</si>
  <si>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</si>
  <si>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</si>
  <si>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</si>
  <si>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</si>
  <si>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</si>
  <si>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</si>
  <si>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</si>
  <si>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</si>
  <si>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</si>
  <si>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</si>
  <si>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</si>
  <si>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</si>
  <si>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</si>
  <si>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</si>
  <si>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</si>
  <si>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</si>
  <si>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</si>
  <si>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</si>
  <si>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</si>
  <si>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</si>
  <si>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</si>
  <si>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</si>
  <si>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</si>
  <si>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</si>
  <si>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</si>
  <si>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</si>
  <si>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</si>
  <si>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</si>
  <si>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</si>
  <si>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</si>
  <si>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</si>
  <si>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</si>
  <si>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</si>
  <si>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</si>
  <si>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</si>
  <si>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</si>
  <si>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</si>
  <si>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</si>
  <si>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</si>
  <si>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</si>
  <si>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</si>
  <si>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</si>
  <si>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</si>
  <si>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</si>
  <si>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</si>
  <si>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</si>
  <si>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</si>
  <si>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</si>
  <si>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</si>
  <si>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</si>
  <si>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</si>
  <si>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</si>
  <si>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</si>
  <si>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</si>
  <si>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</si>
  <si>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</si>
  <si>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</si>
  <si>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</si>
  <si>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</si>
  <si>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</si>
  <si>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</si>
  <si>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</si>
  <si>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</si>
  <si>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</si>
  <si>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</si>
  <si>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</si>
  <si>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</si>
  <si>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</si>
  <si>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</si>
  <si>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</si>
  <si>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</si>
  <si>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</si>
  <si>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</si>
  <si>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</si>
  <si>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</si>
  <si>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</si>
  <si>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</si>
  <si>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</si>
  <si>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</si>
  <si>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</si>
  <si>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</si>
  <si>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</si>
  <si>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</si>
  <si>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</si>
  <si>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</si>
  <si>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</si>
  <si>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</si>
  <si>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</si>
  <si>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</si>
  <si>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</si>
  <si>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</si>
  <si>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</si>
  <si>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</si>
  <si>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</si>
  <si>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</si>
  <si>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</si>
  <si>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</si>
  <si>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</si>
  <si>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</si>
  <si>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</si>
  <si>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</si>
  <si>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</si>
  <si>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</si>
  <si>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</si>
  <si>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</si>
  <si>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</si>
  <si>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</si>
  <si>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</si>
  <si>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</si>
  <si>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</si>
  <si>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</si>
  <si>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</si>
  <si>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</si>
  <si>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</si>
  <si>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</si>
  <si>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</si>
  <si>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</si>
  <si>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</si>
  <si>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</si>
  <si>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</si>
  <si>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</si>
  <si>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</si>
  <si>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</si>
  <si>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</si>
  <si>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</si>
  <si>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</si>
  <si>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</si>
  <si>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</si>
  <si>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</si>
  <si>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</si>
  <si>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</si>
  <si>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</si>
  <si>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</si>
  <si>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</si>
  <si>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</si>
  <si>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</si>
  <si>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</si>
  <si>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</si>
  <si>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</si>
  <si>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</si>
  <si>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</si>
  <si>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</si>
  <si>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PRO2600141869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</si>
  <si>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</si>
  <si>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</si>
  <si>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</si>
  <si>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</si>
  <si>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</si>
  <si>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</si>
  <si>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</si>
  <si>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</si>
  <si>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</si>
  <si>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</si>
  <si>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</si>
  <si>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</si>
  <si>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</si>
  <si>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</si>
  <si>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</si>
  <si>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</si>
  <si>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</si>
  <si>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</si>
  <si>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</si>
  <si>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</si>
  <si>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</si>
  <si>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</si>
  <si>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</si>
  <si>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</si>
  <si>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</si>
  <si>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</si>
  <si>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</si>
  <si>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</si>
  <si>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</si>
  <si>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</si>
  <si>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</si>
  <si>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</si>
  <si>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</si>
  <si>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</si>
  <si>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</si>
  <si>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</si>
  <si>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</si>
  <si>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</si>
  <si>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</si>
  <si>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</si>
  <si>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</si>
  <si>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</si>
  <si>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</si>
  <si>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</si>
  <si>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</si>
  <si>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</si>
  <si>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</si>
  <si>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</si>
  <si>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</si>
  <si>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</si>
  <si>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</si>
  <si>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</si>
  <si>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</si>
  <si>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</si>
  <si>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</si>
  <si>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</si>
  <si>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</si>
  <si>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</si>
  <si>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</si>
  <si>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PRO2600142605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</si>
  <si>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</si>
  <si>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</si>
  <si>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</si>
  <si>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</si>
  <si>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</si>
  <si>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</si>
  <si>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</si>
  <si>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</si>
  <si>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</si>
  <si>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</si>
  <si>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</si>
  <si>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</si>
  <si>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</si>
  <si>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</si>
  <si>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</si>
  <si>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</si>
  <si>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</si>
  <si>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</si>
  <si>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</si>
  <si>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</si>
  <si>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</si>
  <si>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</si>
  <si>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</si>
  <si>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</si>
  <si>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</si>
  <si>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</si>
  <si>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</si>
  <si>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</si>
  <si>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</si>
  <si>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</si>
  <si>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</si>
  <si>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</si>
  <si>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</si>
  <si>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</si>
  <si>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</si>
  <si>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</si>
  <si>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</si>
  <si>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</si>
  <si>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</si>
  <si>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</si>
  <si>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</si>
  <si>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</si>
  <si>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</si>
  <si>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</si>
  <si>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</si>
  <si>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</si>
  <si>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</si>
  <si>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</si>
  <si>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</si>
  <si>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</si>
  <si>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</si>
  <si>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</si>
  <si>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</si>
  <si>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</si>
  <si>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</si>
  <si>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</si>
  <si>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</si>
  <si>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</si>
  <si>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</si>
  <si>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</si>
  <si>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</si>
  <si>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</si>
  <si>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</si>
  <si>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</si>
  <si>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</si>
  <si>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</si>
  <si>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</si>
  <si>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PRO2600143043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</si>
  <si>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</si>
  <si>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</si>
  <si>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</si>
  <si>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</si>
  <si>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</si>
  <si>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</si>
  <si>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</si>
  <si>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</si>
  <si>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</si>
  <si>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</si>
  <si>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</si>
  <si>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</si>
  <si>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</si>
  <si>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</si>
  <si>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</si>
  <si>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</si>
  <si>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</si>
  <si>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</si>
  <si>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</si>
  <si>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</si>
  <si>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</si>
  <si>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</si>
  <si>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</si>
  <si>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</si>
  <si>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</si>
  <si>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</si>
  <si>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</si>
  <si>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</si>
  <si>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</si>
  <si>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</si>
  <si>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</si>
  <si>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</si>
  <si>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</si>
  <si>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</si>
  <si>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</si>
  <si>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</si>
  <si>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</si>
  <si>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</si>
  <si>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</si>
  <si>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</si>
  <si>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</si>
  <si>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</si>
  <si>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</si>
  <si>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</si>
  <si>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</si>
  <si>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</si>
  <si>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</si>
  <si>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</si>
  <si>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</si>
  <si>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</si>
  <si>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</si>
  <si>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</si>
  <si>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</si>
  <si>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</si>
  <si>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</si>
  <si>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</si>
  <si>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</si>
  <si>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</si>
  <si>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</si>
  <si>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</si>
  <si>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</si>
  <si>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</si>
  <si>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</si>
  <si>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</si>
  <si>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</si>
  <si>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</si>
  <si>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</si>
  <si>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</si>
  <si>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</si>
  <si>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</si>
  <si>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</si>
  <si>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</si>
  <si>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</si>
  <si>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</si>
  <si>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</si>
  <si>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</si>
  <si>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</si>
  <si>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</si>
  <si>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</si>
  <si>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</si>
  <si>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</si>
  <si>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</si>
  <si>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</si>
  <si>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</si>
  <si>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</si>
  <si>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</si>
  <si>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</si>
  <si>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</si>
  <si>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</si>
  <si>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</si>
  <si>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</si>
  <si>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</si>
  <si>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</si>
  <si>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</si>
  <si>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</si>
  <si>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</si>
  <si>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</si>
  <si>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</si>
  <si>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</si>
  <si>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</si>
  <si>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</si>
  <si>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</si>
  <si>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</si>
  <si>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</si>
  <si>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</si>
  <si>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</si>
  <si>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</si>
  <si>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PRO2600144358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</si>
  <si>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</si>
  <si>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</si>
  <si>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</si>
  <si>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</si>
  <si>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</si>
  <si>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</si>
  <si>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</si>
  <si>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</si>
  <si>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</si>
  <si>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</si>
  <si>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</si>
  <si>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</si>
  <si>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</si>
  <si>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</si>
  <si>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</si>
  <si>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</si>
  <si>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</si>
  <si>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</si>
  <si>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</si>
  <si>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</si>
  <si>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</si>
  <si>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</si>
  <si>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</si>
  <si>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</si>
  <si>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</si>
  <si>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</si>
  <si>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</si>
  <si>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</si>
  <si>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</si>
  <si>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</si>
  <si>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</si>
  <si>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</si>
  <si>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</si>
  <si>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</si>
  <si>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</si>
  <si>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</si>
  <si>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</si>
  <si>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</si>
  <si>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</si>
  <si>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</si>
  <si>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</si>
  <si>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</si>
  <si>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</si>
  <si>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</si>
  <si>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</si>
  <si>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</si>
  <si>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</si>
  <si>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</si>
  <si>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</si>
  <si>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</si>
  <si>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</si>
  <si>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</si>
  <si>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</si>
  <si>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</si>
  <si>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</si>
  <si>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</si>
  <si>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</si>
  <si>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</si>
  <si>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</si>
  <si>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</si>
  <si>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</si>
  <si>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</si>
  <si>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</si>
  <si>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</si>
  <si>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</si>
  <si>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</si>
  <si>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</si>
  <si>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</si>
  <si>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</si>
  <si>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</si>
  <si>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</si>
  <si>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</si>
  <si>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</si>
  <si>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</si>
  <si>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</si>
  <si>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</si>
  <si>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</si>
  <si>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</si>
  <si>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</si>
  <si>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</si>
  <si>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</si>
  <si>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</si>
  <si>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</si>
  <si>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</si>
  <si>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</si>
  <si>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</si>
  <si>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</si>
  <si>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</si>
  <si>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</si>
  <si>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</si>
  <si>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</si>
  <si>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</si>
  <si>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</si>
  <si>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</si>
  <si>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</si>
  <si>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</si>
  <si>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</si>
  <si>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</si>
  <si>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</si>
  <si>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</si>
  <si>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</si>
  <si>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</si>
  <si>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</si>
  <si>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</si>
  <si>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</si>
  <si>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</si>
  <si>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</si>
  <si>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</si>
  <si>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</si>
  <si>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</si>
  <si>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</si>
  <si>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</si>
  <si>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</si>
  <si>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</si>
  <si>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</si>
  <si>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</si>
  <si>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</si>
  <si>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</si>
  <si>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</si>
  <si>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PRO2600144234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</si>
  <si>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</si>
  <si>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</si>
  <si>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</si>
  <si>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</si>
  <si>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</si>
  <si>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</si>
  <si>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</si>
  <si>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</si>
  <si>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</si>
  <si>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</si>
  <si>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</si>
  <si>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</si>
  <si>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</si>
  <si>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</si>
  <si>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</si>
  <si>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</si>
  <si>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</si>
  <si>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</si>
  <si>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</si>
  <si>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</si>
  <si>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</si>
  <si>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</si>
  <si>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</si>
  <si>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</si>
  <si>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</si>
  <si>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</si>
  <si>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</si>
  <si>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</si>
  <si>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</si>
  <si>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</si>
  <si>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</si>
  <si>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</si>
  <si>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</si>
  <si>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</si>
  <si>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</si>
  <si>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</si>
  <si>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</si>
  <si>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</si>
  <si>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</si>
  <si>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</si>
  <si>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</si>
  <si>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</si>
  <si>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</si>
  <si>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</si>
  <si>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</si>
  <si>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</si>
  <si>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</si>
  <si>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</si>
  <si>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</si>
  <si>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</si>
  <si>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</si>
  <si>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</si>
  <si>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</si>
  <si>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</si>
  <si>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</si>
  <si>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</si>
  <si>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</si>
  <si>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</si>
  <si>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</si>
  <si>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</si>
  <si>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</si>
  <si>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</si>
  <si>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</si>
  <si>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</si>
  <si>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</si>
  <si>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</si>
  <si>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</si>
  <si>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</si>
  <si>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</si>
  <si>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</si>
  <si>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</si>
  <si>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</si>
  <si>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</si>
  <si>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</si>
  <si>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</si>
  <si>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</si>
  <si>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</si>
  <si>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</si>
  <si>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</si>
  <si>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</si>
  <si>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</si>
  <si>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</si>
  <si>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</si>
  <si>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</si>
  <si>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</si>
  <si>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</si>
  <si>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</si>
  <si>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</si>
  <si>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</si>
  <si>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</si>
  <si>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</si>
  <si>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</si>
  <si>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</si>
  <si>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</si>
  <si>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</si>
  <si>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</si>
  <si>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</si>
  <si>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</si>
  <si>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</si>
  <si>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</si>
  <si>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</si>
  <si>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</si>
  <si>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</si>
  <si>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</si>
  <si>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</si>
  <si>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</si>
  <si>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</si>
  <si>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</si>
  <si>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</si>
  <si>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</si>
  <si>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</si>
  <si>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</si>
  <si>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</si>
  <si>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</si>
  <si>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</si>
  <si>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</si>
  <si>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</si>
  <si>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</si>
  <si>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</si>
  <si>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</si>
  <si>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</si>
  <si>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</si>
  <si>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</si>
  <si>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</si>
  <si>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</si>
  <si>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</si>
  <si>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</si>
  <si>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</si>
  <si>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</si>
  <si>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</si>
  <si>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</si>
  <si>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</si>
  <si>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</si>
  <si>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</si>
  <si>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</si>
  <si>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</si>
  <si>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</si>
  <si>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</si>
  <si>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</si>
  <si>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</si>
  <si>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</si>
  <si>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</si>
  <si>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</si>
  <si>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</si>
  <si>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</si>
  <si>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</si>
  <si>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</si>
  <si>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</si>
  <si>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</si>
  <si>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</si>
  <si>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</si>
  <si>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</si>
  <si>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</si>
  <si>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</si>
  <si>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</si>
  <si>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</si>
  <si>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</si>
  <si>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</si>
  <si>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</si>
  <si>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</si>
  <si>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</si>
  <si>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</si>
  <si>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</si>
  <si>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</si>
  <si>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</si>
  <si>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</si>
  <si>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</si>
  <si>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</si>
  <si>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</si>
  <si>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</si>
  <si>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</si>
  <si>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</si>
  <si>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</si>
  <si>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</si>
  <si>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</si>
  <si>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</si>
  <si>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</si>
  <si>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</si>
  <si>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</si>
  <si>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</si>
  <si>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</si>
  <si>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</si>
  <si>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</si>
  <si>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</si>
  <si>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</si>
  <si>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</si>
  <si>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</si>
  <si>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</si>
  <si>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</si>
  <si>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</si>
  <si>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</si>
  <si>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</si>
  <si>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</si>
  <si>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</si>
  <si>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</si>
  <si>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</si>
  <si>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</si>
  <si>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</si>
  <si>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</si>
  <si>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</si>
  <si>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</si>
  <si>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</si>
  <si>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</si>
  <si>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</si>
  <si>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</si>
  <si>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</si>
  <si>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</si>
  <si>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</si>
  <si>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</si>
  <si>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</si>
  <si>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</si>
  <si>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</si>
  <si>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</si>
  <si>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</si>
  <si>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</si>
  <si>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</si>
  <si>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</si>
  <si>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</si>
  <si>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</si>
  <si>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</si>
  <si>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</si>
  <si>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</si>
  <si>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</si>
  <si>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</si>
  <si>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</si>
  <si>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</si>
  <si>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</si>
  <si>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</si>
  <si>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</si>
  <si>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</si>
  <si>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</si>
  <si>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</si>
  <si>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</si>
  <si>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</si>
  <si>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</si>
  <si>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</si>
  <si>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</si>
  <si>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</si>
  <si>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</si>
  <si>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</si>
  <si>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</si>
  <si>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</si>
  <si>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</si>
  <si>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</si>
  <si>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</si>
  <si>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</si>
  <si>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</si>
  <si>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</si>
  <si>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</si>
  <si>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</si>
  <si>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</si>
  <si>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</si>
  <si>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</si>
  <si>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</si>
  <si>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</si>
  <si>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</si>
  <si>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</si>
  <si>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</si>
  <si>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</si>
  <si>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</si>
  <si>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</si>
  <si>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</si>
  <si>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</si>
  <si>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</si>
  <si>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</si>
  <si>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</si>
  <si>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</si>
  <si>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</si>
  <si>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</si>
  <si>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</si>
  <si>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</si>
  <si>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</si>
  <si>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</si>
  <si>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</si>
  <si>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</si>
  <si>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</si>
  <si>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</si>
  <si>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</si>
  <si>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</si>
  <si>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</si>
  <si>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</si>
  <si>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</si>
  <si>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</si>
  <si>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</si>
  <si>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</si>
  <si>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</si>
  <si>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</si>
  <si>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</si>
  <si>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</si>
  <si>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</si>
  <si>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</si>
  <si>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</si>
  <si>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</si>
  <si>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</si>
  <si>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</si>
  <si>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</si>
  <si>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</si>
  <si>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</si>
  <si>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</si>
  <si>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</si>
  <si>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</si>
  <si>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</si>
  <si>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</si>
  <si>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</si>
  <si>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</si>
  <si>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</si>
  <si>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</si>
  <si>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</si>
  <si>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</si>
  <si>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</si>
  <si>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</si>
  <si>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</si>
  <si>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</si>
  <si>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</si>
  <si>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</si>
  <si>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</si>
  <si>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</si>
  <si>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</si>
  <si>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</si>
  <si>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</si>
  <si>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</si>
  <si>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</si>
  <si>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</si>
  <si>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</si>
  <si>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</si>
  <si>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</si>
  <si>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</si>
  <si>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</si>
  <si>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</si>
  <si>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</si>
  <si>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</si>
  <si>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</si>
  <si>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</si>
  <si>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</si>
  <si>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</si>
  <si>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</si>
  <si>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</si>
  <si>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</si>
  <si>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</si>
  <si>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</si>
  <si>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</si>
  <si>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</si>
  <si>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</si>
  <si>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</si>
  <si>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</si>
  <si>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</si>
  <si>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PRO2600146675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</si>
  <si>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</si>
  <si>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</si>
  <si>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</si>
  <si>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</si>
  <si>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</si>
  <si>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</si>
  <si>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</si>
  <si>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</si>
  <si>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</si>
  <si>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</si>
  <si>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</si>
  <si>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</si>
  <si>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</si>
  <si>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</si>
  <si>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</si>
  <si>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</si>
  <si>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</si>
  <si>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</si>
  <si>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</si>
  <si>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</si>
  <si>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</si>
  <si>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</si>
  <si>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</si>
  <si>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</si>
  <si>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</si>
  <si>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</si>
  <si>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</si>
  <si>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</si>
  <si>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</si>
  <si>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</si>
  <si>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</si>
  <si>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</si>
  <si>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</si>
  <si>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</si>
  <si>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</si>
  <si>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</si>
  <si>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</si>
  <si>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</si>
  <si>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</si>
  <si>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</si>
  <si>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</si>
  <si>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</si>
  <si>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</si>
  <si>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</si>
  <si>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</si>
  <si>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</si>
  <si>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</si>
  <si>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</si>
  <si>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</si>
  <si>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</si>
  <si>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</si>
  <si>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</si>
  <si>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</si>
  <si>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</si>
  <si>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</si>
  <si>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</si>
  <si>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</si>
  <si>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</si>
  <si>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</si>
  <si>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</si>
  <si>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</si>
  <si>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</si>
  <si>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</si>
  <si>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</si>
  <si>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</si>
  <si>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</si>
  <si>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</si>
  <si>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</si>
  <si>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</si>
  <si>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</si>
  <si>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</si>
  <si>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</si>
  <si>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</si>
  <si>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</si>
  <si>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</si>
  <si>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</si>
  <si>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</si>
  <si>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</si>
  <si>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</si>
  <si>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</si>
  <si>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</si>
  <si>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</si>
  <si>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</si>
  <si>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</si>
  <si>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</si>
  <si>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</si>
  <si>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</si>
  <si>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</si>
  <si>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</si>
  <si>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</si>
  <si>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</si>
  <si>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</si>
  <si>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</si>
  <si>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</si>
  <si>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</si>
  <si>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</si>
  <si>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</si>
  <si>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</si>
  <si>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</si>
  <si>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</si>
  <si>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</si>
  <si>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</si>
  <si>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</si>
  <si>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</si>
  <si>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</si>
  <si>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</si>
  <si>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</si>
  <si>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</si>
  <si>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</si>
  <si>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</si>
  <si>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</si>
  <si>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</si>
  <si>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</si>
  <si>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</si>
  <si>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</si>
  <si>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</si>
  <si>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</si>
  <si>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</si>
  <si>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</si>
  <si>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</si>
  <si>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</si>
  <si>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</si>
  <si>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</si>
  <si>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</si>
  <si>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</si>
  <si>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</si>
  <si>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</si>
  <si>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</si>
  <si>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</si>
  <si>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</si>
  <si>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</si>
  <si>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</si>
  <si>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</si>
  <si>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</si>
  <si>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</si>
  <si>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</si>
  <si>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</si>
  <si>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</si>
  <si>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</si>
  <si>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</si>
  <si>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</si>
  <si>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</si>
  <si>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</si>
  <si>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</si>
  <si>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</si>
  <si>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</si>
  <si>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</si>
  <si>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</si>
  <si>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</si>
  <si>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</si>
  <si>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</si>
  <si>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</si>
  <si>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</si>
  <si>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</si>
  <si>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</si>
  <si>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</si>
  <si>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</si>
  <si>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PRO2600147730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</si>
  <si>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</si>
  <si>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</si>
  <si>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</si>
  <si>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</si>
  <si>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</si>
  <si>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</si>
  <si>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</si>
  <si>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</si>
  <si>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</si>
  <si>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</si>
  <si>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</si>
  <si>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</si>
  <si>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</si>
  <si>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</si>
  <si>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</si>
  <si>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</si>
  <si>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</si>
  <si>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</si>
  <si>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</si>
  <si>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</si>
  <si>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</si>
  <si>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</si>
  <si>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</si>
  <si>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</si>
  <si>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</si>
  <si>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</si>
  <si>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</si>
  <si>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</si>
  <si>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</si>
  <si>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</si>
  <si>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</si>
  <si>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</si>
  <si>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</si>
  <si>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</si>
  <si>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</si>
  <si>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</si>
  <si>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</si>
  <si>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</si>
  <si>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</si>
  <si>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</si>
  <si>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</si>
  <si>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</si>
  <si>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</si>
  <si>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</si>
  <si>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</si>
  <si>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</si>
  <si>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</si>
  <si>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</si>
  <si>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</si>
  <si>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</si>
  <si>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</si>
  <si>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</si>
  <si>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</si>
  <si>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</si>
  <si>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</si>
  <si>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</si>
  <si>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</si>
  <si>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</si>
  <si>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</si>
  <si>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</si>
  <si>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</si>
  <si>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</si>
  <si>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</si>
  <si>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</si>
  <si>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</si>
  <si>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</si>
  <si>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</si>
  <si>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</si>
  <si>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</si>
  <si>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</si>
  <si>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</si>
  <si>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</si>
  <si>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</si>
  <si>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</si>
  <si>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</si>
  <si>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</si>
  <si>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</si>
  <si>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</si>
  <si>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</si>
  <si>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</si>
  <si>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</si>
  <si>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</si>
  <si>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</si>
  <si>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</si>
  <si>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</si>
  <si>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</si>
  <si>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</si>
  <si>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</si>
  <si>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</si>
  <si>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</si>
  <si>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</si>
  <si>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</si>
  <si>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</si>
  <si>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</si>
  <si>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</si>
  <si>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</si>
  <si>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</si>
  <si>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</si>
  <si>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</si>
  <si>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</si>
  <si>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</si>
  <si>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</si>
  <si>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</si>
  <si>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</si>
  <si>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</si>
  <si>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</si>
  <si>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</si>
  <si>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</si>
  <si>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</si>
  <si>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</si>
  <si>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</si>
  <si>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</si>
  <si>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</si>
  <si>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</si>
  <si>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PRO2600148909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</si>
  <si>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</si>
  <si>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</si>
  <si>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</si>
  <si>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</si>
  <si>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</si>
  <si>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</si>
  <si>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</si>
  <si>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</si>
  <si>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</si>
  <si>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</si>
  <si>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</si>
  <si>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PRO2600148930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</si>
  <si>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</si>
  <si>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</si>
  <si>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</si>
  <si>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</si>
  <si>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</si>
  <si>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</si>
  <si>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</si>
  <si>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</si>
  <si>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</si>
  <si>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</si>
  <si>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</si>
  <si>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</si>
  <si>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</si>
  <si>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</si>
  <si>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</si>
  <si>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</si>
  <si>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</si>
  <si>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</si>
  <si>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</si>
  <si>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</si>
  <si>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</si>
  <si>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</si>
  <si>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</si>
  <si>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</si>
  <si>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</si>
  <si>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</si>
  <si>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</si>
  <si>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</si>
  <si>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</si>
  <si>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</si>
  <si>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</si>
  <si>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</si>
  <si>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</si>
  <si>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</si>
  <si>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</si>
  <si>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</si>
  <si>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</si>
  <si>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</si>
  <si>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</si>
  <si>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</si>
  <si>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</si>
  <si>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</si>
  <si>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</si>
  <si>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</si>
  <si>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</si>
  <si>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</si>
  <si>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</si>
  <si>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</si>
  <si>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</si>
  <si>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</si>
  <si>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</si>
  <si>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</si>
  <si>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</si>
  <si>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</si>
  <si>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</si>
  <si>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</si>
  <si>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</si>
  <si>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</si>
  <si>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</si>
  <si>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</si>
  <si>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</si>
  <si>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</si>
  <si>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</si>
  <si>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</si>
  <si>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</si>
  <si>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</si>
  <si>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</si>
  <si>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</si>
  <si>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</si>
  <si>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</si>
  <si>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</si>
  <si>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</si>
  <si>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</si>
  <si>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</si>
  <si>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</si>
  <si>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</si>
  <si>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</si>
  <si>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</si>
  <si>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</si>
  <si>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</si>
  <si>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</si>
  <si>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</si>
  <si>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</si>
  <si>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</si>
  <si>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</si>
  <si>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</si>
  <si>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</si>
  <si>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</si>
  <si>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</si>
  <si>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</si>
  <si>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</si>
  <si>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</si>
  <si>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</si>
  <si>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</si>
  <si>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</si>
  <si>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</si>
  <si>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</si>
  <si>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</si>
  <si>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</si>
  <si>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</si>
  <si>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</si>
  <si>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</si>
  <si>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</si>
  <si>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</si>
  <si>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</si>
  <si>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</si>
  <si>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</si>
  <si>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</si>
  <si>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</si>
  <si>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</si>
  <si>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</si>
  <si>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</si>
  <si>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</si>
  <si>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</si>
  <si>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</si>
  <si>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</si>
  <si>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</si>
  <si>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</si>
  <si>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</si>
  <si>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</si>
  <si>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</si>
  <si>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</si>
  <si>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</si>
  <si>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</si>
  <si>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</si>
  <si>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</si>
  <si>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</si>
  <si>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</si>
  <si>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</si>
  <si>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</si>
  <si>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</si>
  <si>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</si>
  <si>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</si>
  <si>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</si>
  <si>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</si>
  <si>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</si>
  <si>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</si>
  <si>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</si>
  <si>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</si>
  <si>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</si>
  <si>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</si>
  <si>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</si>
  <si>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</si>
  <si>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</si>
  <si>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</si>
  <si>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</si>
  <si>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</si>
  <si>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</si>
  <si>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</si>
  <si>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</si>
  <si>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</si>
  <si>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</si>
  <si>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</si>
  <si>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</si>
  <si>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</si>
  <si>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</si>
  <si>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</si>
  <si>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</si>
  <si>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</si>
  <si>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</si>
  <si>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</si>
  <si>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</si>
  <si>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</si>
  <si>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</si>
  <si>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</si>
  <si>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</si>
  <si>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</si>
  <si>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</si>
  <si>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</si>
  <si>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</si>
  <si>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</si>
  <si>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</si>
  <si>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</si>
  <si>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</si>
  <si>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PRO2600150445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</si>
  <si>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</si>
  <si>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</si>
  <si>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</si>
  <si>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</si>
  <si>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</si>
  <si>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</si>
  <si>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</si>
  <si>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</si>
  <si>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</si>
  <si>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</si>
  <si>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</si>
  <si>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</si>
  <si>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</si>
  <si>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</si>
  <si>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</si>
  <si>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</si>
  <si>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</si>
  <si>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</si>
  <si>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</si>
  <si>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</si>
  <si>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</si>
  <si>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</si>
  <si>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</si>
  <si>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</si>
  <si>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</si>
  <si>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</si>
  <si>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</si>
  <si>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</si>
  <si>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</si>
  <si>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</si>
  <si>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</si>
  <si>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</si>
  <si>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</si>
  <si>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</si>
  <si>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</si>
  <si>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</si>
  <si>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</si>
  <si>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</si>
  <si>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</si>
  <si>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</si>
  <si>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</si>
  <si>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</si>
  <si>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</si>
  <si>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</si>
  <si>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</si>
  <si>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</si>
  <si>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</si>
  <si>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</si>
  <si>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</si>
  <si>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</si>
  <si>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</si>
  <si>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</si>
  <si>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</si>
  <si>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</si>
  <si>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</si>
  <si>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</si>
  <si>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</si>
  <si>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</si>
  <si>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</si>
  <si>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</si>
  <si>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</si>
  <si>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</si>
  <si>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</si>
  <si>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</si>
  <si>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</si>
  <si>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</si>
  <si>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</si>
  <si>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</si>
  <si>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</si>
  <si>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</si>
  <si>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</si>
  <si>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</si>
  <si>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</si>
  <si>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</si>
  <si>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</si>
  <si>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</si>
  <si>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</si>
  <si>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</si>
  <si>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</si>
  <si>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</si>
  <si>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</si>
  <si>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</si>
  <si>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</si>
  <si>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</si>
  <si>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</si>
  <si>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</si>
  <si>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</si>
  <si>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</si>
  <si>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</si>
  <si>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PRO2600150183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</si>
  <si>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</si>
  <si>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</si>
  <si>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</si>
  <si>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</si>
  <si>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</si>
  <si>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</si>
  <si>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</si>
  <si>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</si>
  <si>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</si>
  <si>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</si>
  <si>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</si>
  <si>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</si>
  <si>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</si>
  <si>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</si>
  <si>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</si>
  <si>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</si>
  <si>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</si>
  <si>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</si>
  <si>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</si>
  <si>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</si>
  <si>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</si>
  <si>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</si>
  <si>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</si>
  <si>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</si>
  <si>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</si>
  <si>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</si>
  <si>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</si>
  <si>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</si>
  <si>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</si>
  <si>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</si>
  <si>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</si>
  <si>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</si>
  <si>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</si>
  <si>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</si>
  <si>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</si>
  <si>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</si>
  <si>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</si>
  <si>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</si>
  <si>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</si>
  <si>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</si>
  <si>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</si>
  <si>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PRO2600151456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</si>
  <si>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</si>
  <si>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</si>
  <si>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</si>
  <si>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</si>
  <si>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</si>
  <si>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</si>
  <si>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</si>
  <si>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</si>
  <si>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</si>
  <si>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</si>
  <si>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</si>
  <si>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</si>
  <si>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</si>
  <si>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</si>
  <si>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</si>
  <si>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</si>
  <si>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</si>
  <si>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</si>
  <si>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</si>
  <si>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</si>
  <si>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</si>
  <si>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</si>
  <si>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</si>
  <si>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</si>
  <si>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</si>
  <si>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</si>
  <si>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</si>
  <si>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</si>
  <si>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</si>
  <si>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</si>
  <si>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</si>
  <si>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</si>
  <si>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</si>
  <si>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</si>
  <si>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</si>
  <si>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</si>
  <si>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</si>
  <si>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</si>
  <si>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</si>
  <si>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</si>
  <si>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</si>
  <si>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</si>
  <si>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</si>
  <si>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</si>
  <si>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</si>
  <si>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</si>
  <si>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</si>
  <si>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</si>
  <si>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</si>
  <si>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</si>
  <si>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</si>
  <si>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</si>
  <si>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</si>
  <si>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</si>
  <si>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</si>
  <si>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</si>
  <si>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PRO2600151733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</si>
  <si>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</si>
  <si>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</si>
  <si>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</si>
  <si>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</si>
  <si>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</si>
  <si>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</si>
  <si>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</si>
  <si>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</si>
  <si>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</si>
  <si>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</si>
  <si>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</si>
  <si>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</si>
  <si>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</si>
  <si>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</si>
  <si>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</si>
  <si>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</si>
  <si>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</si>
  <si>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</si>
  <si>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</si>
  <si>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</si>
  <si>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</si>
  <si>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</si>
  <si>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</si>
  <si>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</si>
  <si>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</si>
  <si>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</si>
  <si>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</si>
  <si>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</si>
  <si>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</si>
  <si>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</si>
  <si>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</si>
  <si>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PRO2600152788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</si>
  <si>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</si>
  <si>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</si>
  <si>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</si>
  <si>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</si>
  <si>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</si>
  <si>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</si>
  <si>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</si>
  <si>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</si>
  <si>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</si>
  <si>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</si>
  <si>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</si>
  <si>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</si>
  <si>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</si>
  <si>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</si>
  <si>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</si>
  <si>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</si>
  <si>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</si>
  <si>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</si>
  <si>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</si>
  <si>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</si>
  <si>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</si>
  <si>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</si>
  <si>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</si>
  <si>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</si>
  <si>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</si>
  <si>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</si>
  <si>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</si>
  <si>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</si>
  <si>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</si>
  <si>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</si>
  <si>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</si>
  <si>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</si>
  <si>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</si>
  <si>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</si>
  <si>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</si>
  <si>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</si>
  <si>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</si>
  <si>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</si>
  <si>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</si>
  <si>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</si>
  <si>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</si>
  <si>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</si>
  <si>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</si>
  <si>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</si>
  <si>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</si>
  <si>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</si>
  <si>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</si>
  <si>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</si>
  <si>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</si>
  <si>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</si>
  <si>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</si>
  <si>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</si>
  <si>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</si>
  <si>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</si>
  <si>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</si>
  <si>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</si>
  <si>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</si>
  <si>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</si>
  <si>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</si>
  <si>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</si>
  <si>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</si>
  <si>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</si>
  <si>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</si>
  <si>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</si>
  <si>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</si>
  <si>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</si>
  <si>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</si>
  <si>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</si>
  <si>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</si>
  <si>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</si>
  <si>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</si>
  <si>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</si>
  <si>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</si>
  <si>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</si>
  <si>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</si>
  <si>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</si>
  <si>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</si>
  <si>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</si>
  <si>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</si>
  <si>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</si>
  <si>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</si>
  <si>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</si>
  <si>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</si>
  <si>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</si>
  <si>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</si>
  <si>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</si>
  <si>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</si>
  <si>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</si>
  <si>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</si>
  <si>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</si>
  <si>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</si>
  <si>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</si>
  <si>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</si>
  <si>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</si>
  <si>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</si>
  <si>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</si>
  <si>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</si>
  <si>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</si>
  <si>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</si>
  <si>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</si>
  <si>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</si>
  <si>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</si>
  <si>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</si>
  <si>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</si>
  <si>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</si>
  <si>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</si>
  <si>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</si>
  <si>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</si>
  <si>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</si>
  <si>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</si>
  <si>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</si>
  <si>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</si>
  <si>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</si>
  <si>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</si>
  <si>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</si>
  <si>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</si>
  <si>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</si>
  <si>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</si>
  <si>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</si>
  <si>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</si>
  <si>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</si>
  <si>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</si>
  <si>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</si>
  <si>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</si>
  <si>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</si>
  <si>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</si>
  <si>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</si>
  <si>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</si>
  <si>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</si>
  <si>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</si>
  <si>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</si>
  <si>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</si>
  <si>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</si>
  <si>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</si>
  <si>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</si>
  <si>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</si>
  <si>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</si>
  <si>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</si>
  <si>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</si>
  <si>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</si>
  <si>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</si>
  <si>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</si>
  <si>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</si>
  <si>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</si>
  <si>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</si>
  <si>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</si>
  <si>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</si>
  <si>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</si>
  <si>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</si>
  <si>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</si>
  <si>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</si>
  <si>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</si>
  <si>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</si>
  <si>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</si>
  <si>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</si>
  <si>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</si>
  <si>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</si>
  <si>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</si>
  <si>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</si>
  <si>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</si>
  <si>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PRO2600154265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</si>
  <si>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</si>
  <si>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</si>
  <si>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</si>
  <si>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</si>
  <si>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</si>
  <si>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</si>
  <si>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</si>
  <si>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</si>
  <si>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</si>
  <si>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</si>
  <si>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</si>
  <si>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</si>
  <si>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</si>
  <si>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</si>
  <si>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</si>
  <si>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</si>
  <si>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</si>
  <si>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</si>
  <si>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</si>
  <si>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</si>
  <si>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</si>
  <si>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</si>
  <si>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</si>
  <si>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</si>
  <si>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</si>
  <si>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</si>
  <si>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</si>
  <si>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</si>
  <si>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</si>
  <si>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</si>
  <si>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</si>
  <si>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</si>
  <si>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</si>
  <si>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</si>
  <si>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</si>
  <si>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</si>
  <si>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</si>
  <si>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</si>
  <si>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</si>
  <si>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</si>
  <si>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</si>
  <si>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</si>
  <si>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</si>
  <si>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</si>
  <si>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</si>
  <si>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</si>
  <si>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</si>
  <si>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</si>
  <si>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</si>
  <si>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</si>
  <si>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</si>
  <si>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</si>
  <si>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</si>
  <si>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</si>
  <si>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</si>
  <si>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</si>
  <si>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</si>
  <si>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</si>
  <si>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</si>
  <si>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</si>
  <si>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</si>
  <si>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</si>
  <si>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</si>
  <si>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</si>
  <si>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</si>
  <si>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</si>
  <si>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</si>
  <si>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</si>
  <si>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</si>
  <si>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</si>
  <si>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</si>
  <si>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</si>
  <si>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</si>
  <si>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</si>
  <si>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</si>
  <si>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</si>
  <si>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</si>
  <si>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</si>
  <si>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</si>
  <si>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</si>
  <si>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</si>
  <si>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</si>
  <si>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</si>
  <si>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</si>
  <si>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</si>
  <si>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</si>
  <si>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</si>
  <si>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</si>
  <si>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</si>
  <si>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</si>
  <si>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</si>
  <si>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</si>
  <si>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</si>
  <si>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</si>
  <si>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</si>
  <si>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</si>
  <si>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</si>
  <si>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</si>
  <si>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</si>
  <si>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</si>
  <si>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</si>
  <si>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</si>
  <si>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</si>
  <si>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</si>
  <si>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</si>
  <si>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</si>
  <si>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</si>
  <si>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</si>
  <si>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</si>
  <si>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</si>
  <si>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</si>
  <si>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</si>
  <si>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</si>
  <si>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</si>
  <si>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</si>
  <si>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</si>
  <si>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</si>
  <si>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</si>
  <si>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</si>
  <si>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</si>
  <si>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</si>
  <si>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</si>
  <si>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</si>
  <si>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</si>
  <si>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</si>
  <si>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</si>
  <si>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</si>
  <si>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</si>
  <si>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</si>
  <si>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</si>
  <si>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</si>
  <si>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</si>
  <si>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</si>
  <si>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</si>
  <si>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</si>
  <si>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</si>
  <si>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</si>
  <si>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</si>
  <si>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</si>
  <si>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</si>
  <si>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</si>
  <si>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</si>
  <si>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</si>
  <si>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</si>
  <si>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</si>
  <si>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</si>
  <si>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</si>
  <si>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</si>
  <si>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</si>
  <si>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</si>
  <si>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</si>
  <si>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</si>
  <si>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</si>
  <si>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</si>
  <si>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</si>
  <si>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</si>
  <si>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</si>
  <si>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</si>
  <si>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</si>
  <si>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</si>
  <si>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</si>
  <si>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</si>
  <si>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</si>
  <si>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</si>
  <si>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</si>
  <si>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</si>
  <si>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</si>
  <si>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</si>
  <si>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</si>
  <si>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</si>
  <si>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</si>
  <si>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</si>
  <si>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</si>
  <si>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</si>
  <si>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</si>
  <si>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</si>
  <si>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</si>
  <si>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</si>
  <si>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</si>
  <si>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</si>
  <si>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</si>
  <si>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</si>
  <si>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PRO2600156574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</si>
  <si>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</si>
  <si>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</si>
  <si>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</si>
  <si>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</si>
  <si>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</si>
  <si>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</si>
  <si>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</si>
  <si>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</si>
  <si>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</si>
  <si>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</si>
  <si>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</si>
  <si>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</si>
  <si>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</si>
  <si>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</si>
  <si>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</si>
  <si>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</si>
  <si>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</si>
  <si>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</si>
  <si>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</si>
  <si>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</si>
  <si>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</si>
  <si>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</si>
  <si>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</si>
  <si>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</si>
  <si>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</si>
  <si>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</si>
  <si>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</si>
  <si>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</si>
  <si>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</si>
  <si>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</si>
  <si>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</si>
  <si>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</si>
  <si>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</si>
  <si>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</si>
  <si>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</si>
  <si>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</si>
  <si>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</si>
  <si>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</si>
  <si>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</si>
  <si>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</si>
  <si>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</si>
  <si>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</si>
  <si>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</si>
  <si>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</si>
  <si>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</si>
  <si>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</si>
  <si>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</si>
  <si>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</si>
  <si>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</si>
  <si>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</si>
  <si>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</si>
  <si>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</si>
  <si>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</si>
  <si>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</si>
  <si>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</si>
  <si>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</si>
  <si>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</si>
  <si>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</si>
  <si>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</si>
  <si>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</si>
  <si>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</si>
  <si>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</si>
  <si>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</si>
  <si>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</si>
  <si>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</si>
  <si>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</si>
  <si>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</si>
  <si>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</si>
  <si>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</si>
  <si>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</si>
  <si>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</si>
  <si>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</si>
  <si>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</si>
  <si>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</si>
  <si>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</si>
  <si>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</si>
  <si>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</si>
  <si>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</si>
  <si>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</si>
  <si>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</si>
  <si>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</si>
  <si>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</si>
  <si>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</si>
  <si>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PRO2600158113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</si>
  <si>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</si>
  <si>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</si>
  <si>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</si>
  <si>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</si>
  <si>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</si>
  <si>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</si>
  <si>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</si>
  <si>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</si>
  <si>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</si>
  <si>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</si>
  <si>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</si>
  <si>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</si>
  <si>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</si>
  <si>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</si>
  <si>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</si>
  <si>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</si>
  <si>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</si>
  <si>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</si>
  <si>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</si>
  <si>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</si>
  <si>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</si>
  <si>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</si>
  <si>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</si>
  <si>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</si>
  <si>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</si>
  <si>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</si>
  <si>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</si>
  <si>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</si>
  <si>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</si>
  <si>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</si>
  <si>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</si>
  <si>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</si>
  <si>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</si>
  <si>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</si>
  <si>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</si>
  <si>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</si>
  <si>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</si>
  <si>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</si>
  <si>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</si>
  <si>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</si>
  <si>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</si>
  <si>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</si>
  <si>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</si>
  <si>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</si>
  <si>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</si>
  <si>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</si>
  <si>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</si>
  <si>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</si>
  <si>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</si>
  <si>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</si>
  <si>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</si>
  <si>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</si>
  <si>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</si>
  <si>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</si>
  <si>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</si>
  <si>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</si>
  <si>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</si>
  <si>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</si>
  <si>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</si>
  <si>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</si>
  <si>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</si>
  <si>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</si>
  <si>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</si>
  <si>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</si>
  <si>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</si>
  <si>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</si>
  <si>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</si>
  <si>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</si>
  <si>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</si>
  <si>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</si>
  <si>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</si>
  <si>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</si>
  <si>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</si>
  <si>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</si>
  <si>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</si>
  <si>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</si>
  <si>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</si>
  <si>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</si>
  <si>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</si>
  <si>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</si>
  <si>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</si>
  <si>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</si>
  <si>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</si>
  <si>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</si>
  <si>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</si>
  <si>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</si>
  <si>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</si>
  <si>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</si>
  <si>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</si>
  <si>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</si>
  <si>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</si>
  <si>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</si>
  <si>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</si>
  <si>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</si>
  <si>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</si>
  <si>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</si>
  <si>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</si>
  <si>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</si>
  <si>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</si>
  <si>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</si>
  <si>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</si>
  <si>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</si>
  <si>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</si>
  <si>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</si>
  <si>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</si>
  <si>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</si>
  <si>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</si>
  <si>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PRO2600159456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</si>
  <si>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</si>
  <si>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</si>
  <si>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</si>
  <si>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</si>
  <si>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</si>
  <si>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</si>
  <si>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</si>
  <si>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</si>
  <si>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</si>
  <si>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</si>
  <si>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</si>
  <si>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</si>
  <si>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</si>
  <si>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</si>
  <si>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</si>
  <si>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</si>
  <si>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</si>
  <si>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</si>
  <si>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</si>
  <si>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</si>
  <si>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</si>
  <si>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</si>
  <si>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</si>
  <si>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</si>
  <si>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</si>
  <si>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</si>
  <si>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</si>
  <si>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</si>
  <si>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</si>
  <si>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</si>
  <si>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</si>
  <si>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</si>
  <si>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</si>
  <si>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</si>
  <si>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</si>
  <si>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</si>
  <si>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</si>
  <si>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</si>
  <si>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</si>
  <si>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</si>
  <si>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</si>
  <si>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</si>
  <si>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</si>
  <si>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</si>
  <si>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</si>
  <si>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</si>
  <si>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</si>
  <si>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</si>
  <si>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</si>
  <si>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</si>
  <si>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</si>
  <si>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</si>
  <si>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</si>
  <si>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</si>
  <si>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</si>
  <si>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</si>
  <si>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PRO2600159582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</si>
  <si>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</si>
  <si>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</si>
  <si>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</si>
  <si>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</si>
  <si>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</si>
  <si>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</si>
  <si>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</si>
  <si>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</si>
  <si>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</si>
  <si>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</si>
  <si>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</si>
  <si>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</si>
  <si>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</si>
  <si>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</si>
  <si>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</si>
  <si>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</si>
  <si>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</si>
  <si>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</si>
  <si>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</si>
  <si>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</si>
  <si>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</si>
  <si>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</si>
  <si>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</si>
  <si>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</si>
  <si>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</si>
  <si>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</si>
  <si>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</si>
  <si>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</si>
  <si>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</si>
  <si>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</si>
  <si>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</si>
  <si>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</si>
  <si>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</si>
  <si>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</si>
  <si>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</si>
  <si>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</si>
  <si>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</si>
  <si>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</si>
  <si>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</si>
  <si>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</si>
  <si>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</si>
  <si>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</si>
  <si>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</si>
  <si>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</si>
  <si>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</si>
  <si>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</si>
  <si>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</si>
  <si>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</si>
  <si>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</si>
  <si>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</si>
  <si>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</si>
  <si>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</si>
  <si>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</si>
  <si>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</si>
  <si>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</si>
  <si>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</si>
  <si>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</si>
  <si>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</si>
  <si>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</si>
  <si>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</si>
  <si>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</si>
  <si>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</si>
  <si>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</si>
  <si>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</si>
  <si>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</si>
  <si>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</si>
  <si>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</si>
  <si>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</si>
  <si>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</si>
  <si>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</si>
  <si>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</si>
  <si>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</si>
  <si>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</si>
  <si>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</si>
  <si>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</si>
  <si>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</si>
  <si>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</si>
  <si>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</si>
  <si>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</si>
  <si>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</si>
  <si>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</si>
  <si>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</si>
  <si>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</si>
  <si>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</si>
  <si>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</si>
  <si>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</si>
  <si>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</si>
  <si>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</si>
  <si>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</si>
  <si>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Sum of amount</t>
  </si>
  <si>
    <t>Sum of amountIncludingVAT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</si>
  <si>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</si>
  <si>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</si>
  <si>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</si>
  <si>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</si>
  <si>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</si>
  <si>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</si>
  <si>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</si>
  <si>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</si>
  <si>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</si>
  <si>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</si>
  <si>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</si>
  <si>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</si>
  <si>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</si>
  <si>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</si>
  <si>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</si>
  <si>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</si>
  <si>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</si>
  <si>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</si>
  <si>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</si>
  <si>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</si>
  <si>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</si>
  <si>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</si>
  <si>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</si>
  <si>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</si>
  <si>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</si>
  <si>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</si>
  <si>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</si>
  <si>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</si>
  <si>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</si>
  <si>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</si>
  <si>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</si>
  <si>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</si>
  <si>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</si>
  <si>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PRO2600160689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</si>
  <si>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</si>
  <si>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</si>
  <si>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</si>
  <si>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</si>
  <si>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</si>
  <si>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</si>
  <si>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</si>
  <si>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</si>
  <si>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</si>
  <si>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</si>
  <si>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</si>
  <si>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</si>
  <si>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</si>
  <si>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</si>
  <si>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</si>
  <si>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</si>
  <si>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</si>
  <si>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</si>
  <si>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</si>
  <si>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</si>
  <si>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</si>
  <si>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</si>
  <si>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</si>
  <si>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</si>
  <si>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</si>
  <si>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</si>
  <si>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</si>
  <si>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</si>
  <si>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</si>
  <si>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</si>
  <si>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</si>
  <si>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</si>
  <si>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</si>
  <si>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</si>
  <si>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</si>
  <si>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</si>
  <si>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</si>
  <si>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</si>
  <si>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</si>
  <si>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</si>
  <si>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</si>
  <si>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</si>
  <si>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</si>
  <si>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</si>
  <si>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</si>
  <si>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</si>
  <si>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</si>
  <si>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</si>
  <si>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</si>
  <si>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</si>
  <si>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</si>
  <si>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</si>
  <si>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</si>
  <si>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</si>
  <si>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</si>
  <si>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</si>
  <si>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</si>
  <si>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</si>
  <si>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</si>
  <si>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</si>
  <si>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</si>
  <si>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</si>
  <si>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</si>
  <si>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</si>
  <si>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</si>
  <si>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</si>
  <si>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</si>
  <si>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</si>
  <si>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</si>
  <si>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</si>
  <si>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</si>
  <si>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</si>
  <si>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</si>
  <si>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</si>
  <si>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</si>
  <si>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</si>
  <si>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</si>
  <si>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</si>
  <si>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</si>
  <si>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</si>
  <si>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</si>
  <si>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</si>
  <si>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</si>
  <si>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</si>
  <si>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</si>
  <si>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</si>
  <si>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</si>
  <si>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</si>
  <si>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</si>
  <si>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</si>
  <si>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</si>
  <si>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</si>
  <si>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</si>
  <si>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</si>
  <si>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</si>
  <si>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</si>
  <si>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</si>
  <si>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</si>
  <si>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</si>
  <si>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</si>
  <si>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</si>
  <si>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</si>
  <si>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</si>
  <si>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</si>
  <si>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</si>
  <si>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</si>
  <si>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</si>
  <si>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</si>
  <si>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</si>
  <si>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</si>
  <si>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</si>
  <si>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</si>
  <si>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</si>
  <si>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</si>
  <si>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</si>
  <si>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</si>
  <si>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</si>
  <si>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</si>
  <si>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</si>
  <si>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</si>
  <si>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</si>
  <si>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</si>
  <si>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</si>
  <si>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</si>
  <si>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</si>
  <si>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</si>
  <si>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</si>
  <si>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</si>
  <si>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</si>
  <si>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</si>
  <si>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</si>
  <si>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</si>
  <si>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</si>
  <si>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</si>
  <si>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</si>
  <si>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</si>
  <si>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PRO2600163198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</si>
  <si>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</si>
  <si>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</si>
  <si>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</si>
  <si>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</si>
  <si>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</si>
  <si>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</si>
  <si>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</si>
  <si>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</si>
  <si>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</si>
  <si>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</si>
  <si>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</si>
  <si>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</si>
  <si>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</si>
  <si>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</si>
  <si>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</si>
  <si>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</si>
  <si>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</si>
  <si>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</si>
  <si>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</si>
  <si>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</si>
  <si>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</si>
  <si>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</si>
  <si>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</si>
  <si>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</si>
  <si>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</si>
  <si>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</si>
  <si>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</si>
  <si>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</si>
  <si>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</si>
  <si>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</si>
  <si>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</si>
  <si>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</si>
  <si>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</si>
  <si>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</si>
  <si>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</si>
  <si>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</si>
  <si>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</si>
  <si>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</si>
  <si>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</si>
  <si>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</si>
  <si>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</si>
  <si>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</si>
  <si>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</si>
  <si>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</si>
  <si>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</si>
  <si>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</si>
  <si>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</si>
  <si>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</si>
  <si>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</si>
  <si>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</si>
  <si>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</si>
  <si>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</si>
  <si>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</si>
  <si>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</si>
  <si>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</si>
  <si>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</si>
  <si>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</si>
  <si>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</si>
  <si>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</si>
  <si>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</si>
  <si>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</si>
  <si>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</si>
  <si>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</si>
  <si>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</si>
  <si>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</si>
  <si>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</si>
  <si>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</si>
  <si>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</si>
  <si>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</si>
  <si>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</si>
  <si>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</si>
  <si>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</si>
  <si>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</si>
  <si>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</si>
  <si>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</si>
  <si>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</si>
  <si>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</si>
  <si>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</si>
  <si>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</si>
  <si>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</si>
  <si>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</si>
  <si>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</si>
  <si>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</si>
  <si>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</si>
  <si>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</si>
  <si>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</si>
  <si>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</si>
  <si>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</si>
  <si>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</si>
  <si>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</si>
  <si>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</si>
  <si>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</si>
  <si>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</si>
  <si>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</si>
  <si>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</si>
  <si>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</si>
  <si>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</si>
  <si>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</si>
  <si>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</si>
  <si>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</si>
  <si>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</si>
  <si>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</si>
  <si>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</si>
  <si>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</si>
  <si>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</si>
  <si>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</si>
  <si>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</si>
  <si>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</si>
  <si>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</si>
  <si>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</si>
  <si>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</si>
  <si>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</si>
  <si>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</si>
  <si>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</si>
  <si>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</si>
  <si>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</si>
  <si>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</si>
  <si>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</si>
  <si>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</si>
  <si>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</si>
  <si>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</si>
  <si>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</si>
  <si>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</si>
  <si>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</si>
  <si>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</si>
  <si>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</si>
  <si>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</si>
  <si>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</si>
  <si>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</si>
  <si>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</si>
  <si>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</si>
  <si>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</si>
  <si>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</si>
  <si>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</si>
  <si>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</si>
  <si>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</si>
  <si>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</si>
  <si>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</si>
  <si>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</si>
  <si>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</si>
  <si>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</si>
  <si>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</si>
  <si>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</si>
  <si>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</si>
  <si>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</si>
  <si>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</si>
  <si>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</si>
  <si>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</si>
  <si>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</si>
  <si>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</si>
  <si>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</si>
  <si>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</si>
  <si>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</si>
  <si>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</si>
  <si>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</si>
  <si>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</si>
  <si>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</si>
  <si>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</si>
  <si>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</si>
  <si>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</si>
  <si>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</si>
  <si>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</si>
  <si>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</si>
  <si>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</si>
  <si>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</si>
  <si>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</si>
  <si>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</si>
  <si>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</si>
  <si>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</si>
  <si>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</si>
  <si>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</si>
  <si>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</si>
  <si>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</si>
  <si>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</si>
  <si>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</si>
  <si>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</si>
  <si>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</si>
  <si>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</si>
  <si>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</si>
  <si>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</si>
  <si>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</si>
  <si>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</si>
  <si>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</si>
  <si>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</si>
  <si>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</si>
  <si>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</si>
  <si>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</si>
  <si>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</si>
  <si>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</si>
  <si>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</si>
  <si>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</si>
  <si>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</si>
  <si>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</si>
  <si>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</si>
  <si>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</si>
  <si>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</si>
  <si>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</si>
  <si>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</si>
  <si>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</si>
  <si>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</si>
  <si>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</si>
  <si>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</si>
  <si>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</si>
  <si>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</si>
  <si>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</si>
  <si>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</si>
  <si>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</si>
  <si>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</si>
  <si>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</si>
  <si>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</si>
  <si>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</si>
  <si>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</si>
  <si>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</si>
  <si>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</si>
  <si>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</si>
  <si>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</si>
  <si>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</si>
  <si>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</si>
  <si>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</si>
  <si>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</si>
  <si>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</si>
  <si>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</si>
  <si>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</si>
  <si>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</si>
  <si>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PRO2600165348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</si>
  <si>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</si>
  <si>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</si>
  <si>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</si>
  <si>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</si>
  <si>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</si>
  <si>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</si>
  <si>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</si>
  <si>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</si>
  <si>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</si>
  <si>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</si>
  <si>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</si>
  <si>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</si>
  <si>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</si>
  <si>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</si>
  <si>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</si>
  <si>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</si>
  <si>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</si>
  <si>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</si>
  <si>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</si>
  <si>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</si>
  <si>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</si>
  <si>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</si>
  <si>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</si>
  <si>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</si>
  <si>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</si>
  <si>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</si>
  <si>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</si>
  <si>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</si>
  <si>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</si>
  <si>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</si>
  <si>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</si>
  <si>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</si>
  <si>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</si>
  <si>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</si>
  <si>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</si>
  <si>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</si>
  <si>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</si>
  <si>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</si>
  <si>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</si>
  <si>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</si>
  <si>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</si>
  <si>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</si>
  <si>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</si>
  <si>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</si>
  <si>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</si>
  <si>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</si>
  <si>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</si>
  <si>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</si>
  <si>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</si>
  <si>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</si>
  <si>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</si>
  <si>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</si>
  <si>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</si>
  <si>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</si>
  <si>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</si>
  <si>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</si>
  <si>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</si>
  <si>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</si>
  <si>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</si>
  <si>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</si>
  <si>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</si>
  <si>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</si>
  <si>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</si>
  <si>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</si>
  <si>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</si>
  <si>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</si>
  <si>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</si>
  <si>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</si>
  <si>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</si>
  <si>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</si>
  <si>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</si>
  <si>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</si>
  <si>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</si>
  <si>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</si>
  <si>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</si>
  <si>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</si>
  <si>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</si>
  <si>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</si>
  <si>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</si>
  <si>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</si>
  <si>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</si>
  <si>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</si>
  <si>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</si>
  <si>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</si>
  <si>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</si>
  <si>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</si>
  <si>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</si>
  <si>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</si>
  <si>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</si>
  <si>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</si>
  <si>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</si>
  <si>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</si>
  <si>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</si>
  <si>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</si>
  <si>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</si>
  <si>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</si>
  <si>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</si>
  <si>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</si>
  <si>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</si>
  <si>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</si>
  <si>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</si>
  <si>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</si>
  <si>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</si>
  <si>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</si>
  <si>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</si>
  <si>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</si>
  <si>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</si>
  <si>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</si>
  <si>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</si>
  <si>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</si>
  <si>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</si>
  <si>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</si>
  <si>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</si>
  <si>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</si>
  <si>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</si>
  <si>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</si>
  <si>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</si>
  <si>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</si>
  <si>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</si>
  <si>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</si>
  <si>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</si>
  <si>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</si>
  <si>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</si>
  <si>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</si>
  <si>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</si>
  <si>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</si>
  <si>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</si>
  <si>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</si>
  <si>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</si>
  <si>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</si>
  <si>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</si>
  <si>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</si>
  <si>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</si>
  <si>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</si>
  <si>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</si>
  <si>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</si>
  <si>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</si>
  <si>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</si>
  <si>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</si>
  <si>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</si>
  <si>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</si>
  <si>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</si>
  <si>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</si>
  <si>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</si>
  <si>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</si>
  <si>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</si>
  <si>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</si>
  <si>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</si>
  <si>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</si>
  <si>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</si>
  <si>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</si>
  <si>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</si>
  <si>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</si>
  <si>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</si>
  <si>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</si>
  <si>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</si>
  <si>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</si>
  <si>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</si>
  <si>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</si>
  <si>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</si>
  <si>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</si>
  <si>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</si>
  <si>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</si>
  <si>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</si>
  <si>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</si>
  <si>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</si>
  <si>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</si>
  <si>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</si>
  <si>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</si>
  <si>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</si>
  <si>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</si>
  <si>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</si>
  <si>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</si>
  <si>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</si>
  <si>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</si>
  <si>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</si>
  <si>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</si>
  <si>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</si>
  <si>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</si>
  <si>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</si>
  <si>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</si>
  <si>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</si>
  <si>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</si>
  <si>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</si>
  <si>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</si>
  <si>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</si>
  <si>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</si>
  <si>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</si>
  <si>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</si>
  <si>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</si>
  <si>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</si>
  <si>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</si>
  <si>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</si>
  <si>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</si>
  <si>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</si>
  <si>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</si>
  <si>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</si>
  <si>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</si>
  <si>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</si>
  <si>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</si>
  <si>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</si>
  <si>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</si>
  <si>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PRO2600165658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</si>
  <si>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</si>
  <si>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</si>
  <si>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</si>
  <si>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</si>
  <si>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</si>
  <si>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</si>
  <si>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</si>
  <si>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</si>
  <si>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</si>
  <si>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</si>
  <si>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</si>
  <si>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</si>
  <si>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</si>
  <si>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</si>
  <si>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</si>
  <si>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</si>
  <si>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</si>
  <si>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</si>
  <si>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</si>
  <si>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</si>
  <si>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</si>
  <si>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</si>
  <si>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</si>
  <si>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</si>
  <si>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</si>
  <si>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</si>
  <si>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</si>
  <si>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</si>
  <si>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</si>
  <si>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</si>
  <si>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</si>
  <si>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</si>
  <si>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</si>
  <si>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</si>
  <si>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</si>
  <si>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</si>
  <si>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</si>
  <si>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</si>
  <si>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</si>
  <si>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</si>
  <si>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</si>
  <si>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</si>
  <si>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</si>
  <si>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</si>
  <si>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</si>
  <si>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</si>
  <si>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</si>
  <si>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</si>
  <si>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</si>
  <si>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</si>
  <si>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</si>
  <si>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</si>
  <si>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</si>
  <si>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</si>
  <si>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</si>
  <si>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</si>
  <si>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</si>
  <si>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</si>
  <si>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</si>
  <si>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</si>
  <si>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</si>
  <si>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</si>
  <si>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</si>
  <si>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</si>
  <si>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</si>
  <si>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</si>
  <si>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</si>
  <si>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</si>
  <si>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</si>
  <si>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</si>
  <si>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</si>
  <si>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</si>
  <si>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</si>
  <si>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</si>
  <si>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</si>
  <si>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</si>
  <si>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</si>
  <si>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</si>
  <si>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</si>
  <si>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</si>
  <si>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</si>
  <si>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</si>
  <si>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</si>
  <si>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</si>
  <si>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</si>
  <si>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</si>
  <si>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</si>
  <si>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</si>
  <si>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</si>
  <si>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</si>
  <si>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PRO2600165639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</si>
  <si>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</si>
  <si>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</si>
  <si>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</si>
  <si>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</si>
  <si>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</si>
  <si>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</si>
  <si>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</si>
  <si>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</si>
  <si>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</si>
  <si>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</si>
  <si>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</si>
  <si>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</si>
  <si>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PRO2600165294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</si>
  <si>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</si>
  <si>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</si>
  <si>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</si>
  <si>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</si>
  <si>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</si>
  <si>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</si>
  <si>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</si>
  <si>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</si>
  <si>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</si>
  <si>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</si>
  <si>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</si>
  <si>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</si>
  <si>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</si>
  <si>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</si>
  <si>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</si>
  <si>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</si>
  <si>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</si>
  <si>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</si>
  <si>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</si>
  <si>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</si>
  <si>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</si>
  <si>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</si>
  <si>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</si>
  <si>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</si>
  <si>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</si>
  <si>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</si>
  <si>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</si>
  <si>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</si>
  <si>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</si>
  <si>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</si>
  <si>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</si>
  <si>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</si>
  <si>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</si>
  <si>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</si>
  <si>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</si>
  <si>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</si>
  <si>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</si>
  <si>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</si>
  <si>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</si>
  <si>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</si>
  <si>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</si>
  <si>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</si>
  <si>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</si>
  <si>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</si>
  <si>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</si>
  <si>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</si>
  <si>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</si>
  <si>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</si>
  <si>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</si>
  <si>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</si>
  <si>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</si>
  <si>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</si>
  <si>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</si>
  <si>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</si>
  <si>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</si>
  <si>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</si>
  <si>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</si>
  <si>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</si>
  <si>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</si>
  <si>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</si>
  <si>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</si>
  <si>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</si>
  <si>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</si>
  <si>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</si>
  <si>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</si>
  <si>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</si>
  <si>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</si>
  <si>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</si>
  <si>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</si>
  <si>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</si>
  <si>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</si>
  <si>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</si>
  <si>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</si>
  <si>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</si>
  <si>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</si>
  <si>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</si>
  <si>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</si>
  <si>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</si>
  <si>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</si>
  <si>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</si>
  <si>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</si>
  <si>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</si>
  <si>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</si>
  <si>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</si>
  <si>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</si>
  <si>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</si>
  <si>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</si>
  <si>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</si>
  <si>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</si>
  <si>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</si>
  <si>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</si>
  <si>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</si>
  <si>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</si>
  <si>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</si>
  <si>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</si>
  <si>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</si>
  <si>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</si>
  <si>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</si>
  <si>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</si>
  <si>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</si>
  <si>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</si>
  <si>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</si>
  <si>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</si>
  <si>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</si>
  <si>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</si>
  <si>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</si>
  <si>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</si>
  <si>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</si>
  <si>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</si>
  <si>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</si>
  <si>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</si>
  <si>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</si>
  <si>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</si>
  <si>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</si>
  <si>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</si>
  <si>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</si>
  <si>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</si>
  <si>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</si>
  <si>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</si>
  <si>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</si>
  <si>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</si>
  <si>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</si>
  <si>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</si>
  <si>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</si>
  <si>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</si>
  <si>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</si>
  <si>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</si>
  <si>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</si>
  <si>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</si>
  <si>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</si>
  <si>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</si>
  <si>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</si>
  <si>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</si>
  <si>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</si>
  <si>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</si>
  <si>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Percantage</t>
  </si>
  <si>
    <t>Average of aging_days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</si>
  <si>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</si>
  <si>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</si>
  <si>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</si>
  <si>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</si>
  <si>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</si>
  <si>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</si>
  <si>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</si>
  <si>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</si>
  <si>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</si>
  <si>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</si>
  <si>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</si>
  <si>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</si>
  <si>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</si>
  <si>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</si>
  <si>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</si>
  <si>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</si>
  <si>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</si>
  <si>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</si>
  <si>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</si>
  <si>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</si>
  <si>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</si>
  <si>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</si>
  <si>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</si>
  <si>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</si>
  <si>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</si>
  <si>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</si>
  <si>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</si>
  <si>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</si>
  <si>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</si>
  <si>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</si>
  <si>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</si>
  <si>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</si>
  <si>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</si>
  <si>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</si>
  <si>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</si>
  <si>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</si>
  <si>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</si>
  <si>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</si>
  <si>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</si>
  <si>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</si>
  <si>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</si>
  <si>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</si>
  <si>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</si>
  <si>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</si>
  <si>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</si>
  <si>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</si>
  <si>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</si>
  <si>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</si>
  <si>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</si>
  <si>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</si>
  <si>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</si>
  <si>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</si>
  <si>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</si>
  <si>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</si>
  <si>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</si>
  <si>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</si>
  <si>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</si>
  <si>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</si>
  <si>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</si>
  <si>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</si>
  <si>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</si>
  <si>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</si>
  <si>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</si>
  <si>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</si>
  <si>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https://public.ananinja.com/files/files/whm_purchaseReturnOrders_production_d7b234f8-a117-4567-bbc5-93a0656b997c/show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</si>
  <si>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</si>
  <si>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</si>
  <si>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</si>
  <si>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</si>
  <si>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</si>
  <si>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</si>
  <si>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</si>
  <si>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</si>
  <si>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</si>
  <si>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</si>
  <si>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</si>
  <si>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</si>
  <si>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</si>
  <si>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</si>
  <si>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</si>
  <si>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</si>
  <si>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</si>
  <si>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</si>
  <si>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</si>
  <si>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</si>
  <si>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</si>
  <si>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</si>
  <si>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</si>
  <si>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</si>
  <si>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</si>
  <si>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</si>
  <si>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</si>
  <si>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</si>
  <si>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</si>
  <si>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</si>
  <si>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</si>
  <si>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</si>
  <si>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</si>
  <si>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</si>
  <si>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</si>
  <si>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PRO2600169696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</si>
  <si>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</si>
  <si>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</si>
  <si>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</si>
  <si>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</si>
  <si>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</si>
  <si>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</si>
  <si>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</si>
  <si>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</si>
  <si>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</si>
  <si>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</si>
  <si>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</si>
  <si>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</si>
  <si>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</si>
  <si>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</si>
  <si>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</si>
  <si>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</si>
  <si>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</si>
  <si>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</si>
  <si>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</si>
  <si>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</si>
  <si>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</si>
  <si>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</si>
  <si>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</si>
  <si>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</si>
  <si>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</si>
  <si>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</si>
  <si>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</si>
  <si>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</si>
  <si>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</si>
  <si>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</si>
  <si>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</si>
  <si>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</si>
  <si>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</si>
  <si>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</si>
  <si>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</si>
  <si>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</si>
  <si>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</si>
  <si>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</si>
  <si>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</si>
  <si>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</si>
  <si>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</si>
  <si>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</si>
  <si>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</si>
  <si>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</si>
  <si>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</si>
  <si>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</si>
  <si>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</si>
  <si>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</si>
  <si>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</si>
  <si>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</si>
  <si>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</si>
  <si>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</si>
  <si>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</si>
  <si>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</si>
  <si>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</si>
  <si>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</si>
  <si>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</si>
  <si>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</si>
  <si>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</si>
  <si>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</si>
  <si>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</si>
  <si>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</si>
  <si>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</si>
  <si>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</si>
  <si>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</si>
  <si>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</si>
  <si>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</si>
  <si>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</si>
  <si>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</si>
  <si>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</si>
  <si>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</si>
  <si>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</si>
  <si>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</si>
  <si>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</si>
  <si>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</si>
  <si>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</si>
  <si>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</si>
  <si>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</si>
  <si>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</si>
  <si>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</si>
  <si>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</si>
  <si>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</si>
  <si>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</si>
  <si>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</si>
  <si>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</si>
  <si>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</si>
  <si>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</si>
  <si>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</si>
  <si>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</si>
  <si>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</si>
  <si>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</si>
  <si>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</si>
  <si>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</si>
  <si>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</si>
  <si>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</si>
  <si>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</si>
  <si>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</si>
  <si>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</si>
  <si>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</si>
  <si>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</si>
  <si>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</si>
  <si>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</si>
  <si>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</si>
  <si>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</si>
  <si>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</si>
  <si>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</si>
  <si>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</si>
  <si>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</si>
  <si>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</si>
  <si>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</si>
  <si>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</si>
  <si>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</si>
  <si>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</si>
  <si>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</si>
  <si>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</si>
  <si>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</si>
  <si>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</si>
  <si>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</si>
  <si>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</si>
  <si>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</si>
  <si>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</si>
  <si>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</si>
  <si>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</si>
  <si>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</si>
  <si>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</si>
  <si>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</si>
  <si>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</si>
  <si>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</si>
  <si>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</si>
  <si>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</si>
  <si>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</si>
  <si>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</si>
  <si>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</si>
  <si>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</si>
  <si>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</si>
  <si>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</si>
  <si>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</si>
  <si>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</si>
  <si>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</si>
  <si>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</si>
  <si>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</si>
  <si>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</si>
  <si>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</si>
  <si>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</si>
  <si>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</si>
  <si>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</si>
  <si>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</si>
  <si>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</si>
  <si>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</si>
  <si>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</si>
  <si>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</si>
  <si>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</si>
  <si>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</si>
  <si>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</si>
  <si>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</si>
  <si>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</si>
  <si>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</si>
  <si>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</si>
  <si>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</si>
  <si>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</si>
  <si>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</si>
  <si>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</si>
  <si>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</si>
  <si>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</si>
  <si>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</si>
  <si>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</si>
  <si>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</si>
  <si>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</si>
  <si>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</si>
  <si>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</si>
  <si>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</si>
  <si>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</si>
  <si>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</si>
  <si>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</si>
  <si>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</si>
  <si>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</si>
  <si>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</si>
  <si>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</si>
  <si>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</si>
  <si>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</si>
  <si>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</si>
  <si>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</si>
  <si>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</si>
  <si>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</si>
  <si>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</si>
  <si>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</si>
  <si>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</si>
  <si>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</si>
  <si>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</si>
  <si>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</si>
  <si>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</si>
  <si>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</si>
  <si>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</si>
  <si>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</si>
  <si>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</si>
  <si>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</si>
  <si>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</si>
  <si>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</si>
  <si>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</si>
  <si>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</si>
  <si>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</si>
  <si>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</si>
  <si>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</si>
  <si>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</si>
  <si>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</si>
  <si>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</si>
  <si>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</si>
  <si>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</si>
  <si>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</si>
  <si>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</si>
  <si>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</si>
  <si>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</si>
  <si>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</si>
  <si>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</si>
  <si>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</si>
  <si>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</si>
  <si>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</si>
  <si>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</si>
  <si>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</si>
  <si>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</si>
  <si>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</si>
  <si>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</si>
  <si>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</si>
  <si>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</si>
  <si>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</si>
  <si>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</si>
  <si>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</si>
  <si>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</si>
  <si>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</si>
  <si>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</si>
  <si>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</si>
  <si>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</si>
  <si>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</si>
  <si>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</si>
  <si>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</si>
  <si>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</si>
  <si>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</si>
  <si>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</si>
  <si>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</si>
  <si>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</si>
  <si>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</si>
  <si>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</si>
  <si>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</si>
  <si>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</si>
  <si>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</si>
  <si>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</si>
  <si>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</si>
  <si>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</si>
  <si>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</si>
  <si>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</si>
  <si>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</si>
  <si>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</si>
  <si>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</si>
  <si>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</si>
  <si>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</si>
  <si>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</si>
  <si>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</si>
  <si>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</si>
  <si>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</si>
  <si>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</si>
  <si>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</si>
  <si>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</si>
  <si>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</si>
  <si>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</si>
  <si>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</si>
  <si>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</si>
  <si>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</si>
  <si>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</si>
  <si>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</si>
  <si>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</si>
  <si>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</si>
  <si>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</si>
  <si>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</si>
  <si>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</si>
  <si>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</si>
  <si>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</si>
  <si>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</si>
  <si>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</si>
  <si>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</si>
  <si>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</si>
  <si>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</si>
  <si>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</si>
  <si>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</si>
  <si>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</si>
  <si>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</si>
  <si>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</si>
  <si>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</si>
  <si>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</si>
  <si>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</si>
  <si>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</si>
  <si>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</si>
  <si>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</si>
  <si>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</si>
  <si>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</si>
  <si>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</si>
  <si>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</si>
  <si>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</si>
  <si>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</si>
  <si>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</si>
  <si>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</si>
  <si>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</si>
  <si>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</si>
  <si>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</si>
  <si>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</si>
  <si>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</si>
  <si>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</si>
  <si>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</si>
  <si>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</si>
  <si>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</si>
  <si>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</si>
  <si>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</si>
  <si>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</si>
  <si>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</si>
  <si>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</si>
  <si>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</si>
  <si>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</si>
  <si>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</si>
  <si>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</si>
  <si>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</si>
  <si>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</si>
  <si>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</si>
  <si>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</si>
  <si>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</si>
  <si>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</si>
  <si>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</si>
  <si>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</si>
  <si>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</si>
  <si>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</si>
  <si>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</si>
  <si>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</si>
  <si>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</si>
  <si>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</si>
  <si>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</si>
  <si>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</si>
  <si>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</si>
  <si>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</si>
  <si>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</si>
  <si>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</si>
  <si>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</si>
  <si>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</si>
  <si>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</si>
  <si>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</si>
  <si>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PRO2600173174</t>
  </si>
  <si>
    <t>PRO2600173158</t>
  </si>
  <si>
    <t>PRO2600173246</t>
  </si>
  <si>
    <t>PRO2600173458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</si>
  <si>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</si>
  <si>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</si>
  <si>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</si>
  <si>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</si>
  <si>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</si>
  <si>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</si>
  <si>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</si>
  <si>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</si>
  <si>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</si>
  <si>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PRO2600174461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</si>
  <si>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</si>
  <si>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</si>
  <si>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</si>
  <si>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</si>
  <si>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</si>
  <si>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</si>
  <si>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</si>
  <si>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</si>
  <si>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</si>
  <si>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</si>
  <si>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</si>
  <si>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</si>
  <si>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</si>
  <si>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</si>
  <si>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</si>
  <si>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</si>
  <si>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</si>
  <si>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</si>
  <si>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</si>
  <si>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</si>
  <si>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</si>
  <si>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</si>
  <si>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</si>
  <si>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</si>
  <si>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</si>
  <si>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</si>
  <si>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</si>
  <si>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PRO2600174420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</si>
  <si>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</si>
  <si>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</si>
  <si>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</si>
  <si>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</si>
  <si>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</si>
  <si>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</si>
  <si>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</si>
  <si>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</si>
  <si>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</si>
  <si>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</si>
  <si>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</si>
  <si>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</si>
  <si>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</si>
  <si>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</si>
  <si>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</si>
  <si>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</si>
  <si>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</si>
  <si>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</si>
  <si>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</si>
  <si>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</si>
  <si>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</si>
  <si>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</si>
  <si>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</si>
  <si>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</si>
  <si>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</si>
  <si>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</si>
  <si>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</si>
  <si>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</si>
  <si>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</si>
  <si>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</si>
  <si>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</si>
  <si>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</si>
  <si>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</si>
  <si>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</si>
  <si>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</si>
  <si>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</si>
  <si>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</si>
  <si>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</si>
  <si>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</si>
  <si>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</si>
  <si>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</si>
  <si>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</si>
  <si>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</si>
  <si>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</si>
  <si>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</si>
  <si>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</si>
  <si>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</si>
  <si>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</si>
  <si>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</si>
  <si>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</si>
  <si>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</si>
  <si>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</si>
  <si>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</si>
  <si>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</si>
  <si>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</si>
  <si>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</si>
  <si>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</si>
  <si>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</si>
  <si>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</si>
  <si>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</si>
  <si>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</si>
  <si>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</si>
  <si>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</si>
  <si>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</si>
  <si>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</si>
  <si>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</si>
  <si>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</si>
  <si>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</si>
  <si>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</si>
  <si>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</si>
  <si>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</si>
  <si>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</si>
  <si>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</si>
  <si>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</si>
  <si>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</si>
  <si>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</si>
  <si>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</si>
  <si>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</si>
  <si>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</si>
  <si>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</si>
  <si>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</si>
  <si>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</si>
  <si>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PRO2600175954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</si>
  <si>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</si>
  <si>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</si>
  <si>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</si>
  <si>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</si>
  <si>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</si>
  <si>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</si>
  <si>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</si>
  <si>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</si>
  <si>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</si>
  <si>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</si>
  <si>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</si>
  <si>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</si>
  <si>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</si>
  <si>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</si>
  <si>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</si>
  <si>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</si>
  <si>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</si>
  <si>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</si>
  <si>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</si>
  <si>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</si>
  <si>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</si>
  <si>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</si>
  <si>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</si>
  <si>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</si>
  <si>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</si>
  <si>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</si>
  <si>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</si>
  <si>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</si>
  <si>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</si>
  <si>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PRO2600176568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</si>
  <si>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</si>
  <si>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</si>
  <si>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</si>
  <si>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</si>
  <si>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</si>
  <si>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</si>
  <si>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</si>
  <si>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</si>
  <si>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</si>
  <si>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</si>
  <si>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</si>
  <si>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</si>
  <si>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</si>
  <si>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</si>
  <si>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</si>
  <si>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</si>
  <si>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</si>
  <si>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</si>
  <si>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</si>
  <si>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</si>
  <si>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</si>
  <si>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</si>
  <si>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</si>
  <si>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</si>
  <si>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</si>
  <si>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</si>
  <si>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</si>
  <si>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</si>
  <si>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</si>
  <si>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</si>
  <si>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</si>
  <si>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</si>
  <si>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</si>
  <si>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</si>
  <si>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</si>
  <si>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</si>
  <si>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</si>
  <si>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</si>
  <si>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</si>
  <si>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</si>
  <si>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</si>
  <si>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</si>
  <si>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</si>
  <si>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</si>
  <si>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</si>
  <si>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</si>
  <si>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</si>
  <si>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</si>
  <si>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</si>
  <si>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</si>
  <si>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</si>
  <si>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</si>
  <si>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</si>
  <si>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</si>
  <si>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</si>
  <si>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</si>
  <si>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</si>
  <si>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</si>
  <si>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</si>
  <si>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</si>
  <si>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</si>
  <si>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</si>
  <si>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</si>
  <si>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</si>
  <si>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</si>
  <si>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</si>
  <si>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</si>
  <si>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</si>
  <si>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</si>
  <si>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</si>
  <si>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</si>
  <si>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</si>
  <si>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</si>
  <si>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</si>
  <si>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</si>
  <si>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</si>
  <si>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</si>
  <si>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</si>
  <si>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</si>
  <si>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</si>
  <si>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</si>
  <si>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</si>
  <si>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</si>
  <si>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</si>
  <si>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</si>
  <si>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</si>
  <si>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</si>
  <si>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</si>
  <si>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</si>
  <si>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</si>
  <si>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</si>
  <si>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</si>
  <si>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</si>
  <si>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</si>
  <si>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</si>
  <si>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</si>
  <si>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</si>
  <si>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</si>
  <si>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</si>
  <si>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</si>
  <si>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</si>
  <si>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PRO2600178870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</si>
  <si>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</si>
  <si>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</si>
  <si>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</si>
  <si>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</si>
  <si>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</si>
  <si>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</si>
  <si>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</si>
  <si>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</si>
  <si>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</si>
  <si>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</si>
  <si>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</si>
  <si>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</si>
  <si>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</si>
  <si>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</si>
  <si>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</si>
  <si>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</si>
  <si>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</si>
  <si>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</si>
  <si>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</si>
  <si>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</si>
  <si>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</si>
  <si>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</si>
  <si>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</si>
  <si>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</si>
  <si>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</si>
  <si>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</si>
  <si>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</si>
  <si>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</si>
  <si>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</si>
  <si>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</si>
  <si>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</si>
  <si>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</si>
  <si>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</si>
  <si>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</si>
  <si>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</si>
  <si>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</si>
  <si>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</si>
  <si>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</si>
  <si>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</si>
  <si>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</si>
  <si>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</si>
  <si>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</si>
  <si>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</si>
  <si>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</si>
  <si>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</si>
  <si>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</si>
  <si>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</si>
  <si>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</si>
  <si>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</si>
  <si>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</si>
  <si>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</si>
  <si>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</si>
  <si>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</si>
  <si>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</si>
  <si>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</si>
  <si>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</si>
  <si>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</si>
  <si>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Z7-C2-13-6-B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</si>
  <si>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</si>
  <si>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</si>
  <si>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</si>
  <si>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</si>
  <si>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</si>
  <si>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</si>
  <si>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</si>
  <si>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</si>
  <si>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</si>
  <si>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</si>
  <si>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</si>
  <si>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</si>
  <si>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</si>
  <si>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</si>
  <si>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</si>
  <si>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</si>
  <si>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</si>
  <si>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</si>
  <si>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</si>
  <si>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</si>
  <si>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</si>
  <si>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</si>
  <si>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</si>
  <si>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</si>
  <si>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</si>
  <si>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</si>
  <si>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</si>
  <si>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</si>
  <si>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</si>
  <si>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</si>
  <si>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</si>
  <si>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</si>
  <si>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</si>
  <si>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</si>
  <si>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</si>
  <si>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</si>
  <si>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</si>
  <si>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</si>
  <si>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</si>
  <si>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</si>
  <si>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</si>
  <si>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</si>
  <si>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</si>
  <si>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</si>
  <si>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</si>
  <si>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</si>
  <si>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</si>
  <si>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</si>
  <si>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</si>
  <si>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</si>
  <si>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</si>
  <si>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</si>
  <si>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</si>
  <si>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</si>
  <si>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</si>
  <si>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</si>
  <si>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</si>
  <si>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</si>
  <si>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</si>
  <si>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</si>
  <si>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</si>
  <si>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</si>
  <si>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</si>
  <si>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</si>
  <si>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</si>
  <si>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</si>
  <si>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</si>
  <si>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</si>
  <si>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</si>
  <si>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</si>
  <si>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</si>
  <si>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</si>
  <si>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</si>
  <si>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</si>
  <si>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</si>
  <si>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</si>
  <si>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</si>
  <si>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</si>
  <si>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</si>
  <si>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</si>
  <si>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</si>
  <si>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PRO2600180696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</si>
  <si>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</si>
  <si>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</si>
  <si>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</si>
  <si>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</si>
  <si>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</si>
  <si>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</si>
  <si>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</si>
  <si>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</si>
  <si>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</si>
  <si>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</si>
  <si>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</si>
  <si>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</si>
  <si>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</si>
  <si>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</si>
  <si>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</si>
  <si>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</si>
  <si>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</si>
  <si>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</si>
  <si>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</si>
  <si>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</si>
  <si>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</si>
  <si>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</si>
  <si>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</si>
  <si>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</si>
  <si>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</si>
  <si>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</si>
  <si>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</si>
  <si>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</si>
  <si>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</si>
  <si>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</si>
  <si>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</si>
  <si>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</si>
  <si>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</si>
  <si>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</si>
  <si>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</si>
  <si>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</si>
  <si>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</si>
  <si>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</si>
  <si>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</si>
  <si>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</si>
  <si>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</si>
  <si>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</si>
  <si>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</si>
  <si>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</si>
  <si>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</si>
  <si>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</si>
  <si>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</si>
  <si>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</si>
  <si>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</si>
  <si>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</si>
  <si>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</si>
  <si>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</si>
  <si>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</si>
  <si>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</si>
  <si>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</si>
  <si>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</si>
  <si>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</si>
  <si>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</si>
  <si>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</si>
  <si>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</si>
  <si>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</si>
  <si>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</si>
  <si>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</si>
  <si>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</si>
  <si>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</si>
  <si>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</si>
  <si>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</si>
  <si>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</si>
  <si>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</si>
  <si>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</si>
  <si>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</si>
  <si>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</si>
  <si>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</si>
  <si>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</si>
  <si>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</si>
  <si>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</si>
  <si>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</si>
  <si>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</si>
  <si>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</si>
  <si>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</si>
  <si>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</si>
  <si>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</si>
  <si>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</si>
  <si>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</si>
  <si>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</si>
  <si>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</si>
  <si>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</si>
  <si>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</si>
  <si>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</si>
  <si>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</si>
  <si>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</si>
  <si>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</si>
  <si>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</si>
  <si>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</si>
  <si>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</si>
  <si>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</si>
  <si>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</si>
  <si>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</si>
  <si>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</si>
  <si>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</si>
  <si>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</si>
  <si>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PRO2600181941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</si>
  <si>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</si>
  <si>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</si>
  <si>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</si>
  <si>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</si>
  <si>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</si>
  <si>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</si>
  <si>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</si>
  <si>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</si>
  <si>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</si>
  <si>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</si>
  <si>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</si>
  <si>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</si>
  <si>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</si>
  <si>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</si>
  <si>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</si>
  <si>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</si>
  <si>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</si>
  <si>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</si>
  <si>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</si>
  <si>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</si>
  <si>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</si>
  <si>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</si>
  <si>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</si>
  <si>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</si>
  <si>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</si>
  <si>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</si>
  <si>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</si>
  <si>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</si>
  <si>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</si>
  <si>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</si>
  <si>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</si>
  <si>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</si>
  <si>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</si>
  <si>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</si>
  <si>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</si>
  <si>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</si>
  <si>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</si>
  <si>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</si>
  <si>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</si>
  <si>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</si>
  <si>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</si>
  <si>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</si>
  <si>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</si>
  <si>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</si>
  <si>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</si>
  <si>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</si>
  <si>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</si>
  <si>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</si>
  <si>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</si>
  <si>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</si>
  <si>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</si>
  <si>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</si>
  <si>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</si>
  <si>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</si>
  <si>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</si>
  <si>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</si>
  <si>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</si>
  <si>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</si>
  <si>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</si>
  <si>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</si>
  <si>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</si>
  <si>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</si>
  <si>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</si>
  <si>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</si>
  <si>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</si>
  <si>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</si>
  <si>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</si>
  <si>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</si>
  <si>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</si>
  <si>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</si>
  <si>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</si>
  <si>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</si>
  <si>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</si>
  <si>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</si>
  <si>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</si>
  <si>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</si>
  <si>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</si>
  <si>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</si>
  <si>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</si>
  <si>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</si>
  <si>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</si>
  <si>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</si>
  <si>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</si>
  <si>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</si>
  <si>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</si>
  <si>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</si>
  <si>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</si>
  <si>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</si>
  <si>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</si>
  <si>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</si>
  <si>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</si>
  <si>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</si>
  <si>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</si>
  <si>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</si>
  <si>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</si>
  <si>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</si>
  <si>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</si>
  <si>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</si>
  <si>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</si>
  <si>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</si>
  <si>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</si>
  <si>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</si>
  <si>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</si>
  <si>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</si>
  <si>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</si>
  <si>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</si>
  <si>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</si>
  <si>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</si>
  <si>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</si>
  <si>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</si>
  <si>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</si>
  <si>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</si>
  <si>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</si>
  <si>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</si>
  <si>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</si>
  <si>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</si>
  <si>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PRO2600182256</t>
  </si>
  <si>
    <t>PRO2600183320</t>
  </si>
  <si>
    <t>PRO2600182685</t>
  </si>
  <si>
    <t>PRO2600183204</t>
  </si>
  <si>
    <t>PRO2600182537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</si>
  <si>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</si>
  <si>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</si>
  <si>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</si>
  <si>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</si>
  <si>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</si>
  <si>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</si>
  <si>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</si>
  <si>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</si>
  <si>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PRO2600182828</t>
  </si>
  <si>
    <t>PRO2600182594</t>
  </si>
  <si>
    <t>PRO2600183232</t>
  </si>
  <si>
    <t>PRO2600182659</t>
  </si>
  <si>
    <t>PRO2600182253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</si>
  <si>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</si>
  <si>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</si>
  <si>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</si>
  <si>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</si>
  <si>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</si>
  <si>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</si>
  <si>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</si>
  <si>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</si>
  <si>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</si>
  <si>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</si>
  <si>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</si>
  <si>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</si>
  <si>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</si>
  <si>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</si>
  <si>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</si>
  <si>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</si>
  <si>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</si>
  <si>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</si>
  <si>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</si>
  <si>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</si>
  <si>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</si>
  <si>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</si>
  <si>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</si>
  <si>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</si>
  <si>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</si>
  <si>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</si>
  <si>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</si>
  <si>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</si>
  <si>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</si>
  <si>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</si>
  <si>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</si>
  <si>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</si>
  <si>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</si>
  <si>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</si>
  <si>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</si>
  <si>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</si>
  <si>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</si>
  <si>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</si>
  <si>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</si>
  <si>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</si>
  <si>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</si>
  <si>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</si>
  <si>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</si>
  <si>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</si>
  <si>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</si>
  <si>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</si>
  <si>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</si>
  <si>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</si>
  <si>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</si>
  <si>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</si>
  <si>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</si>
  <si>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</si>
  <si>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</si>
  <si>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</si>
  <si>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</si>
  <si>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</si>
  <si>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</si>
  <si>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</si>
  <si>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</si>
  <si>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</si>
  <si>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</si>
  <si>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</si>
  <si>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</si>
  <si>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</si>
  <si>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</si>
  <si>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</si>
  <si>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</si>
  <si>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</si>
  <si>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</si>
  <si>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</si>
  <si>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</si>
  <si>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</si>
  <si>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</si>
  <si>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</si>
  <si>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</si>
  <si>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</si>
  <si>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</si>
  <si>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</si>
  <si>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</si>
  <si>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</si>
  <si>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</si>
  <si>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</si>
  <si>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</si>
  <si>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</si>
  <si>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</si>
  <si>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</si>
  <si>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</si>
  <si>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</si>
  <si>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</si>
  <si>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</si>
  <si>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</si>
  <si>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</si>
  <si>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</si>
  <si>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</si>
  <si>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</si>
  <si>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</si>
  <si>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</si>
  <si>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</si>
  <si>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</si>
  <si>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</si>
  <si>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</si>
  <si>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</si>
  <si>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</si>
  <si>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</si>
  <si>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</si>
  <si>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</si>
  <si>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</si>
  <si>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</si>
  <si>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</si>
  <si>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</si>
  <si>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</si>
  <si>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</si>
  <si>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</si>
  <si>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</si>
  <si>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</si>
  <si>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</si>
  <si>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</si>
  <si>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</si>
  <si>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</si>
  <si>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</si>
  <si>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</si>
  <si>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</si>
  <si>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</si>
  <si>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</si>
  <si>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</si>
  <si>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</si>
  <si>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</si>
  <si>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</si>
  <si>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</si>
  <si>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</si>
  <si>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</si>
  <si>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</si>
  <si>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</si>
  <si>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</si>
  <si>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</si>
  <si>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</si>
  <si>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</si>
  <si>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</si>
  <si>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PRO2600185480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</si>
  <si>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</si>
  <si>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</si>
  <si>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</si>
  <si>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</si>
  <si>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</si>
  <si>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</si>
  <si>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</si>
  <si>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</si>
  <si>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</si>
  <si>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</si>
  <si>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</si>
  <si>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</si>
  <si>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</si>
  <si>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</si>
  <si>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</si>
  <si>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</si>
  <si>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</si>
  <si>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</si>
  <si>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</si>
  <si>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</si>
  <si>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</si>
  <si>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</si>
  <si>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</si>
  <si>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</si>
  <si>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</si>
  <si>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</si>
  <si>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</si>
  <si>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</si>
  <si>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</si>
  <si>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</si>
  <si>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</si>
  <si>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</si>
  <si>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</si>
  <si>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</si>
  <si>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</si>
  <si>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</si>
  <si>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</si>
  <si>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</si>
  <si>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</si>
  <si>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</si>
  <si>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</si>
  <si>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</si>
  <si>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</si>
  <si>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</si>
  <si>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</si>
  <si>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</si>
  <si>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</si>
  <si>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</si>
  <si>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</si>
  <si>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</si>
  <si>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</si>
  <si>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</si>
  <si>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</si>
  <si>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</si>
  <si>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</si>
  <si>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</si>
  <si>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</si>
  <si>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</si>
  <si>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</si>
  <si>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</si>
  <si>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</si>
  <si>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</si>
  <si>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</si>
  <si>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</si>
  <si>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</si>
  <si>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</si>
  <si>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</si>
  <si>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</si>
  <si>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</si>
  <si>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</si>
  <si>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</si>
  <si>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</si>
  <si>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</si>
  <si>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</si>
  <si>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</si>
  <si>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</si>
  <si>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</si>
  <si>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</si>
  <si>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</si>
  <si>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</si>
  <si>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</si>
  <si>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</si>
  <si>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</si>
  <si>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</si>
  <si>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</si>
  <si>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</si>
  <si>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</si>
  <si>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</si>
  <si>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</si>
  <si>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</si>
  <si>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</si>
  <si>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</si>
  <si>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</si>
  <si>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PRO2600186558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</si>
  <si>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</si>
  <si>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</si>
  <si>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</si>
  <si>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</si>
  <si>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PRO2600184153</t>
  </si>
  <si>
    <t>PRO2600185265</t>
  </si>
  <si>
    <t>PRO2600185439</t>
  </si>
  <si>
    <t>PRO2600186406</t>
  </si>
  <si>
    <t>PRO2600187953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</si>
  <si>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</si>
  <si>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</si>
  <si>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</si>
  <si>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</si>
  <si>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</si>
  <si>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</si>
  <si>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</si>
  <si>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</si>
  <si>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</si>
  <si>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</si>
  <si>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</si>
  <si>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</si>
  <si>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</si>
  <si>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</si>
  <si>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</si>
  <si>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</si>
  <si>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</si>
  <si>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</si>
  <si>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</si>
  <si>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</si>
  <si>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</si>
  <si>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</si>
  <si>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</si>
  <si>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</si>
  <si>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</si>
  <si>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</si>
  <si>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</si>
  <si>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</si>
  <si>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</si>
  <si>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</si>
  <si>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</si>
  <si>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</si>
  <si>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</si>
  <si>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</si>
  <si>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</si>
  <si>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</si>
  <si>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</si>
  <si>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</si>
  <si>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</si>
  <si>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</si>
  <si>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</si>
  <si>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</si>
  <si>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</si>
  <si>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</si>
  <si>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</si>
  <si>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</si>
  <si>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</si>
  <si>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</si>
  <si>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</si>
  <si>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</si>
  <si>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</si>
  <si>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</si>
  <si>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</si>
  <si>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</si>
  <si>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</si>
  <si>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</si>
  <si>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</si>
  <si>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</si>
  <si>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</si>
  <si>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</si>
  <si>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</si>
  <si>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</si>
  <si>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</si>
  <si>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</si>
  <si>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</si>
  <si>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</si>
  <si>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</si>
  <si>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</si>
  <si>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</si>
  <si>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</si>
  <si>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</si>
  <si>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</si>
  <si>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</si>
  <si>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</si>
  <si>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</si>
  <si>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</si>
  <si>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</si>
  <si>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</si>
  <si>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</si>
  <si>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</si>
  <si>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</si>
  <si>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</si>
  <si>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</si>
  <si>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PRO2600187813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</si>
  <si>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</si>
  <si>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</si>
  <si>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</si>
  <si>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</si>
  <si>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</si>
  <si>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</si>
  <si>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</si>
  <si>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</si>
  <si>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</si>
  <si>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</si>
  <si>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</si>
  <si>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</si>
  <si>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</si>
  <si>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</si>
  <si>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</si>
  <si>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</si>
  <si>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</si>
  <si>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</si>
  <si>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</si>
  <si>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</si>
  <si>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</si>
  <si>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</si>
  <si>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</si>
  <si>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</si>
  <si>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</si>
  <si>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</si>
  <si>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</si>
  <si>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</si>
  <si>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</si>
  <si>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</si>
  <si>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</si>
  <si>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</si>
  <si>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</si>
  <si>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</si>
  <si>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</si>
  <si>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</si>
  <si>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</si>
  <si>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</si>
  <si>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</si>
  <si>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</si>
  <si>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</si>
  <si>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</si>
  <si>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</si>
  <si>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</si>
  <si>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</si>
  <si>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</si>
  <si>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</si>
  <si>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</si>
  <si>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</si>
  <si>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</si>
  <si>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</si>
  <si>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</si>
  <si>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</si>
  <si>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</si>
  <si>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PRO2600188049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</si>
  <si>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</si>
  <si>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</si>
  <si>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</si>
  <si>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</si>
  <si>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</si>
  <si>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</si>
  <si>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</si>
  <si>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</si>
  <si>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</si>
  <si>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</si>
  <si>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</si>
  <si>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</si>
  <si>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</si>
  <si>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</si>
  <si>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</si>
  <si>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</si>
  <si>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</si>
  <si>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</si>
  <si>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</si>
  <si>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</si>
  <si>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</si>
  <si>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</si>
  <si>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</si>
  <si>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</si>
  <si>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PRO2600188028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</si>
  <si>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</si>
  <si>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</si>
  <si>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</si>
  <si>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</si>
  <si>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</si>
  <si>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</si>
  <si>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</si>
  <si>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</si>
  <si>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</si>
  <si>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</si>
  <si>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</si>
  <si>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</si>
  <si>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</si>
  <si>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</si>
  <si>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</si>
  <si>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</si>
  <si>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</si>
  <si>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</si>
  <si>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</si>
  <si>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</si>
  <si>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</si>
  <si>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</si>
  <si>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</si>
  <si>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</si>
  <si>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</si>
  <si>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</si>
  <si>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</si>
  <si>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</si>
  <si>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</si>
  <si>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</si>
  <si>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</si>
  <si>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</si>
  <si>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</si>
  <si>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</si>
  <si>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</si>
  <si>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</si>
  <si>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</si>
  <si>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PRO2600188070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</si>
  <si>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</si>
  <si>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</si>
  <si>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</si>
  <si>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</si>
  <si>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</si>
  <si>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</si>
  <si>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</si>
  <si>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</si>
  <si>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</si>
  <si>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</si>
  <si>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PRO2600188927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</si>
  <si>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</si>
  <si>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</si>
  <si>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</si>
  <si>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</si>
  <si>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</si>
  <si>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</si>
  <si>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</si>
  <si>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</si>
  <si>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</si>
  <si>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</si>
  <si>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</si>
  <si>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</si>
  <si>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</si>
  <si>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</si>
  <si>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</si>
  <si>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</si>
  <si>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</si>
  <si>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</si>
  <si>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</si>
  <si>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</si>
  <si>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</si>
  <si>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</si>
  <si>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</si>
  <si>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</si>
  <si>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</si>
  <si>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</si>
  <si>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</si>
  <si>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</si>
  <si>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</si>
  <si>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</si>
  <si>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</si>
  <si>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</si>
  <si>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</si>
  <si>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</si>
  <si>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</si>
  <si>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</si>
  <si>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PRO2600189094</t>
  </si>
  <si>
    <t>PRO2600188448</t>
  </si>
  <si>
    <t>PRO2600188942</t>
  </si>
  <si>
    <t>PRO2600189279</t>
  </si>
  <si>
    <t>PRO2600189374</t>
  </si>
  <si>
    <t>Z7-D1-02-3-A</t>
  </si>
  <si>
    <t>PRO2600188890</t>
  </si>
  <si>
    <t>PRO2600188911</t>
  </si>
  <si>
    <t>PRO2600188453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</si>
  <si>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</si>
  <si>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</si>
  <si>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</si>
  <si>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</si>
  <si>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</si>
  <si>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</si>
  <si>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</si>
  <si>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</si>
  <si>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</si>
  <si>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</si>
  <si>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</si>
  <si>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PRO2600181030</t>
  </si>
  <si>
    <t>PRO2600186501</t>
  </si>
  <si>
    <t>PRO2600189518</t>
  </si>
  <si>
    <t>PRO2600189508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</si>
  <si>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</si>
  <si>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</si>
  <si>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</si>
  <si>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</si>
  <si>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</si>
  <si>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</si>
  <si>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</si>
  <si>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</si>
  <si>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</si>
  <si>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</si>
  <si>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</si>
  <si>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</si>
  <si>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</si>
  <si>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</si>
  <si>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</si>
  <si>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</si>
  <si>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</si>
  <si>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</si>
  <si>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</si>
  <si>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</si>
  <si>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</si>
  <si>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PRO2600189549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</si>
  <si>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</si>
  <si>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</si>
  <si>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</si>
  <si>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</si>
  <si>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</si>
  <si>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</si>
  <si>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</si>
  <si>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</si>
  <si>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</si>
  <si>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</si>
  <si>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</si>
  <si>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</si>
  <si>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</si>
  <si>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</si>
  <si>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</si>
  <si>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</si>
  <si>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</si>
  <si>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</si>
  <si>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</si>
  <si>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</si>
  <si>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</si>
  <si>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</si>
  <si>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</si>
  <si>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</si>
  <si>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</si>
  <si>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</si>
  <si>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</si>
  <si>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</si>
  <si>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</si>
  <si>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</si>
  <si>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</si>
  <si>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</si>
  <si>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</si>
  <si>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</si>
  <si>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</si>
  <si>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</si>
  <si>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</si>
  <si>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</si>
  <si>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PRO2600190035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</si>
  <si>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</si>
  <si>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</si>
  <si>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</si>
  <si>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</si>
  <si>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</si>
  <si>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</si>
  <si>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</si>
  <si>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</si>
  <si>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</si>
  <si>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</si>
  <si>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PRO2600190670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</si>
  <si>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</si>
  <si>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</si>
  <si>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</si>
  <si>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</si>
  <si>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</si>
  <si>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</si>
  <si>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</si>
  <si>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</si>
  <si>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</si>
  <si>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</si>
  <si>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</si>
  <si>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</si>
  <si>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</si>
  <si>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</si>
  <si>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</si>
  <si>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</si>
  <si>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</si>
  <si>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</si>
  <si>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</si>
  <si>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</si>
  <si>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</si>
  <si>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</si>
  <si>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</si>
  <si>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</si>
  <si>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</si>
  <si>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</si>
  <si>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</si>
  <si>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</si>
  <si>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</si>
  <si>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</si>
  <si>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</si>
  <si>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</si>
  <si>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</si>
  <si>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</si>
  <si>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</si>
  <si>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</si>
  <si>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</si>
  <si>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</si>
  <si>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</si>
  <si>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</si>
  <si>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</si>
  <si>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</si>
  <si>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</si>
  <si>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</si>
  <si>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</si>
  <si>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</si>
  <si>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</si>
  <si>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</si>
  <si>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</si>
  <si>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</si>
  <si>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</si>
  <si>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</si>
  <si>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</si>
  <si>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</si>
  <si>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</si>
  <si>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</si>
  <si>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</si>
  <si>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</si>
  <si>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</si>
  <si>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</si>
  <si>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</si>
  <si>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</si>
  <si>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</si>
  <si>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</si>
  <si>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</si>
  <si>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</si>
  <si>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</si>
  <si>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</si>
  <si>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</si>
  <si>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</si>
  <si>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</si>
  <si>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</si>
  <si>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</si>
  <si>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</si>
  <si>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</si>
  <si>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</si>
  <si>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</si>
  <si>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</si>
  <si>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</si>
  <si>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</si>
  <si>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</si>
  <si>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</si>
  <si>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</si>
  <si>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</si>
  <si>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</si>
  <si>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</si>
  <si>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</si>
  <si>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</si>
  <si>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</si>
  <si>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</si>
  <si>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</si>
  <si>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</si>
  <si>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</si>
  <si>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</si>
  <si>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</si>
  <si>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</si>
  <si>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</si>
  <si>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</si>
  <si>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</si>
  <si>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</si>
  <si>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</si>
  <si>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</si>
  <si>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</si>
  <si>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</si>
  <si>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</si>
  <si>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</si>
  <si>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</si>
  <si>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</si>
  <si>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</si>
  <si>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</si>
  <si>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</si>
  <si>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</si>
  <si>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</si>
  <si>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</si>
  <si>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</si>
  <si>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</si>
  <si>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</si>
  <si>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</si>
  <si>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</si>
  <si>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</si>
  <si>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</si>
  <si>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</si>
  <si>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</si>
  <si>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</si>
  <si>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</si>
  <si>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</si>
  <si>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</si>
  <si>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</si>
  <si>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</si>
  <si>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</si>
  <si>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</si>
  <si>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</si>
  <si>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</si>
  <si>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</si>
  <si>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</si>
  <si>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</si>
  <si>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</si>
  <si>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</si>
  <si>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</si>
  <si>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</si>
  <si>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</si>
  <si>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</si>
  <si>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</si>
  <si>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</si>
  <si>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</si>
  <si>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</si>
  <si>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</si>
  <si>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</si>
  <si>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</si>
  <si>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</si>
  <si>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</si>
  <si>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</si>
  <si>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</si>
  <si>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</si>
  <si>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</si>
  <si>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</si>
  <si>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</si>
  <si>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</si>
  <si>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</si>
  <si>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</si>
  <si>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</si>
  <si>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</si>
  <si>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</si>
  <si>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</si>
  <si>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</si>
  <si>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</si>
  <si>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</si>
  <si>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</si>
  <si>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</si>
  <si>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</si>
  <si>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</si>
  <si>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</si>
  <si>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</si>
  <si>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</si>
  <si>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</si>
  <si>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</si>
  <si>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</si>
  <si>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</si>
  <si>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</si>
  <si>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</si>
  <si>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</si>
  <si>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</si>
  <si>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</si>
  <si>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</si>
  <si>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</si>
  <si>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</si>
  <si>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PRO2600192957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</si>
  <si>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</si>
  <si>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</si>
  <si>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</si>
  <si>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</si>
  <si>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</si>
  <si>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</si>
  <si>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</si>
  <si>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</si>
  <si>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</si>
  <si>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</si>
  <si>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</si>
  <si>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</si>
  <si>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</si>
  <si>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</si>
  <si>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</si>
  <si>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</si>
  <si>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</si>
  <si>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</si>
  <si>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</si>
  <si>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</si>
  <si>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</si>
  <si>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</si>
  <si>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</si>
  <si>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</si>
  <si>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</si>
  <si>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</si>
  <si>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</si>
  <si>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</si>
  <si>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</si>
  <si>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</si>
  <si>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</si>
  <si>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</si>
  <si>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</si>
  <si>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</si>
  <si>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</si>
  <si>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</si>
  <si>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</si>
  <si>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</si>
  <si>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</si>
  <si>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</si>
  <si>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</si>
  <si>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</si>
  <si>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</si>
  <si>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</si>
  <si>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</si>
  <si>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</si>
  <si>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</si>
  <si>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</si>
  <si>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</si>
  <si>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</si>
  <si>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</si>
  <si>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</si>
  <si>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</si>
  <si>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</si>
  <si>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</si>
  <si>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</si>
  <si>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</si>
  <si>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</si>
  <si>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</si>
  <si>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</si>
  <si>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</si>
  <si>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</si>
  <si>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</si>
  <si>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</si>
  <si>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</si>
  <si>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</si>
  <si>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</si>
  <si>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</si>
  <si>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</si>
  <si>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</si>
  <si>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</si>
  <si>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</si>
  <si>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</si>
  <si>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</si>
  <si>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</si>
  <si>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</si>
  <si>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</si>
  <si>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</si>
  <si>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</si>
  <si>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</si>
  <si>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</si>
  <si>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</si>
  <si>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</si>
  <si>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</si>
  <si>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</si>
  <si>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</si>
  <si>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</si>
  <si>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</si>
  <si>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</si>
  <si>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</si>
  <si>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</si>
  <si>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</si>
  <si>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</si>
  <si>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</si>
  <si>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</si>
  <si>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</si>
  <si>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</si>
  <si>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</si>
  <si>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</si>
  <si>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</si>
  <si>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</si>
  <si>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</si>
  <si>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</si>
  <si>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</si>
  <si>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</si>
  <si>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</si>
  <si>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</si>
  <si>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</si>
  <si>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</si>
  <si>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</si>
  <si>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</si>
  <si>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</si>
  <si>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</si>
  <si>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</si>
  <si>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</si>
  <si>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</si>
  <si>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</si>
  <si>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</si>
  <si>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</si>
  <si>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</si>
  <si>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</si>
  <si>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</si>
  <si>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</si>
  <si>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</si>
  <si>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</si>
  <si>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</si>
  <si>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</si>
  <si>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</si>
  <si>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</si>
  <si>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</si>
  <si>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</si>
  <si>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</si>
  <si>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</si>
  <si>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</si>
  <si>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</si>
  <si>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</si>
  <si>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</si>
  <si>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</si>
  <si>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</si>
  <si>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</si>
  <si>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</si>
  <si>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</si>
  <si>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</si>
  <si>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</si>
  <si>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</si>
  <si>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</si>
  <si>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</si>
  <si>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</si>
  <si>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</si>
  <si>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</si>
  <si>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</si>
  <si>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</si>
  <si>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</si>
  <si>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</si>
  <si>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</si>
  <si>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</si>
  <si>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</si>
  <si>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</si>
  <si>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</si>
  <si>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</si>
  <si>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</si>
  <si>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</si>
  <si>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</si>
  <si>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</si>
  <si>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</si>
  <si>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</si>
  <si>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</si>
  <si>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</si>
  <si>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</si>
  <si>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</si>
  <si>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</si>
  <si>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</si>
  <si>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</si>
  <si>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</si>
  <si>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</si>
  <si>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</si>
  <si>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</si>
  <si>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</si>
  <si>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</si>
  <si>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</si>
  <si>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</si>
  <si>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</si>
  <si>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</si>
  <si>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</si>
  <si>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</si>
  <si>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</si>
  <si>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</si>
  <si>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</si>
  <si>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</si>
  <si>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</si>
  <si>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</si>
  <si>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PRO2600194901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</si>
  <si>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</si>
  <si>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</si>
  <si>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</si>
  <si>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</si>
  <si>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</si>
  <si>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</si>
  <si>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</si>
  <si>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</si>
  <si>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</si>
  <si>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</si>
  <si>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</si>
  <si>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</si>
  <si>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</si>
  <si>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</si>
  <si>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</si>
  <si>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</si>
  <si>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</si>
  <si>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</si>
  <si>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</si>
  <si>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</si>
  <si>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</si>
  <si>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</si>
  <si>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</si>
  <si>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</si>
  <si>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</si>
  <si>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</si>
  <si>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</si>
  <si>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</si>
  <si>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</si>
  <si>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</si>
  <si>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</si>
  <si>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</si>
  <si>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</si>
  <si>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</si>
  <si>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</si>
  <si>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</si>
  <si>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</si>
  <si>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</si>
  <si>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</si>
  <si>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</si>
  <si>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</si>
  <si>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</si>
  <si>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</si>
  <si>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</si>
  <si>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</si>
  <si>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</si>
  <si>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</si>
  <si>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</si>
  <si>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</si>
  <si>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</si>
  <si>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</si>
  <si>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</si>
  <si>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</si>
  <si>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</si>
  <si>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</si>
  <si>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</si>
  <si>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</si>
  <si>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</si>
  <si>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</si>
  <si>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</si>
  <si>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</si>
  <si>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</si>
  <si>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</si>
  <si>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</si>
  <si>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</si>
  <si>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</si>
  <si>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</si>
  <si>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</si>
  <si>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</si>
  <si>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</si>
  <si>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</si>
  <si>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</si>
  <si>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</si>
  <si>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</si>
  <si>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</si>
  <si>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</si>
  <si>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</si>
  <si>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</si>
  <si>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</si>
  <si>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</si>
  <si>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</si>
  <si>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</si>
  <si>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</si>
  <si>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</si>
  <si>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</si>
  <si>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</si>
  <si>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</si>
  <si>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</si>
  <si>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</si>
  <si>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</si>
  <si>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</si>
  <si>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</si>
  <si>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</si>
  <si>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PRO2600197289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</si>
  <si>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</si>
  <si>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</si>
  <si>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</si>
  <si>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</si>
  <si>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</si>
  <si>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</si>
  <si>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</si>
  <si>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</si>
  <si>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PRO2600197217</t>
  </si>
  <si>
    <t>https://public.ananinja.com/files/files/whm_purchaseReturnOrders_production_9ddd60f4-b04e-4e4d-81eb-8eb7ad868283/show</t>
  </si>
  <si>
    <t>PRO2600197773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</si>
  <si>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</si>
  <si>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</si>
  <si>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</si>
  <si>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</si>
  <si>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</si>
  <si>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</si>
  <si>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</si>
  <si>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</si>
  <si>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</si>
  <si>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</si>
  <si>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</si>
  <si>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</si>
  <si>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</si>
  <si>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</si>
  <si>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</si>
  <si>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</si>
  <si>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</si>
  <si>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</si>
  <si>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</si>
  <si>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</si>
  <si>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</si>
  <si>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</si>
  <si>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</si>
  <si>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</si>
  <si>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</si>
  <si>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</si>
  <si>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</si>
  <si>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PRO2600197163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</si>
  <si>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</si>
  <si>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</si>
  <si>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</si>
  <si>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</si>
  <si>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</si>
  <si>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</si>
  <si>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</si>
  <si>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</si>
  <si>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</si>
  <si>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</si>
  <si>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</si>
  <si>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</si>
  <si>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</si>
  <si>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</si>
  <si>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</si>
  <si>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</si>
  <si>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</si>
  <si>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</si>
  <si>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</si>
  <si>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</si>
  <si>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</si>
  <si>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</si>
  <si>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</si>
  <si>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</si>
  <si>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</si>
  <si>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</si>
  <si>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</si>
  <si>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</si>
  <si>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</si>
  <si>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</si>
  <si>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</si>
  <si>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</si>
  <si>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</si>
  <si>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</si>
  <si>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</si>
  <si>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</si>
  <si>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</si>
  <si>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PRO2600197737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</si>
  <si>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</si>
  <si>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</si>
  <si>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</si>
  <si>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</si>
  <si>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</si>
  <si>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</si>
  <si>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</si>
  <si>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</si>
  <si>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</si>
  <si>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</si>
  <si>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</si>
  <si>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</si>
  <si>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</si>
  <si>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</si>
  <si>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</si>
  <si>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</si>
  <si>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</si>
  <si>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</si>
  <si>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</si>
  <si>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</si>
  <si>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</si>
  <si>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</si>
  <si>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</si>
  <si>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</si>
  <si>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</si>
  <si>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</si>
  <si>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</si>
  <si>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</si>
  <si>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</si>
  <si>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</si>
  <si>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</si>
  <si>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</si>
  <si>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</si>
  <si>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</si>
  <si>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</si>
  <si>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</si>
  <si>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</si>
  <si>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</si>
  <si>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</si>
  <si>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</si>
  <si>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</si>
  <si>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</si>
  <si>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https://public.ananinja.com/files/files/whm_purchaseReturnOrders_production_227a4174-d8ce-4706-87a3-7162aed267dc/show</t>
  </si>
  <si>
    <t>https://public.ananinja.com/files/files/whm_purchaseReturnOrders_production_065d4d2f-ab3b-4403-9b84-cf6a6d2b1d22/show</t>
  </si>
  <si>
    <t>https://public.ananinja.com/files/files/whm_purchaseReturnOrders_production_49e26932-9557-4b15-a61a-00915f402f00/show</t>
  </si>
  <si>
    <t>https://public.ananinja.com/files/files/whm_purchaseReturnOrders_production_47c270e5-1e8c-4cf1-8186-184599ab854b/show</t>
  </si>
  <si>
    <t>https://public.ananinja.com/files/files/whm_purchaseReturnOrders_production_87fda492-35c9-46cf-bf15-ff82a956bd27/show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</si>
  <si>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</si>
  <si>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</si>
  <si>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</si>
  <si>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</si>
  <si>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https://public.ananinja.com/files/files/whm_purchaseReturnOrders_production_089ba7ba-2b85-4158-a969-106fb65a4a6f/show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</si>
  <si>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</si>
  <si>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</si>
  <si>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</si>
  <si>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https://public.ananinja.com/files/files/whm_purchaseReturnOrders_production_bdca0c51-7a3e-44f4-ae03-656e9d9c0879/show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</si>
  <si>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</si>
  <si>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</si>
  <si>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</si>
  <si>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</si>
  <si>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</si>
  <si>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</si>
  <si>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https://public.ananinja.com/files/files/whm_purchaseReturnOrders_production_67574d0f-116a-4fea-99d9-a088307ecab9/show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</si>
  <si>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</si>
  <si>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</si>
  <si>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</si>
  <si>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</si>
  <si>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</si>
  <si>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</si>
  <si>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</si>
  <si>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</si>
  <si>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</si>
  <si>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</si>
  <si>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</si>
  <si>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</si>
  <si>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</si>
  <si>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</si>
  <si>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</si>
  <si>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</si>
  <si>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</si>
  <si>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</si>
  <si>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</si>
  <si>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</si>
  <si>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</si>
  <si>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</si>
  <si>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</si>
  <si>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</si>
  <si>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</si>
  <si>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</si>
  <si>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</si>
  <si>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</si>
  <si>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</si>
  <si>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</si>
  <si>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</si>
  <si>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</si>
  <si>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</si>
  <si>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</si>
  <si>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</si>
  <si>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</si>
  <si>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</si>
  <si>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</si>
  <si>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</si>
  <si>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</si>
  <si>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</si>
  <si>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</si>
  <si>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</si>
  <si>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</si>
  <si>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</si>
  <si>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</si>
  <si>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</si>
  <si>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</si>
  <si>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</si>
  <si>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</si>
  <si>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</si>
  <si>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</si>
  <si>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</si>
  <si>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</si>
  <si>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</si>
  <si>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</si>
  <si>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</si>
  <si>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PRO2600200474</t>
  </si>
  <si>
    <t>https://public.ananinja.com/files/files/whm_purchaseReturnOrders_production_6bf7e17f-6e7b-4188-8348-21f23f1559ea/show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</si>
  <si>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</si>
  <si>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</si>
  <si>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https://public.ananinja.com/files/files/whm_purchaseReturnOrders_production_abaad9cd-4f87-467e-911f-9e7f7a73e6e1/show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</si>
  <si>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</si>
  <si>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</si>
  <si>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</si>
  <si>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</si>
  <si>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https://public.ananinja.com/files/files/whm_purchaseReturnOrders_production_c781db06-a3b8-4ef2-a6be-0f0c805f3be2/show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</si>
  <si>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</si>
  <si>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</si>
  <si>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</si>
  <si>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https://public.ananinja.com/files/files/whm_purchaseReturnOrders_production_98e08783-1754-4d4b-a72d-1cf448fbc146/show</t>
  </si>
  <si>
    <t>https://public.ananinja.com/files/files/whm_purchaseReturnOrders_production_76889508-7834-4c92-b7b1-64c2de18858d/show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</si>
  <si>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</si>
  <si>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</si>
  <si>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</si>
  <si>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</si>
  <si>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</si>
  <si>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</si>
  <si>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</si>
  <si>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PRO2600200469</t>
  </si>
  <si>
    <t>https://public.ananinja.com/files/files/whm_purchaseReturnOrders_production_7fa53111-a7a7-492f-a185-acc91566461d/show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</si>
  <si>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</si>
  <si>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</si>
  <si>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</si>
  <si>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</si>
  <si>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</si>
  <si>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</si>
  <si>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</si>
  <si>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</si>
  <si>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</si>
  <si>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</si>
  <si>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</si>
  <si>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</si>
  <si>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</si>
  <si>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</si>
  <si>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</si>
  <si>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</si>
  <si>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</si>
  <si>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</si>
  <si>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</si>
  <si>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</si>
  <si>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</si>
  <si>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</si>
  <si>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</si>
  <si>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</si>
  <si>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</si>
  <si>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</si>
  <si>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</si>
  <si>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</si>
  <si>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</si>
  <si>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</si>
  <si>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</si>
  <si>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</si>
  <si>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</si>
  <si>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</si>
  <si>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</si>
  <si>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</si>
  <si>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</si>
  <si>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</si>
  <si>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</si>
  <si>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</si>
  <si>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</si>
  <si>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</si>
  <si>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</si>
  <si>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</si>
  <si>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</si>
  <si>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</si>
  <si>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</si>
  <si>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</si>
  <si>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</si>
  <si>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</si>
  <si>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</si>
  <si>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</si>
  <si>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</si>
  <si>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</si>
  <si>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</si>
  <si>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</si>
  <si>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</si>
  <si>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</si>
  <si>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</si>
  <si>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</si>
  <si>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</si>
  <si>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</si>
  <si>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</si>
  <si>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</si>
  <si>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</si>
  <si>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</si>
  <si>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</si>
  <si>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</si>
  <si>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</si>
  <si>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</si>
  <si>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</si>
  <si>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</si>
  <si>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</si>
  <si>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</si>
  <si>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</si>
  <si>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</si>
  <si>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</si>
  <si>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</si>
  <si>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</si>
  <si>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</si>
  <si>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</si>
  <si>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</si>
  <si>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</si>
  <si>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</si>
  <si>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</si>
  <si>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</si>
  <si>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</si>
  <si>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</si>
  <si>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</si>
  <si>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</si>
  <si>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</si>
  <si>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</si>
  <si>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</si>
  <si>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</si>
  <si>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</si>
  <si>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</si>
  <si>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</si>
  <si>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</si>
  <si>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</si>
  <si>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</si>
  <si>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</si>
  <si>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https://public.ananinja.com/files/files/whm_purchaseReturnOrders_production_104cb07e-4703-4ce5-8b68-29c2b67cc6c0/show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</si>
  <si>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</si>
  <si>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</si>
  <si>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</si>
  <si>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</si>
  <si>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</si>
  <si>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</si>
  <si>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</si>
  <si>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</si>
  <si>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</si>
  <si>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</si>
  <si>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</si>
  <si>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</si>
  <si>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</si>
  <si>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https://public.ananinja.com/files/files/whm_purchaseReturnOrders_production_e7dc7853-fd34-49c3-aba5-f3e658c23941/show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</si>
  <si>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</si>
  <si>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</si>
  <si>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</si>
  <si>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</si>
  <si>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</si>
  <si>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</si>
  <si>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</si>
  <si>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</si>
  <si>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</si>
  <si>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https://public.ananinja.com/files/files/whm_purchaseReturnOrders_production_6f779825-e893-48ee-96e4-1d29473bb0a0/show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</si>
  <si>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</si>
  <si>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</si>
  <si>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</si>
  <si>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</si>
  <si>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</si>
  <si>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</si>
  <si>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</si>
  <si>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</si>
  <si>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</si>
  <si>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</si>
  <si>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</si>
  <si>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</si>
  <si>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</si>
  <si>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</si>
  <si>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</si>
  <si>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</si>
  <si>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</si>
  <si>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</si>
  <si>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</si>
  <si>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</si>
  <si>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</si>
  <si>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</si>
  <si>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</si>
  <si>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</si>
  <si>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</si>
  <si>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</si>
  <si>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</si>
  <si>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</si>
  <si>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</si>
  <si>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</si>
  <si>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</si>
  <si>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</si>
  <si>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</si>
  <si>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</si>
  <si>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</si>
  <si>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https://public.ananinja.com/files/files/whm_purchaseReturnOrders_production_69acad40-512b-42d4-aed5-ee4fc4ed946e/show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</si>
  <si>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</si>
  <si>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</si>
  <si>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</si>
  <si>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</si>
  <si>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</si>
  <si>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</si>
  <si>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</si>
  <si>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</si>
  <si>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</si>
  <si>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</si>
  <si>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</si>
  <si>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</si>
  <si>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</si>
  <si>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</si>
  <si>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</si>
  <si>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</si>
  <si>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</si>
  <si>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</si>
  <si>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</si>
  <si>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</si>
  <si>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</si>
  <si>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</si>
  <si>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</si>
  <si>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</si>
  <si>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</si>
  <si>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</si>
  <si>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</si>
  <si>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</si>
  <si>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</si>
  <si>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</si>
  <si>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</si>
  <si>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</si>
  <si>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</si>
  <si>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</si>
  <si>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</si>
  <si>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</si>
  <si>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</si>
  <si>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</si>
  <si>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</si>
  <si>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</si>
  <si>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</si>
  <si>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</si>
  <si>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</si>
  <si>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</si>
  <si>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PRO2600201615</t>
  </si>
  <si>
    <t>https://public.ananinja.com/files/files/whm_purchaseReturnOrders_production_b1248179-9699-4589-9405-7bd7ce172a6c/show</t>
  </si>
  <si>
    <t>PRO2600201372</t>
  </si>
  <si>
    <t>https://public.ananinja.com/files/files/whm_purchaseReturnOrders_production_a58cd742-ac6b-4760-aa2f-2bd7b74f040f/show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</si>
  <si>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</si>
  <si>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</si>
  <si>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</si>
  <si>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PRO2600201950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</si>
  <si>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</si>
  <si>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</si>
  <si>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</si>
  <si>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</si>
  <si>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</si>
  <si>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</si>
  <si>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</si>
  <si>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</si>
  <si>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</si>
  <si>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</si>
  <si>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</si>
  <si>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</si>
  <si>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</si>
  <si>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</si>
  <si>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</si>
  <si>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</si>
  <si>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</si>
  <si>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</si>
  <si>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</si>
  <si>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</si>
  <si>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</si>
  <si>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</si>
  <si>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</si>
  <si>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</si>
  <si>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</si>
  <si>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</si>
  <si>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</si>
  <si>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</si>
  <si>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</si>
  <si>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</si>
  <si>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</si>
  <si>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</si>
  <si>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</si>
  <si>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</si>
  <si>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</si>
  <si>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</si>
  <si>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</si>
  <si>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https://public.ananinja.com/files/files/whm_purchaseReturnOrders_production_f95778d2-208c-4cad-a207-cbd6e14c0744/show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</si>
  <si>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</si>
  <si>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</si>
  <si>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</si>
  <si>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</si>
  <si>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</si>
  <si>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</si>
  <si>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</si>
  <si>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</si>
  <si>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</si>
  <si>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</si>
  <si>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</si>
  <si>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</si>
  <si>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</si>
  <si>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</si>
  <si>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</si>
  <si>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</si>
  <si>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</si>
  <si>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</si>
  <si>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</si>
  <si>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</si>
  <si>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PRO2600202630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</si>
  <si>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</si>
  <si>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</si>
  <si>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</si>
  <si>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</si>
  <si>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</si>
  <si>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</si>
  <si>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</si>
  <si>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</si>
  <si>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</si>
  <si>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</si>
  <si>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</si>
  <si>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</si>
  <si>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</si>
  <si>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</si>
  <si>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PRO2600202648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</si>
  <si>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</si>
  <si>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</si>
  <si>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</si>
  <si>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</si>
  <si>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</si>
  <si>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</si>
  <si>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</si>
  <si>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</si>
  <si>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</si>
  <si>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</si>
  <si>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</si>
  <si>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</si>
  <si>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</si>
  <si>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</si>
  <si>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</si>
  <si>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</si>
  <si>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</si>
  <si>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</si>
  <si>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</si>
  <si>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</si>
  <si>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</si>
  <si>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</si>
  <si>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</si>
  <si>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</si>
  <si>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</si>
  <si>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</si>
  <si>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</si>
  <si>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</si>
  <si>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</si>
  <si>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</si>
  <si>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</si>
  <si>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</si>
  <si>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</si>
  <si>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</si>
  <si>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</si>
  <si>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</si>
  <si>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</si>
  <si>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</si>
  <si>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</si>
  <si>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</si>
  <si>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</si>
  <si>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</si>
  <si>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</si>
  <si>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</si>
  <si>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</si>
  <si>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</si>
  <si>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</si>
  <si>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</si>
  <si>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</si>
  <si>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</si>
  <si>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</si>
  <si>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</si>
  <si>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</si>
  <si>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</si>
  <si>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</si>
  <si>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</si>
  <si>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</si>
  <si>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</si>
  <si>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</si>
  <si>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</si>
  <si>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</si>
  <si>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</si>
  <si>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</si>
  <si>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</si>
  <si>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</si>
  <si>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</si>
  <si>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</si>
  <si>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</si>
  <si>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</si>
  <si>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</si>
  <si>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</si>
  <si>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</si>
  <si>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</si>
  <si>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</si>
  <si>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</si>
  <si>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</si>
  <si>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</si>
  <si>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</si>
  <si>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</si>
  <si>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</si>
  <si>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</si>
  <si>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</si>
  <si>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</si>
  <si>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</si>
  <si>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</si>
  <si>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</si>
  <si>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</si>
  <si>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</si>
  <si>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</si>
  <si>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</si>
  <si>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</si>
  <si>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</si>
  <si>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</si>
  <si>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</si>
  <si>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</si>
  <si>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</si>
  <si>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</si>
  <si>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</si>
  <si>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</si>
  <si>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</si>
  <si>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</si>
  <si>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</si>
  <si>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</si>
  <si>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</si>
  <si>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</si>
  <si>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</si>
  <si>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</si>
  <si>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</si>
  <si>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</si>
  <si>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</si>
  <si>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</si>
  <si>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</si>
  <si>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</si>
  <si>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</si>
  <si>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</si>
  <si>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</si>
  <si>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</si>
  <si>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</si>
  <si>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</si>
  <si>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</si>
  <si>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</si>
  <si>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</si>
  <si>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</si>
  <si>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</si>
  <si>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</si>
  <si>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</si>
  <si>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</si>
  <si>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</si>
  <si>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</si>
  <si>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</si>
  <si>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</si>
  <si>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</si>
  <si>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</si>
  <si>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</si>
  <si>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</si>
  <si>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</si>
  <si>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</si>
  <si>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</si>
  <si>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</si>
  <si>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</si>
  <si>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</si>
  <si>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</si>
  <si>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</si>
  <si>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</si>
  <si>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</si>
  <si>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</si>
  <si>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</si>
  <si>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</si>
  <si>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</si>
  <si>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</si>
  <si>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</si>
  <si>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</si>
  <si>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</si>
  <si>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</si>
  <si>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</si>
  <si>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</si>
  <si>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</si>
  <si>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V03196</t>
  </si>
  <si>
    <t xml:space="preserve">Al asally trading company 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</si>
  <si>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</si>
  <si>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</si>
  <si>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</si>
  <si>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</si>
  <si>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</si>
  <si>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</si>
  <si>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</si>
  <si>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</si>
  <si>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</si>
  <si>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</si>
  <si>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</si>
  <si>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</si>
  <si>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</si>
  <si>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</si>
  <si>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</si>
  <si>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</si>
  <si>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</si>
  <si>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</si>
  <si>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</si>
  <si>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</si>
  <si>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</si>
  <si>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</si>
  <si>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</si>
  <si>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</si>
  <si>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</si>
  <si>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</si>
  <si>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</si>
  <si>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</si>
  <si>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</si>
  <si>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</si>
  <si>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</si>
  <si>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</si>
  <si>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</si>
  <si>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</si>
  <si>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</si>
  <si>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</si>
  <si>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</si>
  <si>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</si>
  <si>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</si>
  <si>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</si>
  <si>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</si>
  <si>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</si>
  <si>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</si>
  <si>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</si>
  <si>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</si>
  <si>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</si>
  <si>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</si>
  <si>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</si>
  <si>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</si>
  <si>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</si>
  <si>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</si>
  <si>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</si>
  <si>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</si>
  <si>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</si>
  <si>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</si>
  <si>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</si>
  <si>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</si>
  <si>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</si>
  <si>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</si>
  <si>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</si>
  <si>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</si>
  <si>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</si>
  <si>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</si>
  <si>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</si>
  <si>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</si>
  <si>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</si>
  <si>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</si>
  <si>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</si>
  <si>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</si>
  <si>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</si>
  <si>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</si>
  <si>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</si>
  <si>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</si>
  <si>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</si>
  <si>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</si>
  <si>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</si>
  <si>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</si>
  <si>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</si>
  <si>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</si>
  <si>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</si>
  <si>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</si>
  <si>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</si>
  <si>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</si>
  <si>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</si>
  <si>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</si>
  <si>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</si>
  <si>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</si>
  <si>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</si>
  <si>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</si>
  <si>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</si>
  <si>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</si>
  <si>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</si>
  <si>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</si>
  <si>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</si>
  <si>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</si>
  <si>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</si>
  <si>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</si>
  <si>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</si>
  <si>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</si>
  <si>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</si>
  <si>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</si>
  <si>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</si>
  <si>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</si>
  <si>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</si>
  <si>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</si>
  <si>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</si>
  <si>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</si>
  <si>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</si>
  <si>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</si>
  <si>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</si>
  <si>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</si>
  <si>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</si>
  <si>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</si>
  <si>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</si>
  <si>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</si>
  <si>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</si>
  <si>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</si>
  <si>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</si>
  <si>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</si>
  <si>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</si>
  <si>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</si>
  <si>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</si>
  <si>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</si>
  <si>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</si>
  <si>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</si>
  <si>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</si>
  <si>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</si>
  <si>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</si>
  <si>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</si>
  <si>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</si>
  <si>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</si>
  <si>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</si>
  <si>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</si>
  <si>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</si>
  <si>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</si>
  <si>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</si>
  <si>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</si>
  <si>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</si>
  <si>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</si>
  <si>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</si>
  <si>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</si>
  <si>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</si>
  <si>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</si>
  <si>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</si>
  <si>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</si>
  <si>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</si>
  <si>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</si>
  <si>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</si>
  <si>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</si>
  <si>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</si>
  <si>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</si>
  <si>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</si>
  <si>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</si>
  <si>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</si>
  <si>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</si>
  <si>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</si>
  <si>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</si>
  <si>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</si>
  <si>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</si>
  <si>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</si>
  <si>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</si>
  <si>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</si>
  <si>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</si>
  <si>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</si>
  <si>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</si>
  <si>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</si>
  <si>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</si>
  <si>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</si>
  <si>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</si>
  <si>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</si>
  <si>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</si>
  <si>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</si>
  <si>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</si>
  <si>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</si>
  <si>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</si>
  <si>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</si>
  <si>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</si>
  <si>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</si>
  <si>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</si>
  <si>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</si>
  <si>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</si>
  <si>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</si>
  <si>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</si>
  <si>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</si>
  <si>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</si>
  <si>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</si>
  <si>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</si>
  <si>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</si>
  <si>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</si>
  <si>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</si>
  <si>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PRO2600209075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</si>
  <si>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</si>
  <si>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</si>
  <si>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</si>
  <si>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</si>
  <si>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</si>
  <si>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</si>
  <si>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</si>
  <si>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</si>
  <si>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</si>
  <si>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</si>
  <si>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</si>
  <si>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</si>
  <si>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</si>
  <si>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</si>
  <si>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</si>
  <si>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</si>
  <si>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</si>
  <si>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</si>
  <si>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</si>
  <si>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</si>
  <si>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</si>
  <si>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</si>
  <si>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</si>
  <si>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</si>
  <si>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</si>
  <si>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</si>
  <si>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</si>
  <si>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</si>
  <si>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</si>
  <si>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</si>
  <si>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</si>
  <si>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PRO2600209227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</si>
  <si>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</si>
  <si>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</si>
  <si>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</si>
  <si>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</si>
  <si>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</si>
  <si>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</si>
  <si>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</si>
  <si>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</si>
  <si>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</si>
  <si>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</si>
  <si>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</si>
  <si>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</si>
  <si>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</si>
  <si>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</si>
  <si>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</si>
  <si>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</si>
  <si>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</si>
  <si>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</si>
  <si>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</si>
  <si>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</si>
  <si>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</si>
  <si>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</si>
  <si>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</si>
  <si>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</si>
  <si>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</si>
  <si>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</si>
  <si>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</si>
  <si>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</si>
  <si>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</si>
  <si>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</si>
  <si>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</si>
  <si>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</si>
  <si>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</si>
  <si>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</si>
  <si>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</si>
  <si>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</si>
  <si>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</si>
  <si>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</si>
  <si>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</si>
  <si>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</si>
  <si>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</si>
  <si>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</si>
  <si>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</si>
  <si>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</si>
  <si>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</si>
  <si>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PRO2600209631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</si>
  <si>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</si>
  <si>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</si>
  <si>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</si>
  <si>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</si>
  <si>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</si>
  <si>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</si>
  <si>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</si>
  <si>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PRO2600209402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</si>
  <si>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</si>
  <si>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</si>
  <si>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</si>
  <si>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</si>
  <si>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</si>
  <si>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</si>
  <si>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</si>
  <si>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</si>
  <si>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</si>
  <si>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</si>
  <si>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</si>
  <si>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</si>
  <si>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</si>
  <si>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</si>
  <si>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</si>
  <si>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</si>
  <si>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</si>
  <si>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</si>
  <si>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</si>
  <si>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</si>
  <si>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PRO2600209459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</si>
  <si>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</si>
  <si>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</si>
  <si>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</si>
  <si>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</si>
  <si>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</si>
  <si>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</si>
  <si>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</si>
  <si>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</si>
  <si>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</si>
  <si>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</si>
  <si>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</si>
  <si>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</si>
  <si>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</si>
  <si>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</si>
  <si>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</si>
  <si>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</si>
  <si>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</si>
  <si>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</si>
  <si>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</si>
  <si>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</si>
  <si>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</si>
  <si>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</si>
  <si>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</si>
  <si>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</si>
  <si>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</si>
  <si>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</si>
  <si>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</si>
  <si>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</si>
  <si>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</si>
  <si>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</si>
  <si>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</si>
  <si>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</si>
  <si>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</si>
  <si>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</si>
  <si>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</si>
  <si>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</si>
  <si>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</si>
  <si>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</si>
  <si>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</si>
  <si>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</si>
  <si>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</si>
  <si>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</si>
  <si>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</si>
  <si>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</si>
  <si>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</si>
  <si>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</si>
  <si>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</si>
  <si>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</si>
  <si>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</si>
  <si>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</si>
  <si>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</si>
  <si>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</si>
  <si>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</si>
  <si>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</si>
  <si>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</si>
  <si>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</si>
  <si>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</si>
  <si>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</si>
  <si>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</si>
  <si>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</si>
  <si>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</si>
  <si>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</si>
  <si>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</si>
  <si>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</si>
  <si>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</si>
  <si>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</si>
  <si>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</si>
  <si>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</si>
  <si>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</si>
  <si>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</si>
  <si>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</si>
  <si>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</si>
  <si>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</si>
  <si>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</si>
  <si>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</si>
  <si>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</si>
  <si>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</si>
  <si>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</si>
  <si>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</si>
  <si>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</si>
  <si>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</si>
  <si>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</si>
  <si>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</si>
  <si>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</si>
  <si>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</si>
  <si>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</si>
  <si>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</si>
  <si>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</si>
  <si>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</si>
  <si>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</si>
  <si>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</si>
  <si>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</si>
  <si>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</si>
  <si>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</si>
  <si>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</si>
  <si>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</si>
  <si>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</si>
  <si>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</si>
  <si>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</si>
  <si>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</si>
  <si>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</si>
  <si>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</si>
  <si>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</si>
  <si>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</si>
  <si>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</si>
  <si>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</si>
  <si>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</si>
  <si>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</si>
  <si>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</si>
  <si>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</si>
  <si>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</si>
  <si>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</si>
  <si>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</si>
  <si>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</si>
  <si>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</si>
  <si>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</si>
  <si>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</si>
  <si>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</si>
  <si>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</si>
  <si>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</si>
  <si>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</si>
  <si>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</si>
  <si>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</si>
  <si>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</si>
  <si>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</si>
  <si>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</si>
  <si>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</si>
  <si>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</si>
  <si>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</si>
  <si>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</si>
  <si>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</si>
  <si>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</si>
  <si>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</si>
  <si>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</si>
  <si>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</si>
  <si>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</si>
  <si>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</si>
  <si>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</si>
  <si>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</si>
  <si>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</si>
  <si>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</si>
  <si>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</si>
  <si>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</si>
  <si>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https://public.ananinja.com/files/files/whm_purchaseReturnOrders_production_12a6aa97-1898-473b-a2f2-9354f267a4ed/show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</si>
  <si>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</si>
  <si>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</si>
  <si>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</si>
  <si>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</si>
  <si>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</si>
  <si>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</si>
  <si>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</si>
  <si>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</si>
  <si>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</si>
  <si>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</si>
  <si>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</si>
  <si>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PRO2600212324</t>
  </si>
  <si>
    <t>PRO2600212315</t>
  </si>
  <si>
    <t>PRO2600212428</t>
  </si>
  <si>
    <t>PRO2600212528</t>
  </si>
  <si>
    <t>Z7-D1-04-5-B</t>
  </si>
  <si>
    <t>PRO2600213387</t>
  </si>
  <si>
    <t>PRO2600213481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</si>
  <si>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</si>
  <si>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</si>
  <si>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</si>
  <si>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</si>
  <si>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</si>
  <si>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</si>
  <si>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</si>
  <si>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</si>
  <si>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</si>
  <si>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</si>
  <si>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</si>
  <si>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</si>
  <si>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</si>
  <si>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</si>
  <si>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</si>
  <si>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</si>
  <si>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</si>
  <si>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</si>
  <si>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</si>
  <si>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</si>
  <si>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</si>
  <si>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</si>
  <si>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</si>
  <si>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</si>
  <si>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</si>
  <si>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</si>
  <si>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</si>
  <si>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</si>
  <si>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</si>
  <si>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</si>
  <si>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</si>
  <si>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</si>
  <si>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</si>
  <si>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</si>
  <si>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</si>
  <si>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</si>
  <si>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</si>
  <si>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</si>
  <si>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</si>
  <si>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</si>
  <si>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</si>
  <si>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</si>
  <si>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</si>
  <si>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</si>
  <si>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</si>
  <si>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</si>
  <si>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</si>
  <si>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</si>
  <si>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</si>
  <si>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</si>
  <si>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</si>
  <si>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</si>
  <si>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</si>
  <si>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</si>
  <si>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</si>
  <si>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</si>
  <si>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</si>
  <si>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</si>
  <si>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</si>
  <si>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</si>
  <si>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</si>
  <si>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</si>
  <si>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</si>
  <si>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</si>
  <si>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</si>
  <si>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</si>
  <si>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</si>
  <si>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</si>
  <si>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</si>
  <si>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</si>
  <si>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</si>
  <si>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</si>
  <si>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</si>
  <si>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</si>
  <si>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</si>
  <si>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</si>
  <si>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</si>
  <si>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</si>
  <si>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</si>
  <si>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</si>
  <si>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</si>
  <si>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</si>
  <si>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</si>
  <si>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</si>
  <si>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</si>
  <si>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</si>
  <si>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</si>
  <si>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</si>
  <si>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</si>
  <si>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</si>
  <si>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</si>
  <si>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</si>
  <si>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</si>
  <si>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</si>
  <si>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</si>
  <si>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</si>
  <si>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</si>
  <si>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</si>
  <si>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</si>
  <si>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</si>
  <si>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</si>
  <si>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PRO2600213355</t>
  </si>
  <si>
    <t>PRO2600213462</t>
  </si>
  <si>
    <t>PRO2600213247</t>
  </si>
  <si>
    <t>PRO2600213849</t>
  </si>
  <si>
    <t>V02744</t>
  </si>
  <si>
    <t>Saudi Snack Food's co. LTD.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</si>
  <si>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</si>
  <si>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</si>
  <si>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</si>
  <si>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</si>
  <si>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</si>
  <si>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</si>
  <si>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</si>
  <si>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</si>
  <si>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</si>
  <si>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</si>
  <si>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</si>
  <si>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</si>
  <si>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</si>
  <si>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</si>
  <si>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</si>
  <si>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</si>
  <si>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</si>
  <si>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</si>
  <si>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</si>
  <si>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</si>
  <si>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</si>
  <si>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</si>
  <si>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</si>
  <si>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https://public.ananinja.com/files/files/whm_purchaseReturnOrders_production_6eb92f5b-e7ed-416a-8585-c9871f6e526b/show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</si>
  <si>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</si>
  <si>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</si>
  <si>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</si>
  <si>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</si>
  <si>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</si>
  <si>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</si>
  <si>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</si>
  <si>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</si>
  <si>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</si>
  <si>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</si>
  <si>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</si>
  <si>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</si>
  <si>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</si>
  <si>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</si>
  <si>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</si>
  <si>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</si>
  <si>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https://public.ananinja.com/files/files/whm_purchaseReturnOrders_production_87bb68df-f5bc-4aae-8507-737efa3e5c06/show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</si>
  <si>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</si>
  <si>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</si>
  <si>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</si>
  <si>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</si>
  <si>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</si>
  <si>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https://public.ananinja.com/files/files/whm_purchaseReturnOrders_production_5e4c3cd5-329c-42c1-8ea2-b1e0b604652e/show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</si>
  <si>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</si>
  <si>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</si>
  <si>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</si>
  <si>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</si>
  <si>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</si>
  <si>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</si>
  <si>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</si>
  <si>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</si>
  <si>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</si>
  <si>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</si>
  <si>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</si>
  <si>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</si>
  <si>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</si>
  <si>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</si>
  <si>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</si>
  <si>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</si>
  <si>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</si>
  <si>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</si>
  <si>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</si>
  <si>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</si>
  <si>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</si>
  <si>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</si>
  <si>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</si>
  <si>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</si>
  <si>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</si>
  <si>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</si>
  <si>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</si>
  <si>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</si>
  <si>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</si>
  <si>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</si>
  <si>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</si>
  <si>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</si>
  <si>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</si>
  <si>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</si>
  <si>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</si>
  <si>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</si>
  <si>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</si>
  <si>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</si>
  <si>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</si>
  <si>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</si>
  <si>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</si>
  <si>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</si>
  <si>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</si>
  <si>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PRO2600214400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</si>
  <si>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</si>
  <si>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</si>
  <si>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</si>
  <si>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</si>
  <si>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</si>
  <si>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</si>
  <si>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</si>
  <si>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</si>
  <si>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</si>
  <si>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</si>
  <si>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</si>
  <si>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</si>
  <si>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</si>
  <si>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</si>
  <si>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</si>
  <si>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https://public.ananinja.com/files/files/whm_purchaseReturnOrders_production_c518476d-6ad0-42da-b039-032c301da8e5/show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</si>
  <si>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</si>
  <si>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</si>
  <si>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</si>
  <si>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</si>
  <si>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</si>
  <si>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https://public.ananinja.com/files/files/whm_purchaseReturnOrders_production_99f06f40-e4d9-416e-b54a-1425729ddf56/show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</si>
  <si>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</si>
  <si>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</si>
  <si>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</si>
  <si>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</si>
  <si>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</si>
  <si>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</si>
  <si>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</si>
  <si>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</si>
  <si>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https://public.ananinja.com/files/files/whm_purchaseReturnOrders_production_9d6e373c-8cd4-450e-af21-8c2631050edb/show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</si>
  <si>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</si>
  <si>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</si>
  <si>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</si>
  <si>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</si>
  <si>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</si>
  <si>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</si>
  <si>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</si>
  <si>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</si>
  <si>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PRO2600214744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</si>
  <si>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</si>
  <si>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</si>
  <si>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</si>
  <si>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</si>
  <si>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</si>
  <si>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</si>
  <si>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</si>
  <si>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</si>
  <si>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</si>
  <si>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</si>
  <si>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</si>
  <si>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</si>
  <si>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</si>
  <si>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</si>
  <si>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</si>
  <si>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</si>
  <si>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</si>
  <si>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</si>
  <si>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</si>
  <si>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</si>
  <si>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</si>
  <si>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</si>
  <si>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</si>
  <si>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</si>
  <si>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</si>
  <si>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</si>
  <si>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</si>
  <si>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</si>
  <si>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</si>
  <si>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</si>
  <si>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</si>
  <si>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</si>
  <si>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</si>
  <si>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</si>
  <si>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</si>
  <si>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</si>
  <si>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</si>
  <si>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</si>
  <si>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</si>
  <si>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</si>
  <si>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</si>
  <si>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</si>
  <si>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</si>
  <si>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</si>
  <si>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</si>
  <si>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</si>
  <si>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</si>
  <si>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</si>
  <si>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</si>
  <si>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</si>
  <si>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</si>
  <si>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</si>
  <si>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</si>
  <si>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</si>
  <si>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</si>
  <si>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</si>
  <si>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</si>
  <si>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https://public.ananinja.com/files/files/whm_purchaseReturnOrders_production_81259bee-af2a-4150-a395-609fe42134ef/show</t>
  </si>
  <si>
    <t>https://public.ananinja.com/files/files/whm_purchaseReturnOrders_production_c0f71f65-414d-443a-96ad-e8e3bf54ada9/show</t>
  </si>
  <si>
    <t>https://public.ananinja.com/files/files/whm_purchaseReturnOrders_production_0b89bc28-f40c-4958-84b4-04874262fdee/show</t>
  </si>
  <si>
    <t>https://public.ananinja.com/files/files/whm_purchaseReturnOrders_production_6cbaa822-d346-4012-838b-38aa7e5505d1/show</t>
  </si>
  <si>
    <t>https://public.ananinja.com/files/files/whm_purchaseReturnOrders_production_617f5f56-8501-4422-859a-dfeb5fe57516/show</t>
  </si>
  <si>
    <t>https://public.ananinja.com/files/files/whm_purchaseReturnOrders_production_9600e62c-57e6-4709-a870-fab5fff9fe4b/show</t>
  </si>
  <si>
    <t>https://public.ananinja.com/files/files/whm_purchaseReturnOrders_production_4afa45b1-5dcc-49cf-80f9-563e26140a39/show</t>
  </si>
  <si>
    <t>https://public.ananinja.com/files/files/whm_purchaseReturnOrders_production_7ac32f57-f0e0-408f-af25-4ed704de9713/show</t>
  </si>
  <si>
    <t>https://public.ananinja.com/files/files/whm_purchaseReturnOrders_production_9edd5c67-1e18-452a-97fa-cc714509efbf/show</t>
  </si>
  <si>
    <t>https://public.ananinja.com/files/files/whm_purchaseReturnOrders_production_ee5224b8-5beb-478d-a8e0-b2b48d139623/show</t>
  </si>
  <si>
    <t>https://public.ananinja.com/files/files/whm_purchaseReturnOrders_production_3f2b02b1-fc58-4a42-be93-a40410f8c9f9/show</t>
  </si>
  <si>
    <t>https://public.ananinja.com/files/files/whm_purchaseReturnOrders_production_36a99225-85b5-47db-bdb9-3a86fa6dc34d/show</t>
  </si>
  <si>
    <t>https://public.ananinja.com/files/files/whm_purchaseReturnOrders_production_7454f8ce-0bff-497b-94b1-8a324a4d68d5/show</t>
  </si>
  <si>
    <t>https://public.ananinja.com/files/files/whm_purchaseReturnOrders_production_e81e6647-3228-42be-a290-6bad2430c28c/show</t>
  </si>
  <si>
    <t>PRO2600216018</t>
  </si>
  <si>
    <t>PRO2600215947</t>
  </si>
  <si>
    <t>PRO2600215846</t>
  </si>
  <si>
    <t>PRO2600215935</t>
  </si>
  <si>
    <t>Saudi Snack Food's  co. LTD.</t>
  </si>
  <si>
    <t>PRO2600215965</t>
  </si>
  <si>
    <t>Sira kire Altibiya Company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</si>
  <si>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</si>
  <si>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</si>
  <si>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</si>
  <si>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</si>
  <si>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</si>
  <si>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</si>
  <si>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</si>
  <si>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</si>
  <si>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</si>
  <si>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</si>
  <si>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</si>
  <si>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</si>
  <si>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</si>
  <si>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</si>
  <si>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</si>
  <si>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</si>
  <si>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</si>
  <si>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</si>
  <si>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</si>
  <si>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</si>
  <si>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</si>
  <si>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</si>
  <si>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</si>
  <si>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</si>
  <si>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</si>
  <si>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</si>
  <si>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</si>
  <si>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</si>
  <si>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</si>
  <si>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</si>
  <si>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</si>
  <si>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</si>
  <si>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</si>
  <si>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</si>
  <si>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</si>
  <si>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</si>
  <si>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</si>
  <si>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</si>
  <si>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</si>
  <si>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</si>
  <si>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</si>
  <si>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</si>
  <si>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</si>
  <si>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</si>
  <si>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</si>
  <si>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</si>
  <si>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</si>
  <si>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</si>
  <si>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</si>
  <si>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</si>
  <si>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</si>
  <si>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</si>
  <si>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</si>
  <si>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</si>
  <si>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</si>
  <si>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</si>
  <si>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</si>
  <si>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</si>
  <si>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https://public.ananinja.com/files/files/whm_purchaseReturnOrders_production_080f237e-2b67-4523-be0c-0b174163aa8a/show</t>
  </si>
  <si>
    <t>https://public.ananinja.com/files/files/whm_purchaseReturnOrders_production_225a9937-1c83-4b44-9ac2-efe8add72320/show</t>
  </si>
  <si>
    <t>https://public.ananinja.com/files/files/whm_purchaseReturnOrders_production_faae3e2e-100f-458b-9357-f571bf6205b4/show</t>
  </si>
  <si>
    <t>https://public.ananinja.com/files/files/whm_purchaseReturnOrders_production_53f4c286-47c3-431c-ba10-ed3f0f64ff2b/show</t>
  </si>
  <si>
    <t>https://public.ananinja.com/files/files/whm_purchaseReturnOrders_production_d54c64bd-e21f-40a5-a584-44428580df3c/show</t>
  </si>
  <si>
    <t>https://public.ananinja.com/files/files/whm_purchaseReturnOrders_production_fdab8e19-cb7a-4c71-84f7-561ebf2e78e4/show</t>
  </si>
  <si>
    <t>https://public.ananinja.com/files/files/whm_purchaseReturnOrders_production_da6f5e0d-f4bd-404d-956c-7fe90f963585/show</t>
  </si>
  <si>
    <t>https://public.ananinja.com/files/files/whm_purchaseReturnOrders_production_4d15e7c1-9dd6-4056-aa82-582ae16238cb/show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</si>
  <si>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</si>
  <si>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</si>
  <si>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</si>
  <si>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</si>
  <si>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</si>
  <si>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</si>
  <si>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</si>
  <si>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</si>
  <si>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</si>
  <si>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</si>
  <si>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</si>
  <si>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</si>
  <si>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</si>
  <si>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</si>
  <si>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</si>
  <si>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</si>
  <si>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</si>
  <si>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</si>
  <si>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</si>
  <si>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</si>
  <si>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</si>
  <si>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</si>
  <si>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</si>
  <si>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</si>
  <si>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</si>
  <si>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</si>
  <si>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</si>
  <si>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</si>
  <si>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</si>
  <si>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</si>
  <si>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</si>
  <si>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</si>
  <si>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</si>
  <si>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</si>
  <si>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</si>
  <si>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</si>
  <si>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</si>
  <si>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</si>
  <si>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</si>
  <si>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</si>
  <si>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</si>
  <si>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</si>
  <si>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</si>
  <si>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</si>
  <si>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</si>
  <si>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</si>
  <si>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</si>
  <si>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</si>
  <si>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</si>
  <si>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</si>
  <si>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</si>
  <si>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</si>
  <si>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</si>
  <si>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</si>
  <si>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</si>
  <si>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</si>
  <si>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</si>
  <si>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</si>
  <si>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</si>
  <si>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</si>
  <si>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</si>
  <si>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</si>
  <si>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</si>
  <si>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</si>
  <si>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</si>
  <si>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</si>
  <si>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PRO2600219436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</si>
  <si>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</si>
  <si>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</si>
  <si>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</si>
  <si>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</si>
  <si>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</si>
  <si>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</si>
  <si>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</si>
  <si>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</si>
  <si>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</si>
  <si>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</si>
  <si>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</si>
  <si>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</si>
  <si>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</si>
  <si>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</si>
  <si>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</si>
  <si>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</si>
  <si>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</si>
  <si>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</si>
  <si>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</si>
  <si>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</si>
  <si>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</si>
  <si>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</si>
  <si>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</si>
  <si>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</si>
  <si>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</si>
  <si>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</si>
  <si>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</si>
  <si>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</si>
  <si>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</si>
  <si>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</si>
  <si>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</si>
  <si>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</si>
  <si>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</si>
  <si>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</si>
  <si>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</si>
  <si>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</si>
  <si>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</si>
  <si>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</si>
  <si>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</si>
  <si>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</si>
  <si>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</si>
  <si>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</si>
  <si>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</si>
  <si>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</si>
  <si>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</si>
  <si>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</si>
  <si>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</si>
  <si>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</si>
  <si>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</si>
  <si>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</si>
  <si>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</si>
  <si>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</si>
  <si>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</si>
  <si>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</si>
  <si>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</si>
  <si>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</si>
  <si>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</si>
  <si>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</si>
  <si>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</si>
  <si>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</si>
  <si>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</si>
  <si>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</si>
  <si>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</si>
  <si>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</si>
  <si>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</si>
  <si>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</si>
  <si>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</si>
  <si>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</si>
  <si>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</si>
  <si>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</si>
  <si>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</si>
  <si>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</si>
  <si>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</si>
  <si>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PRO2600220065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</si>
  <si>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</si>
  <si>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</si>
  <si>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</si>
  <si>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</si>
  <si>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</si>
  <si>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</si>
  <si>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</si>
  <si>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</si>
  <si>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</si>
  <si>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https://public.ananinja.com/files/files/whm_purchaseReturnOrders_production_42b4be03-e1b2-4305-b9f7-7d829cd106e5/show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</si>
  <si>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</si>
  <si>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</si>
  <si>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https://public.ananinja.com/files/files/whm_purchaseReturnOrders_production_ac23669f-94d8-4c8d-9507-82395177da60/show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</si>
  <si>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</si>
  <si>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</si>
  <si>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</si>
  <si>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</si>
  <si>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</si>
  <si>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PRO2600221274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</si>
  <si>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</si>
  <si>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</si>
  <si>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</si>
  <si>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</si>
  <si>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</si>
  <si>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</si>
  <si>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</si>
  <si>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</si>
  <si>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</si>
  <si>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</si>
  <si>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</si>
  <si>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</si>
  <si>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</si>
  <si>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</si>
  <si>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PRO2600221253</t>
  </si>
  <si>
    <t>PRO2600221260</t>
  </si>
  <si>
    <t>PRO2600221265</t>
  </si>
  <si>
    <t>PRO2600221247</t>
  </si>
  <si>
    <t>PRO2600221235</t>
  </si>
  <si>
    <t>PRO2600221308</t>
  </si>
  <si>
    <t>PRO2600221227</t>
  </si>
  <si>
    <t>PRO2600221246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</si>
  <si>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</si>
  <si>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</si>
  <si>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</si>
  <si>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</si>
  <si>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</si>
  <si>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</si>
  <si>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</si>
  <si>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</si>
  <si>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</si>
  <si>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</si>
  <si>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</si>
  <si>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</si>
  <si>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</si>
  <si>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</si>
  <si>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</si>
  <si>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</si>
  <si>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</si>
  <si>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</si>
  <si>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</si>
  <si>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</si>
  <si>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</si>
  <si>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</si>
  <si>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</si>
  <si>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</si>
  <si>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</si>
  <si>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</si>
  <si>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https://public.ananinja.com/files/files/whm_purchaseReturnOrders_production_41784ca2-7849-4399-9773-3be83f862719/show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</si>
  <si>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</si>
  <si>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</si>
  <si>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</si>
  <si>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</si>
  <si>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</si>
  <si>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</si>
  <si>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</si>
  <si>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</si>
  <si>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</si>
  <si>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</si>
  <si>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</si>
  <si>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</si>
  <si>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</si>
  <si>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</si>
  <si>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</si>
  <si>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</si>
  <si>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</si>
  <si>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</si>
  <si>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</si>
  <si>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</si>
  <si>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</si>
  <si>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</si>
  <si>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</si>
  <si>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</si>
  <si>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</si>
  <si>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</si>
  <si>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</si>
  <si>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</si>
  <si>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</si>
  <si>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</si>
  <si>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</si>
  <si>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</si>
  <si>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</si>
  <si>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</si>
  <si>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</si>
  <si>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</si>
  <si>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</si>
  <si>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</si>
  <si>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</si>
  <si>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</si>
  <si>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</si>
  <si>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</si>
  <si>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</si>
  <si>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</si>
  <si>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</si>
  <si>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</si>
  <si>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</si>
  <si>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</si>
  <si>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</si>
  <si>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https://public.ananinja.com/files/files/whm_purchaseReturnOrders_production_e2763672-3709-4105-b8f3-f7d9cb0192ed/show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</si>
  <si>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</si>
  <si>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</si>
  <si>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</si>
  <si>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</si>
  <si>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</si>
  <si>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</si>
  <si>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</si>
  <si>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</si>
  <si>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</si>
  <si>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</si>
  <si>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</si>
  <si>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3-From 12 PM To 03 PM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</si>
  <si>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</si>
  <si>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</si>
  <si>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</si>
  <si>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</si>
  <si>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</si>
  <si>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</si>
  <si>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</si>
  <si>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</si>
  <si>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</si>
  <si>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</si>
  <si>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</si>
  <si>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</si>
  <si>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</si>
  <si>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</si>
  <si>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</si>
  <si>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</si>
  <si>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</si>
  <si>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</si>
  <si>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</si>
  <si>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</si>
  <si>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</si>
  <si>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</si>
  <si>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</si>
  <si>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</si>
  <si>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</si>
  <si>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</si>
  <si>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</si>
  <si>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</si>
  <si>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</si>
  <si>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</si>
  <si>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</si>
  <si>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</si>
  <si>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</si>
  <si>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</si>
  <si>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</si>
  <si>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</si>
  <si>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</si>
  <si>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</si>
  <si>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</si>
  <si>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</si>
  <si>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</si>
  <si>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</si>
  <si>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</si>
  <si>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</si>
  <si>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</si>
  <si>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</si>
  <si>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</si>
  <si>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</si>
  <si>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</si>
  <si>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</si>
  <si>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</si>
  <si>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</si>
  <si>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</si>
  <si>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</si>
  <si>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</si>
  <si>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</si>
  <si>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</si>
  <si>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</si>
  <si>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</si>
  <si>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</si>
  <si>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</si>
  <si>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</si>
  <si>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</si>
  <si>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</si>
  <si>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</si>
  <si>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</si>
  <si>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</si>
  <si>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</si>
  <si>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</si>
  <si>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</si>
  <si>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</si>
  <si>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https://public.ananinja.com/files/files/whm_purchaseReturnOrders_production_8d22f618-c401-493b-bbcb-17279ae6b85a/show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</si>
  <si>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</si>
  <si>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</si>
  <si>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</si>
  <si>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</si>
  <si>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</si>
  <si>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</si>
  <si>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https://public.ananinja.com/files/files/whm_purchaseReturnOrders_production_e7f081d2-9647-4f16-afde-2eb8a71c4b4a/show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</si>
  <si>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</si>
  <si>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</si>
  <si>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PRO2600222012</t>
  </si>
  <si>
    <t>PRO2600222210</t>
  </si>
  <si>
    <t>PRO2600222736</t>
  </si>
  <si>
    <t>PRO2600222141</t>
  </si>
  <si>
    <t>PRO2600222188</t>
  </si>
  <si>
    <t>PRO2600222163</t>
  </si>
  <si>
    <t>PRO2600222623</t>
  </si>
  <si>
    <t>PRO2600222538</t>
  </si>
  <si>
    <t>PRO2600222624</t>
  </si>
  <si>
    <t>PRO2600222605</t>
  </si>
  <si>
    <t>V03895</t>
  </si>
  <si>
    <t>Abdul Aziz Faisal Bin Abdul Allah Al Arifi Trd</t>
  </si>
  <si>
    <t>PRO2600222654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</si>
  <si>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</si>
  <si>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</si>
  <si>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</si>
  <si>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</si>
  <si>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</si>
  <si>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</si>
  <si>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</si>
  <si>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</si>
  <si>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</si>
  <si>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</si>
  <si>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</si>
  <si>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</si>
  <si>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</si>
  <si>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</si>
  <si>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</si>
  <si>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</si>
  <si>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</si>
  <si>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</si>
  <si>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</si>
  <si>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</si>
  <si>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</si>
  <si>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</si>
  <si>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</si>
  <si>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</si>
  <si>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</si>
  <si>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</si>
  <si>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</si>
  <si>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</si>
  <si>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</si>
  <si>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</si>
  <si>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</si>
  <si>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</si>
  <si>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</si>
  <si>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</si>
  <si>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</si>
  <si>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</si>
  <si>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</si>
  <si>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https://public.ananinja.com/files/files/whm_purchaseReturnOrders_production_971de8ca-bc1d-4d41-a9fd-90281641cc8f/show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</si>
  <si>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</si>
  <si>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</si>
  <si>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</si>
  <si>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</si>
  <si>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</si>
  <si>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</si>
  <si>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</si>
  <si>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</si>
  <si>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</si>
  <si>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</si>
  <si>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</si>
  <si>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</si>
  <si>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</si>
  <si>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</si>
  <si>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</si>
  <si>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</si>
  <si>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</si>
  <si>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</si>
  <si>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</si>
  <si>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</si>
  <si>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</si>
  <si>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</si>
  <si>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</si>
  <si>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</si>
  <si>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</si>
  <si>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</si>
  <si>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</si>
  <si>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</si>
  <si>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</si>
  <si>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</si>
  <si>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</si>
  <si>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https://public.ananinja.com/files/files/whm_purchaseReturnOrders_production_e4b06034-ea15-4dfc-ad31-0b58c7adeb31/show</t>
  </si>
  <si>
    <t>https://public.ananinja.com/files/files/whm_purchaseReturnOrders_production_75b2ead1-98ff-42b9-bf78-f5076c45c015/show</t>
  </si>
  <si>
    <t>https://public.ananinja.com/files/files/whm_purchaseReturnOrders_production_cc775311-d3ec-490d-96c2-1950b0f4c018/show</t>
  </si>
  <si>
    <t>V00160</t>
  </si>
  <si>
    <t>Pladis Arabia Food Manufacturing Company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</si>
  <si>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</si>
  <si>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</si>
  <si>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</si>
  <si>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</si>
  <si>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</si>
  <si>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</si>
  <si>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</si>
  <si>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PRO2600223963</t>
  </si>
  <si>
    <t>PRO2600223819</t>
  </si>
  <si>
    <t>PRO2600223855</t>
  </si>
  <si>
    <t>PRO2600223973</t>
  </si>
  <si>
    <t>PRO2600223940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</si>
  <si>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</si>
  <si>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</si>
  <si>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</si>
  <si>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</si>
  <si>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</si>
  <si>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</si>
  <si>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</si>
  <si>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</si>
  <si>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</si>
  <si>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</si>
  <si>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</si>
  <si>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</si>
  <si>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</si>
  <si>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</si>
  <si>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</si>
  <si>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</si>
  <si>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</si>
  <si>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</si>
  <si>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</si>
  <si>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</si>
  <si>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</si>
  <si>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</si>
  <si>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</si>
  <si>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</si>
  <si>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</si>
  <si>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</si>
  <si>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</si>
  <si>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</si>
  <si>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</si>
  <si>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</si>
  <si>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</si>
  <si>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</si>
  <si>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</si>
  <si>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https://public.ananinja.com/files/files/whm_purchaseReturnOrders_production_404bf3f5-4da5-428d-bee0-badb6c3861ff/show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</si>
  <si>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</si>
  <si>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</si>
  <si>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</si>
  <si>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</si>
  <si>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</si>
  <si>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</si>
  <si>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https://public.ananinja.com/files/files/whm_purchaseReturnOrders_production_556f768e-06e3-4cce-9300-84ddeb863ec6/show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</si>
  <si>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</si>
  <si>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</si>
  <si>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</si>
  <si>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</si>
  <si>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</si>
  <si>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</si>
  <si>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</si>
  <si>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</si>
  <si>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PRO2600224730</t>
  </si>
  <si>
    <t>PRO2600224704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</si>
  <si>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</si>
  <si>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</si>
  <si>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</si>
  <si>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</si>
  <si>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https://public.ananinja.com/files/files/whm_purchaseReturnOrders_production_88b448a3-2fd2-4a8d-bf00-35380d1b653f/show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</si>
  <si>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</si>
  <si>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</si>
  <si>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</si>
  <si>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</si>
  <si>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</si>
  <si>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</si>
  <si>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</si>
  <si>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</si>
  <si>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https://public.ananinja.com/files/files/whm_purchaseReturnOrders_production_c503687c-1002-4284-89b4-03d8ea93294b/show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</si>
  <si>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</si>
  <si>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</si>
  <si>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</si>
  <si>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</si>
  <si>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</si>
  <si>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</si>
  <si>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</si>
  <si>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</si>
  <si>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https://public.ananinja.com/files/files/whm_purchaseReturnOrders_production_b9193e76-91f9-4150-84ac-997e87eab128/show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</si>
  <si>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</si>
  <si>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</si>
  <si>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</si>
  <si>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</si>
  <si>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</si>
  <si>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</si>
  <si>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</si>
  <si>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</si>
  <si>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</si>
  <si>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</si>
  <si>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</si>
  <si>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</si>
  <si>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</si>
  <si>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</si>
  <si>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</si>
  <si>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</si>
  <si>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</si>
  <si>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</si>
  <si>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</si>
  <si>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</si>
  <si>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</si>
  <si>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</si>
  <si>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https://public.ananinja.com/files/files/whm_purchaseReturnOrders_production_8dfa99b8-ca30-4235-976e-b3a44ba5e341/show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</si>
  <si>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</si>
  <si>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</si>
  <si>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</si>
  <si>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</si>
  <si>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</si>
  <si>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</si>
  <si>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</si>
  <si>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</si>
  <si>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</si>
  <si>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</si>
  <si>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</si>
  <si>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</si>
  <si>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</si>
  <si>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</si>
  <si>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</si>
  <si>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</si>
  <si>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</si>
  <si>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</si>
  <si>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</si>
  <si>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</si>
  <si>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</si>
  <si>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</si>
  <si>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</si>
  <si>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</si>
  <si>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</si>
  <si>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</si>
  <si>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</si>
  <si>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</si>
  <si>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</si>
  <si>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</si>
  <si>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</si>
  <si>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</si>
  <si>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</si>
  <si>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https://public.ananinja.com/files/files/whm_purchaseReturnOrders_production_8a7bd6b4-4e48-4846-b91b-b4b9ac18b147/show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</si>
  <si>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</si>
  <si>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</si>
  <si>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</si>
  <si>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</si>
  <si>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</si>
  <si>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</si>
  <si>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</si>
  <si>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</si>
  <si>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</si>
  <si>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</si>
  <si>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</si>
  <si>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</si>
  <si>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</si>
  <si>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</si>
  <si>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</si>
  <si>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</si>
  <si>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</si>
  <si>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</si>
  <si>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</si>
  <si>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</si>
  <si>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</si>
  <si>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</si>
  <si>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</si>
  <si>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</si>
  <si>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</si>
  <si>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</si>
  <si>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</si>
  <si>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</si>
  <si>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</si>
  <si>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</si>
  <si>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</si>
  <si>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</si>
  <si>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</si>
  <si>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</si>
  <si>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</si>
  <si>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</si>
  <si>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</si>
  <si>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</si>
  <si>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https://public.ananinja.com/files/files/whm_purchaseReturnOrders_production_137176cc-3932-4a81-ae2f-1e2e8e3f8dac/show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</si>
  <si>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</si>
  <si>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</si>
  <si>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</si>
  <si>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</si>
  <si>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</si>
  <si>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</si>
  <si>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</si>
  <si>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</si>
  <si>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</si>
  <si>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</si>
  <si>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</si>
  <si>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</si>
  <si>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</si>
  <si>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</si>
  <si>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</si>
  <si>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</si>
  <si>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</si>
  <si>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</si>
  <si>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</si>
  <si>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</si>
  <si>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PRO2600225938</t>
  </si>
  <si>
    <t>PRO2600226107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</si>
  <si>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</si>
  <si>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</si>
  <si>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</si>
  <si>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</si>
  <si>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</si>
  <si>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</si>
  <si>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</si>
  <si>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</si>
  <si>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</si>
  <si>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</si>
  <si>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</si>
  <si>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</si>
  <si>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PRO2600226376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</si>
  <si>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</si>
  <si>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</si>
  <si>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</si>
  <si>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</si>
  <si>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</si>
  <si>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</si>
  <si>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</si>
  <si>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</si>
  <si>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</si>
  <si>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https://public.ananinja.com/files/files/whm_purchaseReturnOrders_production_55909ffe-103a-420a-9a7b-417b86bdc005/show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</si>
  <si>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</si>
  <si>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</si>
  <si>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</si>
  <si>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</si>
  <si>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</si>
  <si>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</si>
  <si>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</si>
  <si>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</si>
  <si>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https://public.ananinja.com/files/files/whm_purchaseReturnOrders_production_3fc0b005-89e2-4788-a414-7590839b7d9f/show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</si>
  <si>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</si>
  <si>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</si>
  <si>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</si>
  <si>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</si>
  <si>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https://public.ananinja.com/files/files/whm_purchaseReturnOrders_production_f2b8fe00-e3ba-4fe6-b867-093b055e8b03/show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</si>
  <si>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</si>
  <si>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</si>
  <si>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</si>
  <si>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</si>
  <si>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</si>
  <si>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</si>
  <si>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</si>
  <si>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</si>
  <si>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</si>
  <si>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</si>
  <si>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</si>
  <si>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</si>
  <si>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</si>
  <si>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</si>
  <si>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</si>
  <si>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</si>
  <si>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</si>
  <si>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</si>
  <si>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</si>
  <si>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</si>
  <si>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</si>
  <si>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</si>
  <si>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</si>
  <si>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</si>
  <si>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</si>
  <si>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PRO2600226531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</si>
  <si>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</si>
  <si>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</si>
  <si>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</si>
  <si>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</si>
  <si>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</si>
  <si>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</si>
  <si>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</si>
  <si>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</si>
  <si>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</si>
  <si>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</si>
  <si>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</si>
  <si>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</si>
  <si>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https://public.ananinja.com/files/files/whm_purchaseReturnOrders_production_c161cf4b-f211-446e-ac19-ee8fbb3adcd8/show</t>
  </si>
  <si>
    <t>PRO2600226528</t>
  </si>
  <si>
    <t>https://public.ananinja.com/files/files/whm_purchaseReturnOrders_production_909b1f25-0beb-40f3-8f63-b9f2a36b603d/show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</si>
  <si>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</si>
  <si>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</si>
  <si>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</si>
  <si>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</si>
  <si>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</si>
  <si>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</si>
  <si>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</si>
  <si>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</si>
  <si>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</si>
  <si>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</si>
  <si>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</si>
  <si>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</si>
  <si>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</si>
  <si>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</si>
  <si>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</si>
  <si>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</si>
  <si>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</si>
  <si>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</si>
  <si>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</si>
  <si>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PRO2600226398</t>
  </si>
  <si>
    <t>PRO2600226408</t>
  </si>
  <si>
    <t>PRO2600226512</t>
  </si>
  <si>
    <t>PRO2600226385</t>
  </si>
  <si>
    <t>PRO2600226508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</si>
  <si>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</si>
  <si>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</si>
  <si>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</si>
  <si>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</si>
  <si>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</si>
  <si>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</si>
  <si>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</si>
  <si>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</si>
  <si>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</si>
  <si>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</si>
  <si>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</si>
  <si>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</si>
  <si>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</si>
  <si>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</si>
  <si>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</si>
  <si>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</si>
  <si>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</si>
  <si>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</si>
  <si>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</si>
  <si>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</si>
  <si>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</si>
  <si>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</si>
  <si>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</si>
  <si>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</si>
  <si>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</si>
  <si>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</si>
  <si>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</si>
  <si>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</si>
  <si>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</si>
  <si>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</si>
  <si>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</si>
  <si>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</si>
  <si>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</si>
  <si>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</si>
  <si>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</si>
  <si>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</si>
  <si>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</si>
  <si>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</si>
  <si>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</si>
  <si>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</si>
  <si>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</si>
  <si>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PRO2600227832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</si>
  <si>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</si>
  <si>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</si>
  <si>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</si>
  <si>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</si>
  <si>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</si>
  <si>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</si>
  <si>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</si>
  <si>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</si>
  <si>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</si>
  <si>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</si>
  <si>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</si>
  <si>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</si>
  <si>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</si>
  <si>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</si>
  <si>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</si>
  <si>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</si>
  <si>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</si>
  <si>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</si>
  <si>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</si>
  <si>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</si>
  <si>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</si>
  <si>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</si>
  <si>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</si>
  <si>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</si>
  <si>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</si>
  <si>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</si>
  <si>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</si>
  <si>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</si>
  <si>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</si>
  <si>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</si>
  <si>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</si>
  <si>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</si>
  <si>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</si>
  <si>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</si>
  <si>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</si>
  <si>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</si>
  <si>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</si>
  <si>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</si>
  <si>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</si>
  <si>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</si>
  <si>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</si>
  <si>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</si>
  <si>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</si>
  <si>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</si>
  <si>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</si>
  <si>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</si>
  <si>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</si>
  <si>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</si>
  <si>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https://public.ananinja.com/files/files/whm_purchaseReturnOrders_production_ea1f685d-7b08-4dd1-b367-adf2d429132d/show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</si>
  <si>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</si>
  <si>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</si>
  <si>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</si>
  <si>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</si>
  <si>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</si>
  <si>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</si>
  <si>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</si>
  <si>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</si>
  <si>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</si>
  <si>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</si>
  <si>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</si>
  <si>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</si>
  <si>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</si>
  <si>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</si>
  <si>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PRO2600229257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</si>
  <si>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</si>
  <si>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</si>
  <si>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</si>
  <si>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</si>
  <si>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</si>
  <si>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</si>
  <si>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</si>
  <si>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</si>
  <si>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</si>
  <si>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</si>
  <si>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</si>
  <si>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</si>
  <si>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</si>
  <si>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</si>
  <si>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</si>
  <si>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</si>
  <si>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</si>
  <si>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</si>
  <si>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</si>
  <si>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</si>
  <si>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</si>
  <si>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</si>
  <si>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</si>
  <si>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</si>
  <si>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</si>
  <si>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</si>
  <si>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</si>
  <si>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</si>
  <si>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</si>
  <si>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</si>
  <si>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</si>
  <si>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</si>
  <si>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</si>
  <si>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</si>
  <si>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PRO2600229239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</si>
  <si>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</si>
  <si>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</si>
  <si>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</si>
  <si>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</si>
  <si>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</si>
  <si>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</si>
  <si>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</si>
  <si>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</si>
  <si>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</si>
  <si>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</si>
  <si>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</si>
  <si>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</si>
  <si>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</si>
  <si>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</si>
  <si>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</si>
  <si>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</si>
  <si>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</si>
  <si>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</si>
  <si>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</si>
  <si>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</si>
  <si>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</si>
  <si>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</si>
  <si>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</si>
  <si>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</si>
  <si>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</si>
  <si>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</si>
  <si>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</si>
  <si>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</si>
  <si>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</si>
  <si>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</si>
  <si>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</si>
  <si>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</si>
  <si>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</si>
  <si>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</si>
  <si>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</si>
  <si>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</si>
  <si>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</si>
  <si>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</si>
  <si>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</si>
  <si>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</si>
  <si>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</si>
  <si>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</si>
  <si>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</si>
  <si>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</si>
  <si>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</si>
  <si>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</si>
  <si>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</si>
  <si>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</si>
  <si>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</si>
  <si>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</si>
  <si>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</si>
  <si>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</si>
  <si>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</si>
  <si>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</si>
  <si>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</si>
  <si>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</si>
  <si>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</si>
  <si>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</si>
  <si>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</si>
  <si>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</si>
  <si>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</si>
  <si>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</si>
  <si>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</si>
  <si>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</si>
  <si>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</si>
  <si>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</si>
  <si>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</si>
  <si>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</si>
  <si>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</si>
  <si>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</si>
  <si>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</si>
  <si>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</si>
  <si>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</si>
  <si>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</si>
  <si>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</si>
  <si>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</si>
  <si>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</si>
  <si>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</si>
  <si>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</si>
  <si>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</si>
  <si>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</si>
  <si>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</si>
  <si>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</si>
  <si>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</si>
  <si>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</si>
  <si>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</si>
  <si>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</si>
  <si>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</si>
  <si>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</si>
  <si>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</si>
  <si>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</si>
  <si>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</si>
  <si>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</si>
  <si>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https://public.ananinja.com/files/files/whm_purchaseReturnOrders_production_61f9e416-5f2a-4644-ab9d-2dfc48eb719c/show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</si>
  <si>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</si>
  <si>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</si>
  <si>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</si>
  <si>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https://public.ananinja.com/files/files/whm_purchaseReturnOrders_production_7be49b4f-2043-4baf-bc1b-66f167e2fb0f/show</t>
  </si>
  <si>
    <t>https://public.ananinja.com/files/files/whm_purchaseReturnOrders_production_5263bad4-0d95-4e7b-8a22-6e9661da67d0/show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</si>
  <si>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</si>
  <si>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</si>
  <si>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</si>
  <si>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</si>
  <si>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</si>
  <si>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PRO2600228042</t>
  </si>
  <si>
    <t>PRO2600227857</t>
  </si>
  <si>
    <t>PRO2600227849</t>
  </si>
  <si>
    <t>PRO2600227927</t>
  </si>
  <si>
    <t>PRO2600228017</t>
  </si>
  <si>
    <t>PRO2600228060</t>
  </si>
  <si>
    <t>PRO2600227748</t>
  </si>
  <si>
    <t>PRO2600227874</t>
  </si>
  <si>
    <t>PRO2600227658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</si>
  <si>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</si>
  <si>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</si>
  <si>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</si>
  <si>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</si>
  <si>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</si>
  <si>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</si>
  <si>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</si>
  <si>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</si>
  <si>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</si>
  <si>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</si>
  <si>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</si>
  <si>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</si>
  <si>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</si>
  <si>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https://public.ananinja.com/files/files/whm_purchaseReturnOrders_production_ca871195-5304-4181-ba14-a038d75f5b86/show</t>
  </si>
  <si>
    <t>https://public.ananinja.com/files/files/whm_purchaseReturnOrders_production_68a62492-b976-499c-be70-13aafaadb4c7/show</t>
  </si>
  <si>
    <t>https://public.ananinja.com/files/files/whm_purchaseReturnOrders_production_d87675a8-5069-4c04-844f-09866dbe0417/show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</si>
  <si>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</si>
  <si>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</si>
  <si>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</si>
  <si>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</si>
  <si>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</si>
  <si>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</si>
  <si>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</si>
  <si>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</si>
  <si>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</si>
  <si>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</si>
  <si>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</si>
  <si>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</si>
  <si>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https://public.ananinja.com/files/files/whm_purchaseReturnOrders_production_7a6b5295-d4e5-4b7b-afd3-124911be3bca/show</t>
  </si>
  <si>
    <t>https://public.ananinja.com/files/files/whm_purchaseReturnOrders_production_24d11277-9425-4d04-a40f-186b6edaa742/show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</si>
  <si>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</si>
  <si>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</si>
  <si>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</si>
  <si>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</si>
  <si>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</si>
  <si>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</si>
  <si>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</si>
  <si>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</si>
  <si>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</si>
  <si>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https://public.ananinja.com/files/files/whm_purchaseReturnOrders_production_1586f33e-ed35-4314-8e14-f3e6d4284a30/show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</si>
  <si>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</si>
  <si>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</si>
  <si>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</si>
  <si>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</si>
  <si>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</si>
  <si>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</si>
  <si>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</si>
  <si>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</si>
  <si>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</si>
  <si>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https://public.ananinja.com/files/files/whm_purchaseReturnOrders_production_a9e8d246-2095-4dbf-afab-c1da83693bcb/show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</si>
  <si>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</si>
  <si>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</si>
  <si>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</si>
  <si>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</si>
  <si>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</si>
  <si>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</si>
  <si>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</si>
  <si>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</si>
  <si>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</si>
  <si>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https://public.ananinja.com/files/files/whm_purchaseReturnOrders_production_24bcf603-e073-4e88-90fd-7da0732be556/show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</si>
  <si>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</si>
  <si>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</si>
  <si>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https://public.ananinja.com/files/files/whm_purchaseReturnOrders_production_0fe960c0-f569-4881-9fbd-be397f2567c1/show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</si>
  <si>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</si>
  <si>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</si>
  <si>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</si>
  <si>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</si>
  <si>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</si>
  <si>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</si>
  <si>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</si>
  <si>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</si>
  <si>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</si>
  <si>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</si>
  <si>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</si>
  <si>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https://public.ananinja.com/files/files/whm_purchaseReturnOrders_production_197e44c6-04d1-4f43-9c5a-618f1ea799a8/show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</si>
  <si>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</si>
  <si>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</si>
  <si>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</si>
  <si>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</si>
  <si>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</si>
  <si>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</si>
  <si>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</si>
  <si>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</si>
  <si>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https://public.ananinja.com/files/files/whm_purchaseReturnOrders_production_d585f6d8-d016-4710-b95f-fe8fef3ec1c3/show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</si>
  <si>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</si>
  <si>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</si>
  <si>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</si>
  <si>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</si>
  <si>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</si>
  <si>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</si>
  <si>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</si>
  <si>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</si>
  <si>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</si>
  <si>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https://public.ananinja.com/files/files/whm_purchaseReturnOrders_production_1e4015f8-c442-4313-9c89-d4484571b401/show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</si>
  <si>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</si>
  <si>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</si>
  <si>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</si>
  <si>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https://public.ananinja.com/files/files/whm_purchaseReturnOrders_production_d36dc9c7-2b92-4374-8462-e686b356e393/show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</si>
  <si>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</si>
  <si>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</si>
  <si>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</si>
  <si>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</si>
  <si>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</si>
  <si>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</si>
  <si>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https://public.ananinja.com/files/files/whm_purchaseReturnOrders_production_6ecb6b29-6659-4961-95df-a850ec485c07/show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</si>
  <si>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</si>
  <si>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</si>
  <si>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</si>
  <si>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</si>
  <si>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</si>
  <si>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</si>
  <si>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PRO2600230075</t>
  </si>
  <si>
    <t>PRO2600230340</t>
  </si>
  <si>
    <t>PRO2600230317</t>
  </si>
  <si>
    <t>PRO2600230494</t>
  </si>
  <si>
    <t>PRO2600230312</t>
  </si>
  <si>
    <t>PRO2600230192</t>
  </si>
  <si>
    <t>PRO2600230217</t>
  </si>
  <si>
    <t>PRO2600230305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</si>
  <si>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</si>
  <si>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</si>
  <si>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</si>
  <si>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</si>
  <si>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</si>
  <si>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</si>
  <si>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</si>
  <si>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</si>
  <si>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PRO2600231077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</si>
  <si>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</si>
  <si>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</si>
  <si>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</si>
  <si>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</si>
  <si>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</si>
  <si>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</si>
  <si>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</si>
  <si>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</si>
  <si>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</si>
  <si>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</si>
  <si>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</si>
  <si>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</si>
  <si>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</si>
  <si>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</si>
  <si>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</si>
  <si>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</si>
  <si>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</si>
  <si>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</si>
  <si>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</si>
  <si>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</si>
  <si>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</si>
  <si>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</si>
  <si>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</si>
  <si>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</si>
  <si>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</si>
  <si>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</si>
  <si>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</si>
  <si>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</si>
  <si>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</si>
  <si>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</si>
  <si>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</si>
  <si>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</si>
  <si>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</si>
  <si>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</si>
  <si>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</si>
  <si>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</si>
  <si>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</si>
  <si>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</si>
  <si>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</si>
  <si>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</si>
  <si>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</si>
  <si>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</si>
  <si>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</si>
  <si>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</si>
  <si>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</si>
  <si>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</si>
  <si>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</si>
  <si>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</si>
  <si>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</si>
  <si>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</si>
  <si>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PRO2600231212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</si>
  <si>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</si>
  <si>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</si>
  <si>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</si>
  <si>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</si>
  <si>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</si>
  <si>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</si>
  <si>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</si>
  <si>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</si>
  <si>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</si>
  <si>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</si>
  <si>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</si>
  <si>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</si>
  <si>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</si>
  <si>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</si>
  <si>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</si>
  <si>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</si>
  <si>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</si>
  <si>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</si>
  <si>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</si>
  <si>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</si>
  <si>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</si>
  <si>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</si>
  <si>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</si>
  <si>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</si>
  <si>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</si>
  <si>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</si>
  <si>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</si>
  <si>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</si>
  <si>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</si>
  <si>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</si>
  <si>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</si>
  <si>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</si>
  <si>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</si>
  <si>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</si>
  <si>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</si>
  <si>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</si>
  <si>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</si>
  <si>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</si>
  <si>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</si>
  <si>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</si>
  <si>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</si>
  <si>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</si>
  <si>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</si>
  <si>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</si>
  <si>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</si>
  <si>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</si>
  <si>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</si>
  <si>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</si>
  <si>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</si>
  <si>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</si>
  <si>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https://public.ananinja.com/files/files/whm_purchaseReturnOrders_production_440140c0-b510-4f60-a79c-a40e7cd5ea18/show</t>
  </si>
  <si>
    <t>https://public.ananinja.com/files/files/whm_purchaseReturnOrders_production_54d82e18-91d9-4379-9f3a-79ec78065035/show</t>
  </si>
  <si>
    <t>https://public.ananinja.com/files/files/whm_purchaseReturnOrders_production_7990d923-a633-44dc-b046-9171d313794f/show</t>
  </si>
  <si>
    <t>https://public.ananinja.com/files/files/whm_purchaseReturnOrders_production_114b7af4-fe52-4c96-a7f8-259b6809d0da/show</t>
  </si>
  <si>
    <t>https://public.ananinja.com/files/files/whm_purchaseReturnOrders_production_13ab6ce1-8ae3-496f-b72b-ed4f3ad57eca/show</t>
  </si>
  <si>
    <t>https://public.ananinja.com/files/files/whm_purchaseReturnOrders_production_67d149e4-ea1c-4d7e-b6a4-f7b27f45075a/show</t>
  </si>
  <si>
    <t>https://public.ananinja.com/files/files/whm_purchaseReturnOrders_production_31923050-e179-4b64-93cb-137a787f5d5e/show</t>
  </si>
  <si>
    <t>https://public.ananinja.com/files/files/whm_purchaseReturnOrders_production_4f095919-09b3-4c96-81f1-a19b74e74489/show</t>
  </si>
  <si>
    <t>https://public.ananinja.com/files/files/whm_purchaseReturnOrders_production_08d52d8d-9b5b-46d0-91bc-e87d96f4f627/show</t>
  </si>
  <si>
    <t>https://public.ananinja.com/files/files/whm_purchaseReturnOrders_production_6e741dca-df73-4f8d-874f-028a208cbf36/show</t>
  </si>
  <si>
    <t>https://public.ananinja.com/files/files/whm_purchaseReturnOrders_production_ab1d61c1-9305-4ea1-8733-5af2a709e2bb/show</t>
  </si>
  <si>
    <t>https://public.ananinja.com/files/files/whm_purchaseReturnOrders_production_f3e35043-a616-4273-82f0-2960042d34a4/show</t>
  </si>
  <si>
    <t>https://public.ananinja.com/files/files/whm_purchaseReturnOrders_production_cfbac03e-63b4-484a-acd2-b69df790349a/show</t>
  </si>
  <si>
    <t>https://public.ananinja.com/files/files/whm_purchaseReturnOrders_production_69c6bd32-9b50-4644-8e47-4a3e531b220e/show</t>
  </si>
  <si>
    <t>https://public.ananinja.com/files/files/whm_purchaseReturnOrders_production_4adb713e-dccb-4d56-b597-7039093b2d50/show</t>
  </si>
  <si>
    <t>https://public.ananinja.com/files/files/whm_purchaseReturnOrders_production_02e17cb6-12d8-40ea-98a0-6dab3f6323ed/show</t>
  </si>
  <si>
    <t>https://public.ananinja.com/files/files/whm_purchaseReturnOrders_production_0a6f2ef4-66f4-4755-9587-e91fa83eff61/show</t>
  </si>
  <si>
    <t>https://public.ananinja.com/files/files/whm_purchaseReturnOrders_production_31dd8f92-5a72-46bc-88ff-eb04076fc7a5/show</t>
  </si>
  <si>
    <t>https://public.ananinja.com/files/files/whm_purchaseReturnOrders_production_f52e93ce-df6a-41b9-9508-dcf50692c5f4/show</t>
  </si>
  <si>
    <t>https://public.ananinja.com/files/files/whm_purchaseReturnOrders_production_a0c9a6d7-1a3d-45fd-ae76-fb31b0df58d5/show</t>
  </si>
  <si>
    <t>https://public.ananinja.com/files/files/whm_purchaseReturnOrders_production_6fb9c959-f38b-4d29-b121-6bfbfac9a621/show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</si>
  <si>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</si>
  <si>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</si>
  <si>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</si>
  <si>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PRO2600231685</t>
  </si>
  <si>
    <t>V02721</t>
  </si>
  <si>
    <t>PO2600697658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</si>
  <si>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</si>
  <si>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</si>
  <si>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</si>
  <si>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</si>
  <si>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</si>
  <si>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</si>
  <si>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</si>
  <si>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</si>
  <si>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</si>
  <si>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</si>
  <si>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</si>
  <si>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</si>
  <si>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</si>
  <si>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</si>
  <si>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</si>
  <si>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</si>
  <si>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</si>
  <si>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</si>
  <si>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</si>
  <si>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</si>
  <si>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</si>
  <si>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</si>
  <si>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</si>
  <si>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</si>
  <si>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</si>
  <si>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</si>
  <si>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</si>
  <si>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</si>
  <si>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https://public.ananinja.com/files/files/whm_purchaseReturnOrders_production_faab91c6-7111-4546-b252-98c85c61ddaa/show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</si>
  <si>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</si>
  <si>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</si>
  <si>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</si>
  <si>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</si>
  <si>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</si>
  <si>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</si>
  <si>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</si>
  <si>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</si>
  <si>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</si>
  <si>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</si>
  <si>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</si>
  <si>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</si>
  <si>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</si>
  <si>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</si>
  <si>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</si>
  <si>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</si>
  <si>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</si>
  <si>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</si>
  <si>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PRO2600232387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</si>
  <si>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</si>
  <si>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</si>
  <si>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</si>
  <si>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</si>
  <si>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</si>
  <si>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</si>
  <si>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</si>
  <si>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</si>
  <si>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</si>
  <si>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</si>
  <si>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</si>
  <si>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</si>
  <si>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</si>
  <si>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</si>
  <si>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https://public.ananinja.com/files/files/whm_purchaseReturnOrders_production_2137a11e-4bfc-47bc-8c99-1b63a6426dd9/show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</si>
  <si>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</si>
  <si>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</si>
  <si>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PRO2600232491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</si>
  <si>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</si>
  <si>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</si>
  <si>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</si>
  <si>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</si>
  <si>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</si>
  <si>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</si>
  <si>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</si>
  <si>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</si>
  <si>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</si>
  <si>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</si>
  <si>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</si>
  <si>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</si>
  <si>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</si>
  <si>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</si>
  <si>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https://public.ananinja.com/files/files/whm_purchaseReturnOrders_production_e9f5cbff-d81c-4320-a5e6-bbbabd30c069/show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</si>
  <si>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</si>
  <si>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</si>
  <si>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</si>
  <si>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</si>
  <si>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</si>
  <si>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https://public.ananinja.com/files/files/whm_purchaseReturnOrders_production_9c97ae31-09e4-466c-9031-e1436eba23dd/show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</si>
  <si>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</si>
  <si>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</si>
  <si>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</si>
  <si>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</si>
  <si>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</si>
  <si>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</si>
  <si>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</si>
  <si>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</si>
  <si>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</si>
  <si>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</si>
  <si>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</si>
  <si>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</si>
  <si>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</si>
  <si>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</si>
  <si>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</si>
  <si>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</si>
  <si>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</si>
  <si>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</si>
  <si>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</si>
  <si>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</si>
  <si>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</si>
  <si>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</si>
  <si>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</si>
  <si>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</si>
  <si>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</si>
  <si>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</si>
  <si>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</si>
  <si>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</si>
  <si>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</si>
  <si>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</si>
  <si>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</si>
  <si>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</si>
  <si>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</si>
  <si>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</si>
  <si>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</si>
  <si>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</si>
  <si>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</si>
  <si>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</si>
  <si>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https://public.ananinja.com/files/files/whm_purchaseReturnOrders_production_3d94429a-ab04-437a-8772-7d82fc3ddaf1/show</t>
  </si>
  <si>
    <t>https://public.ananinja.com/files/files/whm_purchaseReturnOrders_production_2e701db0-c42c-4649-9d39-e29bd38f8f31/show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</si>
  <si>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</si>
  <si>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</si>
  <si>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</si>
  <si>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</si>
  <si>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https://public.ananinja.com/files/files/whm_purchaseReturnOrders_production_03c2eda9-7e55-4636-806a-214c96da2ba5/show</t>
  </si>
  <si>
    <t>https://public.ananinja.com/files/files/whm_purchaseReturnOrders_production_7f068b1f-7fdd-45aa-b37c-925838008378/show</t>
  </si>
  <si>
    <t>https://public.ananinja.com/files/files/whm_purchaseReturnOrders_production_fd9f1b92-5242-4afe-ad42-b9f413937c08/show</t>
  </si>
  <si>
    <t>https://public.ananinja.com/files/files/whm_purchaseReturnOrders_production_4516d4c9-0645-4921-91b7-6afd841d2040/show</t>
  </si>
  <si>
    <t>https://public.ananinja.com/files/files/whm_purchaseReturnOrders_production_28143531-409b-4de6-a76d-3cad253d8abd/show</t>
  </si>
  <si>
    <t>PRO2600232739</t>
  </si>
  <si>
    <t>https://public.ananinja.com/files/files/whm_purchaseReturnOrders_production_d31c17b1-662f-441a-a261-e8c5bf671fb3/show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</si>
  <si>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</si>
  <si>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</si>
  <si>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</si>
  <si>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</si>
  <si>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</si>
  <si>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PRO2600232579</t>
  </si>
  <si>
    <t>PRO2600232613</t>
  </si>
  <si>
    <t>PRO2600232703</t>
  </si>
  <si>
    <t>PRO2600232744</t>
  </si>
  <si>
    <t>PRO2600232375</t>
  </si>
  <si>
    <t>PRO2600232559</t>
  </si>
  <si>
    <t>PRO2600232489</t>
  </si>
  <si>
    <t>PRO2600232473</t>
  </si>
  <si>
    <t>PRO2600232709</t>
  </si>
  <si>
    <t>PRO2600232786</t>
  </si>
  <si>
    <t>PRO2600232665</t>
  </si>
  <si>
    <t>PRO2600232788</t>
  </si>
  <si>
    <t>PRO2600232684</t>
  </si>
  <si>
    <t>PRO2600232806</t>
  </si>
  <si>
    <t>PRO2600232656</t>
  </si>
  <si>
    <t>PRO2600232785</t>
  </si>
  <si>
    <t>PRO2600232538</t>
  </si>
  <si>
    <t>V03518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</si>
  <si>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</si>
  <si>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</si>
  <si>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</si>
  <si>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</si>
  <si>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</si>
  <si>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</si>
  <si>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</si>
  <si>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</si>
  <si>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</si>
  <si>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</si>
  <si>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</si>
  <si>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</si>
  <si>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</si>
  <si>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</si>
  <si>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</si>
  <si>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</si>
  <si>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</si>
  <si>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</si>
  <si>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https://public.ananinja.com/files/files/whm_purchaseReturnOrders_production_e5e7a45a-1c5c-4914-bfc3-f0e03378f85a/show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</si>
  <si>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</si>
  <si>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</si>
  <si>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</si>
  <si>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</si>
  <si>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</si>
  <si>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</si>
  <si>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https://public.ananinja.com/files/files/whm_purchaseReturnOrders_production_d4b7880f-c7dd-4d1f-809a-0707f107b990/show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</si>
  <si>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</si>
  <si>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</si>
  <si>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</si>
  <si>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</si>
  <si>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</si>
  <si>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</si>
  <si>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</si>
  <si>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</si>
  <si>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</si>
  <si>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</si>
  <si>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</si>
  <si>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</si>
  <si>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</si>
  <si>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</si>
  <si>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</si>
  <si>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</si>
  <si>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</si>
  <si>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</si>
  <si>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</si>
  <si>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</si>
  <si>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</si>
  <si>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</si>
  <si>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</si>
  <si>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</si>
  <si>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</si>
  <si>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</si>
  <si>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</si>
  <si>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</si>
  <si>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</si>
  <si>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</si>
  <si>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</si>
  <si>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</si>
  <si>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</si>
  <si>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</si>
  <si>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</si>
  <si>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</si>
  <si>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</si>
  <si>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https://public.ananinja.com/files/files/whm_purchaseReturnOrders_production_dccc01ff-7f46-46a9-9863-803609c29113/show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</si>
  <si>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</si>
  <si>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</si>
  <si>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</si>
  <si>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</si>
  <si>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</si>
  <si>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</si>
  <si>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</si>
  <si>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</si>
  <si>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</si>
  <si>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</si>
  <si>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https://public.ananinja.com/files/files/whm_purchaseReturnOrders_production_61a7cc71-7f5c-4449-8a0b-62728cf1994c/show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</si>
  <si>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</si>
  <si>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</si>
  <si>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</si>
  <si>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</si>
  <si>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</si>
  <si>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</si>
  <si>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</si>
  <si>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</si>
  <si>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</si>
  <si>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https://public.ananinja.com/files/files/whm_purchaseReturnOrders_production_154dd7bd-eff5-4200-a2eb-ab9be1fec3e0/show</t>
  </si>
  <si>
    <t>https://public.ananinja.com/files/files/whm_purchaseReturnOrders_production_1b549591-fe3d-42d4-b03f-335691e7284e/show</t>
  </si>
  <si>
    <t>https://public.ananinja.com/files/files/whm_purchaseReturnOrders_production_9f11ef2a-2175-4d33-ab36-db3b92f580f2/show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</si>
  <si>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</si>
  <si>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</si>
  <si>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</si>
  <si>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https://public.ananinja.com/files/files/whm_purchaseReturnOrders_production_9384457e-f131-49b9-947f-e2a1fa084484/show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</si>
  <si>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</si>
  <si>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</si>
  <si>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</si>
  <si>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https://public.ananinja.com/files/files/whm_purchaseReturnOrders_production_8f637b1d-f373-4907-ab65-d3dfddb6b613/show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</si>
  <si>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</si>
  <si>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</si>
  <si>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https://public.ananinja.com/files/files/whm_purchaseReturnOrders_production_daa7b5a5-b405-43f8-a1f9-10d3a7b7864c/show</t>
  </si>
  <si>
    <t>https://public.ananinja.com/files/files/whm_purchaseReturnOrders_production_acad53cb-d860-4652-8057-96409ece532b/show</t>
  </si>
  <si>
    <t>https://public.ananinja.com/files/files/whm_purchaseReturnOrders_production_e65f0c5b-28b2-4c71-859a-7e606fbb87e9/show</t>
  </si>
  <si>
    <t>https://public.ananinja.com/files/files/whm_purchaseReturnOrders_production_193a7d23-b4cb-4000-b5e9-8144181b9b29/show</t>
  </si>
  <si>
    <t>PRO2600234233</t>
  </si>
  <si>
    <t>https://public.ananinja.com/files/files/whm_purchaseReturnOrders_production_3c0fdb9f-2ede-430c-a2ed-9d44869c1055/show</t>
  </si>
  <si>
    <t>PRO2600234240</t>
  </si>
  <si>
    <t>https://public.ananinja.com/files/files/whm_purchaseReturnOrders_production_4821b677-5ac5-4acf-9bf2-e91152cc0bba/show</t>
  </si>
  <si>
    <t>PRO2600234234</t>
  </si>
  <si>
    <t>PRO2600234241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</si>
  <si>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</si>
  <si>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</si>
  <si>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</si>
  <si>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</si>
  <si>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</si>
  <si>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</si>
  <si>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</si>
  <si>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</si>
  <si>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</si>
  <si>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</si>
  <si>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</si>
  <si>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</si>
  <si>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</si>
  <si>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</si>
  <si>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</si>
  <si>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</si>
  <si>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</si>
  <si>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</si>
  <si>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</si>
  <si>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</si>
  <si>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</si>
  <si>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</si>
  <si>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</si>
  <si>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</si>
  <si>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</si>
  <si>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PRO2600233867</t>
  </si>
  <si>
    <t>PRO2600233919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</si>
  <si>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</si>
  <si>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</si>
  <si>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</si>
  <si>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</si>
  <si>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</si>
  <si>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</si>
  <si>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</si>
  <si>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</si>
  <si>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</si>
  <si>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PRO2600233966</t>
  </si>
  <si>
    <t>PRO2600233366</t>
  </si>
  <si>
    <t>PRO2600233546</t>
  </si>
  <si>
    <t>PRO2600233246</t>
  </si>
  <si>
    <t>PRO2600233636</t>
  </si>
  <si>
    <t>PRO2600233566</t>
  </si>
  <si>
    <t>V02621</t>
  </si>
  <si>
    <t>Ibrahim Al Shanifi For Trading &amp; Contracting Co</t>
  </si>
  <si>
    <t>PO2600708007</t>
  </si>
  <si>
    <t>V03869</t>
  </si>
  <si>
    <t>Taj Al Riyadh Commercial Marketing Company</t>
  </si>
  <si>
    <t>V03900</t>
  </si>
  <si>
    <t>aalam alasnaf almumtazih Company Commercial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</si>
  <si>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</si>
  <si>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</si>
  <si>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</si>
  <si>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</si>
  <si>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</si>
  <si>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</si>
  <si>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PRO2600235254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</si>
  <si>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</si>
  <si>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</si>
  <si>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</si>
  <si>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</si>
  <si>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</si>
  <si>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</si>
  <si>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</si>
  <si>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</si>
  <si>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</si>
  <si>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</si>
  <si>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</si>
  <si>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</si>
  <si>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</si>
  <si>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</si>
  <si>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</si>
  <si>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</si>
  <si>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</si>
  <si>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</si>
  <si>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</si>
  <si>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</si>
  <si>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</si>
  <si>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</si>
  <si>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</si>
  <si>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</si>
  <si>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</si>
  <si>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</si>
  <si>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</si>
  <si>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</si>
  <si>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</si>
  <si>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</si>
  <si>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</si>
  <si>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</si>
  <si>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</si>
  <si>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</si>
  <si>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</si>
  <si>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</si>
  <si>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PRO2600235238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</si>
  <si>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</si>
  <si>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</si>
  <si>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</si>
  <si>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</si>
  <si>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</si>
  <si>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</si>
  <si>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</si>
  <si>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</si>
  <si>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</si>
  <si>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</si>
  <si>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</si>
  <si>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</si>
  <si>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</si>
  <si>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</si>
  <si>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</si>
  <si>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</si>
  <si>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</si>
  <si>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</si>
  <si>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</si>
  <si>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</si>
  <si>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</si>
  <si>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</si>
  <si>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</si>
  <si>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</si>
  <si>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</si>
  <si>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</si>
  <si>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</si>
  <si>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</si>
  <si>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</si>
  <si>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</si>
  <si>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</si>
  <si>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</si>
  <si>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</si>
  <si>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</si>
  <si>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</si>
  <si>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</si>
  <si>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</si>
  <si>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</si>
  <si>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</si>
  <si>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</si>
  <si>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</si>
  <si>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</si>
  <si>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</si>
  <si>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</si>
  <si>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</si>
  <si>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</si>
  <si>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</si>
  <si>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</si>
  <si>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</si>
  <si>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</si>
  <si>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</si>
  <si>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</si>
  <si>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</si>
  <si>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</si>
  <si>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</si>
  <si>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</si>
  <si>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</si>
  <si>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</si>
  <si>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</si>
  <si>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PRO2600235272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</si>
  <si>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</si>
  <si>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</si>
  <si>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</si>
  <si>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</si>
  <si>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</si>
  <si>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</si>
  <si>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</si>
  <si>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</si>
  <si>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</si>
  <si>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</si>
  <si>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</si>
  <si>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</si>
  <si>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</si>
  <si>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</si>
  <si>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</si>
  <si>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</si>
  <si>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</si>
  <si>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</si>
  <si>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</si>
  <si>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</si>
  <si>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PRO2600235403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</si>
  <si>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</si>
  <si>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</si>
  <si>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</si>
  <si>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</si>
  <si>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</si>
  <si>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</si>
  <si>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</si>
  <si>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</si>
  <si>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</si>
  <si>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</si>
  <si>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https://public.ananinja.com/files/files/whm_purchaseReturnOrders_production_d62b361b-4fc5-4821-a6d0-a8bab071bc97/show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</si>
  <si>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</si>
  <si>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</si>
  <si>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</si>
  <si>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https://public.ananinja.com/files/files/whm_purchaseReturnOrders_production_808a72f2-968c-4b03-8b34-ee9b5e8a768f/show</t>
  </si>
  <si>
    <t>https://public.ananinja.com/files/files/whm_purchaseReturnOrders_production_9f51576c-743d-4572-89e9-edade8617949/show</t>
  </si>
  <si>
    <t>https://public.ananinja.com/files/files/whm_purchaseReturnOrders_production_4d910211-49fc-431a-af35-952552db1425/show</t>
  </si>
  <si>
    <t>https://public.ananinja.com/files/files/whm_purchaseReturnOrders_production_2173e281-1127-409a-b87c-cbba9bc63d02/show</t>
  </si>
  <si>
    <t>https://public.ananinja.com/files/files/whm_purchaseReturnOrders_production_0f1f67da-ab6f-4e5d-bcd1-2a4c32318b2c/show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</si>
  <si>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</si>
  <si>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</si>
  <si>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</si>
  <si>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</si>
  <si>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</si>
  <si>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</si>
  <si>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</si>
  <si>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</si>
  <si>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</si>
  <si>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https://public.ananinja.com/files/files/whm_purchaseReturnOrders_production_db9fd428-485d-4855-971b-fe7429777ef6/show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</si>
  <si>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</si>
  <si>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</si>
  <si>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</si>
  <si>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https://public.ananinja.com/files/files/whm_purchaseReturnOrders_production_03f453d3-807c-4415-bafd-1c3750a01f15/show</t>
  </si>
  <si>
    <t>https://public.ananinja.com/files/files/whm_purchaseReturnOrders_production_ce89dc2f-3097-4a4b-8ea7-2cbacd1ed75f/show</t>
  </si>
  <si>
    <t>https://public.ananinja.com/files/files/whm_purchaseReturnOrders_production_bf0af543-92aa-411d-b3ba-a4e5c1a6fb8b/show</t>
  </si>
  <si>
    <t>PRO2600235106</t>
  </si>
  <si>
    <t>PRO2600234767</t>
  </si>
  <si>
    <t>PRO2600235319</t>
  </si>
  <si>
    <t>PRO2600235146</t>
  </si>
  <si>
    <t>PRO2600235293</t>
  </si>
  <si>
    <t>PRO2600234728</t>
  </si>
  <si>
    <t>PRO2600235134</t>
  </si>
  <si>
    <t>PRO2600235131</t>
  </si>
  <si>
    <t>PRO2600235188</t>
  </si>
  <si>
    <t>PRO2600235371</t>
  </si>
  <si>
    <t>PRO2600235522</t>
  </si>
  <si>
    <t>PRO2600235058</t>
  </si>
  <si>
    <t>PRO2600235215</t>
  </si>
  <si>
    <t>PRO2600234958</t>
  </si>
  <si>
    <t>PRO2600235045</t>
  </si>
  <si>
    <t>PRO2600235355</t>
  </si>
  <si>
    <t>PRO2600234800</t>
  </si>
  <si>
    <t>PRO2600235086</t>
  </si>
  <si>
    <t>PRO2600235277</t>
  </si>
  <si>
    <t>PRO2600234822</t>
  </si>
  <si>
    <t>PRO2600235398</t>
  </si>
  <si>
    <t>PRO2600235480</t>
  </si>
  <si>
    <t>PRO2600235102</t>
  </si>
  <si>
    <t>PRO2600235451</t>
  </si>
  <si>
    <t>PRO2600235033</t>
  </si>
  <si>
    <t>V03557</t>
  </si>
  <si>
    <t>Company Afran Al Hatab (RTE)</t>
  </si>
  <si>
    <t>Food International Co. Ltd one person</t>
  </si>
  <si>
    <t>PO2600691824</t>
  </si>
  <si>
    <t>AL RASHED FOOD COMPANY LTD (FRESH)</t>
  </si>
  <si>
    <t>V03327</t>
  </si>
  <si>
    <t>HENNA RAGHA TRADING EST.</t>
  </si>
  <si>
    <t>Binzagr Unilever Distribution Co. Ltd. Retail</t>
  </si>
  <si>
    <t>PO2600697405</t>
  </si>
  <si>
    <t>V00210</t>
  </si>
  <si>
    <t>Mars Saudi Arabia for Trading Co LTD</t>
  </si>
  <si>
    <t>V03805</t>
  </si>
  <si>
    <t>Company Afran Al Hatab Bread</t>
  </si>
  <si>
    <t>V03833</t>
  </si>
  <si>
    <t>Family Center for Trade and Marketing</t>
  </si>
  <si>
    <t>PO2600708099</t>
  </si>
  <si>
    <t>V01400</t>
  </si>
  <si>
    <t>Coca Cola Company For Beverages Bottling</t>
  </si>
  <si>
    <t>PO2600697402</t>
  </si>
  <si>
    <t>Blue Bird Co., Ltd. ( House Of Pops )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</si>
  <si>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</si>
  <si>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</si>
  <si>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</si>
  <si>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</si>
  <si>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</si>
  <si>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</si>
  <si>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</si>
  <si>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</si>
  <si>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PRO2600236673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</si>
  <si>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</si>
  <si>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</si>
  <si>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</si>
  <si>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</si>
  <si>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</si>
  <si>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</si>
  <si>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</si>
  <si>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</si>
  <si>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</si>
  <si>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</si>
  <si>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</si>
  <si>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</si>
  <si>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</si>
  <si>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</si>
  <si>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</si>
  <si>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</si>
  <si>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</si>
  <si>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</si>
  <si>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</si>
  <si>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</si>
  <si>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</si>
  <si>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</si>
  <si>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</si>
  <si>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</si>
  <si>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</si>
  <si>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</si>
  <si>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</si>
  <si>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</si>
  <si>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</si>
  <si>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</si>
  <si>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</si>
  <si>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</si>
  <si>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</si>
  <si>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</si>
  <si>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</si>
  <si>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</si>
  <si>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</si>
  <si>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</si>
  <si>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</si>
  <si>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</si>
  <si>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</si>
  <si>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</si>
  <si>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</si>
  <si>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</si>
  <si>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</si>
  <si>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</si>
  <si>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</si>
  <si>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</si>
  <si>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https://public.ananinja.com/files/files/whm_purchaseReturnOrders_production_0b7db1ea-9293-4d78-9f06-b370a619266d/show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</si>
  <si>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</si>
  <si>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</si>
  <si>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</si>
  <si>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</si>
  <si>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</si>
  <si>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</si>
  <si>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</si>
  <si>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</si>
  <si>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</si>
  <si>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</si>
  <si>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</si>
  <si>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</si>
  <si>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</si>
  <si>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</si>
  <si>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</si>
  <si>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</si>
  <si>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</si>
  <si>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</si>
  <si>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</si>
  <si>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https://public.ananinja.com/files/files/whm_purchaseReturnOrders_production_5e40c9bc-0c12-4d09-a7c4-efef11737e2a/show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</si>
  <si>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</si>
  <si>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</si>
  <si>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</si>
  <si>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</si>
  <si>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</si>
  <si>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</si>
  <si>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</si>
  <si>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https://public.ananinja.com/files/files/whm_purchaseReturnOrders_production_5002d38a-d001-4530-b608-a1f3d2730b01/show</t>
  </si>
  <si>
    <t>https://public.ananinja.com/files/files/whm_purchaseReturnOrders_production_cf0888f9-cdef-42e7-9733-f4020bec4d40/show</t>
  </si>
  <si>
    <t>https://public.ananinja.com/files/files/whm_purchaseReturnOrders_production_dc8cfce6-2110-4bbd-8357-8fefb99542c7/show</t>
  </si>
  <si>
    <t>https://public.ananinja.com/files/files/whm_purchaseReturnOrders_production_6836ff06-dc6b-4d20-84fd-cddd1306aa03/show</t>
  </si>
  <si>
    <t>https://public.ananinja.com/files/files/whm_purchaseReturnOrders_production_f2c4dca0-c08e-4208-9fce-6df7171edf49/show</t>
  </si>
  <si>
    <t>https://public.ananinja.com/files/files/whm_purchaseReturnOrders_production_78595286-0c85-498f-9672-ae9007735f06/show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</si>
  <si>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</si>
  <si>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</si>
  <si>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https://public.ananinja.com/files/files/whm_purchaseReturnOrders_production_ebd52743-9459-4253-bea9-abe81b7add61/show</t>
  </si>
  <si>
    <t>https://public.ananinja.com/files/files/whm_purchaseReturnOrders_production_97d9ee8d-6bab-416e-a5ce-802384e0dac9/show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</si>
  <si>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</si>
  <si>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</si>
  <si>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</si>
  <si>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https://public.ananinja.com/files/files/whm_purchaseReturnOrders_production_7d5c78a9-fd2e-4be3-a93d-f1a6aa000fb0/show</t>
  </si>
  <si>
    <t>https://public.ananinja.com/files/files/whm_purchaseReturnOrders_production_1e602d21-28fe-468b-ba3f-51ea15226a2a/show</t>
  </si>
  <si>
    <t>https://public.ananinja.com/files/files/whm_purchaseReturnOrders_production_e8631280-09ca-4012-9bb1-aa032256920f/show</t>
  </si>
  <si>
    <t>https://public.ananinja.com/files/files/whm_purchaseReturnOrders_production_3c57d756-f6de-4ea6-8bc6-446d6d6b68d2/show</t>
  </si>
  <si>
    <t>https://public.ananinja.com/files/files/whm_purchaseReturnOrders_production_765e2996-039a-4fd0-924b-7c2b1bb4e0a8/show</t>
  </si>
  <si>
    <t>https://public.ananinja.com/files/files/whm_purchaseReturnOrders_production_9a8cba79-e9b0-4b4e-8f2d-fe6db8b59cd7/show</t>
  </si>
  <si>
    <t>https://public.ananinja.com/files/files/whm_purchaseReturnOrders_production_f54de3d1-0282-4612-a0e5-6959b498eb93/show</t>
  </si>
  <si>
    <t>https://public.ananinja.com/files/files/whm_purchaseReturnOrders_production_c07952de-a23c-469d-8c3a-277afc165af4/show</t>
  </si>
  <si>
    <t xml:space="preserve">Rawaie Sima Trading Est						</t>
  </si>
  <si>
    <t>PRO2600236758</t>
  </si>
  <si>
    <t>PRO2600236727</t>
  </si>
  <si>
    <t>PRO2600236343</t>
  </si>
  <si>
    <t>PRO2600236709</t>
  </si>
  <si>
    <t>PRO2600236293</t>
  </si>
  <si>
    <t>PRO2600236386</t>
  </si>
  <si>
    <t>PRO2600236680</t>
  </si>
  <si>
    <t>PRO2600236683</t>
  </si>
  <si>
    <t>L'OrÃ©al Saudi Arabia (Mass)</t>
  </si>
  <si>
    <t>PRO2600236302</t>
  </si>
  <si>
    <t>PRO2600236745</t>
  </si>
  <si>
    <t>PRO2600236632</t>
  </si>
  <si>
    <t>PRO2600236792</t>
  </si>
  <si>
    <t>PRO2600236687</t>
  </si>
  <si>
    <t>PRO2600236761</t>
  </si>
  <si>
    <t>PRO2600236279</t>
  </si>
  <si>
    <t>PRO2600236218</t>
  </si>
  <si>
    <t>Rawafed Global Health Company is a one-person co</t>
  </si>
  <si>
    <t>PRO2600236660</t>
  </si>
  <si>
    <t>PRO2600236682</t>
  </si>
  <si>
    <t>PRO2600236002</t>
  </si>
  <si>
    <t>PRO2600236646</t>
  </si>
  <si>
    <t>PRO2600236723</t>
  </si>
  <si>
    <t>PRO2600236671</t>
  </si>
  <si>
    <t>PRO2600236783</t>
  </si>
  <si>
    <t>PRO2600236742</t>
  </si>
  <si>
    <t>PRO2600236558</t>
  </si>
  <si>
    <t>PRO2600236131</t>
  </si>
  <si>
    <t>PRO2600236610</t>
  </si>
  <si>
    <t>PRO2600236686</t>
  </si>
  <si>
    <t>PRO2600236315</t>
  </si>
  <si>
    <t>PRO2600236726</t>
  </si>
  <si>
    <t>PRO2600236195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</si>
  <si>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</si>
  <si>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</si>
  <si>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</si>
  <si>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</si>
  <si>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</si>
  <si>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</si>
  <si>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</si>
  <si>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</si>
  <si>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</si>
  <si>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</si>
  <si>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</si>
  <si>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</si>
  <si>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</si>
  <si>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PRO2600203022</t>
  </si>
  <si>
    <t>PRO2600204673</t>
  </si>
  <si>
    <t>PRO2600206109</t>
  </si>
  <si>
    <t>PRO2600206778</t>
  </si>
  <si>
    <t>PRO2600207088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</si>
  <si>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</si>
  <si>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</si>
  <si>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</si>
  <si>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</si>
  <si>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</si>
  <si>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</si>
  <si>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</si>
  <si>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PRO2600210604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</si>
  <si>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</si>
  <si>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</si>
  <si>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</si>
  <si>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</si>
  <si>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</si>
  <si>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</si>
  <si>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</si>
  <si>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</si>
  <si>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PRO2600219588</t>
  </si>
  <si>
    <t>PRO2600220651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</si>
  <si>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</si>
  <si>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</si>
  <si>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</si>
  <si>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</si>
  <si>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</si>
  <si>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</si>
  <si>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</si>
  <si>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</si>
  <si>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</si>
  <si>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</si>
  <si>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</si>
  <si>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PRO2600212288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</si>
  <si>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</si>
  <si>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</si>
  <si>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</si>
  <si>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</si>
  <si>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</si>
  <si>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</si>
  <si>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</si>
  <si>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</si>
  <si>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</si>
  <si>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</si>
  <si>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</si>
  <si>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</si>
  <si>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</si>
  <si>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</si>
  <si>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</si>
  <si>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</si>
  <si>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</si>
  <si>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PRO2600230253</t>
  </si>
  <si>
    <t>PRO2600230479</t>
  </si>
  <si>
    <t>PRO2600230456</t>
  </si>
  <si>
    <t>PRO2600229809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</si>
  <si>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</si>
  <si>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</si>
  <si>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</si>
  <si>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</si>
  <si>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</si>
  <si>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</si>
  <si>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</si>
  <si>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</si>
  <si>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</si>
  <si>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PRO2600208478</t>
  </si>
  <si>
    <t>PRO2600233820</t>
  </si>
  <si>
    <t>PRO2600233586</t>
  </si>
  <si>
    <t>PRO2600234814</t>
  </si>
  <si>
    <t>PRO2600235041</t>
  </si>
  <si>
    <t>PRO2600235199</t>
  </si>
  <si>
    <t>PRO2600235167</t>
  </si>
  <si>
    <t>PRO2600235046</t>
  </si>
  <si>
    <t>PRO2600235410</t>
  </si>
  <si>
    <t>PRO2600225870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</si>
  <si>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</si>
  <si>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</si>
  <si>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</si>
  <si>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</si>
  <si>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</si>
  <si>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</si>
  <si>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</si>
  <si>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</si>
  <si>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</si>
  <si>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</si>
  <si>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</si>
  <si>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</si>
  <si>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</si>
  <si>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</si>
  <si>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PRO2600237463</t>
  </si>
  <si>
    <t>PRO2600237667</t>
  </si>
  <si>
    <t>PRO2600237837</t>
  </si>
  <si>
    <t>PRO2600237609</t>
  </si>
  <si>
    <t>PRO2600237780</t>
  </si>
  <si>
    <t>PRO2600237807</t>
  </si>
  <si>
    <t>PRO2600237804</t>
  </si>
  <si>
    <t>PRO2600237628</t>
  </si>
  <si>
    <t>PRO2600237798</t>
  </si>
  <si>
    <t>PRO2600237728</t>
  </si>
  <si>
    <t>PRO2600237623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</si>
  <si>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</si>
  <si>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</si>
  <si>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</si>
  <si>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</si>
  <si>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</si>
  <si>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</si>
  <si>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</si>
  <si>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PRO2600237348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</si>
  <si>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</si>
  <si>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</si>
  <si>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</si>
  <si>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</si>
  <si>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</si>
  <si>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</si>
  <si>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</si>
  <si>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</si>
  <si>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</si>
  <si>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</si>
  <si>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</si>
  <si>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</si>
  <si>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PRO2600237633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</si>
  <si>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</si>
  <si>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</si>
  <si>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</si>
  <si>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</si>
  <si>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</si>
  <si>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</si>
  <si>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</si>
  <si>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</si>
  <si>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</si>
  <si>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</si>
  <si>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PRO2600237427</t>
  </si>
  <si>
    <t>PRO2600237800</t>
  </si>
  <si>
    <t>PRO2600237567</t>
  </si>
  <si>
    <t>PRO2600237799</t>
  </si>
  <si>
    <t>PRO2600237650</t>
  </si>
  <si>
    <t>PRO2600237429</t>
  </si>
  <si>
    <t>PRO2600237284</t>
  </si>
  <si>
    <t>PRO2600237705</t>
  </si>
  <si>
    <t>PRO2600237631</t>
  </si>
  <si>
    <t>PRO2600237566</t>
  </si>
  <si>
    <t>PRO2600237629</t>
  </si>
  <si>
    <t>PRO2600237671</t>
  </si>
  <si>
    <t>PRO2600237410</t>
  </si>
  <si>
    <t>PRO2600237795</t>
  </si>
  <si>
    <t>PRO2600237560</t>
  </si>
  <si>
    <t>PRO2600237580</t>
  </si>
  <si>
    <t>PRO2600237739</t>
  </si>
  <si>
    <t>PRO2600237504</t>
  </si>
  <si>
    <t>PRO2600237816</t>
  </si>
  <si>
    <t>PRO2600237536</t>
  </si>
  <si>
    <t>PRO2600237808</t>
  </si>
  <si>
    <t>PRO2600237577</t>
  </si>
  <si>
    <t>PRO2600237400</t>
  </si>
  <si>
    <t>PRO2600237820</t>
  </si>
  <si>
    <t>PRO2600237583</t>
  </si>
  <si>
    <t>PRO2600237443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</si>
  <si>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</si>
  <si>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</si>
  <si>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</si>
  <si>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</si>
  <si>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</si>
  <si>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</si>
  <si>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</si>
  <si>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</si>
  <si>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</si>
  <si>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</si>
  <si>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</si>
  <si>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</si>
  <si>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</si>
  <si>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</si>
  <si>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</si>
  <si>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</si>
  <si>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</si>
  <si>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</si>
  <si>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</si>
  <si>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</si>
  <si>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</si>
  <si>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</si>
  <si>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</si>
  <si>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</si>
  <si>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</si>
  <si>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</si>
  <si>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</si>
  <si>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</si>
  <si>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</si>
  <si>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</si>
  <si>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</si>
  <si>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https://public.ananinja.com/files/files/whm_purchaseReturnOrders_production_78b5e153-2c5e-45f0-974b-0823b7e73649/show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</si>
  <si>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</si>
  <si>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</si>
  <si>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</si>
  <si>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</si>
  <si>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PO2600712661</t>
  </si>
  <si>
    <t>PO2600701958</t>
  </si>
  <si>
    <t>PO2600707953</t>
  </si>
  <si>
    <t>Isam kabbani and partners for supply and trade Bev</t>
  </si>
  <si>
    <t>PO2600715101</t>
  </si>
  <si>
    <t>PO2600707971</t>
  </si>
  <si>
    <t>PO2600680307</t>
  </si>
  <si>
    <t>PO2600707969</t>
  </si>
  <si>
    <t>PO2600707976</t>
  </si>
  <si>
    <t>PO2600712668</t>
  </si>
  <si>
    <t>PO2600701960</t>
  </si>
  <si>
    <t>PO2600713682</t>
  </si>
  <si>
    <t>PO2600697423</t>
  </si>
  <si>
    <t>PO2600707951</t>
  </si>
  <si>
    <t>PO2600697622</t>
  </si>
  <si>
    <t>ASRAR AL HALA TRADING CO.</t>
  </si>
  <si>
    <t>PO2600704845</t>
  </si>
  <si>
    <t>PO2600707968</t>
  </si>
  <si>
    <t>PO2600707977</t>
  </si>
  <si>
    <t>PO2600707973</t>
  </si>
  <si>
    <t>PO2600707965</t>
  </si>
  <si>
    <t>V03877</t>
  </si>
  <si>
    <t>Al Rabia Al Khadra Industrial Company</t>
  </si>
  <si>
    <t>PO2600697620</t>
  </si>
  <si>
    <t>PO2600704864</t>
  </si>
  <si>
    <t>PO2600701974</t>
  </si>
  <si>
    <t>PO2600715129</t>
  </si>
  <si>
    <t>PO2600697630</t>
  </si>
  <si>
    <t>Al Masdakia Trading Company (Ice Cream)</t>
  </si>
  <si>
    <t>PO2600706273</t>
  </si>
  <si>
    <t>PO2600695366</t>
  </si>
  <si>
    <t>PO2600715110</t>
  </si>
  <si>
    <t>PO2600701983</t>
  </si>
  <si>
    <t>PO2600715133</t>
  </si>
  <si>
    <t>PO2600707989</t>
  </si>
  <si>
    <t>PO2600708032</t>
  </si>
  <si>
    <t>PO2600677547</t>
  </si>
  <si>
    <t>PO2600704901</t>
  </si>
  <si>
    <t>V03902</t>
  </si>
  <si>
    <t>BEYAN HERBS COMPANY</t>
  </si>
  <si>
    <t>PO2600705002</t>
  </si>
  <si>
    <t>PO2600715229</t>
  </si>
  <si>
    <t>PO2600697673</t>
  </si>
  <si>
    <t>PO2600708126</t>
  </si>
  <si>
    <t>Hayat Al Um Trading Company</t>
  </si>
  <si>
    <t>PO2600708118</t>
  </si>
  <si>
    <t>V03775</t>
  </si>
  <si>
    <t>Brand Therapy Company</t>
  </si>
  <si>
    <t>PO2600704987</t>
  </si>
  <si>
    <t>PO2600712717</t>
  </si>
  <si>
    <t>PO2600697683</t>
  </si>
  <si>
    <t>PO2600712719</t>
  </si>
  <si>
    <t>PO2600697780</t>
  </si>
  <si>
    <t>PO2600660602</t>
  </si>
  <si>
    <t>PO2600712761</t>
  </si>
  <si>
    <t>Jeser AL Teb Trading Co</t>
  </si>
  <si>
    <t>PO2600702068</t>
  </si>
  <si>
    <t>PO2600704914</t>
  </si>
  <si>
    <t>PO2600702022</t>
  </si>
  <si>
    <t>PO2600715156</t>
  </si>
  <si>
    <t>PO2600702033</t>
  </si>
  <si>
    <t>PO2600708004</t>
  </si>
  <si>
    <t>National Agricultural Company</t>
  </si>
  <si>
    <t>PO2600714647</t>
  </si>
  <si>
    <t>PO2600712735</t>
  </si>
  <si>
    <t>PO2600712792</t>
  </si>
  <si>
    <t>PO2600704921</t>
  </si>
  <si>
    <t>PO2600697685</t>
  </si>
  <si>
    <t>V02790</t>
  </si>
  <si>
    <t>Hygienic Paper Co. Ltd.</t>
  </si>
  <si>
    <t>PO2600702030</t>
  </si>
  <si>
    <t>V03149</t>
  </si>
  <si>
    <t>Saeed Mohd. Obaid Binzagr (LIPTON )</t>
  </si>
  <si>
    <t>PO2600712747</t>
  </si>
  <si>
    <t>PO2600702059</t>
  </si>
  <si>
    <t>PO2600697677</t>
  </si>
  <si>
    <t>PO2600697670</t>
  </si>
  <si>
    <t>PO2600693965</t>
  </si>
  <si>
    <t>PO2600704913</t>
  </si>
  <si>
    <t>Al Suman Tea Trading Company</t>
  </si>
  <si>
    <t>PO2600712795</t>
  </si>
  <si>
    <t>PO2600697684</t>
  </si>
  <si>
    <t>PO2600712745</t>
  </si>
  <si>
    <t>V02760</t>
  </si>
  <si>
    <t>Fergulf Saudi For Trading LLC</t>
  </si>
  <si>
    <t>PO2600714673</t>
  </si>
  <si>
    <t>PO2600695528</t>
  </si>
  <si>
    <t>V03929</t>
  </si>
  <si>
    <t>Pure Herb Trading Company</t>
  </si>
  <si>
    <t>PO2600695579</t>
  </si>
  <si>
    <t>PO2600708006</t>
  </si>
  <si>
    <t>V03617</t>
  </si>
  <si>
    <t>Pure Food Company Confectionery</t>
  </si>
  <si>
    <t>PO2600660914</t>
  </si>
  <si>
    <t>PO2600658656</t>
  </si>
  <si>
    <t>PO2600702091</t>
  </si>
  <si>
    <t>PO2600712833</t>
  </si>
  <si>
    <t>PO2600697427</t>
  </si>
  <si>
    <t>Abdulaziz Bin Ahmed Al Altwijri Trading Company</t>
  </si>
  <si>
    <t>PO2600702017</t>
  </si>
  <si>
    <t>PO2600712805</t>
  </si>
  <si>
    <t>Ahmed Mohammed Abdul Wahab Naghi &amp; Sons Budwisse</t>
  </si>
  <si>
    <t>PO2600683462</t>
  </si>
  <si>
    <t>PO2600712751</t>
  </si>
  <si>
    <t>PO2600708026</t>
  </si>
  <si>
    <t>ABBAR &amp; Sons Food CO. LTD</t>
  </si>
  <si>
    <t>PO2600708136</t>
  </si>
  <si>
    <t>PO2600702012</t>
  </si>
  <si>
    <t>PO2600702024</t>
  </si>
  <si>
    <t>PO2600702031</t>
  </si>
  <si>
    <t>PO2600707996</t>
  </si>
  <si>
    <t>Aljomaih Bottling Plant (ABP) ( Pepsi )</t>
  </si>
  <si>
    <t>PO2600712690</t>
  </si>
  <si>
    <t>PO2600675516</t>
  </si>
  <si>
    <t>PO2600708035</t>
  </si>
  <si>
    <t>V03899</t>
  </si>
  <si>
    <t>PO2600697817</t>
  </si>
  <si>
    <t>PO2600712699</t>
  </si>
  <si>
    <t>PO2600708068</t>
  </si>
  <si>
    <t>PO2600702099</t>
  </si>
  <si>
    <t>PO2600712702</t>
  </si>
  <si>
    <t>PO2600702018</t>
  </si>
  <si>
    <t>PO2600715225</t>
  </si>
  <si>
    <t>PO2600708125</t>
  </si>
  <si>
    <t>V03515</t>
  </si>
  <si>
    <t>Leading modern cosmetics company</t>
  </si>
  <si>
    <t>PO2600708113</t>
  </si>
  <si>
    <t>Al Dawaa Medical Services Company is a listed</t>
  </si>
  <si>
    <t>PO2600697774</t>
  </si>
  <si>
    <t>PO2600702007</t>
  </si>
  <si>
    <t>PO2600712700</t>
  </si>
  <si>
    <t>V03251</t>
  </si>
  <si>
    <t>Dana Cosmetics Care Est</t>
  </si>
  <si>
    <t>po2600715244</t>
  </si>
  <si>
    <t>PO2600683505</t>
  </si>
  <si>
    <t>PO2600702029</t>
  </si>
  <si>
    <t>Omar Talal Salem Al Hujaili Cafe for Drinks</t>
  </si>
  <si>
    <t>PO2600702102</t>
  </si>
  <si>
    <t>PO2600708111</t>
  </si>
  <si>
    <t>PO2600675400</t>
  </si>
  <si>
    <t>PO2600697678</t>
  </si>
  <si>
    <t>PO2600712797</t>
  </si>
  <si>
    <t>V03889</t>
  </si>
  <si>
    <t>Seven Seasons Company(Beauty)</t>
  </si>
  <si>
    <t>PO2600695574</t>
  </si>
  <si>
    <t>PO2600702027</t>
  </si>
  <si>
    <t>PO2600711323</t>
  </si>
  <si>
    <t>PO2600673475</t>
  </si>
  <si>
    <t>PO2600708029</t>
  </si>
  <si>
    <t>Al Jomaih Beverage Bottling Plants ( Aquafina )</t>
  </si>
  <si>
    <t>PO2600708112</t>
  </si>
  <si>
    <t>PO2600702054</t>
  </si>
  <si>
    <t>PO2600712722</t>
  </si>
  <si>
    <t>PO2600712804</t>
  </si>
  <si>
    <t>Al Dawaa Medical Services Company ( humana )</t>
  </si>
  <si>
    <t>PO2600697802</t>
  </si>
  <si>
    <t>Sanabel United Trading Co. Roast Maestro Coffee</t>
  </si>
  <si>
    <t>PO2600697690</t>
  </si>
  <si>
    <t>PO2600695447</t>
  </si>
  <si>
    <t>PO2600712807</t>
  </si>
  <si>
    <t>PO2600674256</t>
  </si>
  <si>
    <t>Al Reesha Foodstuff Est.</t>
  </si>
  <si>
    <t>PO2600708109</t>
  </si>
  <si>
    <t>PO2600697751</t>
  </si>
  <si>
    <t>PO2600695553</t>
  </si>
  <si>
    <t>po2600712731</t>
  </si>
  <si>
    <t>PO2600704949</t>
  </si>
  <si>
    <t>PO2600697737</t>
  </si>
  <si>
    <t>V02622</t>
  </si>
  <si>
    <t>Napco Trading &amp; Distribution Co</t>
  </si>
  <si>
    <t>PO2600702019</t>
  </si>
  <si>
    <t>PO2600697739</t>
  </si>
  <si>
    <t>PO2600704947</t>
  </si>
  <si>
    <t>PO2600711500</t>
  </si>
  <si>
    <t>PO2600708069</t>
  </si>
  <si>
    <t>PO2600663170</t>
  </si>
  <si>
    <t>PO2600663325</t>
  </si>
  <si>
    <t>PO2600702013</t>
  </si>
  <si>
    <t>PO2600712798</t>
  </si>
  <si>
    <t>PO2600704980</t>
  </si>
  <si>
    <t>PO2600694012</t>
  </si>
  <si>
    <t>PO2600708003</t>
  </si>
  <si>
    <t>PO2600694005</t>
  </si>
  <si>
    <t>PO2600658653</t>
  </si>
  <si>
    <t>PO2600708074</t>
  </si>
  <si>
    <t>PO2600712695</t>
  </si>
  <si>
    <t>po2600712728</t>
  </si>
  <si>
    <t>PO2600662923</t>
  </si>
  <si>
    <t>PO2600675547</t>
  </si>
  <si>
    <t>PO2600675512</t>
  </si>
  <si>
    <t>PO2600708067</t>
  </si>
  <si>
    <t>PO2600711253</t>
  </si>
  <si>
    <t>PO2600704951</t>
  </si>
  <si>
    <t>PO2600704942</t>
  </si>
  <si>
    <t>PO2600658650</t>
  </si>
  <si>
    <t>PO2600708065</t>
  </si>
  <si>
    <t>V03526</t>
  </si>
  <si>
    <t>Jood Eyes Trading Company ACUVUE</t>
  </si>
  <si>
    <t>PO2600697767</t>
  </si>
  <si>
    <t>PO2600702014</t>
  </si>
  <si>
    <t>PO2600711498</t>
  </si>
  <si>
    <t>PO2600704919</t>
  </si>
  <si>
    <t>V03568</t>
  </si>
  <si>
    <t>Sukheirat Top Trading Company</t>
  </si>
  <si>
    <t>po2600712802</t>
  </si>
  <si>
    <t>po2600712733</t>
  </si>
  <si>
    <t>PO2600704948</t>
  </si>
  <si>
    <t>Ajmal Al Kun Trading Est</t>
  </si>
  <si>
    <t>PO2600697748</t>
  </si>
  <si>
    <t>SIH-PO2600008732</t>
  </si>
  <si>
    <t>SIH-PO2600008731</t>
  </si>
  <si>
    <t>SIH-PO2600008734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</si>
  <si>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</si>
  <si>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</si>
  <si>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</si>
  <si>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</si>
  <si>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</si>
  <si>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</si>
  <si>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</si>
  <si>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PRO2600237883</t>
  </si>
  <si>
    <t>Z7-D2-02-5-C</t>
  </si>
  <si>
    <t>PRO2600237882</t>
  </si>
  <si>
    <t>https://public.ananinja.com/files/files/whm_purchaseReturnOrders_production_01b22a2f-7791-4076-ab9d-8bf26118efd5/show</t>
  </si>
  <si>
    <t>https://public.ananinja.com/files/files/whm_purchaseReturnOrders_production_a18fcbbc-efb0-41a1-b989-c4bab62283f0/show</t>
  </si>
  <si>
    <t>https://public.ananinja.com/files/files/whm_purchaseReturnOrders_production_277b753a-aea6-49fd-b9b9-2f2df05bc6fd/show</t>
  </si>
  <si>
    <t>https://public.ananinja.com/files/files/whm_purchaseReturnOrders_production_3caa72ad-1800-4fbc-b50c-20ce72bb942e/show</t>
  </si>
  <si>
    <t>https://public.ananinja.com/files/files/whm_purchaseReturnOrders_production_2d766542-84fc-40b5-867d-1cf89def9bf3/show</t>
  </si>
  <si>
    <t>https://public.ananinja.com/files/files/whm_purchaseReturnOrders_production_da38fe7f-944d-4e2d-8e0f-e69e0b1fedb8/show</t>
  </si>
  <si>
    <t>https://public.ananinja.com/files/files/whm_purchaseReturnOrders_production_c9b4c390-b85b-4ca6-b6b8-68683163495f/show</t>
  </si>
  <si>
    <t>https://public.ananinja.com/files/files/whm_purchaseReturnOrders_production_61a8b2cc-1dec-4e95-aa5f-ceaff05ead98/show</t>
  </si>
  <si>
    <t>https://public.ananinja.com/files/files/whm_purchaseReturnOrders_production_ccc9b83f-cf41-4a53-bbbf-dfa91efe4f00/show</t>
  </si>
  <si>
    <t>https://public.ananinja.com/files/files/whm_purchaseReturnOrders_production_34d232f4-57eb-40c6-851c-df1fe6b025a9/show</t>
  </si>
  <si>
    <t>https://public.ananinja.com/files/files/whm_purchaseReturnOrders_production_61ad6d7a-244b-41c1-a6fc-9e7aea7fe3c2/show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</si>
  <si>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</si>
  <si>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</si>
  <si>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</si>
  <si>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https://public.ananinja.com/files/files/whm_purchaseReturnOrders_production_419a2284-ba65-4a2b-9407-da7ab3adccdd/show</t>
  </si>
  <si>
    <t>https://public.ananinja.com/files/files/whm_purchaseReturnOrders_production_0715fb97-d7f8-48b8-aa26-b850680c1ea9/show</t>
  </si>
  <si>
    <t>https://public.ananinja.com/files/files/whm_purchaseReturnOrders_production_906398c5-92a9-45e4-b371-efcb6fc85dcb/show</t>
  </si>
  <si>
    <t>https://public.ananinja.com/files/files/whm_purchaseReturnOrders_production_9525737a-bacb-422d-9a3d-2d19574c3066/show</t>
  </si>
  <si>
    <t>https://public.ananinja.com/files/files/whm_purchaseReturnOrders_production_aebf4e62-7f96-4350-91c5-a60b63bc1fed/show</t>
  </si>
  <si>
    <t>https://public.ananinja.com/files/files/whm_purchaseReturnOrders_production_9eb5488c-42bc-4af2-a416-f6eb72819f10/show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</si>
  <si>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</si>
  <si>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</si>
  <si>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</si>
  <si>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https://public.ananinja.com/files/files/whm_purchaseReturnOrders_production_88af801b-a926-4fa9-b571-3755cad63ae5/show</t>
  </si>
  <si>
    <t>https://public.ananinja.com/files/files/whm_purchaseReturnOrders_production_1867d409-ca8a-4556-8d03-43003af90200/show</t>
  </si>
  <si>
    <t>https://public.ananinja.com/files/files/whm_purchaseReturnOrders_production_7b5657df-e0a3-44f4-ada7-ad732f376d7e/show</t>
  </si>
  <si>
    <t>https://public.ananinja.com/files/files/whm_purchaseReturnOrders_production_5a711e6b-4428-4e95-87c3-8e1538fe0b43/show</t>
  </si>
  <si>
    <t>https://public.ananinja.com/files/files/whm_purchaseReturnOrders_production_4ea4449a-b42b-4a67-a5c4-a2c465b9883c/show</t>
  </si>
  <si>
    <t>https://public.ananinja.com/files/files/whm_purchaseReturnOrders_production_73a089c1-9b57-4248-bf45-77e7a76b721b/show</t>
  </si>
  <si>
    <t>https://public.ananinja.com/files/files/whm_purchaseReturnOrders_production_cbf86cdc-e0a9-4fe6-ab59-8473dbb9a526/show</t>
  </si>
  <si>
    <t>https://public.ananinja.com/files/files/whm_purchaseReturnOrders_production_a9b2a861-5300-469b-928d-c4037bcbccfe/show</t>
  </si>
  <si>
    <t>https://public.ananinja.com/files/files/whm_purchaseReturnOrders_production_4dc0a97f-5d72-4a30-a07f-2cf87970a286/show</t>
  </si>
  <si>
    <t>https://public.ananinja.com/files/files/whm_purchaseReturnOrders_production_b1061bc7-5670-476c-899d-6f56518c2470/show</t>
  </si>
  <si>
    <t>https://public.ananinja.com/files/files/whm_purchaseReturnOrders_production_b2101283-4734-428d-853d-26d437deb422/show</t>
  </si>
  <si>
    <t>https://public.ananinja.com/files/files/whm_purchaseReturnOrders_production_1f7757cd-825a-42af-98b2-74c19fe05982/show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</si>
</sst>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0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9" applyNumberFormat="0" applyFill="0" applyAlignment="0" applyProtection="0"/>
    <xf numFmtId="0" fontId="9" fillId="0" borderId="20" applyNumberFormat="0" applyFill="0" applyAlignment="0" applyProtection="0"/>
    <xf numFmtId="0" fontId="10" fillId="0" borderId="21" applyNumberFormat="0" applyFill="0" applyAlignment="0" applyProtection="0"/>
    <xf numFmtId="0" fontId="10" fillId="0" borderId="0" applyNumberFormat="0" applyFill="0" applyBorder="0" applyAlignment="0" applyProtection="0"/>
    <xf numFmtId="0" fontId="11" fillId="5" borderId="0" applyNumberFormat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8" borderId="22" applyNumberFormat="0" applyAlignment="0" applyProtection="0"/>
    <xf numFmtId="0" fontId="15" fillId="9" borderId="23" applyNumberFormat="0" applyAlignment="0" applyProtection="0"/>
    <xf numFmtId="0" fontId="16" fillId="9" borderId="22" applyNumberFormat="0" applyAlignment="0" applyProtection="0"/>
    <xf numFmtId="0" fontId="17" fillId="0" borderId="24" applyNumberFormat="0" applyFill="0" applyAlignment="0" applyProtection="0"/>
    <xf numFmtId="0" fontId="2" fillId="10" borderId="25" applyNumberFormat="0" applyAlignment="0" applyProtection="0"/>
    <xf numFmtId="0" fontId="18" fillId="0" borderId="0" applyNumberFormat="0" applyFill="0" applyBorder="0" applyAlignment="0" applyProtection="0"/>
    <xf numFmtId="0" fontId="1" fillId="11" borderId="26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7" applyNumberFormat="0" applyFill="0" applyAlignment="0" applyProtection="0"/>
    <xf numFmtId="0" fontId="20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3" fontId="0" fillId="0" borderId="10" xfId="1" applyFont="1" applyBorder="1"/>
    <xf numFmtId="0" fontId="2" fillId="0" borderId="0" xfId="0" applyFont="1"/>
    <xf numFmtId="4" fontId="0" fillId="0" borderId="0" xfId="0" applyNumberFormat="1"/>
    <xf numFmtId="4" fontId="0" fillId="0" borderId="0" xfId="1" applyNumberFormat="1" applyFont="1"/>
    <xf numFmtId="1" fontId="0" fillId="0" borderId="0" xfId="0" applyNumberFormat="1"/>
    <xf numFmtId="9" fontId="0" fillId="0" borderId="0" xfId="2" applyFont="1"/>
    <xf numFmtId="1" fontId="6" fillId="4" borderId="17" xfId="0" applyNumberFormat="1" applyFont="1" applyFill="1" applyBorder="1"/>
    <xf numFmtId="9" fontId="6" fillId="4" borderId="18" xfId="2" applyFont="1" applyFill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0" xfId="1" applyFont="1" applyBorder="1"/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28" xfId="0" applyBorder="1"/>
    <xf numFmtId="43" fontId="0" fillId="0" borderId="28" xfId="1" applyFont="1" applyFill="1" applyBorder="1"/>
    <xf numFmtId="43" fontId="0" fillId="0" borderId="0" xfId="1" applyFont="1" applyFill="1" applyBorder="1"/>
    <xf numFmtId="3" fontId="4" fillId="3" borderId="8" xfId="0" applyNumberFormat="1" applyFont="1" applyFill="1" applyBorder="1" applyAlignment="1">
      <alignment vertical="center" wrapText="1"/>
    </xf>
    <xf numFmtId="14" fontId="0" fillId="0" borderId="29" xfId="0" applyNumberFormat="1" applyBorder="1"/>
    <xf numFmtId="0" fontId="0" fillId="0" borderId="29" xfId="0" applyBorder="1"/>
    <xf numFmtId="43" fontId="0" fillId="0" borderId="29" xfId="1" applyFont="1" applyBorder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80"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numFmt numFmtId="19" formatCode="yyyy/mm/dd"/>
    </dxf>
    <dxf>
      <numFmt numFmtId="19" formatCode="yyyy/mm/dd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theme="1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6.353514814815" createdVersion="8" refreshedVersion="8" minRefreshableVersion="3" recordCount="103" xr:uid="{05115D30-FD07-4FD4-8DC9-46FE32C2ABC6}">
  <cacheSource type="worksheet">
    <worksheetSource name="Table7"/>
  </cacheSource>
  <cacheFields count="9">
    <cacheField name="buyFromVendorNo" numFmtId="0">
      <sharedItems containsBlank="1" count="327">
        <s v="V00080"/>
        <s v="V00380"/>
        <s v="V03082"/>
        <s v="V03320"/>
        <s v="V00260"/>
        <s v="V02955"/>
        <s v="V03042"/>
        <s v="V03655"/>
        <s v="V00050"/>
        <s v="V02863"/>
        <s v="V03675"/>
        <s v="V00200"/>
        <s v="V00300"/>
        <s v="V00480"/>
        <s v="V02764"/>
        <s v="V02605"/>
        <s v="V03523"/>
        <s v="V03388"/>
        <s v="V02871"/>
        <s v="V02774"/>
        <s v="V03321"/>
        <s v="V02555"/>
        <s v="V03102"/>
        <s v="V03709"/>
        <s v="V03499"/>
        <s v="V00100"/>
        <s v="V03345"/>
        <s v="V03004"/>
        <s v="V03714"/>
        <s v="V03486"/>
        <s v="V03316"/>
        <s v="V03644"/>
        <s v="V02929"/>
        <s v="V03426"/>
        <s v="V03800"/>
        <s v="V02827"/>
        <s v="V02980"/>
        <s v="V03347"/>
        <s v="V03707"/>
        <m u="1"/>
        <s v="V03049" u="1"/>
        <s v="V03045" u="1"/>
        <s v="V03732" u="1"/>
        <s v="V03099" u="1"/>
        <s v="V02705" u="1"/>
        <s v="V00610" u="1"/>
        <s v="V02878" u="1"/>
        <s v="V02859" u="1"/>
        <s v="V03025" u="1"/>
        <s v="V03627" u="1"/>
        <s v="V02614" u="1"/>
        <s v="V02673" u="1"/>
        <s v="V00180" u="1"/>
        <s v="V02938" u="1"/>
        <s v="V03244" u="1"/>
        <s v="V03301" u="1"/>
        <s v="V03599" u="1"/>
        <s v="V00540" u="1"/>
        <s v="V03021" u="1"/>
        <s v="V03718" u="1"/>
        <s v="V03188" u="1"/>
        <s v="V03303" u="1"/>
        <s v="V03195" u="1"/>
        <s v="V03137" u="1"/>
        <s v="V02750" u="1"/>
        <s v="V03140" u="1"/>
        <s v="V03066" u="1"/>
        <s v="V03383" u="1"/>
        <s v="V03261" u="1"/>
        <s v="V03362" u="1"/>
        <s v="V03103" u="1"/>
        <s v="V03538" u="1"/>
        <s v="V02758" u="1"/>
        <s v="V03284" u="1"/>
        <s v="V02548" u="1"/>
        <s v="V03286" u="1"/>
        <s v="V03415" u="1"/>
        <s v="V00140" u="1"/>
        <s v="V00170" u="1"/>
        <s v="V02890" u="1"/>
        <s v="V02941" u="1"/>
        <s v="V03074" u="1"/>
        <s v="V02886" u="1"/>
        <s v="V03597" u="1"/>
        <s v="V02716" u="1"/>
        <s v="V02590" u="1"/>
        <s v="V03404" u="1"/>
        <s v="V03819" u="1"/>
        <s v="V02532" u="1"/>
        <s v="V03348" u="1"/>
        <s v="V02952" u="1"/>
        <s v="V03586" u="1"/>
        <s v="V03516" u="1"/>
        <s v="V00090" u="1"/>
        <s v="V03088" u="1"/>
        <s v="V03133" u="1"/>
        <s v="V02585" u="1"/>
        <s v="V03270" u="1"/>
        <s v="V03328" u="1"/>
        <s v="V03327" u="1"/>
        <s v="V03590" u="1"/>
        <s v="V02570" u="1"/>
        <s v="V03650" u="1"/>
        <s v="V02806" u="1"/>
        <s v="V03012" u="1"/>
        <s v="V02815" u="1"/>
        <s v="V03449" u="1"/>
        <s v="V03745" u="1"/>
        <s v="V00290" u="1"/>
        <s v="V00640" u="1"/>
        <s v="V02595" u="1"/>
        <s v="V03535" u="1"/>
        <s v="V02755" u="1"/>
        <s v="V03429" u="1"/>
        <s v="V00400" u="1"/>
        <s v="V02050" u="1"/>
        <s v="V03706" u="1"/>
        <s v="V03293" u="1"/>
        <s v="V03119" u="1"/>
        <s v="V03642" u="1"/>
        <s v="V03780" u="1"/>
        <s v="V03084" u="1"/>
        <s v="V03226" u="1"/>
        <s v="V03442" u="1"/>
        <s v="V02968" u="1"/>
        <s v="V03447" u="1"/>
        <s v="V03330" u="1"/>
        <s v="V02972" u="1"/>
        <s v="V03245" u="1"/>
        <s v="V02562" u="1"/>
        <s v="V03089" u="1"/>
        <s v="V02873" u="1"/>
        <s v="V03161" u="1"/>
        <s v="V02779" u="1"/>
        <s v="V02840" u="1"/>
        <s v="V03326" u="1"/>
        <s v="V03637" u="1"/>
        <s v="V02597" u="1"/>
        <s v="V03519" u="1"/>
        <s v="V03729" u="1"/>
        <s v="V00030" u="1"/>
        <s v="V03369" u="1"/>
        <s v="V03807" u="1"/>
        <s v="V03164" u="1"/>
        <s v="V03092" u="1"/>
        <s v="V03580" u="1"/>
        <s v="V03565" u="1"/>
        <s v="V03443" u="1"/>
        <s v="V03130" u="1"/>
        <s v="V03749" u="1"/>
        <s v="V01380" u="1"/>
        <s v="V03796" u="1"/>
        <s v="V03473" u="1"/>
        <s v="V03343" u="1"/>
        <s v="V03143" u="1"/>
        <s v="V03555" u="1"/>
        <s v="V02761" u="1"/>
        <s v="V03762" u="1"/>
        <s v="V03108" u="1"/>
        <s v="V03358" u="1"/>
        <s v="V03047" u="1"/>
        <s v="V02809" u="1"/>
        <s v="V02910" u="1"/>
        <s v="V02754" u="1"/>
        <s v="V03225" u="1"/>
        <s v="V02821" u="1"/>
        <s v="V03352" u="1"/>
        <s v="V03500" u="1"/>
        <s v="V03752" u="1"/>
        <s v="V03744" u="1"/>
        <s v="V02917" u="1"/>
        <s v="V03425" u="1"/>
        <s v="V03112" u="1"/>
        <s v="V03367" u="1"/>
        <s v="V03540" u="1"/>
        <s v="V02803" u="1"/>
        <s v="V02856" u="1"/>
        <s v="V02932" u="1"/>
        <s v="V03056" u="1"/>
        <s v="V03695" u="1"/>
        <s v="V02876" u="1"/>
        <s v="V00150" u="1"/>
        <s v="V03196" u="1"/>
        <s v="V02947" u="1"/>
        <s v="V03723" u="1"/>
        <s v="V03374" u="1"/>
        <s v="V02708" u="1"/>
        <s v="V03389" u="1"/>
        <s v="V03210" u="1"/>
        <s v="V03094" u="1"/>
        <s v="V00250" u="1"/>
        <s v="V03418" u="1"/>
        <s v="V03527" u="1"/>
        <s v="V03483" u="1"/>
        <s v="V02926" u="1"/>
        <s v="V03187" u="1"/>
        <s v="V03376" u="1"/>
        <s v="V03460" u="1"/>
        <s v="V03724" u="1"/>
        <s v="V03657" u="1"/>
        <s v="V03214" u="1"/>
        <s v="V03693" u="1"/>
        <s v="V03645" u="1"/>
        <s v="V03668" u="1"/>
        <s v="V03269" u="1"/>
        <s v="V03469" u="1"/>
        <s v="V03450" u="1"/>
        <s v="V03441" u="1"/>
        <s v="V02596" u="1"/>
        <s v="V02622" u="1"/>
        <s v="V03387" u="1"/>
        <s v="V03156" u="1"/>
        <s v="V02662" u="1"/>
        <s v="V03309" u="1"/>
        <s v="V03413" u="1"/>
        <s v="V03735" u="1"/>
        <s v="V02898" u="1"/>
        <s v="V03378" u="1"/>
        <s v="V03243" u="1"/>
        <s v="V03322" u="1"/>
        <s v="V02360" u="1"/>
        <s v="V03716" u="1"/>
        <s v="V03771" u="1"/>
        <s v="V03257" u="1"/>
        <s v="V03398" u="1"/>
        <s v="V03511" u="1"/>
        <s v="V01230" u="1"/>
        <s v="V03506" u="1"/>
        <s v="V03393" u="1"/>
        <s v="V03299" u="1"/>
        <s v="V03766" u="1"/>
        <s v="V03626" u="1"/>
        <s v="V03131" u="1"/>
        <s v="V03803" u="1"/>
        <s v="V03736" u="1"/>
        <s v="V03524" u="1"/>
        <s v="V03568" u="1"/>
        <s v="V03554" u="1"/>
        <s v="V03765" u="1"/>
        <s v="V03015" u="1"/>
        <s v="V03539" u="1"/>
        <s v="V02984" u="1"/>
        <s v="V03753" u="1"/>
        <s v="V03138" u="1"/>
        <s v="V03310" u="1"/>
        <s v="V03561" u="1"/>
        <s v="V03268" u="1"/>
        <s v="V03635" u="1"/>
        <s v="V03359" u="1"/>
        <s v="V02849" u="1"/>
        <s v="V02766" u="1"/>
        <s v="V03601" u="1"/>
        <s v="V03014" u="1"/>
        <s v="V02756" u="1"/>
        <s v="V03344" u="1"/>
        <s v="V02939" u="1"/>
        <s v="V03224" u="1"/>
        <s v="V03614" u="1"/>
        <s v="V03770" u="1"/>
        <s v="V03019" u="1"/>
        <s v="V03346" u="1"/>
        <s v="V03652" u="1"/>
        <s v="V03168" u="1"/>
        <s v="V02785" u="1"/>
        <s v="V03419" u="1"/>
        <s v="V03772" u="1"/>
        <s v="V03485" u="1"/>
        <s v="V03430" u="1"/>
        <s v="V03200" u="1"/>
        <s v="V02854" u="1"/>
        <s v="V02601" u="1"/>
        <s v="V03255" u="1"/>
        <s v="V03467" u="1"/>
        <s v="V02685" u="1"/>
        <s v="V03730" u="1"/>
        <s v="V01200" u="1"/>
        <s v="V02852" u="1"/>
        <s v="V03629" u="1"/>
        <s v="V03178" u="1"/>
        <s v="V03630" u="1"/>
        <s v="V02817" u="1"/>
        <s v="V03408" u="1"/>
        <s v="V03767" u="1"/>
        <s v="V03218" u="1"/>
        <s v="V02836" u="1"/>
        <s v="V03603" u="1"/>
        <s v="V03190" u="1"/>
        <s v="V03687" u="1"/>
        <s v="V03525" u="1"/>
        <s v="V03372" u="1"/>
        <s v="V02658" u="1"/>
        <s v="V02660" u="1"/>
        <s v="V03534" u="1"/>
        <s v="V03459" u="1"/>
        <s v="V02999" u="1"/>
        <s v="V02949" u="1"/>
        <s v="V03529" u="1"/>
        <s v="V03521" u="1"/>
        <s v="V02894" u="1"/>
        <s v="V03203" u="1"/>
        <s v="V02994" u="1"/>
        <s v="V02677" u="1"/>
        <s v="V03778" u="1"/>
        <s v="V03217" u="1"/>
        <s v="V02945" u="1"/>
        <s v="V03574" u="1"/>
        <s v="V03096" u="1"/>
        <s v="V03433" u="1"/>
        <s v="V02971" u="1"/>
        <s v="V03295" u="1"/>
        <s v="V02791" u="1"/>
        <s v="V03373" u="1"/>
        <s v="V03180" u="1"/>
        <s v="V03647" u="1"/>
        <s v="V03273" u="1"/>
        <s v="V03530" u="1"/>
        <s v="V03463" u="1"/>
        <s v="V03496" u="1"/>
        <s v="V03355" u="1"/>
        <s v="V03333" u="1"/>
        <s v="V03600" u="1"/>
        <s v="V03315" u="1"/>
        <s v="V03452" u="1"/>
        <s v="V03142" u="1"/>
        <s v="V03144" u="1"/>
        <s v="V02742" u="1"/>
        <s v="V03163" u="1"/>
      </sharedItems>
    </cacheField>
    <cacheField name="buyFromVendorName" numFmtId="0">
      <sharedItems containsBlank="1" count="324">
        <s v="Basmah Trading Company Limited"/>
        <s v="Health Water Bottling Co-Nova"/>
        <s v="Saudi Master Baker LTD."/>
        <s v="Tamer Arabia Trading Co Non Food"/>
        <s v="Almarai Company"/>
        <s v="Sanabel United Trading Company &quot;Capillano&quot;"/>
        <s v="Anoush Trading Company"/>
        <s v="Bin Binzagr Coro Limited"/>
        <s v="Berain Water Co."/>
        <s v="Halwani Brothers Company"/>
        <s v="NAPCO TRADING AND DISTRIBUTION CO ( Beverage )"/>
        <s v="Abnaa Al-Arabia Co. For Bottled Water Factory"/>
        <s v="National Biscuits &amp; Confectionery Company"/>
        <s v="Pure Beverages Industry Company"/>
        <s v="Tamara Company For Manufacturing"/>
        <s v="Al Othman Agri Prod and Proc Co. - NADA"/>
        <s v="Ismael Ali Abou Dawoud Trading Co (Commodity)"/>
        <s v="Rokn Rahash For Sweet Factory "/>
        <s v="TAN Gulf Trading Co."/>
        <s v="ZAD SMA TR.CO"/>
        <s v="Roasting Experts of industry Co. L.L.C"/>
        <s v="Beverage and Bottling Company - Tanya"/>
        <s v="DAR ALSHAI ALARABI TRADING. Co"/>
        <s v="Hayazat Alghitha Company"/>
        <s v="ALBAET AL-GAYD (One Partner) - Baladi"/>
        <s v="Arla Foods"/>
        <s v="Advanced International Trading Co. (Confectionary)"/>
        <s v="thouq for treading company"/>
        <s v="Wadi Fatima Establishment Food Trading"/>
        <s v="Chemical Company for Commercial Investment , LTD"/>
        <s v="Saif Food for Trading Co"/>
        <s v="Beauty circles Co"/>
        <s v="AlGharbi Food Industries Company"/>
        <s v="Almina Trading Company - PUVANA WATER"/>
        <s v="SNACK LAND MENA COMPANY"/>
        <s v="BIN ZOMAH COMPANY"/>
        <s v="Fouad Mohammed Louai Fouad Basrawi Trading EST"/>
        <s v="Saeed Ahmed Al-Mahroos &amp; Sons Co."/>
        <s v="Al-Musadaqiyah Trading Company"/>
        <m u="1"/>
        <s v="Gulf Catering Company" u="1"/>
        <s v="Ideal Factory For Sweets &amp; Bakeries Co." u="1"/>
        <s v="Animal Products Trading Company" u="1"/>
        <s v="Ibdaa Layantahy Trading" u="1"/>
        <s v="Baazeem Trading Co" u="1"/>
        <s v="Al Wefag Trading &amp; Manufactruing Co" u="1"/>
        <s v="Gulf Arrow Trading CO." u="1"/>
        <s v="Canned Soft Drinks Factory" u="1"/>
        <s v="Coca Cola Bottling Company Of Saudi Arabia-ARWA" u="1"/>
        <s v="Alwazn al-mithaly Trading Company" u="1"/>
        <s v="Bahrawi Trading Company" u="1"/>
        <s v="Abdulaziz Bin Ahmed Al-Tuwaijri Trading Company" u="1"/>
        <s v="Food &amp; Pastreies Manufacturing Com" u="1"/>
        <s v="Cigalah Trading Enterprises" u="1"/>
        <s v="Quality Food Est" u="1"/>
        <s v="Al-Rahi Al-Hajri Trading Company" u="1"/>
        <s v="Al Jameel International Trading Company Limited KZ" u="1"/>
        <s v="Whole Food Trading Company" u="1"/>
        <s v="Al Jameel International Trading Company Limited" u="1"/>
        <s v="Al-Intisar Trading Company" u="1"/>
        <s v="Saudi Spices Trading Corporation" u="1"/>
        <s v="Innovative Specialty Coffee Company" u="1"/>
        <s v=" Bayader Al-Yusr Trading" u="1"/>
        <s v="ALNAFEA FOODS CO." u="1"/>
        <s v="ABDULLAH BADR AL BADR" u="1"/>
        <s v="Al Maska Trading Company" u="1"/>
        <s v="Small Cats Trading Est" u="1"/>
        <s v="Jeem Food Industries Company - Nolma" u="1"/>
        <s v="FOOD AND HEALTH OASIS COMPANY FOR TRADING" u="1"/>
        <s v="AHTYAGAT AL-SAHHA For Trading Company " u="1"/>
        <s v="Modern Food Factory For Food Industries" u="1"/>
        <s v="Arabian Shepherd Trading Company" u="1"/>
        <s v="EYAZ" u="1"/>
        <s v="Food International Co. Ltd - one person" u="1"/>
        <s v="Sanabel United Trading Co. - Roast Maestro Coffee" u="1"/>
        <s v="Al Rabie Saudi Foods Company" u="1"/>
        <s v="Al-Esayi Distribution Company" u="1"/>
        <s v="Nadec" u="1"/>
        <s v="Aljomaih Bottling Plant (ABP) - ( Pepsi )" u="1"/>
        <s v="FERAS ABDULLAH ALSHAHRANI TRADING EST." u="1"/>
        <s v="Rich Lands Trading Company" u="1"/>
        <s v="Marami Food Industries Co." u="1"/>
        <s v="JUMAIRAH MARKETING COMPANY" u="1"/>
        <s v="MATAJER AQSSAM TRADING L.L.C" u="1"/>
        <s v="Wisam Fatayerji Trading Company" u="1"/>
        <s v="Mehbaj Alshamiya Trading Company" u="1"/>
        <s v="Kate Food Products Factory" u="1"/>
        <s v="Nufudh Company Food Product" u="1"/>
        <s v="Al Kabli Marketing" u="1"/>
        <s v="Isam kabbani and partners for supply and trade LLC" u="1"/>
        <s v="Sweet stations comapny" u="1"/>
        <s v="Alriye For Trading" u="1"/>
        <s v="AL Wafi Al Takamul International ( Sadia P )" u="1"/>
        <s v="Al Munajem Foods Co" u="1"/>
        <s v="Arkan Medical Warehouse Trading Company" u="1"/>
        <s v="Sanabel United Trading Co. Modern Mills" u="1"/>
        <s v="Maha Ahmed Al-Juffali Food Marketing Company" u="1"/>
        <s v="Abdullah Khalid Abdullah Al Jamaan for Sweets Est" u="1"/>
        <s v="Coffee Extract Company Limited" u="1"/>
        <s v="HENNA RAGHA TRADING EST." u="1"/>
        <s v="Saif Plus Trading Company " u="1"/>
        <s v="Omar Kassem Alesayi Marketing Company Ltd" u="1"/>
        <s v="National Food Food Industries (Americana Cake)" u="1"/>
        <s v="Al Mthag Al Arbi" u="1"/>
        <s v="albasbosah est" u="1"/>
        <s v="Burkan Chocolate For Sweets" u="1"/>
        <s v="Wafir International Group" u="1"/>
        <s v="Emad Bakeries Co. LTD" u="1"/>
        <s v="SADAFCO" u="1"/>
        <s v="United Food Industries Company - Deemah" u="1"/>
        <s v="Al-Masdakia Trading Company (Ice Cream)" u="1"/>
        <s v="Fanar Al Madinah Transport and Storage Company" u="1"/>
        <s v="Gulf Union Foods CO" u="1"/>
        <s v="Jofal Contemporary Food Products Factory" u="1"/>
        <s v="National Food Industry Co." u="1"/>
        <s v="Ahmed Mohammed Saleh Baeshen &amp; Co" u="1"/>
        <s v="Gulf Trading Company" u="1"/>
        <s v="NUKHBAH ALJAMAL COMMERCIAL (LTD)" u="1"/>
        <s v="Tahani Ahmed Khayyat Trading Est" u="1"/>
        <s v="Taiba Smoked Fish Manufacturing Company" u="1"/>
        <s v="Taibat Al-Olla Trading Company" u="1"/>
        <s v="Wadi Najd Trading Company" u="1"/>
        <s v="Thaheen Food Factory CO" u="1"/>
        <s v="Asdam Modern Trading Company" u="1"/>
        <s v="Atlas international services_x0009__x0009__x0009__x0009__x0009_" u="1"/>
        <s v=" Siniora Food Industries Company (One Partner)" u="1"/>
        <s v="Frand Trading Company" u="1"/>
        <s v="Elite Fancy Food CO._x0009__x0009__x0009__x0009_" u="1"/>
        <s v="Simat Commercial Services Company" u="1"/>
        <s v="Al Safi Danone" u="1"/>
        <s v="Abdul Nasir M. H. Al Sinan General Trd. Est." u="1"/>
        <s v="Fast Moving Trading Corporation" u="1"/>
        <s v="Hadi App Trading Company one Person" u="1"/>
        <s v="Atyab Albwady Dates Factory" u="1"/>
        <s v="Fazza Foods Company" u="1"/>
        <s v="Napco Trading &amp; Distribution Co. &quot;FOOD&quot;" u="1"/>
        <s v="UNIQUE ENVIRONMENT COMPANY" u="1"/>
        <s v="Seara Middle East Food Trading" u="1"/>
        <s v="juice maker company" u="1"/>
        <s v="Abu Al-Jadayel Soft Drinks Factory, a branch " u="1"/>
        <s v="Ahmed Mohammed Abdul Wahab Naghi &amp; Sons - Redbull" u="1"/>
        <s v="Sarya Investment Company" u="1"/>
        <s v="Rawnaq al tabia trading " u="1"/>
        <s v="Al kaman Global Company Ltd" u="1"/>
        <s v="Sawar Healthy Food Trading Company" u="1"/>
        <s v="Nasma Food CO. LTD. " u="1"/>
        <s v="Hadi App Trading Company one Person - Confec" u="1"/>
        <s v="Isam kabbani and partners for supply and trade-Bev" u="1"/>
        <s v="Nabtati Food Agricultural Company" u="1"/>
        <s v="Ehab Ahmed Suleiman Al-Ibrahim Trading" u="1"/>
        <s v="Caremax Trading Co." u="1"/>
        <s v="Omar Talal Salem Al-Hujaili Cafe for Drinks" u="1"/>
        <s v="Al-Jomaih Beverage Bottling Plants - ( Aquafina )" u="1"/>
        <s v="Meda life trading company" u="1"/>
        <s v="Company Afran Al Hatab ( one Partner)" u="1"/>
        <s v="Company AL-BADAIA AL-FARIDA For Food Products" u="1"/>
        <s v="Arabian Development Company For trading" u="1"/>
        <s v="Sanbel Ohod Automatic Company" u="1"/>
        <s v="Ataib Al-Ghada Food Industries Factory" u="1"/>
        <s v="Barakah Al Sanabil Industrial Company" u="1"/>
        <s v="Cigalah Healthcare Company LLC -Noreva" u="1"/>
        <s v="High-end business enterprise" u="1"/>
        <s v="Retaj Alghala" u="1"/>
        <s v="Snap phone" u="1"/>
        <s v="Beauty Products Trading Company - NACIFIC" u="1"/>
        <s v="Sorrah Food Industries Co." u="1"/>
        <s v="Giant Food Trading Company" u="1"/>
        <s v="The Saudi Ice Cream Factory Limited ( Fregento )" u="1"/>
        <s v="National Agricultural Development Company (NADEC)" u="1"/>
        <s v="Company Pure Bits" u="1"/>
        <s v="Jarir Marketing Company" u="1"/>
        <s v="Foj Al Bahr Trading Company" u="1"/>
        <s v="Crystal Arabia for Modern Industries Co. Ltd._x0009_" u="1"/>
        <s v="Salah Bin Mohsen Bin Abdullah Al-Amoudi Foundation" u="1"/>
        <s v="Fresh Jahiz Food Products CO." u="1"/>
        <s v="Esnad Company Limited" u="1"/>
        <s v="Al Wasalh Al ola" u="1"/>
        <s v="Bafrat Group for Food Industries Limited" u="1"/>
        <s v="Batook Tradin Company" u="1"/>
        <s v="Al Faris Al Arabi Trading Co. LTD. Ho" u="1"/>
        <s v="Growth Advanced Trading CO ( Namaa )" u="1"/>
        <s v="Orient Provision Trading Company" u="1"/>
        <s v="Al asally trading company " u="1"/>
        <s v="Qimat Alsueadih Liltasnie" u="1"/>
        <s v="Nawa Al Hayat Trading Foundation" u="1"/>
        <s v="Matager Tagmeley Trading Company" u="1"/>
        <s v="Almostaqbal Al Reda co (Vita Care Online)" u="1"/>
        <s v="Ahm al Details Trading Company" u="1"/>
        <s v="Al-Qasawi Health Commercial Establishment" u="1"/>
        <s v="HANTA LAHLOUIAT MAJINAT CO" u="1"/>
        <s v="AL Wafi Al Takamul International For Food Products" u="1"/>
        <s v="Alathar Saudi Trading LTD. Company" u="1"/>
        <s v="Rwaj Food Trading Company" u="1"/>
        <s v="Al-Reesha Foodstuff Est." u="1"/>
        <s v="AlKhair Trading Co." u="1"/>
        <s v="Saudi Food Products Co." u="1"/>
        <s v="Binzagr Beauty Care Products Trading CO.LTD J&amp;J" u="1"/>
        <s v="Establishment RAKAN AL-TAJMIL For Trading" u="1"/>
        <s v="orinex company" u="1"/>
        <s v="Al-Misbah International Trading Company Limited" u="1"/>
        <s v="Al Kamal Import Office Company Limited Stada" u="1"/>
        <s v="Cigalah HC company (Danon )" u="1"/>
        <s v="Ajmal Trading Company " u="1"/>
        <s v="White Sail Trading Est." u="1"/>
        <s v="International Consumer Goods and Foods Factory" u="1"/>
        <s v="Tanatel Industrial Company" u="1"/>
        <s v="Siafa International Mfg. Co." u="1"/>
        <s v="Jouna Factory for Bread and Sweets" u="1"/>
        <s v="Al Manhal Water Factory" u="1"/>
        <s v="Napco Trading &amp; Distribution Co" u="1"/>
        <s v="Practical House Trading Company" u="1"/>
        <s v="Saeed Mohd. Obaid Binzagr Company (Carlsberg )" u="1"/>
        <s v="Dar Al-Mamoun Trading Company" u="1"/>
        <s v="Al Amjaad trading &amp; Manufacturing Company" u="1"/>
        <s v="Brilliant Beauty Trading Company" u="1"/>
        <s v="Sadana Group Trading Company" u="1"/>
        <s v="Stallion United Trading Company" u="1"/>
        <s v="altawkil almukhtalif for trading &amp;  marketing" u="1"/>
        <s v="Cigalah Healthcare Company LLC -Bayer Non food " u="1"/>
        <s v="Sahm Trading and Industry Company" u="1"/>
        <s v="Al kamal Import Office Co. Ltd." u="1"/>
        <s v="AL-JATHOR AL-NAQIA For Trading Company " u="1"/>
        <s v="Al kamal Import Office (Eucerin)" u="1"/>
        <s v="Gulf Central Company (Fresh)" u="1"/>
        <s v="Two United Trading Company" u="1"/>
        <s v="Al Ershad Library" u="1"/>
        <s v="Jamjoom Medicine Stores" u="1"/>
        <s v="Yashfin National Medical Company" u="1"/>
        <s v="Nao Water and Soft Drinks Company" u="1"/>
        <s v="Future Harvest for Industrial Food " u="1"/>
        <s v="SAMI FAROQ ALKATHERI food stuff stores" u="1"/>
        <s v="Black Stamp Company For Trading" u="1"/>
        <s v="Safwat Al-Jouf Agricultural Company" u="1"/>
        <s v="Farouk and Mamoun Tamr and Partners Company" u="1"/>
        <s v="tiny wheel trading company" u="1"/>
        <s v="Ismael Ali Abou Dawoud Trading Co (Frozen)" u="1"/>
        <s v="Sukheirat Top Trading Company" u="1"/>
        <s v="Wesam alkhalij co. for trading" u="1"/>
        <s v="Happy Beauty Company" u="1"/>
        <s v="Rand Al Sharq Trading Est" u="1"/>
        <s v="Half Million Beverages Company" u="1"/>
        <s v="Arriyadh Roaster Trading company" u="1"/>
        <s v="Hisham Abdul Haq Al Balushi Food Company" u="1"/>
        <s v="innovative modern vision trading co." u="1"/>
        <s v="Shahia Factory for Frozen Vegetables and Meat" u="1"/>
        <s v="Middle East Distribution Company" u="1"/>
        <s v="Port Merchandise Company for Wholesale and " u="1"/>
        <s v="Violet Roots Trading Company" u="1"/>
        <s v="Zahrat Al-Woman Cotton Trading Company" u="1"/>
        <s v="Sayhan United Company for National and Global" u="1"/>
        <s v="Saudi Radwa Food Company Limited" u="1"/>
        <s v="Trans Gulf Marketing Company" u="1"/>
        <s v="SALEH ABDULLAH ALKHARASHI TRADING COMPANY" u="1"/>
        <s v="Arab Coal Marketing Company for Trade" u="1"/>
        <s v="Advanced International Trading Company - Commodity" u="1"/>
        <s v="Arab Business Factory for Paper Products" u="1"/>
        <s v="Al-Masdakia Trading Company (Food)" u="1"/>
        <s v="Mezzan Foods Co." u="1"/>
        <s v="Alpha Investment is a one person company" u="1"/>
        <s v="Arts Trading Company" u="1"/>
        <s v="Abdullah Ali Al Saqqaf &amp; Partners Trading Co." u="1"/>
        <s v="Saudi Paper Converting Company" u="1"/>
        <s v="Mortfat Alshafa Factory ( Rose Water )" u="1"/>
        <s v="Altazaouq Taste Industry Company" u="1"/>
        <s v="Ahmed Mohamed Abdel Wahab Nagy and Sons Company" u="1"/>
        <s v="Khyout Alzafaran For Trading Est." u="1"/>
        <s v="Ideal Healthcare Company for Medicine" u="1"/>
        <s v="Al-Salehiya Trading stock company" u="1"/>
        <s v="Medical &amp; Pharmaceutical Services  - Bashir Shaki" u="1"/>
        <s v="Jamal Al Basit Trading Co" u="1"/>
        <s v="Al-Fawanis Gifts and Perfumes Company Limited" u="1"/>
        <s v="Rose Sweets" u="1"/>
        <s v="United Warehousing Company Limited" u="1"/>
        <s v="Cigalah Healthcare Company LLC -Non food" u="1"/>
        <s v="Pets Needs" u="1"/>
        <s v="Sanabel United Trading Co" u="1"/>
        <s v="Mohammed Ahmed Al Wael Co." u="1"/>
        <s v="Kunuz Al-Hawijah for trading company " u="1"/>
        <s v="Mada Alhadithah For Trading" u="1"/>
        <s v="Steps Beauty Trading Company" u="1"/>
        <s v="AL RASHED FOOD COMPANY LTD" u="1"/>
        <s v="OMQ ALLAMSA EST" u="1"/>
        <s v="Al Khairat Co." u="1"/>
        <s v="Abdullah Balsharaf  For Trading Co." u="1"/>
        <s v="Al Majd Tenth trading Company " u="1"/>
        <s v="AlWaal Albari For Beverage Serving Company" u="1"/>
        <s v="Batook Trading Company-Commodity" u="1"/>
        <s v="Al-Sabaya Corner Cosmetics Foundation" u="1"/>
        <s v="General Trading Company" u="1"/>
        <s v="Arabian Trading Supplies Co. Ltd. - Himalaya" u="1"/>
        <s v="Al-Bustan Al Akhdar Food Trading Est - Dr. Schar" u="1"/>
        <s v="Eddy Fresh Trading Company is a one person company" u="1"/>
        <s v="Food Tawazon Company" u="1"/>
        <s v="Establishment ABDULRAHMAN MOHAMED PANAAMA AL-ADEH " u="1"/>
        <s v="Saeed Ahmed Al-Mahroos &amp; Sons Co. - ( Orlanda )" u="1"/>
        <s v="Razan Care Trading Est" u="1"/>
        <s v="International Foods Company Limited" u="1"/>
        <s v="ASRAR AL-HALA TRADING CO." u="1"/>
        <s v="Mobi Industry Company, a listed joint stock co" u="1"/>
        <s v="Radwa Trading Company (Makeup)" u="1"/>
        <s v="Al Rahden Cleaning Company" u="1"/>
        <s v="Care Place Trading Est" u="1"/>
        <s v="Arab Doctors Company Limited" u="1"/>
        <s v="East Office Trading" u="1"/>
        <s v="nova pharm trading company" u="1"/>
        <s v="Herb and Oil Trading Company" u="1"/>
        <s v="Awared trading Company (Hair device)" u="1"/>
        <s v="Al Tawaya trading company" u="1"/>
        <s v="Meda life trading company - NonFood" u="1"/>
        <s v="Nazih Saudi Company For Cosmetics" u="1"/>
        <s v="Wasams Trading Company" u="1"/>
        <s v="AWARID TRADING CO ." u="1"/>
        <s v="Pharmaceutical Services Company Limited" u="1"/>
        <s v="Dar Madi International Co." u="1"/>
        <s v="Commercial Care Updates Foundation" u="1"/>
        <s v="Jasmin beauty company (Organic)" u="1"/>
        <s v="Alassalah Almutajdidah INC" u="1"/>
        <s v="Maaer Al Jamal Trading Est." u="1"/>
        <s v="Abaka Trading Corporation" u="1"/>
        <s v="Evergreen Medical Company is one person" u="1"/>
        <s v="Maward Alinma Trading Company" u="1"/>
        <s v="Beauty one Trading Company" u="1"/>
        <s v="Golden Brown Factory for Food Products Co" u="1"/>
        <s v="Al Baddah Oud Company" u="1"/>
      </sharedItems>
    </cacheField>
    <cacheField name="documentType" numFmtId="0">
      <sharedItems/>
    </cacheField>
    <cacheField name="locationCode" numFmtId="0">
      <sharedItems/>
    </cacheField>
    <cacheField name="amount" numFmtId="43">
      <sharedItems containsSemiMixedTypes="0" containsString="0" containsNumber="1" minValue="4.34" maxValue="8326.08"/>
    </cacheField>
    <cacheField name="amountIncludingVAT" numFmtId="43">
      <sharedItems containsSemiMixedTypes="0" containsString="0" containsNumber="1" minValue="4.9909999999999997" maxValue="9574.9920000000002"/>
    </cacheField>
    <cacheField name="postingDate" numFmtId="0">
      <sharedItems containsNonDate="0" containsString="0" containsBlank="1"/>
    </cacheField>
    <cacheField name="aging_days" numFmtId="0">
      <sharedItems containsSemiMixedTypes="0" containsString="0" containsNumber="1" containsInteger="1" minValue="0" maxValue="57"/>
    </cacheField>
    <cacheField name="Document_Number" numFmtId="0">
      <sharedItems containsBlank="1" count="1275">
        <s v="PRO2600129622"/>
        <s v="PRO2600138153"/>
        <s v="PRO2600142605"/>
        <s v="PRO2600144234"/>
        <s v="PRO2600144346"/>
        <s v="PRO2600144165"/>
        <s v="PRO2600143930"/>
        <s v="PRO2600144167"/>
        <s v="PRO2600143974"/>
        <s v="PRO2600148909"/>
        <s v="PRO2600151357"/>
        <s v="PRO2600151733"/>
        <s v="PRO2600152788"/>
        <s v="PRO2600154265"/>
        <s v="PRO2600156574"/>
        <s v="PRO2600157880"/>
        <s v="PRO2600159456"/>
        <s v="PRO2600160689"/>
        <s v="PRO2600162978"/>
        <s v="PRO2600163198"/>
        <s v="PRO2600164175"/>
        <s v="PRO2600164049"/>
        <s v="PRO2600165310"/>
        <s v="PRO2600165407"/>
        <s v="PRO2600164261"/>
        <s v="PRO2600165317"/>
        <s v="PRO2600165349"/>
        <s v="PRO2600166302"/>
        <s v="PRO2600166352"/>
        <s v="PRO2600169696"/>
        <s v="PRO2600170698"/>
        <s v="PRO2600171900"/>
        <s v="PRO2600171316"/>
        <s v="PRO2600173246"/>
        <s v="PRO2600174461"/>
        <s v="PRO2600174420"/>
        <s v="PRO2600174364"/>
        <s v="PRO2600175850"/>
        <s v="PRO2600177929"/>
        <s v="PRO2600180131"/>
        <s v="PRO2600179402"/>
        <s v="PRO2600179391"/>
        <s v="PRO2600179973"/>
        <s v="PRO2600180702"/>
        <s v="PRO2600180657"/>
        <s v="PRO2600181030"/>
        <s v="PRO2600181387"/>
        <s v="PRO2600181843"/>
        <s v="PRO2600181036"/>
        <s v="PRO2600181374"/>
        <s v="PRO2600181447"/>
        <s v="PRO2600181716"/>
        <s v="PRO2600182256"/>
        <s v="PRO2600182253"/>
        <s v="PRO2600182229"/>
        <s v="PRO2600182578"/>
        <s v="PRO2600182232"/>
        <s v="PRO2600182167"/>
        <s v="PRO2600183204"/>
        <s v="PRO2600182164"/>
        <s v="PRO2600183834"/>
        <s v="PRO2600184371"/>
        <s v="PRO2600183765"/>
        <s v="PRO2600186223"/>
        <s v="PRO2600186400"/>
        <s v="PRO2600186135"/>
        <s v="PRO2600186054"/>
        <s v="PRO2600186128"/>
        <s v="PRO2600187195"/>
        <s v="PRO2600188032"/>
        <s v="PRO2600187815"/>
        <s v="PRO2600188004"/>
        <s v="PRO2600187267"/>
        <s v="PRO2600188033"/>
        <s v="PRO2600187988"/>
        <s v="PRO2600188066"/>
        <s v="PRO2600187555"/>
        <s v="PRO2600187769"/>
        <s v="PRO2600188042"/>
        <s v="PRO2600187831"/>
        <s v="PRO2600188007"/>
        <s v="PRO2600188060"/>
        <s v="PRO2600188024"/>
        <s v="PRO2600188071"/>
        <s v="PRO2600188073"/>
        <s v="PRO2600188082"/>
        <s v="PRO2600188075"/>
        <s v="PRO2600188070"/>
        <s v="PRO2600188080"/>
        <s v="PRO2600189094"/>
        <s v="PRO2600188448"/>
        <s v="PRO2600188444"/>
        <s v="PRO2600188904"/>
        <s v="PRO2600188727"/>
        <s v="PRO2600188927"/>
        <s v="PRO2600189510"/>
        <s v="PRO2600188453"/>
        <s v="PRO2600190671"/>
        <s v="PRO2600190013"/>
        <s v="PRO2600189536"/>
        <s v="PRO2600190035"/>
        <s v="PRO2600190172"/>
        <s v="PRO2600190659"/>
        <m u="1"/>
        <s v="PRO2600089180" u="1"/>
        <s v="PRO2600093972" u="1"/>
        <s v="PRO2600112164" u="1"/>
        <s v="PRO2600127423" u="1"/>
        <s v="PRO2600135824" u="1"/>
        <s v="PRO2600140533" u="1"/>
        <s v="PRO2600146675" u="1"/>
        <s v="PRO2600148930" u="1"/>
        <s v="PRO2600150445" u="1"/>
        <s v="PRO2600155472" u="1"/>
        <s v="PRO2600157727" u="1"/>
        <s v="PRO2600158113" u="1"/>
        <s v="PRO2600158085" u="1"/>
        <s v="PRO2600161875" u="1"/>
        <s v="PRO2600161859" u="1"/>
        <s v="PRO2600161868" u="1"/>
        <s v="PRO2600164178" u="1"/>
        <s v="PRO2600165348" u="1"/>
        <s v="PRO2600165320" u="1"/>
        <s v="PRO2600165382" u="1"/>
        <s v="PRO2600165610" u="1"/>
        <s v="PRO2600165601" u="1"/>
        <s v="PRO2600165570" u="1"/>
        <s v="PRO2600165927" u="1"/>
        <s v="PRO2600165732" u="1"/>
        <s v="PRO2600165608" u="1"/>
        <s v="PRO2600165536" u="1"/>
        <s v="PRO2600172546" u="1"/>
        <s v="PRO2600172542" u="1"/>
        <s v="PRO2600173174" u="1"/>
        <s v="PRO2600176568" u="1"/>
        <s v="PRO2600178870" u="1"/>
        <s v="PRO2600178431" u="1"/>
        <s v="PRO2600180402" u="1"/>
        <s v="PRO2600180490" u="1"/>
        <s v="PRO2600179416" u="1"/>
        <s v="PRO2600180257" u="1"/>
        <s v="PRO2600181831" u="1"/>
        <s v="PRO2600181960" u="1"/>
        <s v="PRO2600181348" u="1"/>
        <s v="PRO2600181409" u="1"/>
        <s v="PRO2600181582" u="1"/>
        <s v="PRO2600181925" u="1"/>
        <s v="PRO2600182129" u="1"/>
        <s v="PRO2600181335" u="1"/>
        <s v="PRO2600181535" u="1"/>
        <s v="PRO2600181996" u="1"/>
        <s v="PRO2600181969" u="1"/>
        <s v="PRO2600182537" u="1"/>
        <s v="PRO2600182687" u="1"/>
        <s v="PRO2600182202" u="1"/>
        <s v="PRO2600184375" u="1"/>
        <s v="PRO2600183780" u="1"/>
        <s v="PRO2600184385" u="1"/>
        <s v="PRO2600185200" u="1"/>
        <s v="PRO2600185478" u="1"/>
        <s v="PRO2600185132" u="1"/>
        <s v="PRO2600185475" u="1"/>
        <s v="PRO2600185483" u="1"/>
        <s v="PRO2600186613" u="1"/>
        <s v="PRO2600186625" u="1"/>
        <s v="PRO2600188038" u="1"/>
        <s v="PRO2600187166" u="1"/>
        <s v="PRO2600187813" u="1"/>
        <s v="PRO2600188018" u="1"/>
        <s v="PRO2600187834" u="1"/>
        <s v="PRO2600187772" u="1"/>
        <s v="PRO2600188067" u="1"/>
        <s v="PRO2600187995" u="1"/>
        <s v="PRO2600187737" u="1"/>
        <s v="PRO2600188028" u="1"/>
        <s v="PRO2600187477" u="1"/>
        <s v="PRO2600187994" u="1"/>
        <s v="PRO2600187764" u="1"/>
        <s v="PRO2600188014" u="1"/>
        <s v="PRO2600187752" u="1"/>
        <s v="PRO2600188044" u="1"/>
        <s v="PRO2600187473" u="1"/>
        <s v="PRO2600189438" u="1"/>
        <s v="PRO2600189441" u="1"/>
        <s v="PRO2600189445" u="1"/>
        <s v="PRO2600189113" u="1"/>
        <s v="PRO2600189433" u="1"/>
        <s v="PRO2600188815" u="1"/>
        <s v="PRO2600189030" u="1"/>
        <s v="PRO2600189184" u="1"/>
        <s v="PRO2600128860" u="1"/>
        <s v="PRO2600141566" u="1"/>
        <s v="PRO2600141871" u="1"/>
        <s v="PRO2600144510" u="1"/>
        <s v="PRO2600150507" u="1"/>
        <s v="PRO2600155352" u="1"/>
        <s v="PRO2600161869" u="1"/>
        <s v="PRO2600165446" u="1"/>
        <s v="PRO2600164758" u="1"/>
        <s v="PRO2600165401" u="1"/>
        <s v="PRO2600164265" u="1"/>
        <s v="PRO2600164244" u="1"/>
        <s v="PRO2600165595" u="1"/>
        <s v="PRO2600165712" u="1"/>
        <s v="PRO2600172604" u="1"/>
        <s v="PRO2600174768" u="1"/>
        <s v="PRO2600180540" u="1"/>
        <s v="PRO2600181570" u="1"/>
        <s v="PRO2600181890" u="1"/>
        <s v="PRO2600181547" u="1"/>
        <s v="PRO2600181929" u="1"/>
        <s v="PRO2600181784" u="1"/>
        <s v="PRO2600181918" u="1"/>
        <s v="PRO2600181895" u="1"/>
        <s v="PRO2600181910" u="1"/>
        <s v="PRO2600181608" u="1"/>
        <s v="PRO2600181718" u="1"/>
        <s v="PRO2600181904" u="1"/>
        <s v="PRO2600181649" u="1"/>
        <s v="PRO2600182002" u="1"/>
        <s v="PRO2600182596" u="1"/>
        <s v="PRO2600183232" u="1"/>
        <s v="PRO2600183789" u="1"/>
        <s v="PRO2600183773" u="1"/>
        <s v="PRO2600184402" u="1"/>
        <s v="PRO2600184257" u="1"/>
        <s v="PRO2600185151" u="1"/>
        <s v="PRO2600186376" u="1"/>
        <s v="PRO2600186538" u="1"/>
        <s v="PRO2600187344" u="1"/>
        <s v="PRO2600187821" u="1"/>
        <s v="PRO2600187326" u="1"/>
        <s v="PRO2600187259" u="1"/>
        <s v="PRO2600187321" u="1"/>
        <s v="PRO2600187774" u="1"/>
        <s v="PRO2600187188" u="1"/>
        <s v="PRO2600114638" u="1"/>
        <s v="PRO2600127171" u="1"/>
        <s v="PRO2600129374" u="1"/>
        <s v="PRO2600136480" u="1"/>
        <s v="PRO2600136146" u="1"/>
        <s v="PRO2600136785" u="1"/>
        <s v="PRO2600136812" u="1"/>
        <s v="PRO2600139032" u="1"/>
        <s v="PRO2600138709" u="1"/>
        <s v="PRO2600141513" u="1"/>
        <s v="PRO2600141549" u="1"/>
        <s v="PRO2600141490" u="1"/>
        <s v="PRO2600141521" u="1"/>
        <s v="PRO2600141551" u="1"/>
        <s v="PRO2600141869" u="1"/>
        <s v="PRO2600141879" u="1"/>
        <s v="PRO2600144335" u="1"/>
        <s v="PRO2600144564" u="1"/>
        <s v="PRO2600144697" u="1"/>
        <s v="PRO2600147936" u="1"/>
        <s v="PRO2600149022" u="1"/>
        <s v="PRO2600153039" u="1"/>
        <s v="PRO2600153070" u="1"/>
        <s v="PRO2600157868" u="1"/>
        <s v="PRO2600159513" u="1"/>
        <s v="PRO2600160845" u="1"/>
        <s v="PRO2600160713" u="1"/>
        <s v="PRO2600161958" u="1"/>
        <s v="PRO2600161867" u="1"/>
        <s v="PRO2600161879" u="1"/>
        <s v="PRO2600165282" u="1"/>
        <s v="PRO2600165337" u="1"/>
        <s v="PRO2600165339" u="1"/>
        <s v="PRO2600165251" u="1"/>
        <s v="PRO2600165267" u="1"/>
        <s v="PRO2600165299" u="1"/>
        <s v="PRO2600165253" u="1"/>
        <s v="PRO2600165456" u="1"/>
        <s v="PRO2600165643" u="1"/>
        <s v="PRO2600165931" u="1"/>
        <s v="PRO2600165746" u="1"/>
        <s v="PRO2600165700" u="1"/>
        <s v="PRO2600165639" u="1"/>
        <s v="PRO2600165576" u="1"/>
        <s v="PRO2600172551" u="1"/>
        <s v="PRO2600172614" u="1"/>
        <s v="PRO2600173458" u="1"/>
        <s v="PRO2600175866" u="1"/>
        <s v="PRO2600174748" u="1"/>
        <s v="PRO2600175931" u="1"/>
        <s v="PRO2600175869" u="1"/>
        <s v="PRO2600176544" u="1"/>
        <s v="PRO2600176546" u="1"/>
        <s v="PRO2600178194" u="1"/>
        <s v="PRO2600178472" u="1"/>
        <s v="PRO2600179367" u="1"/>
        <s v="PRO2600180536" u="1"/>
        <s v="PRO2600180159" u="1"/>
        <s v="PRO2600179398" u="1"/>
        <s v="PRO2600180853" u="1"/>
        <s v="PRO2600180608" u="1"/>
        <s v="PRO2600180846" u="1"/>
        <s v="PRO2600180854" u="1"/>
        <s v="PRO2600180841" u="1"/>
        <s v="PRO2600180639" u="1"/>
        <s v="PRO2600180648" u="1"/>
        <s v="PRO2600180666" u="1"/>
        <s v="PRO2600180848" u="1"/>
        <s v="PRO2600180850" u="1"/>
        <s v="PRO2600180849" u="1"/>
        <s v="PRO2600180564" u="1"/>
        <s v="PRO2600182138" u="1"/>
        <s v="PRO2600181010" u="1"/>
        <s v="PRO2600182125" u="1"/>
        <s v="PRO2600180866" u="1"/>
        <s v="PRO2600181530" u="1"/>
        <s v="PRO2600182136" u="1"/>
        <s v="PRO2600181470" u="1"/>
        <s v="PRO2600180988" u="1"/>
        <s v="PRO2600180979" u="1"/>
        <s v="PRO2600180995" u="1"/>
        <s v="PRO2600181742" u="1"/>
        <s v="PRO2600181690" u="1"/>
        <s v="PRO2600181722" u="1"/>
        <s v="PRO2600182146" u="1"/>
        <s v="PRO2600182163" u="1"/>
        <s v="PRO2600182704" u="1"/>
        <s v="PRO2600182670" u="1"/>
        <s v="PRO2600183320" u="1"/>
        <s v="PRO2600183323" u="1"/>
        <s v="PRO2600182197" u="1"/>
        <s v="PRO2600182473" u="1"/>
        <s v="PRO2600182784" u="1"/>
        <s v="PRO2600182714" u="1"/>
        <s v="PRO2600182545" u="1"/>
        <s v="PRO2600183209" u="1"/>
        <s v="PRO2600183215" u="1"/>
        <s v="PRO2600184215" u="1"/>
        <s v="PRO2600184405" u="1"/>
        <s v="PRO2600183397" u="1"/>
        <s v="PRO2600183779" u="1"/>
        <s v="PRO2600184501" u="1"/>
        <s v="PRO2600184368" u="1"/>
        <s v="PRO2600184399" u="1"/>
        <s v="PRO2600184407" u="1"/>
        <s v="PRO2600184378" u="1"/>
        <s v="PRO2600185296" u="1"/>
        <s v="PRO2600185311" u="1"/>
        <s v="PRO2600185262" u="1"/>
        <s v="PRO2600184543" u="1"/>
        <s v="PRO2600186387" u="1"/>
        <s v="PRO2600186609" u="1"/>
        <s v="PRO2600186352" u="1"/>
        <s v="PRO2600183769" u="1"/>
        <s v="PRO2600134758" u="1"/>
        <s v="PRO2600150096" u="1"/>
        <s v="PRO2600151799" u="1"/>
        <s v="PRO2600157728" u="1"/>
        <s v="PRO2600158138" u="1"/>
        <s v="PRO2600158092" u="1"/>
        <s v="PRO2600165277" u="1"/>
        <s v="PRO2600165425" u="1"/>
        <s v="PRO2600165307" u="1"/>
        <s v="PRO2600165268" u="1"/>
        <s v="PRO2600165364" u="1"/>
        <s v="PRO2600165628" u="1"/>
        <s v="PRO2600165929" u="1"/>
        <s v="PRO2600173146" u="1"/>
        <s v="PRO2600173151" u="1"/>
        <s v="PRO2600172539" u="1"/>
        <s v="PRO2600172548" u="1"/>
        <s v="PRO2600173153" u="1"/>
        <s v="PRO2600173158" u="1"/>
        <s v="PRO2600173156" u="1"/>
        <s v="PRO2600174474" u="1"/>
        <s v="PRO2600175924" u="1"/>
        <s v="PRO2600175877" u="1"/>
        <s v="PRO2600175929" u="1"/>
        <s v="PRO2600175859" u="1"/>
        <s v="PRO2600175872" u="1"/>
        <s v="PRO2600175906" u="1"/>
        <s v="PRO2600176604" u="1"/>
        <s v="PRO2600176388" u="1"/>
        <s v="PRO2600178975" u="1"/>
        <s v="PRO2600178873" u="1"/>
        <s v="PRO2600180209" u="1"/>
        <s v="PRO2600180016" u="1"/>
        <s v="PRO2600179905" u="1"/>
        <s v="PRO2600179393" u="1"/>
        <s v="PRO2600180686" u="1"/>
        <s v="PRO2600180665" u="1"/>
        <s v="PRO2600180697" u="1"/>
        <s v="PRO2600180642" u="1"/>
        <s v="PRO2600180668" u="1"/>
        <s v="PRO2600180688" u="1"/>
        <s v="PRO2600181524" u="1"/>
        <s v="PRO2600181537" u="1"/>
        <s v="PRO2600181993" u="1"/>
        <s v="PRO2600181794" u="1"/>
        <s v="PRO2600181363" u="1"/>
        <s v="PRO2600183201" u="1"/>
        <s v="PRO2600182676" u="1"/>
        <s v="PRO2600182648" u="1"/>
        <s v="PRO2600182734" u="1"/>
        <s v="PRO2600182577" u="1"/>
        <s v="PRO2600182613" u="1"/>
        <s v="PRO2600182166" u="1"/>
        <s v="PRO2600182261" u="1"/>
        <s v="PRO2600182659" u="1"/>
        <s v="PRO2600182158" u="1"/>
        <s v="PRO2600182612" u="1"/>
        <s v="PRO2600183786" u="1"/>
        <s v="PRO2600183837" u="1"/>
        <s v="PRO2600183777" u="1"/>
        <s v="PRO2600184381" u="1"/>
        <s v="PRO2600184386" u="1"/>
        <s v="PRO2600185514" u="1"/>
        <s v="PRO2600185146" u="1"/>
        <s v="PRO2600185518" u="1"/>
        <s v="PRO2600140617" u="1"/>
        <s v="PRO2600152926" u="1"/>
        <s v="PRO2600155408" u="1"/>
        <s v="PRO2600157796" u="1"/>
        <s v="PRO2600158124" u="1"/>
        <s v="PRO2600159517" u="1"/>
        <s v="PRO2600160767" u="1"/>
        <s v="PRO2600163047" u="1"/>
        <s v="PRO2600165340" u="1"/>
        <s v="PRO2600165428" u="1"/>
        <s v="PRO2600165275" u="1"/>
        <s v="PRO2600165470" u="1"/>
        <s v="PRO2600167154" u="1"/>
        <s v="PRO2600172686" u="1"/>
        <s v="PRO2600172713" u="1"/>
        <s v="PRO2600172701" u="1"/>
        <s v="PRO2600175994" u="1"/>
        <s v="PRO2600174757" u="1"/>
        <s v="PRO2600174766" u="1"/>
        <s v="PRO2600175918" u="1"/>
        <s v="PRO2600175926" u="1"/>
        <s v="PRO2600177964" u="1"/>
        <s v="PRO2600177201" u="1"/>
        <s v="PRO2600179303" u="1"/>
        <s v="PRO2600179413" u="1"/>
        <s v="PRO2600180611" u="1"/>
        <s v="PRO2600180672" u="1"/>
        <s v="PRO2600180649" u="1"/>
        <s v="PRO2600181941" u="1"/>
        <s v="PRO2600181665" u="1"/>
        <s v="PRO2600181756" u="1"/>
        <s v="PRO2600182679" u="1"/>
        <s v="PRO2600182152" u="1"/>
        <s v="PRO2600182636" u="1"/>
        <s v="PRO2600182643" u="1"/>
        <s v="PRO2600184585" u="1"/>
        <s v="PRO2600184584" u="1"/>
        <s v="PRO2600098721" u="1"/>
        <s v="PRO2600140594" u="1"/>
        <s v="PRO2600154306" u="1"/>
        <s v="PRO2600161906" u="1"/>
        <s v="PRO2600173145" u="1"/>
        <s v="PRO2600175910" u="1"/>
        <s v="PRO2600180660" u="1"/>
        <s v="PRO2600126188" u="1"/>
        <s v="PRO2600136475" u="1"/>
        <s v="PRO2600145686" u="1"/>
        <s v="PRO2600148975" u="1"/>
        <s v="PRO2600158083" u="1"/>
        <s v="PRO2600161942" u="1"/>
        <s v="PRO2600161937" u="1"/>
        <s v="PRO2600165629" u="1"/>
        <s v="PRO2600165636" u="1"/>
        <s v="PRO2600165452" u="1"/>
        <s v="PRO2600167498" u="1"/>
        <s v="PRO2600171188" u="1"/>
        <s v="PRO2600172561" u="1"/>
        <s v="PRO2600174755" u="1"/>
        <s v="PRO2600175879" u="1"/>
        <s v="PRO2600175953" u="1"/>
        <s v="PRO2600178869" u="1"/>
        <s v="PRO2600161890" u="1"/>
        <s v="PRO2600179410" u="1"/>
        <s v="PRO2600180694" u="1"/>
        <s v="PRO2600180689" u="1"/>
        <s v="PRO2600181614" u="1"/>
        <s v="PRO2600181803" u="1"/>
        <s v="PRO2600181736" u="1"/>
        <s v="PRO2600181687" u="1"/>
        <s v="PRO2600181710" u="1"/>
        <s v="PRO2600182246" u="1"/>
        <s v="PRO2600141581" u="1"/>
        <s v="PRO2600144320" u="1"/>
        <s v="PRO2600144449" u="1"/>
        <s v="PRO2600144440" u="1"/>
        <s v="PRO2600145844" u="1"/>
        <s v="PRO2600148900" u="1"/>
        <s v="PRO2600148798" u="1"/>
        <s v="PRO2600150540" u="1"/>
        <s v="PRO2600152888" u="1"/>
        <s v="PRO2600158081" u="1"/>
        <s v="PRO2600158864" u="1"/>
        <s v="PRO2600158210" u="1"/>
        <s v="PRO2600158128" u="1"/>
        <s v="PRO2600159552" u="1"/>
        <s v="PRO2600161876" u="1"/>
        <s v="PRO2600161907" u="1"/>
        <s v="PRO2600163056" u="1"/>
        <s v="PRO2600165392" u="1"/>
        <s v="PRO2600165605" u="1"/>
        <s v="PRO2600165523" u="1"/>
        <s v="PRO2600165486" u="1"/>
        <s v="PRO2600165925" u="1"/>
        <s v="PRO2600170619" u="1"/>
        <s v="PRO2600175847" u="1"/>
        <s v="PRO2600175886" u="1"/>
        <s v="PRO2600178875" u="1"/>
        <s v="PRO2600180084" u="1"/>
        <s v="PRO2600180198" u="1"/>
        <s v="PRO2600180006" u="1"/>
        <s v="PRO2600180171" u="1"/>
        <s v="PRO2600180701" u="1"/>
        <s v="PRO2600180699" u="1"/>
        <s v="PRO2600181776" u="1"/>
        <s v="PRO2600181519" u="1"/>
        <s v="PRO2600181391" u="1"/>
        <s v="PRO2600181479" u="1"/>
        <s v="PRO2600181517" u="1"/>
        <s v="PRO2600181500" u="1"/>
        <s v="PRO2600082457" u="1"/>
        <s v="PRO2600110910" u="1"/>
        <s v="PRO2600128846" u="1"/>
        <s v="PRO2600130185" u="1"/>
        <s v="PRO2600135137" u="1"/>
        <s v="PRO2600135152" u="1"/>
        <s v="PRO2600136806" u="1"/>
        <s v="PRO2600136763" u="1"/>
        <s v="PRO2600139385" u="1"/>
        <s v="PRO2600141596" u="1"/>
        <s v="PRO2600141584" u="1"/>
        <s v="PRO2600143006" u="1"/>
        <s v="PRO2600142987" u="1"/>
        <s v="PRO2600144429" u="1"/>
        <s v="PRO2600144292" u="1"/>
        <s v="PRO2600144370" u="1"/>
        <s v="PRO2600144710" u="1"/>
        <s v="PRO2600145668" u="1"/>
        <s v="PRO2600145634" u="1"/>
        <s v="PRO2600148851" u="1"/>
        <s v="PRO2600148868" u="1"/>
        <s v="PRO2600151331" u="1"/>
        <s v="PRO2600151475" u="1"/>
        <s v="PRO2600152931" u="1"/>
        <s v="PRO2600156031" u="1"/>
        <s v="PRO2600157726" u="1"/>
        <s v="PRO2600157230" u="1"/>
        <s v="PRO2600157780" u="1"/>
        <s v="PRO2600158884" u="1"/>
        <s v="PRO2600158968" u="1"/>
        <s v="PRO2600158901" u="1"/>
        <s v="PRO2600158077" u="1"/>
        <s v="PRO2600159592" u="1"/>
        <s v="PRO2600161858" u="1"/>
        <s v="PRO2600160691" u="1"/>
        <s v="PRO2600160715" u="1"/>
        <s v="PRO2600160765" u="1"/>
        <s v="PRO2600161947" u="1"/>
        <s v="PRO2600164190" u="1"/>
        <s v="PRO2600164174" u="1"/>
        <s v="PRO2600165262" u="1"/>
        <s v="PRO2600165297" u="1"/>
        <s v="PRO2600165400" u="1"/>
        <s v="PRO2600165311" u="1"/>
        <s v="PRO2600165485" u="1"/>
        <s v="PRO2600165618" u="1"/>
        <s v="PRO2600165484" u="1"/>
        <s v="PRO2600165566" u="1"/>
        <s v="PRO2600166509" u="1"/>
        <s v="PRO2600166520" u="1"/>
        <s v="PRO2600166503" u="1"/>
        <s v="PRO2600170723" u="1"/>
        <s v="PRO2600170721" u="1"/>
        <s v="PRO2600170738" u="1"/>
        <s v="PRO2600173459" u="1"/>
        <s v="PRO2600175882" u="1"/>
        <s v="PRO2600175949" u="1"/>
        <s v="PRO2600176552" u="1"/>
        <s v="PRO2600178981" u="1"/>
        <s v="PRO2600125112" u="1"/>
        <s v="PRO2600128121" u="1"/>
        <s v="PRO2600128814" u="1"/>
        <s v="PRO2600128797" u="1"/>
        <s v="PRO2600132802" u="1"/>
        <s v="PRO2600136486" u="1"/>
        <s v="PRO2600136813" u="1"/>
        <s v="PRO2600141191" u="1"/>
        <s v="PRO2600142000" u="1"/>
        <s v="PRO2600144482" u="1"/>
        <s v="PRO2600144623" u="1"/>
        <s v="PRO2600146826" u="1"/>
        <s v="PRO2600147810" u="1"/>
        <s v="PRO2600148863" u="1"/>
        <s v="PRO2600147842" u="1"/>
        <s v="PRO2600150072" u="1"/>
        <s v="PRO2600150115" u="1"/>
        <s v="PRO2600150101" u="1"/>
        <s v="PRO2600152886" u="1"/>
        <s v="PRO2600151794" u="1"/>
        <s v="PRO2600153223" u="1"/>
        <s v="PRO2600154197" u="1"/>
        <s v="PRO2600155374" u="1"/>
        <s v="PRO2600155474" u="1"/>
        <s v="PRO2600156250" u="1"/>
        <s v="PRO2600155506" u="1"/>
        <s v="PRO2600155389" u="1"/>
        <s v="PRO2600155457" u="1"/>
        <s v="PRO2600157731" u="1"/>
        <s v="PRO2600157953" u="1"/>
        <s v="PRO2600157873" u="1"/>
        <s v="PRO2600158091" u="1"/>
        <s v="PRO2600158886" u="1"/>
        <s v="PRO2600159605" u="1"/>
        <s v="PRO2600159502" u="1"/>
        <s v="PRO2600159632" u="1"/>
        <s v="PRO2600160790" u="1"/>
        <s v="PRO2600160834" u="1"/>
        <s v="PRO2600161893" u="1"/>
        <s v="PRO2600163016" u="1"/>
        <s v="PRO2600161911" u="1"/>
        <s v="PRO2600163089" u="1"/>
        <s v="PRO2600164197" u="1"/>
        <s v="PRO2600165418" u="1"/>
        <s v="PRO2600164225" u="1"/>
        <s v="PRO2600165383" u="1"/>
        <s v="PRO2600165360" u="1"/>
        <s v="PRO2600165369" u="1"/>
        <s v="PRO2600165475" u="1"/>
        <s v="PRO2600165599" u="1"/>
        <s v="PRO2600165547" u="1"/>
        <s v="PRO2600165954" u="1"/>
        <s v="PRO2600171583" u="1"/>
        <s v="PRO2600172564" u="1"/>
        <s v="PRO2600172646" u="1"/>
        <s v="PRO2600173807" u="1"/>
        <s v="PRO2600174007" u="1"/>
        <s v="PRO2600174009" u="1"/>
        <s v="PRO2600174020" u="1"/>
        <s v="PRO2600174064" u="1"/>
        <s v="PRO2600175947" u="1"/>
        <s v="PRO2600175849" u="1"/>
        <s v="PRO2600175780" u="1"/>
        <s v="PRO2600175945" u="1"/>
        <s v="PRO2600178980" u="1"/>
        <s v="PRO2600112818" u="1"/>
        <s v="PRO2600120536" u="1"/>
        <s v="PRO2600130225" u="1"/>
        <s v="PRO2600136485" u="1"/>
        <s v="PRO2600138146" u="1"/>
        <s v="PRO2600139344" u="1"/>
        <s v="PRO2600141235" u="1"/>
        <s v="PRO2600141881" u="1"/>
        <s v="PRO2600144353" u="1"/>
        <s v="PRO2600144244" u="1"/>
        <s v="PRO2600143106" u="1"/>
        <s v="PRO2600145600" u="1"/>
        <s v="PRO2600148876" u="1"/>
        <s v="PRO2600147840" u="1"/>
        <s v="PRO2600151744" u="1"/>
        <s v="PRO2600152876" u="1"/>
        <s v="PRO2600153212" u="1"/>
        <s v="PRO2600154206" u="1"/>
        <s v="PRO2600155366" u="1"/>
        <s v="PRO2600155499" u="1"/>
        <s v="PRO2600155467" u="1"/>
        <s v="PRO2600157789" u="1"/>
        <s v="PRO2600158080" u="1"/>
        <s v="PRO2600158082" u="1"/>
        <s v="PRO2600159653" u="1"/>
        <s v="PRO2600159499" u="1"/>
        <s v="PRO2600159480" u="1"/>
        <s v="PRO2600160761" u="1"/>
        <s v="PRO2600160887" u="1"/>
        <s v="PRO2600162986" u="1"/>
        <s v="PRO2600161901" u="1"/>
        <s v="PRO2600163011" u="1"/>
        <s v="PRO2600161986" u="1"/>
        <s v="PRO2600161998" u="1"/>
        <s v="PRO2600162983" u="1"/>
        <s v="PRO2600163083" u="1"/>
        <s v="PRO2600164176" u="1"/>
        <s v="PRO2600164204" u="1"/>
        <s v="PRO2600163069" u="1"/>
        <s v="PRO2600165391" u="1"/>
        <s v="PRO2600165334" u="1"/>
        <s v="PRO2600165390" u="1"/>
        <s v="PRO2600165380" u="1"/>
        <s v="PRO2600165394" u="1"/>
        <s v="PRO2600165480" u="1"/>
        <s v="PRO2600165488" u="1"/>
        <s v="PRO2600165703" u="1"/>
        <s v="PRO2600165672" u="1"/>
        <s v="PRO2600165502" u="1"/>
        <s v="PRO2600166297" u="1"/>
        <s v="PRO2600166335" u="1"/>
        <s v="PRO2600168204" u="1"/>
        <s v="PRO2600169440" u="1"/>
        <s v="PRO2600171615" u="1"/>
        <s v="PRO2600173149" u="1"/>
        <s v="PRO2600173082" u="1"/>
        <s v="PRO2600173408" u="1"/>
        <s v="PRO2600173800" u="1"/>
        <s v="PRO2600174531" u="1"/>
        <s v="PRO2600174163" u="1"/>
        <s v="PRO2600174072" u="1"/>
        <s v="PRO2600175750" u="1"/>
        <s v="PRO2600175822" u="1"/>
        <s v="PRO2600176560" u="1"/>
        <s v="PRO2600176628" u="1"/>
        <s v="PRO2600076509" u="1"/>
        <s v="PRO2600081449" u="1"/>
        <s v="PRO2600094002" u="1"/>
        <s v="PRO2600096103" u="1"/>
        <s v="PRO2600099124" u="1"/>
        <s v="PRO2600106685" u="1"/>
        <s v="PRO2600119511" u="1"/>
        <s v="PRO2600126164" u="1"/>
        <s v="PRO2600127161" u="1"/>
        <s v="PRO2600128798" u="1"/>
        <s v="PRO2600128907" u="1"/>
        <s v="PRO2600136471" u="1"/>
        <s v="PRO2600136476" u="1"/>
        <s v="PRO2600136808" u="1"/>
        <s v="PRO2600138134" u="1"/>
        <s v="PRO2600139368" u="1"/>
        <s v="PRO2600140552" u="1"/>
        <s v="PRO2600141995" u="1"/>
        <s v="PRO2600143037" u="1"/>
        <s v="PRO2600144229" u="1"/>
        <s v="PRO2600144252" u="1"/>
        <s v="PRO2600144023" u="1"/>
        <s v="PRO2600145629" u="1"/>
        <s v="PRO2600144532" u="1"/>
        <s v="PRO2600144523" u="1"/>
        <s v="PRO2600147360" u="1"/>
        <s v="PRO2600147815" u="1"/>
        <s v="PRO2600148869" u="1"/>
        <s v="PRO2600148884" u="1"/>
        <s v="PRO2600148870" u="1"/>
        <s v="PRO2600148867" u="1"/>
        <s v="PRO2600150114" u="1"/>
        <s v="PRO2600150069" u="1"/>
        <s v="PRO2600149009" u="1"/>
        <s v="PRO2600150119" u="1"/>
        <s v="PRO2600151831" u="1"/>
        <s v="PRO2600153037" u="1"/>
        <s v="PRO2600153217" u="1"/>
        <s v="PRO2600152957" u="1"/>
        <s v="PRO2600153229" u="1"/>
        <s v="PRO2600155413" u="1"/>
        <s v="PRO2600155418" u="1"/>
        <s v="PRO2600157798" u="1"/>
        <s v="PRO2600158030" u="1"/>
        <s v="PRO2600158183" u="1"/>
        <s v="PRO2600158151" u="1"/>
        <s v="PRO2600159636" u="1"/>
        <s v="PRO2600159639" u="1"/>
        <s v="PRO2600159623" u="1"/>
        <s v="PRO2600160703" u="1"/>
        <s v="PRO2600160814" u="1"/>
        <s v="PRO2600161856" u="1"/>
        <s v="PRO2600161873" u="1"/>
        <s v="PRO2600161887" u="1"/>
        <s v="PRO2600163012" u="1"/>
        <s v="PRO2600163075" u="1"/>
        <s v="PRO2600165376" u="1"/>
        <s v="PRO2600165330" u="1"/>
        <s v="PRO2600165342" u="1"/>
        <s v="PRO2600165432" u="1"/>
        <s v="PRO2600165412" u="1"/>
        <s v="PRO2600165669" u="1"/>
        <s v="PRO2600165600" u="1"/>
        <s v="PRO2600165560" u="1"/>
        <s v="PRO2600165553" u="1"/>
        <s v="PRO2600165640" u="1"/>
        <s v="PRO2600166107" u="1"/>
        <s v="PRO2600165988" u="1"/>
        <s v="PRO2600166126" u="1"/>
        <s v="PRO2600169688" u="1"/>
        <s v="PRO2600171543" u="1"/>
        <s v="PRO2600171624" u="1"/>
        <s v="PRO2600172390" u="1"/>
        <s v="PRO2600174746" u="1"/>
        <s v="PRO2600144398" u="1"/>
        <s v="PRO2600144670" u="1"/>
        <s v="PRO2600147765" u="1"/>
        <s v="PRO2600148941" u="1"/>
        <s v="PRO2600152884" u="1"/>
        <s v="PRO2600155362" u="1"/>
        <s v="PRO2600158976" u="1"/>
        <s v="PRO2600158166" u="1"/>
        <s v="PRO2600160711" u="1"/>
        <s v="PRO2600161966" u="1"/>
        <s v="PRO2600161994" u="1"/>
        <s v="PRO2600161929" u="1"/>
        <s v="PRO2600163115" u="1"/>
        <s v="PRO2600165413" u="1"/>
        <s v="PRO2600165449" u="1"/>
        <s v="PRO2600165727" u="1"/>
        <s v="PRO2600165507" u="1"/>
        <s v="PRO2600165457" u="1"/>
        <s v="PRO2600165461" u="1"/>
        <s v="PRO2600165924" u="1"/>
        <s v="PRO2600166134" u="1"/>
        <s v="PRO2600165968" u="1"/>
        <s v="PRO2600168299" u="1"/>
        <s v="PRO2600172319" u="1"/>
        <s v="PRO2600174067" u="1"/>
        <s v="PRO2600174376" u="1"/>
        <s v="PRO2600128590" u="1"/>
        <s v="PRO2600144112" u="1"/>
        <s v="PRO2600145662" u="1"/>
        <s v="PRO2600145693" u="1"/>
        <s v="PRO2600147976" u="1"/>
        <s v="PRO2600148860" u="1"/>
        <s v="PRO2600151360" u="1"/>
        <s v="PRO2600152890" u="1"/>
        <s v="PRO2600152749" u="1"/>
        <s v="PRO2600155485" u="1"/>
        <s v="PRO2600158137" u="1"/>
        <s v="PRO2600158898" u="1"/>
        <s v="PRO2600159629" u="1"/>
        <s v="PRO2600160771" u="1"/>
        <s v="PRO2600161983" u="1"/>
        <s v="PRO2600163006" u="1"/>
        <s v="PRO2600161897" u="1"/>
        <s v="PRO2600161861" u="1"/>
        <s v="PRO2600163032" u="1"/>
        <s v="PRO2600163092" u="1"/>
        <s v="PRO2600163110" u="1"/>
        <s v="PRO2600165309" u="1"/>
        <s v="PRO2600165270" u="1"/>
        <s v="PRO2600165321" u="1"/>
        <s v="PRO2600164234" u="1"/>
        <s v="PRO2600165767" u="1"/>
        <s v="PRO2600165668" u="1"/>
        <s v="PRO2600165573" u="1"/>
        <s v="PRO2600165697" u="1"/>
        <s v="PRO2600165989" u="1"/>
        <s v="PRO2600174060" u="1"/>
        <s v="PRO2600174063" u="1"/>
        <s v="PRO2600143221" u="1"/>
        <s v="PRO2600143980" u="1"/>
        <s v="PRO2600147732" u="1"/>
        <s v="PRO2600151301" u="1"/>
        <s v="PRO2600152786" u="1"/>
        <s v="PRO2600158065" u="1"/>
        <s v="PRO2600160030" u="1"/>
        <s v="PRO2600159508" u="1"/>
        <s v="PRO2600159650" u="1"/>
        <s v="PRO2600160696" u="1"/>
        <s v="PRO2600161963" u="1"/>
        <s v="PRO2600162989" u="1"/>
        <s v="PRO2600161925" u="1"/>
        <s v="PRO2600161974" u="1"/>
        <s v="PRO2600163080" u="1"/>
        <s v="PRO2600165248" u="1"/>
        <s v="PRO2600165397" u="1"/>
        <s v="PRO2600165344" u="1"/>
        <s v="PRO2600165358" u="1"/>
        <s v="PRO2600165414" u="1"/>
        <s v="PRO2600165350" u="1"/>
        <s v="PRO2600165511" u="1"/>
        <s v="PRO2600165752" u="1"/>
        <s v="PRO2600165583" u="1"/>
        <s v="PRO2600165525" u="1"/>
        <s v="PRO2600165532" u="1"/>
        <s v="PRO2600165776" u="1"/>
        <s v="PRO2600166506" u="1"/>
        <s v="PRO2600165945" u="1"/>
        <s v="PRO2600161865" u="1"/>
        <s v="PRO2600120749" u="1"/>
        <s v="PRO2600139343" u="1"/>
        <s v="PRO2600141984" u="1"/>
        <s v="PRO2600143044" u="1"/>
        <s v="PRO2600144297" u="1"/>
        <s v="PRO2600144125" u="1"/>
        <s v="PRO2600144678" u="1"/>
        <s v="PRO2600145613" u="1"/>
        <s v="PRO2600151320" u="1"/>
        <s v="PRO2600152897" u="1"/>
        <s v="PRO2600151791" u="1"/>
        <s v="PRO2600153079" u="1"/>
        <s v="PRO2600155421" u="1"/>
        <s v="PRO2600155470" u="1"/>
        <s v="PRO2600156575" u="1"/>
        <s v="PRO2600159504" u="1"/>
        <s v="PRO2600160780" u="1"/>
        <s v="PRO2600160866" u="1"/>
        <s v="PRO2600162990" u="1"/>
        <s v="PRO2600161951" u="1"/>
        <s v="PRO2600161862" u="1"/>
        <s v="PRO2600161914" u="1"/>
        <s v="PRO2600165381" u="1"/>
        <s v="PRO2600165366" u="1"/>
        <s v="PRO2600165254" u="1"/>
        <s v="PRO2600165410" u="1"/>
        <s v="PRO2600165353" u="1"/>
        <s v="PRO2600165373" u="1"/>
        <s v="PRO2600165399" u="1"/>
        <s v="PRO2600165661" u="1"/>
        <s v="PRO2600165558" u="1"/>
        <s v="PRO2600165659" u="1"/>
        <s v="PRO2600165774" u="1"/>
        <s v="PRO2600165482" u="1"/>
        <s v="PRO2600165616" u="1"/>
        <s v="PRO2600165533" u="1"/>
        <s v="PRO2600165495" u="1"/>
        <s v="PRO2600168302" u="1"/>
        <s v="PRO2600168246" u="1"/>
        <s v="PRO2600167310" u="1"/>
        <s v="PRO2600169682" u="1"/>
        <s v="PRO2600171633" u="1"/>
        <s v="PRO2600061526" u="1"/>
        <s v="PRO2600087323" u="1"/>
        <s v="PRO2600103387" u="1"/>
        <s v="PRO2600108028" u="1"/>
        <s v="PRO2600120270" u="1"/>
        <s v="PRO2600130164" u="1"/>
        <s v="PRO2600129946" u="1"/>
        <s v="PRO2600131548" u="1"/>
        <s v="PRO2600136797" u="1"/>
        <s v="PRO2600139380" u="1"/>
        <s v="PRO2600138185" u="1"/>
        <s v="PRO2600140618" u="1"/>
        <s v="PRO2600141631" u="1"/>
        <s v="PRO2600141575" u="1"/>
        <s v="PRO2600141813" u="1"/>
        <s v="PRO2600141867" u="1"/>
        <s v="PRO2600144235" u="1"/>
        <s v="PRO2600144525" u="1"/>
        <s v="PRO2600148857" u="1"/>
        <s v="PRO2600148931" u="1"/>
        <s v="PRO2600150136" u="1"/>
        <s v="PRO2600150498" u="1"/>
        <s v="PRO2600151462" u="1"/>
        <s v="PRO2600151860" u="1"/>
        <s v="PRO2600152935" u="1"/>
        <s v="PRO2600152912" u="1"/>
        <s v="PRO2600153068" u="1"/>
        <s v="PRO2600153299" u="1"/>
        <s v="PRO2600154257" u="1"/>
        <s v="PRO2600155079" u="1"/>
        <s v="PRO2600155359" u="1"/>
        <s v="PRO2600155355" u="1"/>
        <s v="PRO2600155437" u="1"/>
        <s v="PRO2600155484" u="1"/>
        <s v="PRO2600157784" u="1"/>
        <s v="PRO2600158064" u="1"/>
        <s v="PRO2600158063" u="1"/>
        <s v="PRO2600158088" u="1"/>
        <s v="PRO2600158060" u="1"/>
        <s v="PRO2600158074" u="1"/>
        <s v="PRO2600159609" u="1"/>
        <s v="PRO2600159663" u="1"/>
        <s v="PRO2600159491" u="1"/>
        <s v="PRO2600159509" u="1"/>
        <s v="PRO2600160803" u="1"/>
        <s v="PRO2600160695" u="1"/>
        <s v="PRO2600160706" u="1"/>
        <s v="PRO2600160830" u="1"/>
        <s v="PRO2600160756" u="1"/>
        <s v="PRO2600160880" u="1"/>
        <s v="PRO2600161572" u="1"/>
        <s v="PRO2600161894" u="1"/>
        <s v="PRO2600162999" u="1"/>
        <s v="PRO2600162996" u="1"/>
        <s v="PRO2600161932" u="1"/>
        <s v="PRO2600161863" u="1"/>
        <s v="PRO2600163029" u="1"/>
        <s v="PRO2600163981" u="1"/>
        <s v="PRO2600164108" u="1"/>
        <s v="PRO2600164172" u="1"/>
        <s v="PRO2600163085" u="1"/>
        <s v="PRO2600164046" u="1"/>
        <s v="PRO2600163081" u="1"/>
        <s v="PRO2600164243" u="1"/>
        <s v="PRO2600165396" u="1"/>
        <s v="PRO2600165281" u="1"/>
        <s v="PRO2600165295" u="1"/>
        <s v="PRO2600165346" u="1"/>
        <s v="PRO2600165367" u="1"/>
        <s v="PRO2600165354" u="1"/>
        <s v="PRO2600165296" u="1"/>
        <s v="PRO2600165372" u="1"/>
        <s v="PRO2600165406" u="1"/>
        <s v="PRO2600165708" u="1"/>
        <s v="PRO2600165710" u="1"/>
        <s v="PRO2600165464" u="1"/>
        <s v="PRO2600165537" u="1"/>
        <s v="PRO2600165718" u="1"/>
        <s v="PRO2600165521" u="1"/>
        <s v="PRO2600165674" u="1"/>
        <s v="PRO2600165689" u="1"/>
        <s v="PRO2600165527" u="1"/>
        <s v="PRO2600165454" u="1"/>
        <s v="PRO2600165741" u="1"/>
        <s v="PRO2600166282" u="1"/>
        <s v="PRO2600166117" u="1"/>
        <s v="PRO2600165974" u="1"/>
        <s v="PRO2600165980" u="1"/>
        <s v="PRO2600165977" u="1"/>
        <s v="PRO2600166274" u="1"/>
        <s v="PRO2600166292" u="1"/>
        <s v="PRO2600122907" u="1"/>
        <s v="PRO2600128366" u="1"/>
        <s v="PRO2600131519" u="1"/>
        <s v="PRO2600135712" u="1"/>
        <s v="PRO2600135620" u="1"/>
        <s v="PRO2600139312" u="1"/>
        <s v="PRO2600141203" u="1"/>
        <s v="PRO2600141332" u="1"/>
        <s v="PRO2600141525" u="1"/>
        <s v="PRO2600142777" u="1"/>
        <s v="PRO2600142836" u="1"/>
        <s v="PRO2600144378" u="1"/>
        <s v="PRO2600144311" u="1"/>
        <s v="PRO2600143099" u="1"/>
        <s v="PRO2600144435" u="1"/>
        <s v="PRO2600144484" u="1"/>
        <s v="PRO2600147384" u="1"/>
        <s v="PRO2600148871" u="1"/>
        <s v="PRO2600150108" u="1"/>
        <s v="PRO2600150082" u="1"/>
        <s v="PRO2600150462" u="1"/>
        <s v="PRO2600151768" u="1"/>
        <s v="PRO2600155387" u="1"/>
        <s v="PRO2600157830" u="1"/>
        <s v="PRO2600157838" u="1"/>
        <s v="PRO2600157863" u="1"/>
        <s v="PRO2600158912" u="1"/>
        <s v="PRO2600158073" u="1"/>
        <s v="PRO2600158075" u="1"/>
        <s v="PRO2600158188" u="1"/>
        <s v="PRO2600158191" u="1"/>
        <s v="PRO2600159697" u="1"/>
        <s v="PRO2600159484" u="1"/>
        <s v="PRO2600159506" u="1"/>
        <s v="PRO2600159734" u="1"/>
        <s v="PRO2600161854" u="1"/>
        <s v="PRO2600160716" u="1"/>
        <s v="PRO2600163015" u="1"/>
        <s v="PRO2600161870" u="1"/>
        <s v="PRO2600161961" u="1"/>
        <s v="PRO2600164114" u="1"/>
        <s v="PRO2600164196" u="1"/>
        <s v="PRO2600163053" u="1"/>
        <s v="PRO2600164117" u="1"/>
        <s v="PRO2600164122" u="1"/>
        <s v="PRO2600163057" u="1"/>
        <s v="PRO2600164106" u="1"/>
        <s v="PRO2600165416" u="1"/>
        <s v="PRO2600165318" u="1"/>
        <s v="PRO2600165384" u="1"/>
        <s v="PRO2600165359" u="1"/>
        <s v="PRO2600165386" u="1"/>
        <s v="PRO2600164241" u="1"/>
        <s v="PRO2600165371" u="1"/>
        <s v="PRO2600164228" u="1"/>
        <s v="PRO2600165335" u="1"/>
        <s v="PRO2600165312" u="1"/>
        <s v="PRO2600165597" u="1"/>
        <s v="PRO2600165487" u="1"/>
        <s v="PRO2600165567" u="1"/>
        <s v="PRO2600165477" u="1"/>
        <s v="PRO2600165514" u="1"/>
        <s v="PRO2600165557" u="1"/>
        <s v="PRO2600165455" u="1"/>
        <s v="PRO2600165711" u="1"/>
        <s v="PRO2600165749" u="1"/>
        <s v="PRO2600165734" u="1"/>
        <s v="PRO2600165522" u="1"/>
        <s v="PRO2600014050" u="1"/>
        <s v="PRO2600078982" u="1"/>
        <s v="PRO2600093998" u="1"/>
        <s v="PRO2600097256" u="1"/>
        <s v="PRO2600114723" u="1"/>
        <s v="PRO2600114915" u="1"/>
        <s v="PRO2600119532" u="1"/>
        <s v="PRO2600130237" u="1"/>
        <s v="PRO2600131550" u="1"/>
        <s v="PRO2600137772" u="1"/>
        <s v="PRO2600141223" u="1"/>
        <s v="PRO2600141411" u="1"/>
        <s v="PRO2600141577" u="1"/>
        <s v="PRO2600141876" u="1"/>
        <s v="PRO2600142671" u="1"/>
        <s v="PRO2600142976" u="1"/>
        <s v="PRO2600142983" u="1"/>
        <s v="PRO2600143034" u="1"/>
        <s v="PRO2600142768" u="1"/>
        <s v="PRO2600142815" u="1"/>
        <s v="PRO2600144436" u="1"/>
        <s v="PRO2600144422" u="1"/>
        <s v="PRO2600144296" u="1"/>
        <s v="PRO2600144658" u="1"/>
        <s v="PRO2600144466" u="1"/>
        <s v="PRO2600144506" u="1"/>
        <s v="PRO2600147769" u="1"/>
        <s v="PRO2600146866" u="1"/>
        <s v="PRO2600148886" u="1"/>
        <s v="PRO2600147915" u="1"/>
        <s v="PRO2600150080" u="1"/>
        <s v="PRO2600149990" u="1"/>
        <s v="PRO2600151294" u="1"/>
        <s v="PRO2600151323" u="1"/>
        <s v="PRO2600151761" u="1"/>
        <s v="PRO2600151759" u="1"/>
        <s v="PRO2600151747" u="1"/>
        <s v="PRO2600155371" u="1"/>
        <s v="PRO2600155344" u="1"/>
        <s v="PRO2600154253" u="1"/>
        <s v="PRO2600155424" u="1"/>
        <s v="PRO2600155406" u="1"/>
        <s v="PRO2600157877" u="1"/>
        <s v="PRO2600157827" u="1"/>
        <s v="PRO2600158179" u="1"/>
        <s v="PRO2600158965" u="1"/>
        <s v="PRO2600158218" u="1"/>
        <s v="PRO2600158890" u="1"/>
        <s v="PRO2600159461" u="1"/>
        <s v="PRO2600158066" u="1"/>
        <s v="PRO2600158106" u="1"/>
        <s v="PRO2600159674" u="1"/>
        <s v="PRO2600159601" u="1"/>
        <s v="PRO2600161857" u="1"/>
        <s v="PRO2600163002" u="1"/>
        <s v="PRO2600162979" u="1"/>
        <s v="PRO2600161902" u="1"/>
        <s v="PRO2600162987" u="1"/>
        <s v="PRO2600161883" u="1"/>
        <s v="PRO2600161980" u="1"/>
        <s v="PRO2600161990" u="1"/>
        <s v="PRO2600161970" u="1"/>
        <s v="PRO2600164194" u="1"/>
        <s v="PRO2600164173" u="1"/>
        <s v="PRO2600164199" u="1"/>
        <s v="PRO2600112455" u="1"/>
        <s v="PRO2600117508" u="1"/>
        <s v="PRO2600127288" u="1"/>
        <s v="PRO2600132697" u="1"/>
        <s v="PRO2600133654" u="1"/>
        <s v="PRO2600135140" u="1"/>
        <s v="PRO2600135166" u="1"/>
        <s v="PRO2600135108" u="1"/>
        <s v="PRO2600136206" u="1"/>
        <s v="PRO2600139379" u="1"/>
        <s v="PRO2600139303" u="1"/>
        <s v="PRO2600139490" u="1"/>
        <s v="PRO2600139434" u="1"/>
        <s v="PRO2600139501" u="1"/>
        <s v="PRO2600140632" u="1"/>
        <s v="PRO2600141576" u="1"/>
        <s v="PRO2600142613" u="1"/>
        <s v="PRO2600142998" u="1"/>
        <s v="PRO2600144035" u="1"/>
        <s v="PRO2600144184" u="1"/>
        <s v="PRO2600144417" u="1"/>
        <s v="PRO2600144240" u="1"/>
        <s v="PRO2600144238" u="1"/>
        <s v="PRO2600144201" u="1"/>
        <s v="PRO2600145640" u="1"/>
        <s v="PRO2600144529" u="1"/>
        <s v="PRO2600145608" u="1"/>
        <s v="PRO2600145633" u="1"/>
        <s v="PRO2600147787" u="1"/>
        <s v="PRO2600147891" u="1"/>
        <s v="PRO2600147894" u="1"/>
        <s v="PRO2600147860" u="1"/>
        <s v="PRO2600148891" u="1"/>
        <s v="PRO2600147937" u="1"/>
        <s v="PRO2600148942" u="1"/>
        <s v="PRO2600150098" u="1"/>
        <s v="PRO2600150102" u="1"/>
        <s v="PRO2600149026" u="1"/>
        <s v="PRO2600151352" u="1"/>
        <s v="PRO2600151305" u="1"/>
        <s v="PRO2600151827" u="1"/>
        <s v="PRO2600152902" u="1"/>
        <s v="PRO2600151745" u="1"/>
        <s v="PRO2600151734" u="1"/>
        <s v="PRO2600151807" u="1"/>
        <s v="PRO2600152674" u="1"/>
        <s v="PRO2600152790" u="1"/>
        <s v="PRO2600153099" u="1"/>
        <s v="PRO2600154233" u="1"/>
        <s v="PRO2600154270" u="1"/>
        <s v="PRO2600154240" u="1"/>
        <s v="PRO2600154777" u="1"/>
        <s v="PRO2600155346" u="1"/>
        <s v="PRO2600154205" u="1"/>
        <s v="PRO2600155357" u="1"/>
        <s v="PRO2600155343" u="1"/>
        <s v="PRO2600155513" u="1"/>
        <s v="PRO2600155440" u="1"/>
        <s v="PRO2600156245" u="1"/>
        <s v="PRO2600155448" u="1"/>
        <s v="PRO2600155464" u="1"/>
        <s v="PRO2600157788" u="1"/>
        <s v="PRO2600157782" u="1"/>
        <s v="PRO2600157829" u="1"/>
        <s v="PRO2600157875" u="1"/>
        <s v="PRO2600158031" u="1"/>
        <s v="PRO2600157857" u="1"/>
        <s v="PRO2600158032" u="1"/>
        <s v="PRO2600157886" u="1"/>
        <s v="PRO2600158168" u="1"/>
        <s v="PRO2600158177" u="1"/>
        <s v="PRO2600158135" u="1"/>
        <s v="PRO2600158880" u="1"/>
        <s v="PRO2600158067" u="1"/>
        <s v="PRO2600158133" u="1"/>
        <s v="PRO2600158059" u="1"/>
        <s v="PRO2600158979" u="1"/>
        <s v="PRO2600158892" u="1"/>
        <s v="PRO2600158207" u="1"/>
        <s v="PRO2600158087" u="1"/>
        <s v="PRO2600159522" u="1"/>
        <s v="PRO2600159690" u="1"/>
        <s v="PRO2600159719" u="1"/>
        <s v="PRO2600159584" u="1"/>
        <s v="PRO2600159482" u="1"/>
        <s v="PRO2600159579" u="1"/>
        <s v="PRO2600160782" u="1"/>
        <s v="PRO2600160693" u="1"/>
        <s v="PRO2600160869" u="1"/>
        <s v="PRO2600160810" u="1"/>
        <s v="PRO2600160806" u="1"/>
        <s v="PRO2600160692" u="1"/>
        <s v="PRO2600121791" u="1"/>
        <s v="PRO2600125083" u="1"/>
        <s v="PRO2600135138" u="1"/>
        <s v="PRO2600138167" u="1"/>
        <s v="PRO2600141642" u="1"/>
        <s v="PRO2600141622" u="1"/>
        <s v="PRO2600142696" u="1"/>
        <s v="PRO2600144351" u="1"/>
        <s v="PRO2600144331" u="1"/>
        <s v="PRO2600144349" u="1"/>
        <s v="PRO2600144467" u="1"/>
        <s v="PRO2600144685" u="1"/>
        <s v="PRO2600145603" u="1"/>
        <s v="PRO2600145689" u="1"/>
        <s v="PRO2600147739" u="1"/>
        <s v="PRO2600147751" u="1"/>
        <s v="PRO2600146762" u="1"/>
        <s v="PRO2600147771" u="1"/>
        <s v="PRO2600147886" u="1"/>
        <s v="PRO2600147844" u="1"/>
        <s v="PRO2600148887" u="1"/>
        <s v="PRO2600147904" u="1"/>
        <s v="PRO2600150118" u="1"/>
        <s v="PRO2600150167" u="1"/>
        <s v="PRO2600152913" u="1"/>
        <s v="PRO2600152927" u="1"/>
        <s v="PRO2600152911" u="1"/>
        <s v="PRO2600152925" u="1"/>
        <s v="PRO2600151856" u="1"/>
        <s v="PRO2600154203" u="1"/>
        <s v="PRO2600155431" u="1"/>
        <s v="PRO2600155425" u="1"/>
        <s v="PRO2600155476" u="1"/>
        <s v="PRO2600155403" u="1"/>
        <s v="PRO2600157721" u="1"/>
        <s v="PRO2600157718" u="1"/>
        <s v="PRO2600158251" u="1"/>
        <s v="PRO2600158894" u="1"/>
        <s v="PRO2600158123" u="1"/>
        <s v="PRO2600159618" u="1"/>
        <s v="PRO2600159527" u="1"/>
        <s v="PRO2600159588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3">
  <r>
    <x v="0"/>
    <x v="0"/>
    <s v="Return Order"/>
    <s v="DC-RET-RI2"/>
    <n v="1377.6"/>
    <n v="1584.24"/>
    <m/>
    <n v="57"/>
    <x v="0"/>
  </r>
  <r>
    <x v="1"/>
    <x v="1"/>
    <s v="Return Order"/>
    <s v="DC-RET-RI2"/>
    <n v="1006.4433"/>
    <n v="1157.4097999999999"/>
    <m/>
    <n v="50"/>
    <x v="1"/>
  </r>
  <r>
    <x v="1"/>
    <x v="1"/>
    <s v="Return Order"/>
    <s v="DC-RET-RI2"/>
    <n v="715.05830000000003"/>
    <n v="822.31709999999998"/>
    <m/>
    <n v="45"/>
    <x v="2"/>
  </r>
  <r>
    <x v="1"/>
    <x v="1"/>
    <s v="Return Order"/>
    <s v="DC-RET-RI2"/>
    <n v="54.4"/>
    <n v="62.56"/>
    <m/>
    <n v="43"/>
    <x v="3"/>
  </r>
  <r>
    <x v="2"/>
    <x v="2"/>
    <s v="Return Order"/>
    <s v="DC-RET-RI2"/>
    <n v="18"/>
    <n v="20.7"/>
    <m/>
    <n v="43"/>
    <x v="4"/>
  </r>
  <r>
    <x v="3"/>
    <x v="3"/>
    <s v="Return Order"/>
    <s v="DC-RET-RI2"/>
    <n v="116.83266999999999"/>
    <n v="134.35757000000001"/>
    <m/>
    <n v="43"/>
    <x v="5"/>
  </r>
  <r>
    <x v="4"/>
    <x v="4"/>
    <s v="Return Order"/>
    <s v="DC-RCH-RI2"/>
    <n v="1893.2650000000001"/>
    <n v="2177.2546000000002"/>
    <m/>
    <n v="43"/>
    <x v="6"/>
  </r>
  <r>
    <x v="0"/>
    <x v="0"/>
    <s v="Return Order"/>
    <s v="DC-RET-RI2"/>
    <n v="723.24"/>
    <n v="831.726"/>
    <m/>
    <n v="43"/>
    <x v="7"/>
  </r>
  <r>
    <x v="5"/>
    <x v="5"/>
    <s v="Return Order"/>
    <s v="DC-RET-RI2"/>
    <n v="1724.6985"/>
    <n v="1983.4032999999999"/>
    <m/>
    <n v="43"/>
    <x v="8"/>
  </r>
  <r>
    <x v="1"/>
    <x v="1"/>
    <s v="Return Order"/>
    <s v="DC-RET-RI2"/>
    <n v="1302.6832999999999"/>
    <n v="1498.0858000000001"/>
    <m/>
    <n v="39"/>
    <x v="9"/>
  </r>
  <r>
    <x v="6"/>
    <x v="6"/>
    <s v="Return Order"/>
    <s v="DC-RCH-RI2"/>
    <n v="988.98800000000006"/>
    <n v="1137.3362"/>
    <m/>
    <n v="36"/>
    <x v="10"/>
  </r>
  <r>
    <x v="1"/>
    <x v="1"/>
    <s v="Return Order"/>
    <s v="DC-RET-RI2"/>
    <n v="725.81335000000001"/>
    <n v="834.68529999999998"/>
    <m/>
    <n v="35"/>
    <x v="11"/>
  </r>
  <r>
    <x v="1"/>
    <x v="1"/>
    <s v="Return Order"/>
    <s v="DC-RET-RI2"/>
    <n v="431.97332999999998"/>
    <n v="496.76931999999999"/>
    <m/>
    <n v="35"/>
    <x v="12"/>
  </r>
  <r>
    <x v="1"/>
    <x v="1"/>
    <s v="Return Order"/>
    <s v="DC-RET-RI2"/>
    <n v="1092.8667"/>
    <n v="1256.7965999999999"/>
    <m/>
    <n v="33"/>
    <x v="13"/>
  </r>
  <r>
    <x v="1"/>
    <x v="1"/>
    <s v="Return Order"/>
    <s v="DC-RET-RI2"/>
    <n v="474.76334000000003"/>
    <n v="545.97784000000001"/>
    <m/>
    <n v="31"/>
    <x v="14"/>
  </r>
  <r>
    <x v="4"/>
    <x v="4"/>
    <s v="Return Order"/>
    <s v="DC-RET-RI2"/>
    <n v="8326.08"/>
    <n v="9574.9920000000002"/>
    <m/>
    <n v="30"/>
    <x v="15"/>
  </r>
  <r>
    <x v="1"/>
    <x v="1"/>
    <s v="Return Order"/>
    <s v="DC-RET-RI2"/>
    <n v="890.67334000000005"/>
    <n v="1024.2743"/>
    <m/>
    <n v="29"/>
    <x v="16"/>
  </r>
  <r>
    <x v="1"/>
    <x v="1"/>
    <s v="Return Order"/>
    <s v="DC-RET-RI2"/>
    <n v="577.52329999999995"/>
    <n v="664.15179999999998"/>
    <m/>
    <n v="27"/>
    <x v="17"/>
  </r>
  <r>
    <x v="7"/>
    <x v="7"/>
    <s v="Return Order"/>
    <s v="DC-RET-RI2"/>
    <n v="965.93444999999997"/>
    <n v="1110.8245999999999"/>
    <m/>
    <n v="26"/>
    <x v="18"/>
  </r>
  <r>
    <x v="1"/>
    <x v="1"/>
    <s v="Return Order"/>
    <s v="DC-RET-RI2"/>
    <n v="905.72833000000003"/>
    <n v="1041.5875000000001"/>
    <m/>
    <n v="25"/>
    <x v="19"/>
  </r>
  <r>
    <x v="8"/>
    <x v="8"/>
    <s v="Return Order"/>
    <s v="DC-RET-RI2"/>
    <n v="672.17499999999995"/>
    <n v="773.00120000000004"/>
    <m/>
    <n v="25"/>
    <x v="20"/>
  </r>
  <r>
    <x v="8"/>
    <x v="8"/>
    <s v="Return Order"/>
    <s v="DC-RET-RI2"/>
    <n v="1389.865"/>
    <n v="1598.3447000000001"/>
    <m/>
    <n v="25"/>
    <x v="21"/>
  </r>
  <r>
    <x v="3"/>
    <x v="3"/>
    <s v="Return Order"/>
    <s v="DC-RET-RI2"/>
    <n v="170.14328"/>
    <n v="195.66476"/>
    <m/>
    <n v="24"/>
    <x v="22"/>
  </r>
  <r>
    <x v="0"/>
    <x v="0"/>
    <s v="Return Order"/>
    <s v="DC-RET-RI2"/>
    <n v="9.84"/>
    <n v="11.316000000000001"/>
    <m/>
    <n v="24"/>
    <x v="23"/>
  </r>
  <r>
    <x v="9"/>
    <x v="9"/>
    <s v="Return Order"/>
    <s v="DC-RET-RI2"/>
    <n v="1521.0623000000001"/>
    <n v="1749.2216000000001"/>
    <m/>
    <n v="24"/>
    <x v="24"/>
  </r>
  <r>
    <x v="7"/>
    <x v="7"/>
    <s v="Return Order"/>
    <s v="DC-RET-RI2"/>
    <n v="61"/>
    <n v="70.150000000000006"/>
    <m/>
    <n v="24"/>
    <x v="25"/>
  </r>
  <r>
    <x v="10"/>
    <x v="10"/>
    <s v="Return Order"/>
    <s v="DC-RET-RI2"/>
    <n v="2243.42"/>
    <n v="2579.933"/>
    <m/>
    <n v="24"/>
    <x v="26"/>
  </r>
  <r>
    <x v="11"/>
    <x v="11"/>
    <s v="Return Order"/>
    <s v="DC-RET-RI2"/>
    <n v="164.25"/>
    <n v="188.88749999999999"/>
    <m/>
    <n v="22"/>
    <x v="27"/>
  </r>
  <r>
    <x v="1"/>
    <x v="1"/>
    <s v="Return Order"/>
    <s v="DC-RET-RI2"/>
    <n v="648"/>
    <n v="745.2"/>
    <m/>
    <n v="22"/>
    <x v="28"/>
  </r>
  <r>
    <x v="1"/>
    <x v="1"/>
    <s v="Return Order"/>
    <s v="DC-RET-RI2"/>
    <n v="721.36"/>
    <n v="829.56399999999996"/>
    <m/>
    <n v="20"/>
    <x v="29"/>
  </r>
  <r>
    <x v="4"/>
    <x v="4"/>
    <s v="Return Order"/>
    <s v="DC-RET-RI2"/>
    <n v="3695.76"/>
    <n v="4250.1239999999998"/>
    <m/>
    <n v="19"/>
    <x v="30"/>
  </r>
  <r>
    <x v="4"/>
    <x v="4"/>
    <s v="Return Order"/>
    <s v="DC-RET-RI2"/>
    <n v="2466.5500000000002"/>
    <n v="2836.5324999999998"/>
    <m/>
    <n v="18"/>
    <x v="31"/>
  </r>
  <r>
    <x v="12"/>
    <x v="12"/>
    <s v="Return Order"/>
    <s v="DC-RET-RI2"/>
    <n v="498.99799999999999"/>
    <n v="573.84770000000003"/>
    <m/>
    <n v="18"/>
    <x v="32"/>
  </r>
  <r>
    <x v="1"/>
    <x v="1"/>
    <s v="Return Order"/>
    <s v="DC-RET-RI2"/>
    <n v="599.34500000000003"/>
    <n v="689.24676999999997"/>
    <m/>
    <n v="16"/>
    <x v="33"/>
  </r>
  <r>
    <x v="13"/>
    <x v="13"/>
    <s v="Return Order"/>
    <s v="DC-RET-RI2"/>
    <n v="517"/>
    <n v="594.54999999999995"/>
    <m/>
    <n v="15"/>
    <x v="34"/>
  </r>
  <r>
    <x v="1"/>
    <x v="1"/>
    <s v="Return Order"/>
    <s v="DC-RET-RI2"/>
    <n v="296.84500000000003"/>
    <n v="341.37177000000003"/>
    <m/>
    <n v="15"/>
    <x v="35"/>
  </r>
  <r>
    <x v="8"/>
    <x v="8"/>
    <s v="Return Order"/>
    <s v="DC-RET-RI2"/>
    <n v="872.93"/>
    <n v="1003.8695"/>
    <m/>
    <n v="15"/>
    <x v="36"/>
  </r>
  <r>
    <x v="14"/>
    <x v="14"/>
    <s v="Return Order"/>
    <s v="DC-RCH-RI2"/>
    <n v="231.5"/>
    <n v="266.22500000000002"/>
    <m/>
    <n v="14"/>
    <x v="37"/>
  </r>
  <r>
    <x v="15"/>
    <x v="15"/>
    <s v="Return Order"/>
    <s v="DC-RET-RI2"/>
    <n v="2244.4"/>
    <n v="2581.06"/>
    <m/>
    <n v="12"/>
    <x v="38"/>
  </r>
  <r>
    <x v="3"/>
    <x v="3"/>
    <s v="Return Order"/>
    <s v="DC-RET-RI2"/>
    <n v="5097.1440000000002"/>
    <n v="5861.7160000000003"/>
    <m/>
    <n v="10"/>
    <x v="39"/>
  </r>
  <r>
    <x v="16"/>
    <x v="16"/>
    <s v="Return Order"/>
    <s v="DC-RET-RI2"/>
    <n v="1688.9016999999999"/>
    <n v="1942.2370000000001"/>
    <m/>
    <n v="10"/>
    <x v="40"/>
  </r>
  <r>
    <x v="12"/>
    <x v="12"/>
    <s v="Return Order"/>
    <s v="DC-RET-RI2"/>
    <n v="787.34100000000001"/>
    <n v="905.44213999999999"/>
    <m/>
    <n v="10"/>
    <x v="41"/>
  </r>
  <r>
    <x v="7"/>
    <x v="7"/>
    <s v="Return Order"/>
    <s v="DC-RET-RI2"/>
    <n v="609.6"/>
    <n v="701.04"/>
    <m/>
    <n v="10"/>
    <x v="42"/>
  </r>
  <r>
    <x v="17"/>
    <x v="17"/>
    <s v="Return Order"/>
    <s v="DC-RCH-RI2"/>
    <n v="43.76"/>
    <n v="50.323999999999998"/>
    <m/>
    <n v="9"/>
    <x v="43"/>
  </r>
  <r>
    <x v="14"/>
    <x v="14"/>
    <s v="Return Order"/>
    <s v="DC-RCH-RI2"/>
    <n v="317.5"/>
    <n v="365.125"/>
    <m/>
    <n v="9"/>
    <x v="44"/>
  </r>
  <r>
    <x v="1"/>
    <x v="1"/>
    <s v="Return Order"/>
    <s v="DC-RET-RI2"/>
    <n v="1290.8"/>
    <n v="1484.42"/>
    <m/>
    <n v="8"/>
    <x v="45"/>
  </r>
  <r>
    <x v="18"/>
    <x v="18"/>
    <s v="Return Order"/>
    <s v="DC-RET-RI2"/>
    <n v="4535.3114999999998"/>
    <n v="5215.6080000000002"/>
    <m/>
    <n v="8"/>
    <x v="46"/>
  </r>
  <r>
    <x v="9"/>
    <x v="9"/>
    <s v="Return Order"/>
    <s v="DC-RET-RI2"/>
    <n v="507.35300000000001"/>
    <n v="583.45592999999997"/>
    <m/>
    <n v="8"/>
    <x v="47"/>
  </r>
  <r>
    <x v="11"/>
    <x v="11"/>
    <s v="Return Order"/>
    <s v="DC-RET-RI2"/>
    <n v="1119"/>
    <n v="1286.8499999999999"/>
    <m/>
    <n v="8"/>
    <x v="48"/>
  </r>
  <r>
    <x v="19"/>
    <x v="19"/>
    <s v="Return Order"/>
    <s v="DC-RET-RI2"/>
    <n v="1573.75"/>
    <n v="1809.8125"/>
    <m/>
    <n v="8"/>
    <x v="49"/>
  </r>
  <r>
    <x v="20"/>
    <x v="20"/>
    <s v="Return Order"/>
    <s v="DC-RET-RI2"/>
    <n v="1363.61"/>
    <n v="1568.1514999999999"/>
    <m/>
    <n v="8"/>
    <x v="50"/>
  </r>
  <r>
    <x v="10"/>
    <x v="10"/>
    <s v="Return Order"/>
    <s v="DC-RET-RI2"/>
    <n v="471.18"/>
    <n v="541.85699999999997"/>
    <m/>
    <n v="8"/>
    <x v="51"/>
  </r>
  <r>
    <x v="1"/>
    <x v="1"/>
    <s v="Return Order"/>
    <s v="DC-RET-RI2"/>
    <n v="1067.47"/>
    <n v="1227.5905"/>
    <m/>
    <n v="7"/>
    <x v="52"/>
  </r>
  <r>
    <x v="21"/>
    <x v="21"/>
    <s v="Return Order"/>
    <s v="DC-RET-RI2"/>
    <n v="938.08330000000001"/>
    <n v="1078.7958000000001"/>
    <m/>
    <n v="7"/>
    <x v="53"/>
  </r>
  <r>
    <x v="22"/>
    <x v="22"/>
    <s v="Return Order"/>
    <s v="DC-RET-RI2"/>
    <n v="3217.45"/>
    <n v="3700.0673999999999"/>
    <m/>
    <n v="7"/>
    <x v="54"/>
  </r>
  <r>
    <x v="23"/>
    <x v="23"/>
    <s v="Return Order"/>
    <s v="DC-RCH-RI2"/>
    <n v="667.91499999999996"/>
    <n v="768.10222999999996"/>
    <m/>
    <n v="7"/>
    <x v="55"/>
  </r>
  <r>
    <x v="15"/>
    <x v="15"/>
    <s v="Return Order"/>
    <s v="DC-RET-RI2"/>
    <n v="3151.44"/>
    <n v="3624.1559999999999"/>
    <m/>
    <n v="7"/>
    <x v="56"/>
  </r>
  <r>
    <x v="16"/>
    <x v="16"/>
    <s v="Return Order"/>
    <s v="DC-RET-RI2"/>
    <n v="881.15"/>
    <n v="1013.3225"/>
    <m/>
    <n v="7"/>
    <x v="57"/>
  </r>
  <r>
    <x v="14"/>
    <x v="14"/>
    <s v="Return Order"/>
    <s v="DC-RCH-RI2"/>
    <n v="30"/>
    <n v="34.5"/>
    <m/>
    <n v="7"/>
    <x v="58"/>
  </r>
  <r>
    <x v="12"/>
    <x v="12"/>
    <s v="Return Order"/>
    <s v="DC-RET-RI2"/>
    <n v="417.25900000000001"/>
    <n v="479.84784000000002"/>
    <m/>
    <n v="7"/>
    <x v="59"/>
  </r>
  <r>
    <x v="24"/>
    <x v="24"/>
    <s v="Return Order"/>
    <s v="DC-RCH-RI2"/>
    <n v="294.54599999999999"/>
    <n v="338.72789999999998"/>
    <m/>
    <n v="6"/>
    <x v="60"/>
  </r>
  <r>
    <x v="25"/>
    <x v="25"/>
    <s v="Return Order"/>
    <s v="DC-RCH-RI2"/>
    <n v="88.528180000000006"/>
    <n v="101.8074"/>
    <m/>
    <n v="6"/>
    <x v="61"/>
  </r>
  <r>
    <x v="25"/>
    <x v="25"/>
    <s v="Return Order"/>
    <s v="DC-RFR-RI2"/>
    <n v="470.47859999999997"/>
    <n v="541.05039999999997"/>
    <m/>
    <n v="6"/>
    <x v="62"/>
  </r>
  <r>
    <x v="14"/>
    <x v="14"/>
    <s v="Return Order"/>
    <s v="DC-RCH-RI2"/>
    <n v="184"/>
    <n v="211.6"/>
    <m/>
    <n v="4"/>
    <x v="63"/>
  </r>
  <r>
    <x v="23"/>
    <x v="23"/>
    <s v="Return Order"/>
    <s v="DC-RCH-RI2"/>
    <n v="113.88"/>
    <n v="130.96199999999999"/>
    <m/>
    <n v="4"/>
    <x v="64"/>
  </r>
  <r>
    <x v="17"/>
    <x v="17"/>
    <s v="Return Order"/>
    <s v="DC-RCH-RI2"/>
    <n v="49.078000000000003"/>
    <n v="56.439700000000002"/>
    <m/>
    <n v="4"/>
    <x v="65"/>
  </r>
  <r>
    <x v="15"/>
    <x v="15"/>
    <s v="Return Order"/>
    <s v="DC-RET-RI2"/>
    <n v="3848.36"/>
    <n v="4425.6139999999996"/>
    <m/>
    <n v="4"/>
    <x v="66"/>
  </r>
  <r>
    <x v="14"/>
    <x v="14"/>
    <s v="Return Order"/>
    <s v="DC-RCH-RI2"/>
    <n v="92.5"/>
    <n v="106.375"/>
    <m/>
    <n v="4"/>
    <x v="67"/>
  </r>
  <r>
    <x v="22"/>
    <x v="22"/>
    <s v="Return Order"/>
    <s v="DC-RET-RI2"/>
    <n v="1647.96"/>
    <n v="1895.154"/>
    <m/>
    <n v="3"/>
    <x v="68"/>
  </r>
  <r>
    <x v="2"/>
    <x v="2"/>
    <s v="Return Order"/>
    <s v="DC-RET-RI2"/>
    <n v="60"/>
    <n v="69"/>
    <m/>
    <n v="3"/>
    <x v="69"/>
  </r>
  <r>
    <x v="24"/>
    <x v="24"/>
    <s v="Return Order"/>
    <s v="DC-RCH-RI2"/>
    <n v="334.47699999999998"/>
    <n v="384.64855999999997"/>
    <m/>
    <n v="3"/>
    <x v="70"/>
  </r>
  <r>
    <x v="26"/>
    <x v="26"/>
    <s v="Return Order"/>
    <s v="DC-RET-RI2"/>
    <n v="1874.2487000000001"/>
    <n v="2155.386"/>
    <m/>
    <n v="3"/>
    <x v="71"/>
  </r>
  <r>
    <x v="16"/>
    <x v="16"/>
    <s v="Return Order"/>
    <s v="DC-RET-RI2"/>
    <n v="1502.27"/>
    <n v="1727.6105"/>
    <m/>
    <n v="3"/>
    <x v="72"/>
  </r>
  <r>
    <x v="27"/>
    <x v="27"/>
    <s v="Return Order"/>
    <s v="DC-RET-RI2"/>
    <n v="60"/>
    <n v="69"/>
    <m/>
    <n v="3"/>
    <x v="73"/>
  </r>
  <r>
    <x v="28"/>
    <x v="28"/>
    <s v="Return Order"/>
    <s v="DC-RET-RI2"/>
    <n v="10.83"/>
    <n v="12.454499999999999"/>
    <m/>
    <n v="3"/>
    <x v="74"/>
  </r>
  <r>
    <x v="29"/>
    <x v="29"/>
    <s v="Return Order"/>
    <s v="DC-RET-RI2"/>
    <n v="264.32600000000002"/>
    <n v="303.97489999999999"/>
    <m/>
    <n v="3"/>
    <x v="75"/>
  </r>
  <r>
    <x v="15"/>
    <x v="15"/>
    <s v="Return Order"/>
    <s v="DC-RET-RI2"/>
    <n v="950.59"/>
    <n v="1093.1785"/>
    <m/>
    <n v="3"/>
    <x v="76"/>
  </r>
  <r>
    <x v="25"/>
    <x v="25"/>
    <s v="Return Order"/>
    <s v="DC-RFR-RI2"/>
    <n v="184.52475000000001"/>
    <n v="212.20346000000001"/>
    <m/>
    <n v="3"/>
    <x v="77"/>
  </r>
  <r>
    <x v="18"/>
    <x v="18"/>
    <s v="Return Order"/>
    <s v="DC-RET-RI2"/>
    <n v="126.92174"/>
    <n v="145.96"/>
    <m/>
    <n v="3"/>
    <x v="78"/>
  </r>
  <r>
    <x v="18"/>
    <x v="18"/>
    <s v="Return Order"/>
    <s v="DC-RET-RI2"/>
    <n v="882.04819999999995"/>
    <n v="1014.35547"/>
    <m/>
    <n v="3"/>
    <x v="79"/>
  </r>
  <r>
    <x v="30"/>
    <x v="30"/>
    <s v="Return Order"/>
    <s v="DC-RET-RI2"/>
    <n v="344.72"/>
    <n v="396.428"/>
    <m/>
    <n v="3"/>
    <x v="80"/>
  </r>
  <r>
    <x v="31"/>
    <x v="31"/>
    <s v="Return Order"/>
    <s v="DC-RET-RI2"/>
    <n v="984.49009999999998"/>
    <n v="1132.1636000000001"/>
    <m/>
    <n v="3"/>
    <x v="81"/>
  </r>
  <r>
    <x v="32"/>
    <x v="32"/>
    <s v="Return Order"/>
    <s v="DC-RET-RI2"/>
    <n v="68.25"/>
    <n v="78.487499999999997"/>
    <m/>
    <n v="3"/>
    <x v="82"/>
  </r>
  <r>
    <x v="33"/>
    <x v="33"/>
    <s v="Return Order"/>
    <s v="DC-RET-RI2"/>
    <n v="983"/>
    <n v="1130.45"/>
    <m/>
    <n v="2"/>
    <x v="83"/>
  </r>
  <r>
    <x v="8"/>
    <x v="8"/>
    <s v="Return Order"/>
    <s v="DC-RET-RI2"/>
    <n v="924.65"/>
    <n v="1063.3475000000001"/>
    <m/>
    <n v="2"/>
    <x v="84"/>
  </r>
  <r>
    <x v="34"/>
    <x v="34"/>
    <s v="Return Order"/>
    <s v="DC-RET-RI2"/>
    <n v="4.34"/>
    <n v="4.9909999999999997"/>
    <m/>
    <n v="2"/>
    <x v="85"/>
  </r>
  <r>
    <x v="35"/>
    <x v="35"/>
    <s v="Return Order"/>
    <s v="DC-RET-RI2"/>
    <n v="563.34500000000003"/>
    <n v="647.84673999999995"/>
    <m/>
    <n v="2"/>
    <x v="86"/>
  </r>
  <r>
    <x v="13"/>
    <x v="13"/>
    <s v="Return Order"/>
    <s v="DC-RET-RI2"/>
    <n v="507.5"/>
    <n v="583.625"/>
    <m/>
    <n v="2"/>
    <x v="87"/>
  </r>
  <r>
    <x v="36"/>
    <x v="36"/>
    <s v="Return Order"/>
    <s v="DC-RET-RI2"/>
    <n v="105"/>
    <n v="120.75"/>
    <m/>
    <n v="2"/>
    <x v="88"/>
  </r>
  <r>
    <x v="20"/>
    <x v="20"/>
    <s v="Return Order"/>
    <s v="DC-RET-RI2"/>
    <n v="1112.68"/>
    <n v="1279.5820000000001"/>
    <m/>
    <n v="1"/>
    <x v="89"/>
  </r>
  <r>
    <x v="1"/>
    <x v="1"/>
    <s v="Return Order"/>
    <s v="DC-RET-RI2"/>
    <n v="966.76"/>
    <n v="1111.7739999999999"/>
    <m/>
    <n v="1"/>
    <x v="90"/>
  </r>
  <r>
    <x v="11"/>
    <x v="11"/>
    <s v="Return Order"/>
    <s v="DC-RET-RI2"/>
    <n v="1008.98"/>
    <n v="1160.327"/>
    <m/>
    <n v="1"/>
    <x v="91"/>
  </r>
  <r>
    <x v="10"/>
    <x v="10"/>
    <s v="Return Order"/>
    <s v="DC-RET-RI2"/>
    <n v="171.22"/>
    <n v="196.90299999999999"/>
    <m/>
    <n v="1"/>
    <x v="92"/>
  </r>
  <r>
    <x v="7"/>
    <x v="7"/>
    <s v="Return Order"/>
    <s v="DC-RET-RI2"/>
    <n v="200.84"/>
    <n v="230.96600000000001"/>
    <m/>
    <n v="1"/>
    <x v="93"/>
  </r>
  <r>
    <x v="13"/>
    <x v="13"/>
    <s v="Return Order"/>
    <s v="DC-RET-RI2"/>
    <n v="110"/>
    <n v="126.5"/>
    <m/>
    <n v="1"/>
    <x v="94"/>
  </r>
  <r>
    <x v="12"/>
    <x v="12"/>
    <s v="Return Order"/>
    <s v="DC-RET-RI2"/>
    <n v="716.71730000000002"/>
    <n v="824.22490000000005"/>
    <m/>
    <n v="1"/>
    <x v="95"/>
  </r>
  <r>
    <x v="21"/>
    <x v="21"/>
    <s v="Return Order"/>
    <s v="DC-RET-RI2"/>
    <n v="1054.2"/>
    <n v="1212.33"/>
    <m/>
    <n v="1"/>
    <x v="96"/>
  </r>
  <r>
    <x v="24"/>
    <x v="24"/>
    <s v="Return Order"/>
    <s v="DC-RCH-RI2"/>
    <n v="71.473500000000001"/>
    <n v="82.194519999999997"/>
    <m/>
    <n v="0"/>
    <x v="97"/>
  </r>
  <r>
    <x v="19"/>
    <x v="19"/>
    <s v="Return Order"/>
    <s v="DC-RET-RI2"/>
    <n v="683"/>
    <n v="785.45"/>
    <m/>
    <n v="0"/>
    <x v="98"/>
  </r>
  <r>
    <x v="37"/>
    <x v="37"/>
    <s v="Return Order"/>
    <s v="DC-RET-RI2"/>
    <n v="302.25002999999998"/>
    <n v="347.58751999999998"/>
    <m/>
    <n v="0"/>
    <x v="99"/>
  </r>
  <r>
    <x v="1"/>
    <x v="1"/>
    <s v="Return Order"/>
    <s v="DC-RET-RI2"/>
    <n v="174.29499999999999"/>
    <n v="200.43924999999999"/>
    <m/>
    <n v="0"/>
    <x v="100"/>
  </r>
  <r>
    <x v="4"/>
    <x v="4"/>
    <s v="Return Order"/>
    <s v="DC-RET-RI2"/>
    <n v="562.54999999999995"/>
    <n v="646.9325"/>
    <m/>
    <n v="0"/>
    <x v="101"/>
  </r>
  <r>
    <x v="38"/>
    <x v="38"/>
    <s v="Return Order"/>
    <s v="DC-RET-RI2"/>
    <n v="72.55"/>
    <n v="83.432500000000005"/>
    <m/>
    <n v="0"/>
    <x v="1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22720-B94F-4A3C-A491-7636229DDB3E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:P41" firstHeaderRow="0" firstDataRow="1" firstDataCol="3"/>
  <pivotFields count="9">
    <pivotField axis="axisRow" outline="0" showAll="0" sortType="descending" defaultSubtotal="0">
      <items count="327">
        <item x="8"/>
        <item x="25"/>
        <item x="11"/>
        <item x="4"/>
        <item m="1" x="57"/>
        <item m="1" x="45"/>
        <item m="1" x="275"/>
        <item x="21"/>
        <item m="1" x="129"/>
        <item m="1" x="325"/>
        <item x="19"/>
        <item m="1" x="103"/>
        <item x="35"/>
        <item m="1" x="162"/>
        <item m="1" x="194"/>
        <item m="1" x="172"/>
        <item m="1" x="148"/>
        <item m="1" x="243"/>
        <item m="1" x="323"/>
        <item m="1" x="324"/>
        <item m="1" x="326"/>
        <item m="1" x="246"/>
        <item m="1" x="321"/>
        <item x="3"/>
        <item m="1" x="219"/>
        <item m="1" x="98"/>
        <item m="1" x="319"/>
        <item m="1" x="318"/>
        <item m="1" x="69"/>
        <item m="1" x="322"/>
        <item m="1" x="316"/>
        <item m="1" x="317"/>
        <item m="1" x="315"/>
        <item m="1" x="320"/>
        <item m="1" x="136"/>
        <item m="1" x="184"/>
        <item m="1" x="208"/>
        <item x="12"/>
        <item m="1" x="41"/>
        <item m="1" x="210"/>
        <item m="1" x="152"/>
        <item m="1" x="220"/>
        <item m="1" x="196"/>
        <item x="1"/>
        <item m="1" x="170"/>
        <item m="1" x="223"/>
        <item m="1" x="226"/>
        <item m="1" x="146"/>
        <item m="1" x="75"/>
        <item m="1" x="306"/>
        <item m="1" x="52"/>
        <item m="1" x="277"/>
        <item x="2"/>
        <item m="1" x="104"/>
        <item m="1" x="161"/>
        <item m="1" x="307"/>
        <item m="1" x="308"/>
        <item m="1" x="222"/>
        <item m="1" x="100"/>
        <item m="1" x="258"/>
        <item m="1" x="51"/>
        <item m="1" x="225"/>
        <item m="1" x="309"/>
        <item m="1" x="137"/>
        <item m="1" x="108"/>
        <item m="1" x="153"/>
        <item m="1" x="167"/>
        <item m="1" x="200"/>
        <item m="1" x="310"/>
        <item m="1" x="311"/>
        <item m="1" x="109"/>
        <item m="1" x="88"/>
        <item m="1" x="43"/>
        <item m="1" x="312"/>
        <item m="1" x="313"/>
        <item m="1" x="158"/>
        <item x="37"/>
        <item m="1" x="157"/>
        <item m="1" x="314"/>
        <item x="7"/>
        <item m="1" x="203"/>
        <item m="1" x="44"/>
        <item m="1" x="195"/>
        <item x="0"/>
        <item m="1" x="182"/>
        <item x="26"/>
        <item m="1" x="95"/>
        <item m="1" x="298"/>
        <item m="1" x="96"/>
        <item m="1" x="299"/>
        <item m="1" x="110"/>
        <item x="14"/>
        <item m="1" x="300"/>
        <item m="1" x="59"/>
        <item m="1" x="301"/>
        <item m="1" x="245"/>
        <item m="1" x="185"/>
        <item m="1" x="186"/>
        <item m="1" x="302"/>
        <item m="1" x="80"/>
        <item m="1" x="131"/>
        <item m="1" x="124"/>
        <item m="1" x="198"/>
        <item m="1" x="111"/>
        <item m="1" x="199"/>
        <item m="1" x="207"/>
        <item m="1" x="249"/>
        <item m="1" x="141"/>
        <item m="1" x="303"/>
        <item m="1" x="101"/>
        <item m="1" x="304"/>
        <item m="1" x="73"/>
        <item m="1" x="270"/>
        <item m="1" x="192"/>
        <item m="1" x="305"/>
        <item m="1" x="48"/>
        <item x="15"/>
        <item m="1" x="276"/>
        <item m="1" x="209"/>
        <item m="1" x="135"/>
        <item m="1" x="289"/>
        <item m="1" x="55"/>
        <item m="1" x="123"/>
        <item m="1" x="290"/>
        <item m="1" x="291"/>
        <item m="1" x="197"/>
        <item m="1" x="187"/>
        <item m="1" x="125"/>
        <item m="1" x="79"/>
        <item m="1" x="250"/>
        <item m="1" x="259"/>
        <item m="1" x="292"/>
        <item m="1" x="260"/>
        <item m="1" x="262"/>
        <item m="1" x="284"/>
        <item m="1" x="76"/>
        <item x="22"/>
        <item m="1" x="68"/>
        <item m="1" x="60"/>
        <item m="1" x="293"/>
        <item m="1" x="294"/>
        <item m="1" x="112"/>
        <item m="1" x="177"/>
        <item m="1" x="295"/>
        <item m="1" x="77"/>
        <item x="18"/>
        <item x="9"/>
        <item m="1" x="81"/>
        <item m="1" x="72"/>
        <item m="1" x="180"/>
        <item m="1" x="296"/>
        <item m="1" x="85"/>
        <item m="1" x="144"/>
        <item m="1" x="231"/>
        <item m="1" x="297"/>
        <item m="1" x="40"/>
        <item m="1" x="218"/>
        <item m="1" x="56"/>
        <item m="1" x="66"/>
        <item m="1" x="212"/>
        <item x="13"/>
        <item m="1" x="257"/>
        <item m="1" x="133"/>
        <item m="1" x="248"/>
        <item m="1" x="171"/>
        <item m="1" x="132"/>
        <item m="1" x="63"/>
        <item m="1" x="176"/>
        <item m="1" x="278"/>
        <item m="1" x="58"/>
        <item m="1" x="165"/>
        <item m="1" x="201"/>
        <item m="1" x="178"/>
        <item x="38"/>
        <item m="1" x="279"/>
        <item m="1" x="280"/>
        <item m="1" x="281"/>
        <item m="1" x="282"/>
        <item m="1" x="283"/>
        <item m="1" x="67"/>
        <item m="1" x="285"/>
        <item m="1" x="261"/>
        <item m="1" x="252"/>
        <item m="1" x="83"/>
        <item m="1" x="253"/>
        <item m="1" x="286"/>
        <item m="1" x="287"/>
        <item m="1" x="49"/>
        <item x="23"/>
        <item m="1" x="288"/>
        <item m="1" x="179"/>
        <item x="29"/>
        <item x="33"/>
        <item m="1" x="266"/>
        <item m="1" x="267"/>
        <item m="1" x="134"/>
        <item m="1" x="119"/>
        <item m="1" x="126"/>
        <item m="1" x="115"/>
        <item m="1" x="235"/>
        <item m="1" x="268"/>
        <item m="1" x="269"/>
        <item m="1" x="84"/>
        <item m="1" x="271"/>
        <item m="1" x="272"/>
        <item x="16"/>
        <item m="1" x="78"/>
        <item m="1" x="241"/>
        <item m="1" x="217"/>
        <item m="1" x="113"/>
        <item m="1" x="273"/>
        <item m="1" x="116"/>
        <item m="1" x="117"/>
        <item m="1" x="274"/>
        <item m="1" x="254"/>
        <item m="1" x="163"/>
        <item m="1" x="74"/>
        <item m="1" x="188"/>
        <item m="1" x="189"/>
        <item m="1" x="143"/>
        <item m="1" x="263"/>
        <item m="1" x="70"/>
        <item m="1" x="264"/>
        <item m="1" x="89"/>
        <item m="1" x="265"/>
        <item x="27"/>
        <item m="1" x="121"/>
        <item m="1" x="211"/>
        <item m="1" x="168"/>
        <item m="1" x="42"/>
        <item m="1" x="247"/>
        <item m="1" x="149"/>
        <item m="1" x="251"/>
        <item m="1" x="191"/>
        <item m="1" x="236"/>
        <item m="1" x="240"/>
        <item m="1" x="64"/>
        <item m="1" x="62"/>
        <item m="1" x="255"/>
        <item m="1" x="256"/>
        <item m="1" x="233"/>
        <item m="1" x="234"/>
        <item m="1" x="47"/>
        <item m="1" x="237"/>
        <item m="1" x="238"/>
        <item m="1" x="202"/>
        <item m="1" x="239"/>
        <item x="10"/>
        <item x="32"/>
        <item m="1" x="173"/>
        <item m="1" x="242"/>
        <item m="1" x="193"/>
        <item x="24"/>
        <item m="1" x="244"/>
        <item m="1" x="94"/>
        <item m="1" x="221"/>
        <item m="1" x="224"/>
        <item m="1" x="190"/>
        <item m="1" x="92"/>
        <item m="1" x="227"/>
        <item m="1" x="156"/>
        <item m="1" x="102"/>
        <item m="1" x="228"/>
        <item m="1" x="229"/>
        <item m="1" x="230"/>
        <item m="1" x="53"/>
        <item m="1" x="151"/>
        <item m="1" x="232"/>
        <item m="1" x="54"/>
        <item m="1" x="107"/>
        <item m="1" x="213"/>
        <item m="1" x="214"/>
        <item m="1" x="127"/>
        <item m="1" x="215"/>
        <item m="1" x="216"/>
        <item m="1" x="130"/>
        <item m="1" x="128"/>
        <item m="1" x="65"/>
        <item m="1" x="50"/>
        <item m="1" x="120"/>
        <item m="1" x="204"/>
        <item m="1" x="205"/>
        <item m="1" x="206"/>
        <item m="1" x="174"/>
        <item m="1" x="181"/>
        <item m="1" x="93"/>
        <item m="1" x="183"/>
        <item m="1" x="114"/>
        <item m="1" x="169"/>
        <item m="1" x="90"/>
        <item m="1" x="175"/>
        <item m="1" x="160"/>
        <item m="1" x="164"/>
        <item m="1" x="166"/>
        <item m="1" x="142"/>
        <item m="1" x="97"/>
        <item m="1" x="150"/>
        <item m="1" x="154"/>
        <item m="1" x="155"/>
        <item m="1" x="61"/>
        <item m="1" x="82"/>
        <item m="1" x="159"/>
        <item x="6"/>
        <item m="1" x="138"/>
        <item m="1" x="139"/>
        <item m="1" x="140"/>
        <item m="1" x="145"/>
        <item m="1" x="147"/>
        <item m="1" x="99"/>
        <item m="1" x="105"/>
        <item m="1" x="106"/>
        <item m="1" x="87"/>
        <item m="1" x="118"/>
        <item m="1" x="122"/>
        <item m="1" x="86"/>
        <item m="1" x="91"/>
        <item m="1" x="46"/>
        <item m="1" x="71"/>
        <item x="5"/>
        <item x="17"/>
        <item x="20"/>
        <item x="28"/>
        <item x="30"/>
        <item x="31"/>
        <item x="34"/>
        <item x="36"/>
        <item m="1" x="3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outline="0" showAll="0" defaultSubtotal="0">
      <items count="324">
        <item sd="0" m="1" x="318"/>
        <item sd="0" x="11"/>
        <item sd="0" m="1" x="69"/>
        <item sd="0" m="1" x="323"/>
        <item sd="0" m="1" x="103"/>
        <item sd="0" m="1" x="129"/>
        <item sd="0" m="1" x="45"/>
        <item sd="0" m="1" x="316"/>
        <item sd="0" m="1" x="194"/>
        <item sd="0" x="4"/>
        <item sd="0" x="25"/>
        <item sd="0" m="1" x="321"/>
        <item sd="0" x="8"/>
        <item sd="0" x="21"/>
        <item sd="0" x="35"/>
        <item sd="0" m="1" x="273"/>
        <item sd="0" m="1" x="98"/>
        <item sd="0" m="1" x="314"/>
        <item sd="0" m="1" x="172"/>
        <item sd="0" m="1" x="313"/>
        <item sd="0" m="1" x="319"/>
        <item sd="0" m="1" x="322"/>
        <item sd="0" m="1" x="243"/>
        <item sd="0" m="1" x="315"/>
        <item sd="0" m="1" x="317"/>
        <item sd="0" m="1" x="320"/>
        <item sd="0" m="1" x="148"/>
        <item sd="0" m="1" x="184"/>
        <item sd="0" m="1" x="312"/>
        <item sd="0" m="1" x="246"/>
        <item sd="0" m="1" x="162"/>
        <item sd="0" m="1" x="219"/>
        <item sd="0" x="3"/>
        <item sd="0" m="1" x="136"/>
        <item sd="0" m="1" x="57"/>
        <item sd="0" x="19"/>
        <item sd="0" m="1" x="208"/>
        <item sd="0" x="12"/>
        <item sd="0" m="1" x="41"/>
        <item sd="0" m="1" x="210"/>
        <item sd="0" m="1" x="152"/>
        <item sd="0" m="1" x="220"/>
        <item sd="0" m="1" x="196"/>
        <item sd="0" x="1"/>
        <item sd="0" m="1" x="170"/>
        <item sd="0" m="1" x="223"/>
        <item sd="0" m="1" x="226"/>
        <item sd="0" m="1" x="146"/>
        <item sd="0" m="1" x="75"/>
        <item sd="0" m="1" x="303"/>
        <item sd="0" m="1" x="52"/>
        <item sd="0" m="1" x="275"/>
        <item sd="0" x="2"/>
        <item sd="0" m="1" x="104"/>
        <item sd="0" m="1" x="161"/>
        <item sd="0" m="1" x="304"/>
        <item sd="0" m="1" x="305"/>
        <item sd="0" m="1" x="222"/>
        <item sd="0" m="1" x="100"/>
        <item sd="0" m="1" x="51"/>
        <item sd="0" m="1" x="225"/>
        <item sd="0" m="1" x="306"/>
        <item sd="0" m="1" x="137"/>
        <item sd="0" m="1" x="108"/>
        <item sd="0" m="1" x="153"/>
        <item sd="0" m="1" x="167"/>
        <item sd="0" m="1" x="200"/>
        <item sd="0" m="1" x="307"/>
        <item sd="0" m="1" x="308"/>
        <item sd="0" m="1" x="109"/>
        <item sd="0" m="1" x="88"/>
        <item sd="0" m="1" x="43"/>
        <item sd="0" m="1" x="309"/>
        <item sd="0" m="1" x="310"/>
        <item sd="0" m="1" x="158"/>
        <item sd="0" x="37"/>
        <item sd="0" m="1" x="157"/>
        <item sd="0" m="1" x="311"/>
        <item sd="0" x="7"/>
        <item sd="0" m="1" x="203"/>
        <item sd="0" m="1" x="44"/>
        <item sd="0" m="1" x="195"/>
        <item sd="0" x="0"/>
        <item sd="0" m="1" x="182"/>
        <item sd="0" x="26"/>
        <item sd="0" m="1" x="95"/>
        <item sd="0" m="1" x="295"/>
        <item sd="0" m="1" x="96"/>
        <item sd="0" m="1" x="296"/>
        <item sd="0" m="1" x="110"/>
        <item sd="0" x="14"/>
        <item sd="0" m="1" x="297"/>
        <item sd="0" m="1" x="59"/>
        <item sd="0" m="1" x="298"/>
        <item sd="0" m="1" x="245"/>
        <item sd="0" m="1" x="185"/>
        <item sd="0" m="1" x="186"/>
        <item sd="0" m="1" x="299"/>
        <item sd="0" m="1" x="80"/>
        <item sd="0" m="1" x="131"/>
        <item sd="0" m="1" x="124"/>
        <item sd="0" m="1" x="198"/>
        <item sd="0" m="1" x="111"/>
        <item sd="0" m="1" x="199"/>
        <item sd="0" m="1" x="207"/>
        <item sd="0" m="1" x="249"/>
        <item sd="0" m="1" x="141"/>
        <item sd="0" m="1" x="300"/>
        <item sd="0" m="1" x="101"/>
        <item sd="0" m="1" x="301"/>
        <item sd="0" m="1" x="73"/>
        <item sd="0" m="1" x="268"/>
        <item sd="0" m="1" x="192"/>
        <item sd="0" m="1" x="302"/>
        <item sd="0" m="1" x="48"/>
        <item sd="0" x="15"/>
        <item sd="0" m="1" x="274"/>
        <item sd="0" m="1" x="209"/>
        <item sd="0" m="1" x="135"/>
        <item sd="0" m="1" x="287"/>
        <item sd="0" m="1" x="55"/>
        <item sd="0" m="1" x="123"/>
        <item sd="0" m="1" x="288"/>
        <item sd="0" m="1" x="289"/>
        <item sd="0" m="1" x="197"/>
        <item sd="0" m="1" x="187"/>
        <item sd="0" m="1" x="125"/>
        <item sd="0" m="1" x="79"/>
        <item sd="0" m="1" x="250"/>
        <item sd="0" m="1" x="257"/>
        <item sd="0" m="1" x="180"/>
        <item sd="0" m="1" x="258"/>
        <item sd="0" m="1" x="260"/>
        <item sd="0" m="1" x="282"/>
        <item sd="0" m="1" x="76"/>
        <item sd="0" m="1" x="68"/>
        <item sd="0" m="1" x="60"/>
        <item sd="0" m="1" x="290"/>
        <item sd="0" m="1" x="291"/>
        <item sd="0" m="1" x="112"/>
        <item sd="0" m="1" x="177"/>
        <item sd="0" m="1" x="292"/>
        <item sd="0" m="1" x="77"/>
        <item sd="0" x="18"/>
        <item sd="0" x="9"/>
        <item sd="0" m="1" x="81"/>
        <item sd="0" m="1" x="72"/>
        <item sd="0" m="1" x="293"/>
        <item sd="0" m="1" x="144"/>
        <item sd="0" m="1" x="231"/>
        <item sd="0" m="1" x="294"/>
        <item sd="0" m="1" x="40"/>
        <item sd="0" m="1" x="218"/>
        <item sd="0" m="1" x="56"/>
        <item sd="0" m="1" x="66"/>
        <item sd="0" m="1" x="212"/>
        <item sd="0" x="13"/>
        <item sd="0" m="1" x="133"/>
        <item sd="0" m="1" x="248"/>
        <item sd="0" m="1" x="171"/>
        <item sd="0" m="1" x="132"/>
        <item sd="0" m="1" x="63"/>
        <item sd="0" m="1" x="176"/>
        <item sd="0" m="1" x="276"/>
        <item sd="0" m="1" x="58"/>
        <item sd="0" m="1" x="165"/>
        <item sd="0" m="1" x="201"/>
        <item sd="0" m="1" x="178"/>
        <item sd="0" x="38"/>
        <item sd="0" m="1" x="277"/>
        <item sd="0" m="1" x="278"/>
        <item sd="0" m="1" x="279"/>
        <item sd="0" m="1" x="280"/>
        <item sd="0" m="1" x="281"/>
        <item sd="0" m="1" x="67"/>
        <item sd="0" m="1" x="283"/>
        <item sd="0" m="1" x="259"/>
        <item sd="0" m="1" x="252"/>
        <item sd="0" m="1" x="83"/>
        <item sd="0" m="1" x="253"/>
        <item sd="0" m="1" x="284"/>
        <item sd="0" m="1" x="285"/>
        <item sd="0" m="1" x="49"/>
        <item sd="0" x="23"/>
        <item sd="0" m="1" x="286"/>
        <item sd="0" m="1" x="179"/>
        <item sd="0" x="29"/>
        <item sd="0" x="33"/>
        <item sd="0" m="1" x="264"/>
        <item sd="0" m="1" x="265"/>
        <item sd="0" m="1" x="134"/>
        <item sd="0" m="1" x="119"/>
        <item sd="0" m="1" x="126"/>
        <item sd="0" m="1" x="115"/>
        <item sd="0" m="1" x="235"/>
        <item sd="0" m="1" x="266"/>
        <item sd="0" m="1" x="267"/>
        <item sd="0" m="1" x="84"/>
        <item sd="0" m="1" x="269"/>
        <item sd="0" m="1" x="270"/>
        <item sd="0" x="16"/>
        <item sd="0" m="1" x="78"/>
        <item sd="0" m="1" x="241"/>
        <item sd="0" m="1" x="217"/>
        <item sd="0" m="1" x="113"/>
        <item sd="0" m="1" x="271"/>
        <item sd="0" m="1" x="116"/>
        <item sd="0" m="1" x="117"/>
        <item sd="0" m="1" x="272"/>
        <item sd="0" m="1" x="254"/>
        <item sd="0" m="1" x="163"/>
        <item sd="0" m="1" x="74"/>
        <item sd="0" m="1" x="188"/>
        <item sd="0" m="1" x="189"/>
        <item sd="0" m="1" x="143"/>
        <item sd="0" m="1" x="261"/>
        <item sd="0" m="1" x="70"/>
        <item sd="0" m="1" x="262"/>
        <item sd="0" m="1" x="89"/>
        <item sd="0" m="1" x="263"/>
        <item sd="0" x="27"/>
        <item sd="0" m="1" x="121"/>
        <item sd="0" m="1" x="211"/>
        <item sd="0" m="1" x="168"/>
        <item sd="0" m="1" x="42"/>
        <item sd="0" m="1" x="247"/>
        <item sd="0" m="1" x="149"/>
        <item sd="0" m="1" x="251"/>
        <item sd="0" m="1" x="191"/>
        <item sd="0" m="1" x="236"/>
        <item sd="0" m="1" x="240"/>
        <item sd="0" m="1" x="64"/>
        <item sd="0" m="1" x="62"/>
        <item sd="0" m="1" x="255"/>
        <item sd="0" m="1" x="256"/>
        <item sd="0" m="1" x="233"/>
        <item sd="0" m="1" x="234"/>
        <item sd="0" m="1" x="47"/>
        <item sd="0" m="1" x="237"/>
        <item sd="0" m="1" x="238"/>
        <item sd="0" m="1" x="202"/>
        <item sd="0" m="1" x="239"/>
        <item sd="0" x="10"/>
        <item sd="0" x="32"/>
        <item sd="0" m="1" x="173"/>
        <item sd="0" m="1" x="242"/>
        <item sd="0" m="1" x="193"/>
        <item sd="0" x="24"/>
        <item sd="0" m="1" x="244"/>
        <item sd="0" m="1" x="94"/>
        <item sd="0" m="1" x="221"/>
        <item sd="0" m="1" x="224"/>
        <item sd="0" m="1" x="190"/>
        <item sd="0" m="1" x="92"/>
        <item sd="0" m="1" x="227"/>
        <item sd="0" m="1" x="156"/>
        <item sd="0" m="1" x="102"/>
        <item sd="0" m="1" x="228"/>
        <item sd="0" m="1" x="229"/>
        <item sd="0" m="1" x="230"/>
        <item sd="0" m="1" x="151"/>
        <item sd="0" m="1" x="232"/>
        <item sd="0" m="1" x="54"/>
        <item sd="0" m="1" x="107"/>
        <item sd="0" m="1" x="85"/>
        <item sd="0" m="1" x="53"/>
        <item sd="0" m="1" x="213"/>
        <item sd="0" m="1" x="214"/>
        <item sd="0" m="1" x="127"/>
        <item sd="0" m="1" x="215"/>
        <item sd="0" m="1" x="216"/>
        <item sd="0" m="1" x="130"/>
        <item sd="0" m="1" x="128"/>
        <item sd="0" m="1" x="65"/>
        <item sd="0" m="1" x="50"/>
        <item sd="0" m="1" x="120"/>
        <item sd="0" m="1" x="204"/>
        <item sd="0" m="1" x="205"/>
        <item sd="0" m="1" x="206"/>
        <item sd="0" m="1" x="174"/>
        <item sd="0" m="1" x="181"/>
        <item sd="0" m="1" x="93"/>
        <item sd="0" m="1" x="183"/>
        <item sd="0" m="1" x="114"/>
        <item sd="0" m="1" x="169"/>
        <item sd="0" m="1" x="90"/>
        <item sd="0" m="1" x="175"/>
        <item sd="0" m="1" x="160"/>
        <item sd="0" m="1" x="164"/>
        <item sd="0" m="1" x="166"/>
        <item sd="0" m="1" x="142"/>
        <item sd="0" m="1" x="97"/>
        <item sd="0" m="1" x="150"/>
        <item sd="0" m="1" x="154"/>
        <item sd="0" m="1" x="155"/>
        <item sd="0" m="1" x="61"/>
        <item sd="0" m="1" x="82"/>
        <item sd="0" m="1" x="159"/>
        <item sd="0" x="6"/>
        <item sd="0" m="1" x="138"/>
        <item sd="0" m="1" x="139"/>
        <item sd="0" m="1" x="140"/>
        <item sd="0" m="1" x="145"/>
        <item sd="0" m="1" x="147"/>
        <item sd="0" m="1" x="99"/>
        <item sd="0" m="1" x="105"/>
        <item sd="0" m="1" x="106"/>
        <item sd="0" m="1" x="87"/>
        <item sd="0" m="1" x="118"/>
        <item sd="0" m="1" x="122"/>
        <item sd="0" m="1" x="86"/>
        <item sd="0" m="1" x="91"/>
        <item sd="0" m="1" x="46"/>
        <item sd="0" m="1" x="71"/>
        <item sd="0" x="5"/>
        <item sd="0" x="17"/>
        <item sd="0" x="20"/>
        <item sd="0" x="28"/>
        <item sd="0" x="30"/>
        <item sd="0" x="31"/>
        <item sd="0" x="34"/>
        <item sd="0" x="36"/>
        <item sd="0" m="1" x="39"/>
        <item sd="0" x="22"/>
      </items>
    </pivotField>
    <pivotField showAll="0"/>
    <pivotField showAll="0"/>
    <pivotField dataField="1" showAll="0"/>
    <pivotField dataField="1" showAll="0"/>
    <pivotField showAll="0"/>
    <pivotField dataField="1" showAll="0"/>
    <pivotField axis="axisRow" showAll="0">
      <items count="1276">
        <item m="1" x="917"/>
        <item m="1" x="918"/>
        <item m="1" x="919"/>
        <item m="1" x="920"/>
        <item m="1" x="1141"/>
        <item m="1" x="1142"/>
        <item m="1" x="1233"/>
        <item m="1" x="1234"/>
        <item m="1" x="721"/>
        <item m="1" x="1143"/>
        <item m="1" x="924"/>
        <item m="1" x="1148"/>
        <item m="1" x="1235"/>
        <item m="1" x="1146"/>
        <item m="1" x="529"/>
        <item m="1" x="1147"/>
        <item m="1" x="1149"/>
        <item m="1" x="724"/>
        <item m="1" x="1236"/>
        <item m="1" x="415"/>
        <item m="1" x="928"/>
        <item m="1" x="930"/>
        <item m="1" x="1156"/>
        <item m="1" x="1238"/>
        <item m="1" x="1237"/>
        <item m="1" x="251"/>
        <item m="1" x="1157"/>
        <item m="1" x="1239"/>
        <item m="1" x="1094"/>
        <item m="1" x="536"/>
        <item m="1" x="1158"/>
        <item m="1" x="731"/>
        <item x="6"/>
        <item x="5"/>
        <item m="1" x="1160"/>
        <item m="1" x="732"/>
        <item m="1" x="1163"/>
        <item m="1" x="733"/>
        <item m="1" x="538"/>
        <item m="1" x="1241"/>
        <item m="1" x="1242"/>
        <item m="1" x="1240"/>
        <item m="1" x="1161"/>
        <item m="1" x="1243"/>
        <item m="1" x="934"/>
        <item m="1" x="1166"/>
        <item m="1" x="1244"/>
        <item m="1" x="1245"/>
        <item m="1" x="1246"/>
        <item m="1" x="816"/>
        <item m="1" x="1249"/>
        <item m="1" x="1247"/>
        <item m="1" x="1248"/>
        <item m="1" x="1250"/>
        <item m="1" x="1252"/>
        <item m="1" x="1251"/>
        <item m="1" x="1254"/>
        <item m="1" x="1253"/>
        <item m="1" x="1107"/>
        <item m="1" x="1106"/>
        <item m="1" x="1255"/>
        <item m="1" x="1256"/>
        <item m="1" x="938"/>
        <item m="1" x="1180"/>
        <item m="1" x="939"/>
        <item m="1" x="546"/>
        <item m="1" x="1184"/>
        <item m="1" x="1261"/>
        <item m="1" x="1186"/>
        <item m="1" x="821"/>
        <item m="1" x="820"/>
        <item m="1" x="1259"/>
        <item m="1" x="1257"/>
        <item m="1" x="1260"/>
        <item m="1" x="1258"/>
        <item m="1" x="749"/>
        <item m="1" x="1262"/>
        <item m="1" x="1115"/>
        <item m="1" x="1190"/>
        <item m="1" x="1266"/>
        <item m="1" x="1116"/>
        <item m="1" x="1264"/>
        <item m="1" x="1263"/>
        <item m="1" x="1265"/>
        <item m="1" x="822"/>
        <item m="1" x="1268"/>
        <item m="1" x="1267"/>
        <item m="1" x="1119"/>
        <item m="1" x="1204"/>
        <item x="15"/>
        <item m="1" x="1209"/>
        <item m="1" x="953"/>
        <item m="1" x="850"/>
        <item m="1" x="1271"/>
        <item m="1" x="758"/>
        <item m="1" x="497"/>
        <item m="1" x="1122"/>
        <item m="1" x="1269"/>
        <item m="1" x="1213"/>
        <item m="1" x="615"/>
        <item m="1" x="1270"/>
        <item m="1" x="1034"/>
        <item m="1" x="1124"/>
        <item m="1" x="1273"/>
        <item m="1" x="1274"/>
        <item m="1" x="1272"/>
        <item m="1" x="825"/>
        <item m="1" x="648"/>
        <item m="1" x="875"/>
        <item m="1" x="1008"/>
        <item m="1" x="1009"/>
        <item m="1" x="813"/>
        <item m="1" x="650"/>
        <item m="1" x="1010"/>
        <item m="1" x="1144"/>
        <item m="1" x="1145"/>
        <item m="1" x="725"/>
        <item m="1" x="1012"/>
        <item m="1" x="589"/>
        <item x="1"/>
        <item m="1" x="876"/>
        <item m="1" x="1150"/>
        <item m="1" x="1151"/>
        <item m="1" x="1152"/>
        <item m="1" x="1153"/>
        <item m="1" x="1154"/>
        <item m="1" x="109"/>
        <item m="1" x="453"/>
        <item m="1" x="191"/>
        <item m="1" x="1155"/>
        <item m="1" x="1014"/>
        <item m="1" x="931"/>
        <item m="1" x="932"/>
        <item x="2"/>
        <item m="1" x="878"/>
        <item x="4"/>
        <item m="1" x="1159"/>
        <item m="1" x="814"/>
        <item m="1" x="657"/>
        <item m="1" x="1162"/>
        <item x="3"/>
        <item m="1" x="658"/>
        <item m="1" x="1164"/>
        <item m="1" x="1165"/>
        <item m="1" x="1023"/>
        <item m="1" x="193"/>
        <item m="1" x="659"/>
        <item m="1" x="1167"/>
        <item m="1" x="882"/>
        <item m="1" x="1168"/>
        <item m="1" x="736"/>
        <item m="1" x="735"/>
        <item m="1" x="881"/>
        <item m="1" x="490"/>
        <item m="1" x="1169"/>
        <item m="1" x="739"/>
        <item m="1" x="595"/>
        <item m="1" x="1024"/>
        <item m="1" x="847"/>
        <item m="1" x="597"/>
        <item m="1" x="1170"/>
        <item m="1" x="742"/>
        <item m="1" x="1171"/>
        <item m="1" x="1172"/>
        <item m="1" x="1173"/>
        <item m="1" x="1174"/>
        <item x="9"/>
        <item m="1" x="741"/>
        <item m="1" x="740"/>
        <item m="1" x="1175"/>
        <item m="1" x="599"/>
        <item m="1" x="744"/>
        <item m="1" x="1176"/>
        <item m="1" x="1177"/>
        <item m="1" x="1178"/>
        <item m="1" x="745"/>
        <item m="1" x="747"/>
        <item m="1" x="1028"/>
        <item m="1" x="194"/>
        <item m="1" x="1179"/>
        <item m="1" x="819"/>
        <item m="1" x="884"/>
        <item x="12"/>
        <item m="1" x="1181"/>
        <item m="1" x="1182"/>
        <item m="1" x="1183"/>
        <item m="1" x="663"/>
        <item m="1" x="1185"/>
        <item x="11"/>
        <item m="1" x="885"/>
        <item m="1" x="748"/>
        <item m="1" x="1187"/>
        <item m="1" x="750"/>
        <item m="1" x="1188"/>
        <item m="1" x="752"/>
        <item m="1" x="664"/>
        <item m="1" x="258"/>
        <item m="1" x="886"/>
        <item m="1" x="1189"/>
        <item m="1" x="1191"/>
        <item m="1" x="1192"/>
        <item m="1" x="1193"/>
        <item m="1" x="1194"/>
        <item m="1" x="666"/>
        <item m="1" x="195"/>
        <item m="1" x="1195"/>
        <item m="1" x="1196"/>
        <item x="13"/>
        <item m="1" x="606"/>
        <item m="1" x="1197"/>
        <item m="1" x="1030"/>
        <item m="1" x="1198"/>
        <item m="1" x="1199"/>
        <item m="1" x="1200"/>
        <item m="1" x="610"/>
        <item m="1" x="887"/>
        <item m="1" x="754"/>
        <item m="1" x="1201"/>
        <item m="1" x="1202"/>
        <item m="1" x="1203"/>
        <item m="1" x="889"/>
        <item m="1" x="669"/>
        <item x="14"/>
        <item m="1" x="114"/>
        <item m="1" x="1205"/>
        <item m="1" x="1206"/>
        <item m="1" x="1032"/>
        <item m="1" x="1207"/>
        <item m="1" x="1208"/>
        <item m="1" x="1210"/>
        <item m="1" x="498"/>
        <item m="1" x="1211"/>
        <item m="1" x="1212"/>
        <item m="1" x="670"/>
        <item x="16"/>
        <item m="1" x="1214"/>
        <item m="1" x="1215"/>
        <item m="1" x="1216"/>
        <item m="1" x="1217"/>
        <item m="1" x="1218"/>
        <item m="1" x="1219"/>
        <item m="1" x="1220"/>
        <item m="1" x="853"/>
        <item m="1" x="1221"/>
        <item m="1" x="759"/>
        <item m="1" x="1222"/>
        <item m="1" x="760"/>
        <item m="1" x="672"/>
        <item m="1" x="1223"/>
        <item m="1" x="674"/>
        <item m="1" x="673"/>
        <item m="1" x="1224"/>
        <item m="1" x="1041"/>
        <item m="1" x="1225"/>
        <item m="1" x="1226"/>
        <item m="1" x="763"/>
        <item m="1" x="1227"/>
        <item m="1" x="1228"/>
        <item m="1" x="1229"/>
        <item m="1" x="1230"/>
        <item m="1" x="620"/>
        <item x="17"/>
        <item m="1" x="1231"/>
        <item m="1" x="675"/>
        <item m="1" x="1232"/>
        <item m="1" x="1076"/>
        <item m="1" x="1077"/>
        <item m="1" x="1078"/>
        <item m="1" x="1079"/>
        <item m="1" x="1080"/>
        <item m="1" x="1081"/>
        <item m="1" x="1082"/>
        <item m="1" x="583"/>
        <item m="1" x="584"/>
        <item m="1" x="585"/>
        <item m="1" x="586"/>
        <item x="0"/>
        <item m="1" x="1083"/>
        <item m="1" x="527"/>
        <item m="1" x="1084"/>
        <item m="1" x="587"/>
        <item m="1" x="588"/>
        <item m="1" x="530"/>
        <item m="1" x="241"/>
        <item m="1" x="1085"/>
        <item m="1" x="243"/>
        <item m="1" x="1086"/>
        <item m="1" x="1087"/>
        <item m="1" x="1088"/>
        <item m="1" x="590"/>
        <item m="1" x="250"/>
        <item m="1" x="1089"/>
        <item m="1" x="591"/>
        <item m="1" x="1090"/>
        <item m="1" x="1091"/>
        <item m="1" x="1092"/>
        <item m="1" x="1093"/>
        <item m="1" x="1095"/>
        <item x="7"/>
        <item m="1" x="880"/>
        <item m="1" x="1096"/>
        <item m="1" x="1097"/>
        <item m="1" x="1098"/>
        <item m="1" x="1099"/>
        <item m="1" x="815"/>
        <item m="1" x="542"/>
        <item m="1" x="540"/>
        <item m="1" x="593"/>
        <item m="1" x="1100"/>
        <item m="1" x="592"/>
        <item m="1" x="541"/>
        <item m="1" x="1101"/>
        <item m="1" x="594"/>
        <item m="1" x="1102"/>
        <item m="1" x="1103"/>
        <item m="1" x="543"/>
        <item m="1" x="1104"/>
        <item m="1" x="1105"/>
        <item m="1" x="596"/>
        <item m="1" x="1026"/>
        <item m="1" x="598"/>
        <item m="1" x="1108"/>
        <item m="1" x="1109"/>
        <item m="1" x="352"/>
        <item m="1" x="1110"/>
        <item m="1" x="602"/>
        <item m="1" x="1111"/>
        <item m="1" x="1112"/>
        <item m="1" x="601"/>
        <item m="1" x="603"/>
        <item m="1" x="1113"/>
        <item m="1" x="604"/>
        <item m="1" x="1114"/>
        <item m="1" x="607"/>
        <item m="1" x="609"/>
        <item m="1" x="608"/>
        <item m="1" x="605"/>
        <item m="1" x="1117"/>
        <item m="1" x="613"/>
        <item m="1" x="1118"/>
        <item m="1" x="1031"/>
        <item m="1" x="1120"/>
        <item m="1" x="1121"/>
        <item m="1" x="116"/>
        <item m="1" x="823"/>
        <item m="1" x="614"/>
        <item m="1" x="1123"/>
        <item m="1" x="1125"/>
        <item m="1" x="1037"/>
        <item m="1" x="1126"/>
        <item m="1" x="1040"/>
        <item m="1" x="851"/>
        <item m="1" x="1127"/>
        <item m="1" x="1128"/>
        <item m="1" x="616"/>
        <item m="1" x="617"/>
        <item m="1" x="618"/>
        <item m="1" x="260"/>
        <item m="1" x="558"/>
        <item m="1" x="1129"/>
        <item m="1" x="619"/>
        <item m="1" x="795"/>
        <item m="1" x="967"/>
        <item m="1" x="892"/>
        <item m="1" x="262"/>
        <item m="1" x="622"/>
        <item m="1" x="621"/>
        <item m="1" x="1130"/>
        <item m="1" x="677"/>
        <item m="1" x="1131"/>
        <item m="1" x="1132"/>
        <item m="1" x="1133"/>
        <item m="1" x="117"/>
        <item m="1" x="1134"/>
        <item m="1" x="680"/>
        <item m="1" x="623"/>
        <item m="1" x="1135"/>
        <item m="1" x="1136"/>
        <item m="1" x="1137"/>
        <item m="1" x="1048"/>
        <item m="1" x="563"/>
        <item x="20"/>
        <item m="1" x="975"/>
        <item m="1" x="120"/>
        <item m="1" x="1138"/>
        <item x="21"/>
        <item m="1" x="625"/>
        <item m="1" x="1139"/>
        <item m="1" x="1140"/>
        <item m="1" x="713"/>
        <item m="1" x="714"/>
        <item m="1" x="715"/>
        <item m="1" x="716"/>
        <item m="1" x="717"/>
        <item m="1" x="718"/>
        <item m="1" x="719"/>
        <item m="1" x="921"/>
        <item m="1" x="649"/>
        <item m="1" x="722"/>
        <item m="1" x="922"/>
        <item m="1" x="923"/>
        <item m="1" x="1011"/>
        <item m="1" x="651"/>
        <item m="1" x="925"/>
        <item m="1" x="1013"/>
        <item m="1" x="653"/>
        <item m="1" x="728"/>
        <item m="1" x="729"/>
        <item m="1" x="1015"/>
        <item m="1" x="929"/>
        <item m="1" x="1016"/>
        <item m="1" x="1017"/>
        <item m="1" x="1018"/>
        <item m="1" x="656"/>
        <item m="1" x="1019"/>
        <item m="1" x="1020"/>
        <item m="1" x="1021"/>
        <item m="1" x="1022"/>
        <item m="1" x="737"/>
        <item m="1" x="738"/>
        <item m="1" x="661"/>
        <item m="1" x="1025"/>
        <item m="1" x="935"/>
        <item m="1" x="351"/>
        <item m="1" x="1027"/>
        <item m="1" x="936"/>
        <item m="1" x="600"/>
        <item m="1" x="1029"/>
        <item m="1" x="940"/>
        <item m="1" x="662"/>
        <item m="1" x="941"/>
        <item m="1" x="547"/>
        <item m="1" x="751"/>
        <item m="1" x="947"/>
        <item m="1" x="665"/>
        <item m="1" x="667"/>
        <item m="1" x="951"/>
        <item m="1" x="353"/>
        <item m="1" x="756"/>
        <item m="1" x="1033"/>
        <item m="1" x="956"/>
        <item m="1" x="1035"/>
        <item m="1" x="824"/>
        <item m="1" x="554"/>
        <item m="1" x="1036"/>
        <item m="1" x="1038"/>
        <item m="1" x="555"/>
        <item m="1" x="852"/>
        <item m="1" x="1039"/>
        <item m="1" x="1042"/>
        <item m="1" x="959"/>
        <item m="1" x="556"/>
        <item m="1" x="1043"/>
        <item m="1" x="676"/>
        <item m="1" x="1044"/>
        <item m="1" x="826"/>
        <item m="1" x="854"/>
        <item m="1" x="857"/>
        <item m="1" x="895"/>
        <item m="1" x="971"/>
        <item m="1" x="196"/>
        <item m="1" x="766"/>
        <item m="1" x="856"/>
        <item m="1" x="969"/>
        <item m="1" x="682"/>
        <item m="1" x="678"/>
        <item m="1" x="1045"/>
        <item m="1" x="1046"/>
        <item m="1" x="1047"/>
        <item m="1" x="978"/>
        <item m="1" x="1049"/>
        <item m="1" x="1050"/>
        <item m="1" x="859"/>
        <item m="1" x="831"/>
        <item x="19"/>
        <item m="1" x="686"/>
        <item m="1" x="1051"/>
        <item m="1" x="1052"/>
        <item m="1" x="1053"/>
        <item m="1" x="1054"/>
        <item m="1" x="980"/>
        <item m="1" x="1055"/>
        <item m="1" x="630"/>
        <item m="1" x="1056"/>
        <item m="1" x="1057"/>
        <item m="1" x="861"/>
        <item m="1" x="198"/>
        <item m="1" x="1058"/>
        <item x="22"/>
        <item m="1" x="1059"/>
        <item m="1" x="691"/>
        <item m="1" x="1060"/>
        <item m="1" x="1061"/>
        <item x="24"/>
        <item m="1" x="1062"/>
        <item m="1" x="865"/>
        <item m="1" x="200"/>
        <item m="1" x="1063"/>
        <item x="23"/>
        <item m="1" x="834"/>
        <item m="1" x="1064"/>
        <item m="1" x="197"/>
        <item m="1" x="1065"/>
        <item m="1" x="868"/>
        <item m="1" x="1066"/>
        <item m="1" x="1067"/>
        <item m="1" x="1068"/>
        <item m="1" x="1069"/>
        <item m="1" x="992"/>
        <item m="1" x="202"/>
        <item m="1" x="1070"/>
        <item m="1" x="777"/>
        <item m="1" x="909"/>
        <item m="1" x="693"/>
        <item m="1" x="568"/>
        <item m="1" x="1071"/>
        <item m="1" x="871"/>
        <item m="1" x="1072"/>
        <item m="1" x="468"/>
        <item m="1" x="1073"/>
        <item m="1" x="692"/>
        <item m="1" x="774"/>
        <item m="1" x="1074"/>
        <item m="1" x="1075"/>
        <item m="1" x="524"/>
        <item m="1" x="104"/>
        <item m="1" x="105"/>
        <item m="1" x="452"/>
        <item m="1" x="106"/>
        <item m="1" x="720"/>
        <item m="1" x="107"/>
        <item m="1" x="723"/>
        <item m="1" x="108"/>
        <item m="1" x="926"/>
        <item m="1" x="927"/>
        <item m="1" x="532"/>
        <item m="1" x="654"/>
        <item m="1" x="534"/>
        <item m="1" x="730"/>
        <item m="1" x="933"/>
        <item m="1" x="845"/>
        <item m="1" x="537"/>
        <item m="1" x="539"/>
        <item m="1" x="846"/>
        <item m="1" x="488"/>
        <item m="1" x="110"/>
        <item m="1" x="818"/>
        <item m="1" x="491"/>
        <item m="1" x="111"/>
        <item m="1" x="746"/>
        <item m="1" x="937"/>
        <item m="1" x="112"/>
        <item m="1" x="848"/>
        <item m="1" x="493"/>
        <item m="1" x="942"/>
        <item m="1" x="494"/>
        <item m="1" x="849"/>
        <item m="1" x="943"/>
        <item m="1" x="944"/>
        <item m="1" x="454"/>
        <item m="1" x="945"/>
        <item m="1" x="946"/>
        <item m="1" x="948"/>
        <item m="1" x="949"/>
        <item m="1" x="950"/>
        <item m="1" x="612"/>
        <item m="1" x="495"/>
        <item m="1" x="952"/>
        <item m="1" x="757"/>
        <item m="1" x="954"/>
        <item m="1" x="115"/>
        <item m="1" x="955"/>
        <item m="1" x="499"/>
        <item m="1" x="957"/>
        <item m="1" x="761"/>
        <item m="1" x="958"/>
        <item m="1" x="960"/>
        <item m="1" x="560"/>
        <item m="1" x="961"/>
        <item m="1" x="962"/>
        <item m="1" x="963"/>
        <item m="1" x="964"/>
        <item m="1" x="965"/>
        <item m="1" x="966"/>
        <item m="1" x="968"/>
        <item m="1" x="970"/>
        <item m="1" x="874"/>
        <item m="1" x="972"/>
        <item m="1" x="855"/>
        <item m="1" x="828"/>
        <item m="1" x="500"/>
        <item m="1" x="501"/>
        <item m="1" x="502"/>
        <item m="1" x="562"/>
        <item m="1" x="973"/>
        <item m="1" x="974"/>
        <item m="1" x="976"/>
        <item m="1" x="977"/>
        <item m="1" x="832"/>
        <item m="1" x="979"/>
        <item m="1" x="981"/>
        <item m="1" x="982"/>
        <item m="1" x="983"/>
        <item m="1" x="121"/>
        <item m="1" x="860"/>
        <item m="1" x="836"/>
        <item m="1" x="984"/>
        <item m="1" x="901"/>
        <item m="1" x="985"/>
        <item m="1" x="986"/>
        <item m="1" x="122"/>
        <item m="1" x="987"/>
        <item m="1" x="862"/>
        <item m="1" x="988"/>
        <item m="1" x="989"/>
        <item m="1" x="835"/>
        <item m="1" x="990"/>
        <item m="1" x="991"/>
        <item m="1" x="128"/>
        <item m="1" x="993"/>
        <item m="1" x="994"/>
        <item m="1" x="995"/>
        <item m="1" x="996"/>
        <item m="1" x="997"/>
        <item m="1" x="570"/>
        <item m="1" x="998"/>
        <item m="1" x="504"/>
        <item m="1" x="999"/>
        <item m="1" x="1000"/>
        <item m="1" x="1001"/>
        <item m="1" x="1002"/>
        <item m="1" x="1003"/>
        <item m="1" x="634"/>
        <item m="1" x="1004"/>
        <item m="1" x="1005"/>
        <item m="1" x="1006"/>
        <item m="1" x="1007"/>
        <item m="1" x="877"/>
        <item m="1" x="879"/>
        <item m="1" x="883"/>
        <item m="1" x="888"/>
        <item m="1" x="611"/>
        <item m="1" x="354"/>
        <item m="1" x="463"/>
        <item m="1" x="793"/>
        <item m="1" x="890"/>
        <item m="1" x="891"/>
        <item x="18"/>
        <item m="1" x="893"/>
        <item m="1" x="894"/>
        <item m="1" x="896"/>
        <item m="1" x="684"/>
        <item m="1" x="897"/>
        <item m="1" x="898"/>
        <item m="1" x="687"/>
        <item m="1" x="199"/>
        <item m="1" x="268"/>
        <item x="25"/>
        <item m="1" x="201"/>
        <item m="1" x="899"/>
        <item m="1" x="900"/>
        <item m="1" x="626"/>
        <item m="1" x="627"/>
        <item m="1" x="801"/>
        <item m="1" x="902"/>
        <item m="1" x="903"/>
        <item m="1" x="357"/>
        <item m="1" x="358"/>
        <item m="1" x="466"/>
        <item m="1" x="632"/>
        <item m="1" x="273"/>
        <item m="1" x="694"/>
        <item m="1" x="904"/>
        <item m="1" x="905"/>
        <item m="1" x="906"/>
        <item m="1" x="278"/>
        <item m="1" x="907"/>
        <item m="1" x="696"/>
        <item m="1" x="908"/>
        <item m="1" x="910"/>
        <item m="1" x="911"/>
        <item m="1" x="838"/>
        <item m="1" x="697"/>
        <item m="1" x="808"/>
        <item x="27"/>
        <item x="28"/>
        <item m="1" x="698"/>
        <item m="1" x="912"/>
        <item m="1" x="913"/>
        <item m="1" x="914"/>
        <item m="1" x="809"/>
        <item m="1" x="469"/>
        <item x="29"/>
        <item m="1" x="915"/>
        <item x="30"/>
        <item m="1" x="916"/>
        <item x="31"/>
        <item x="32"/>
        <item m="1" x="190"/>
        <item m="1" x="192"/>
        <item m="1" x="548"/>
        <item m="1" x="549"/>
        <item m="1" x="830"/>
        <item m="1" x="858"/>
        <item m="1" x="567"/>
        <item m="1" x="270"/>
        <item m="1" x="863"/>
        <item m="1" x="864"/>
        <item m="1" x="866"/>
        <item m="1" x="203"/>
        <item m="1" x="867"/>
        <item m="1" x="869"/>
        <item m="1" x="125"/>
        <item m="1" x="840"/>
        <item m="1" x="870"/>
        <item m="1" x="872"/>
        <item m="1" x="873"/>
        <item m="1" x="699"/>
        <item m="1" x="204"/>
        <item m="1" x="702"/>
        <item m="1" x="367"/>
        <item m="1" x="364"/>
        <item m="1" x="363"/>
        <item m="1" x="456"/>
        <item m="1" x="703"/>
        <item m="1" x="369"/>
        <item m="1" x="704"/>
        <item m="1" x="368"/>
        <item x="33"/>
        <item m="1" x="652"/>
        <item m="1" x="486"/>
        <item m="1" x="787"/>
        <item m="1" x="489"/>
        <item m="1" x="817"/>
        <item m="1" x="416"/>
        <item m="1" x="792"/>
        <item m="1" x="113"/>
        <item m="1" x="417"/>
        <item m="1" x="418"/>
        <item m="1" x="671"/>
        <item m="1" x="419"/>
        <item m="1" x="420"/>
        <item m="1" x="421"/>
        <item m="1" x="827"/>
        <item m="1" x="561"/>
        <item m="1" x="796"/>
        <item m="1" x="829"/>
        <item m="1" x="465"/>
        <item m="1" x="422"/>
        <item m="1" x="833"/>
        <item m="1" x="800"/>
        <item m="1" x="423"/>
        <item m="1" x="689"/>
        <item m="1" x="271"/>
        <item m="1" x="503"/>
        <item m="1" x="837"/>
        <item m="1" x="269"/>
        <item m="1" x="839"/>
        <item m="1" x="631"/>
        <item m="1" x="841"/>
        <item m="1" x="277"/>
        <item m="1" x="129"/>
        <item m="1" x="805"/>
        <item m="1" x="695"/>
        <item m="1" x="842"/>
        <item m="1" x="705"/>
        <item x="34"/>
        <item m="1" x="843"/>
        <item m="1" x="640"/>
        <item x="36"/>
        <item m="1" x="641"/>
        <item x="35"/>
        <item m="1" x="844"/>
        <item m="1" x="284"/>
        <item m="1" x="788"/>
        <item m="1" x="789"/>
        <item m="1" x="790"/>
        <item m="1" x="791"/>
        <item m="1" x="794"/>
        <item m="1" x="119"/>
        <item m="1" x="797"/>
        <item m="1" x="798"/>
        <item m="1" x="624"/>
        <item m="1" x="799"/>
        <item x="26"/>
        <item m="1" x="802"/>
        <item m="1" x="803"/>
        <item m="1" x="467"/>
        <item m="1" x="505"/>
        <item m="1" x="804"/>
        <item m="1" x="806"/>
        <item m="1" x="124"/>
        <item m="1" x="571"/>
        <item m="1" x="807"/>
        <item m="1" x="577"/>
        <item m="1" x="576"/>
        <item m="1" x="575"/>
        <item m="1" x="470"/>
        <item m="1" x="471"/>
        <item m="1" x="810"/>
        <item m="1" x="133"/>
        <item m="1" x="370"/>
        <item m="1" x="811"/>
        <item m="1" x="708"/>
        <item m="1" x="812"/>
        <item m="1" x="472"/>
        <item m="1" x="237"/>
        <item m="1" x="238"/>
        <item m="1" x="240"/>
        <item m="1" x="239"/>
        <item m="1" x="242"/>
        <item m="1" x="726"/>
        <item m="1" x="727"/>
        <item m="1" x="252"/>
        <item m="1" x="734"/>
        <item m="1" x="254"/>
        <item m="1" x="743"/>
        <item m="1" x="255"/>
        <item m="1" x="256"/>
        <item m="1" x="257"/>
        <item m="1" x="753"/>
        <item m="1" x="755"/>
        <item m="1" x="259"/>
        <item m="1" x="552"/>
        <item m="1" x="553"/>
        <item m="1" x="762"/>
        <item m="1" x="261"/>
        <item m="1" x="764"/>
        <item m="1" x="765"/>
        <item m="1" x="265"/>
        <item m="1" x="264"/>
        <item m="1" x="767"/>
        <item m="1" x="263"/>
        <item m="1" x="455"/>
        <item m="1" x="768"/>
        <item m="1" x="769"/>
        <item m="1" x="770"/>
        <item m="1" x="771"/>
        <item m="1" x="772"/>
        <item m="1" x="773"/>
        <item m="1" x="274"/>
        <item m="1" x="130"/>
        <item m="1" x="275"/>
        <item m="1" x="775"/>
        <item m="1" x="776"/>
        <item m="1" x="426"/>
        <item m="1" x="778"/>
        <item m="1" x="127"/>
        <item m="1" x="279"/>
        <item m="1" x="573"/>
        <item m="1" x="779"/>
        <item m="1" x="574"/>
        <item m="1" x="780"/>
        <item m="1" x="781"/>
        <item m="1" x="782"/>
        <item m="1" x="783"/>
        <item m="1" x="784"/>
        <item m="1" x="131"/>
        <item m="1" x="281"/>
        <item m="1" x="785"/>
        <item m="1" x="430"/>
        <item m="1" x="429"/>
        <item m="1" x="428"/>
        <item m="1" x="707"/>
        <item m="1" x="786"/>
        <item m="1" x="644"/>
        <item m="1" x="457"/>
        <item m="1" x="432"/>
        <item m="1" x="431"/>
        <item m="1" x="287"/>
        <item m="1" x="437"/>
        <item m="1" x="655"/>
        <item m="1" x="660"/>
        <item m="1" x="668"/>
        <item m="1" x="355"/>
        <item m="1" x="679"/>
        <item m="1" x="681"/>
        <item m="1" x="683"/>
        <item m="1" x="685"/>
        <item m="1" x="688"/>
        <item m="1" x="690"/>
        <item m="1" x="700"/>
        <item m="1" x="701"/>
        <item m="1" x="365"/>
        <item m="1" x="706"/>
        <item m="1" x="639"/>
        <item m="1" x="374"/>
        <item m="1" x="709"/>
        <item m="1" x="710"/>
        <item m="1" x="373"/>
        <item m="1" x="205"/>
        <item m="1" x="433"/>
        <item m="1" x="711"/>
        <item m="1" x="712"/>
        <item m="1" x="377"/>
        <item m="1" x="289"/>
        <item x="38"/>
        <item m="1" x="290"/>
        <item m="1" x="360"/>
        <item m="1" x="356"/>
        <item m="1" x="628"/>
        <item m="1" x="123"/>
        <item m="1" x="629"/>
        <item m="1" x="361"/>
        <item m="1" x="276"/>
        <item m="1" x="633"/>
        <item m="1" x="635"/>
        <item m="1" x="366"/>
        <item m="1" x="636"/>
        <item m="1" x="637"/>
        <item m="1" x="638"/>
        <item m="1" x="642"/>
        <item m="1" x="643"/>
        <item m="1" x="371"/>
        <item m="1" x="645"/>
        <item m="1" x="646"/>
        <item m="1" x="647"/>
        <item m="1" x="291"/>
        <item m="1" x="511"/>
        <item m="1" x="525"/>
        <item m="1" x="236"/>
        <item m="1" x="526"/>
        <item m="1" x="528"/>
        <item m="1" x="531"/>
        <item m="1" x="247"/>
        <item m="1" x="248"/>
        <item m="1" x="249"/>
        <item m="1" x="246"/>
        <item m="1" x="533"/>
        <item m="1" x="245"/>
        <item m="1" x="535"/>
        <item m="1" x="492"/>
        <item m="1" x="544"/>
        <item m="1" x="545"/>
        <item m="1" x="550"/>
        <item m="1" x="551"/>
        <item m="1" x="496"/>
        <item m="1" x="557"/>
        <item m="1" x="559"/>
        <item m="1" x="564"/>
        <item m="1" x="565"/>
        <item m="1" x="267"/>
        <item m="1" x="566"/>
        <item m="1" x="569"/>
        <item m="1" x="572"/>
        <item m="1" x="508"/>
        <item m="1" x="578"/>
        <item m="1" x="509"/>
        <item m="1" x="473"/>
        <item m="1" x="579"/>
        <item m="1" x="580"/>
        <item m="1" x="134"/>
        <item m="1" x="581"/>
        <item m="1" x="378"/>
        <item m="1" x="136"/>
        <item m="1" x="582"/>
        <item m="1" x="135"/>
        <item m="1" x="477"/>
        <item m="1" x="514"/>
        <item m="1" x="137"/>
        <item m="1" x="138"/>
        <item m="1" x="487"/>
        <item m="1" x="506"/>
        <item m="1" x="507"/>
        <item m="1" x="510"/>
        <item x="37"/>
        <item m="1" x="283"/>
        <item m="1" x="288"/>
        <item m="1" x="140"/>
        <item m="1" x="512"/>
        <item m="1" x="513"/>
        <item x="41"/>
        <item x="40"/>
        <item m="1" x="139"/>
        <item m="1" x="515"/>
        <item m="1" x="516"/>
        <item x="44"/>
        <item m="1" x="458"/>
        <item m="1" x="390"/>
        <item m="1" x="517"/>
        <item m="1" x="482"/>
        <item m="1" x="518"/>
        <item m="1" x="519"/>
        <item m="1" x="144"/>
        <item m="1" x="395"/>
        <item m="1" x="520"/>
        <item m="1" x="521"/>
        <item m="1" x="151"/>
        <item m="1" x="522"/>
        <item m="1" x="523"/>
        <item m="1" x="484"/>
        <item m="1" x="210"/>
        <item m="1" x="459"/>
        <item m="1" x="460"/>
        <item m="1" x="461"/>
        <item m="1" x="462"/>
        <item m="1" x="464"/>
        <item m="1" x="474"/>
        <item m="1" x="475"/>
        <item m="1" x="476"/>
        <item m="1" x="478"/>
        <item m="1" x="479"/>
        <item m="1" x="480"/>
        <item m="1" x="208"/>
        <item m="1" x="143"/>
        <item x="48"/>
        <item m="1" x="481"/>
        <item m="1" x="217"/>
        <item m="1" x="213"/>
        <item m="1" x="483"/>
        <item m="1" x="214"/>
        <item m="1" x="141"/>
        <item x="49"/>
        <item m="1" x="142"/>
        <item m="1" x="212"/>
        <item m="1" x="399"/>
        <item m="1" x="396"/>
        <item m="1" x="400"/>
        <item x="54"/>
        <item m="1" x="485"/>
        <item m="1" x="244"/>
        <item m="1" x="266"/>
        <item m="1" x="425"/>
        <item m="1" x="424"/>
        <item m="1" x="427"/>
        <item m="1" x="434"/>
        <item m="1" x="285"/>
        <item m="1" x="435"/>
        <item m="1" x="436"/>
        <item m="1" x="379"/>
        <item m="1" x="438"/>
        <item m="1" x="292"/>
        <item m="1" x="439"/>
        <item m="1" x="303"/>
        <item m="1" x="299"/>
        <item m="1" x="296"/>
        <item m="1" x="304"/>
        <item m="1" x="441"/>
        <item m="1" x="298"/>
        <item m="1" x="440"/>
        <item m="1" x="295"/>
        <item m="1" x="305"/>
        <item m="1" x="306"/>
        <item m="1" x="297"/>
        <item m="1" x="442"/>
        <item m="1" x="314"/>
        <item m="1" x="150"/>
        <item m="1" x="309"/>
        <item m="1" x="310"/>
        <item m="1" x="307"/>
        <item m="1" x="147"/>
        <item m="1" x="316"/>
        <item m="1" x="209"/>
        <item m="1" x="312"/>
        <item m="1" x="215"/>
        <item m="1" x="443"/>
        <item m="1" x="211"/>
        <item m="1" x="445"/>
        <item m="1" x="308"/>
        <item m="1" x="146"/>
        <item m="1" x="444"/>
        <item m="1" x="315"/>
        <item m="1" x="320"/>
        <item m="1" x="218"/>
        <item x="59"/>
        <item m="1" x="448"/>
        <item x="52"/>
        <item m="1" x="324"/>
        <item m="1" x="152"/>
        <item m="1" x="326"/>
        <item m="1" x="447"/>
        <item x="56"/>
        <item m="1" x="325"/>
        <item m="1" x="446"/>
        <item m="1" x="449"/>
        <item m="1" x="335"/>
        <item m="1" x="409"/>
        <item m="1" x="349"/>
        <item m="1" x="333"/>
        <item m="1" x="334"/>
        <item m="1" x="450"/>
        <item m="1" x="345"/>
        <item m="1" x="451"/>
        <item m="1" x="350"/>
        <item x="10"/>
        <item m="1" x="359"/>
        <item m="1" x="362"/>
        <item m="1" x="372"/>
        <item m="1" x="375"/>
        <item m="1" x="376"/>
        <item m="1" x="380"/>
        <item m="1" x="381"/>
        <item x="42"/>
        <item m="1" x="382"/>
        <item m="1" x="383"/>
        <item m="1" x="384"/>
        <item m="1" x="385"/>
        <item m="1" x="386"/>
        <item m="1" x="387"/>
        <item m="1" x="388"/>
        <item m="1" x="389"/>
        <item m="1" x="391"/>
        <item m="1" x="392"/>
        <item m="1" x="393"/>
        <item m="1" x="394"/>
        <item x="51"/>
        <item m="1" x="397"/>
        <item m="1" x="398"/>
        <item m="1" x="401"/>
        <item m="1" x="402"/>
        <item m="1" x="403"/>
        <item m="1" x="404"/>
        <item m="1" x="405"/>
        <item m="1" x="406"/>
        <item m="1" x="225"/>
        <item m="1" x="407"/>
        <item m="1" x="408"/>
        <item m="1" x="223"/>
        <item m="1" x="410"/>
        <item m="1" x="411"/>
        <item m="1" x="337"/>
        <item m="1" x="412"/>
        <item m="1" x="162"/>
        <item m="1" x="413"/>
        <item m="1" x="414"/>
        <item m="1" x="158"/>
        <item m="1" x="253"/>
        <item m="1" x="272"/>
        <item m="1" x="280"/>
        <item m="1" x="282"/>
        <item m="1" x="286"/>
        <item x="39"/>
        <item m="1" x="293"/>
        <item m="1" x="294"/>
        <item m="1" x="302"/>
        <item m="1" x="300"/>
        <item m="1" x="301"/>
        <item m="1" x="318"/>
        <item m="1" x="319"/>
        <item m="1" x="207"/>
        <item m="1" x="311"/>
        <item m="1" x="313"/>
        <item m="1" x="149"/>
        <item m="1" x="317"/>
        <item m="1" x="323"/>
        <item m="1" x="321"/>
        <item m="1" x="329"/>
        <item m="1" x="330"/>
        <item m="1" x="331"/>
        <item m="1" x="328"/>
        <item m="1" x="322"/>
        <item m="1" x="327"/>
        <item m="1" x="332"/>
        <item m="1" x="222"/>
        <item m="1" x="341"/>
        <item m="1" x="338"/>
        <item m="1" x="339"/>
        <item m="1" x="340"/>
        <item m="1" x="336"/>
        <item m="1" x="159"/>
        <item m="1" x="343"/>
        <item m="1" x="342"/>
        <item m="1" x="344"/>
        <item x="66"/>
        <item m="1" x="346"/>
        <item m="1" x="347"/>
        <item m="1" x="348"/>
        <item m="1" x="164"/>
        <item m="1" x="206"/>
        <item x="47"/>
        <item m="1" x="216"/>
        <item m="1" x="219"/>
        <item m="1" x="145"/>
        <item m="1" x="220"/>
        <item m="1" x="221"/>
        <item m="1" x="224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118"/>
        <item m="1" x="126"/>
        <item m="1" x="132"/>
        <item m="1" x="148"/>
        <item m="1" x="153"/>
        <item m="1" x="154"/>
        <item x="53"/>
        <item m="1" x="155"/>
        <item m="1" x="156"/>
        <item m="1" x="157"/>
        <item m="1" x="160"/>
        <item m="1" x="161"/>
        <item m="1" x="163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x="86"/>
        <item x="84"/>
        <item m="1" x="182"/>
        <item m="1" x="183"/>
        <item m="1" x="184"/>
        <item m="1" x="185"/>
        <item m="1" x="186"/>
        <item m="1" x="187"/>
        <item m="1" x="188"/>
        <item m="1" x="189"/>
        <item x="90"/>
        <item x="96"/>
        <item x="8"/>
        <item x="43"/>
        <item x="45"/>
        <item x="46"/>
        <item x="50"/>
        <item x="55"/>
        <item x="57"/>
        <item x="58"/>
        <item x="60"/>
        <item x="61"/>
        <item x="62"/>
        <item x="63"/>
        <item x="64"/>
        <item x="65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5"/>
        <item x="87"/>
        <item x="88"/>
        <item x="89"/>
        <item x="91"/>
        <item x="92"/>
        <item x="93"/>
        <item x="94"/>
        <item x="95"/>
        <item x="97"/>
        <item x="98"/>
        <item x="99"/>
        <item x="100"/>
        <item x="101"/>
        <item x="102"/>
        <item m="1" x="103"/>
        <item t="default"/>
      </items>
    </pivotField>
  </pivotFields>
  <rowFields count="3">
    <field x="0"/>
    <field x="1"/>
    <field x="8"/>
  </rowFields>
  <rowItems count="40">
    <i>
      <x v="3"/>
      <x v="9"/>
    </i>
    <i>
      <x v="43"/>
      <x v="43"/>
    </i>
    <i>
      <x v="116"/>
      <x v="115"/>
    </i>
    <i>
      <x v="145"/>
      <x v="143"/>
    </i>
    <i>
      <x v="23"/>
      <x v="32"/>
    </i>
    <i>
      <x v="136"/>
      <x v="323"/>
    </i>
    <i>
      <x v="205"/>
      <x v="200"/>
    </i>
    <i>
      <x/>
      <x v="12"/>
    </i>
    <i>
      <x v="247"/>
      <x v="242"/>
    </i>
    <i>
      <x v="320"/>
      <x v="316"/>
    </i>
    <i>
      <x v="37"/>
      <x v="37"/>
    </i>
    <i>
      <x v="2"/>
      <x v="1"/>
    </i>
    <i>
      <x v="10"/>
      <x v="35"/>
    </i>
    <i>
      <x v="83"/>
      <x v="82"/>
    </i>
    <i>
      <x v="146"/>
      <x v="144"/>
    </i>
    <i>
      <x v="7"/>
      <x v="13"/>
    </i>
    <i>
      <x v="85"/>
      <x v="84"/>
    </i>
    <i>
      <x v="79"/>
      <x v="78"/>
    </i>
    <i>
      <x v="318"/>
      <x v="314"/>
    </i>
    <i>
      <x v="160"/>
      <x v="156"/>
    </i>
    <i>
      <x v="302"/>
      <x v="298"/>
    </i>
    <i>
      <x v="323"/>
      <x v="319"/>
    </i>
    <i>
      <x v="192"/>
      <x v="187"/>
    </i>
    <i>
      <x v="91"/>
      <x v="90"/>
    </i>
    <i>
      <x v="188"/>
      <x v="183"/>
    </i>
    <i>
      <x v="1"/>
      <x v="10"/>
    </i>
    <i>
      <x v="252"/>
      <x v="247"/>
    </i>
    <i>
      <x v="12"/>
      <x v="14"/>
    </i>
    <i>
      <x v="322"/>
      <x v="318"/>
    </i>
    <i>
      <x v="76"/>
      <x v="75"/>
    </i>
    <i>
      <x v="191"/>
      <x v="186"/>
    </i>
    <i>
      <x v="325"/>
      <x v="321"/>
    </i>
    <i>
      <x v="319"/>
      <x v="315"/>
    </i>
    <i>
      <x v="52"/>
      <x v="52"/>
    </i>
    <i>
      <x v="173"/>
      <x v="168"/>
    </i>
    <i>
      <x v="248"/>
      <x v="243"/>
    </i>
    <i>
      <x v="225"/>
      <x v="220"/>
    </i>
    <i>
      <x v="321"/>
      <x v="317"/>
    </i>
    <i>
      <x v="324"/>
      <x v="32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amount" fld="4" baseField="0" baseItem="0"/>
    <dataField name="Sum of amountIncludingVAT" fld="5" baseField="0" baseItem="0"/>
    <dataField name="Average of aging_days" fld="7" subtotal="average" baseField="1" baseItem="116" numFmtId="1"/>
  </dataFields>
  <formats count="4">
    <format dxfId="75">
      <pivotArea outline="0" collapsedLevelsAreSubtotals="1" fieldPosition="0"/>
    </format>
    <format dxfId="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B09189-6C62-4C4C-AF78-44B2D41AFC1C}" name="Table7" displayName="Table7" ref="A1:I156" totalsRowShown="0" dataDxfId="70" headerRowBorderDxfId="71" tableBorderDxfId="69">
  <autoFilter ref="A1:I156" xr:uid="{F7B09189-6C62-4C4C-AF78-44B2D41AFC1C}"/>
  <sortState xmlns:xlrd2="http://schemas.microsoft.com/office/spreadsheetml/2017/richdata2" ref="A2:I63">
    <sortCondition descending="1" ref="F2:F63"/>
  </sortState>
  <tableColumns count="9">
    <tableColumn id="1" xr3:uid="{370DA918-25D4-4191-B84A-C497E60E44BA}" name="buyFromVendorNo" dataDxfId="68" totalsRowDxfId="67"/>
    <tableColumn id="2" xr3:uid="{9FD889CD-F32F-484B-BE15-C5A861B45C8F}" name="buyFromVendorName" dataDxfId="66" totalsRowDxfId="65"/>
    <tableColumn id="3" xr3:uid="{246B30DA-1329-4D0D-B010-EF5338656864}" name="documentType" dataDxfId="64" totalsRowDxfId="63"/>
    <tableColumn id="4" xr3:uid="{CF467014-D3A6-4252-A262-32067C124C26}" name="locationCode" dataDxfId="62" totalsRowDxfId="61"/>
    <tableColumn id="5" xr3:uid="{65968A46-5E61-4BFC-9DD0-673BDE80D6D0}" name="amount" dataDxfId="60" totalsRowDxfId="59" dataCellStyle="Comma"/>
    <tableColumn id="6" xr3:uid="{933A1316-A286-4E02-B299-36569A2F68B3}" name="amountIncludingVAT" dataDxfId="58" totalsRowDxfId="57" dataCellStyle="Comma"/>
    <tableColumn id="7" xr3:uid="{34F6AAE7-F9B1-4115-942E-DD73BE411E80}" name="postingDate" dataDxfId="56" totalsRowDxfId="55"/>
    <tableColumn id="8" xr3:uid="{889A042A-4712-40E2-983C-C47CE527B147}" name="aging_days" dataDxfId="54" totalsRowDxfId="53"/>
    <tableColumn id="9" xr3:uid="{312DEFA9-3A7D-432A-A786-795D1DD91D9C}" name="Document_Number" dataDxfId="52" totalsRow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0" dataDxfId="48" headerRowBorderDxfId="49" tableBorderDxfId="47">
  <autoFilter ref="A1:I287" xr:uid="{5275D39F-4AF3-41C1-953F-68C77606B2EC}"/>
  <tableColumns count="9">
    <tableColumn id="1" xr3:uid="{34D91BBB-1B24-4C14-9F95-9416559F0172}" name="buyFromVendorNo" dataDxfId="46"/>
    <tableColumn id="2" xr3:uid="{55D238A4-A69B-42C3-A20C-2E1913D7788B}" name="buyFromVendorNam" dataDxfId="45"/>
    <tableColumn id="3" xr3:uid="{1B4A62B0-DA22-4B07-91C1-45A814746327}" name="PO_Number" dataDxfId="44"/>
    <tableColumn id="4" xr3:uid="{668E8FAD-39CF-438F-AF45-02C5168EE2ED}" name="Lines" dataDxfId="43"/>
    <tableColumn id="5" xr3:uid="{F74FC867-2FEA-41FC-B2E4-5FA07380A06B}" name="Units" dataDxfId="42"/>
    <tableColumn id="6" xr3:uid="{D9DB8F7D-AABC-402C-882E-AE566884D5C5}" name="Packs" dataDxfId="41"/>
    <tableColumn id="7" xr3:uid="{F1EC36B6-2D3A-4A8E-AB51-39A4D341A587}" name="Scheduled Date" dataDxfId="40"/>
    <tableColumn id="8" xr3:uid="{3BB8ABBB-8B24-4877-B2CB-646909156F06}" name="Time Slot" dataDxfId="39"/>
    <tableColumn id="9" xr3:uid="{96D8D60A-16DE-4EC6-890B-70228ADAF5A3}" name="Note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Q4596" totalsRowCount="1">
  <autoFilter ref="A1:Q4595" xr:uid="{2A1BC29A-F149-4CE5-B20F-F5B4D3A06218}"/>
  <tableColumns count="17">
    <tableColumn id="1" xr3:uid="{958A9FD5-5549-4132-9C6B-ACABDA01B9EC}" name="documentDate" dataDxfId="1" totalsRowDxfId="18"/>
    <tableColumn id="2" xr3:uid="{5502419D-7B33-4AF9-9424-5285207FA355}" name="binCode" dataDxfId="37" totalsRowDxfId="17"/>
    <tableColumn id="3" xr3:uid="{FA648B25-36EA-4BF7-9F0E-EF857DAD31AB}" name="buyFromVendorNo" dataDxfId="36" totalsRowDxfId="16"/>
    <tableColumn id="4" xr3:uid="{EE5A2206-9910-4088-9D59-6EC54A181338}" name="buyFromVendorName" dataDxfId="35" totalsRowDxfId="15"/>
    <tableColumn id="5" xr3:uid="{E766F01F-7854-40CE-A3B3-A2A646B21AF4}" name="documentType" dataDxfId="34" totalsRowDxfId="14"/>
    <tableColumn id="6" xr3:uid="{9770DB06-EECD-4F7F-8092-4A94C4F8DDFB}" name="locationCode" dataDxfId="33" totalsRowDxfId="13"/>
    <tableColumn id="7" xr3:uid="{8E54A30E-AAD6-446B-9372-41A191C787FF}" name="amount" dataDxfId="32" totalsRowDxfId="12" dataCellStyle="Comma" totalsRowCellStyle="Comma"/>
    <tableColumn id="8" xr3:uid="{7B8044D1-7A4B-42D8-92D5-F754E4E4F363}" name="amountIncludingVAT" dataDxfId="31" totalsRowDxfId="11" dataCellStyle="Comma" totalsRowCellStyle="Comma"/>
    <tableColumn id="9" xr3:uid="{F0B97A77-1B22-47FB-A528-6BEEF3E42DE2}" name="postingDate" dataDxfId="0" totalsRowDxfId="10"/>
    <tableColumn id="10" xr3:uid="{699F9379-1735-4F66-ABAF-FEB2632E11DE}" name="aging_days" dataDxfId="30" totalsRowDxfId="9"/>
    <tableColumn id="11" xr3:uid="{2E1E064A-3A4E-4C3D-915F-5DA3FD54F015}" name="no" dataDxfId="29" totalsRowDxfId="8"/>
    <tableColumn id="12" xr3:uid="{BB4A9132-9CFD-4179-86B9-9A0582C0178E}" name="URL" dataDxfId="28" totalsRowDxfId="7"/>
    <tableColumn id="13" xr3:uid="{201CFE9F-E854-49FD-AC29-CFB077A03EBF}" name="received_days_since_pro_ready" dataDxfId="27" totalsRowDxfId="6"/>
    <tableColumn id="14" xr3:uid="{00662F86-E4F4-4977-A3CE-11236C7D7438}" name="days_since_last_receiving" dataDxfId="26" totalsRowDxfId="5"/>
    <tableColumn id="15" xr3:uid="{D091F9A3-6E9C-4366-BF7A-853672DB550F}" name="Status" dataDxfId="25" totalsRowDxfId="4"/>
    <tableColumn id="16" xr3:uid="{24FCA57D-70CC-417F-9845-AAF865BB3EB8}" name="Column1" dataDxfId="24" totalsRowDxfId="3"/>
    <tableColumn id="17" xr3:uid="{42D528FB-3639-442B-86C9-1E216DB8AF25}" name="Status2" dataDxfId="23" totalsRowDxfId="2">
      <calculatedColumnFormula>_xlfn.XLOOKUP(Table2[[#This Row],[buyFromVendorNo]],'Next Day Scheduled'!A:A,'Pending Returns'!O:O,"NOT_FOUND")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04" totalsRowShown="0">
  <autoFilter ref="A1:J304" xr:uid="{CA8AE103-B21C-4DCF-B464-5C4CDEAF06A8}"/>
  <tableColumns count="10">
    <tableColumn id="1" xr3:uid="{C42C235F-0F2F-43E2-B488-86FEDB11876D}" name="documentDate" dataDxfId="22" totalsRowDxfId="21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20" dataCellStyle="Comma"/>
    <tableColumn id="8" xr3:uid="{DA8397E1-4886-47EE-8350-E89EECF39347}" name="AmountWithVAT" totalsRowDxfId="19" data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59" totalsRowShown="0">
  <autoFilter ref="A1:I1759" xr:uid="{80209671-5E50-41A5-B465-3085E7186EC4}"/>
  <tableColumns count="9">
    <tableColumn id="1" xr3:uid="{A1707C38-4087-4E1B-AEDA-48819FFB7575}" name="documentDate" dataDxfId="79" totalsRowDxfId="78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77" dataCellStyle="Comma" totalsRowCellStyle="Comma"/>
    <tableColumn id="8" xr3:uid="{2B828BB4-9CAE-4A53-B790-C7314230F5DD}" name="documentType"/>
    <tableColumn id="9" xr3:uid="{40C76FF1-7198-4C4E-9F93-DA9A406B5606}" name="amount" totalsRowDxfId="76" dataCellStyle="Comma" totalsRow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6F652-3E3B-486B-9AD8-EC919FCB8A35}">
  <dimension ref="A1:Q156"/>
  <sheetViews>
    <sheetView topLeftCell="A25" zoomScale="85" zoomScaleNormal="85" workbookViewId="0">
      <selection activeCell="E54" sqref="E54"/>
    </sheetView>
  </sheetViews>
  <sheetFormatPr defaultRowHeight="14.4" x14ac:dyDescent="0.3"/>
  <cols>
    <col min="1" max="1" width="18.44140625" customWidth="1"/>
    <col min="2" max="2" width="52.6640625" bestFit="1" customWidth="1"/>
    <col min="3" max="3" width="15.21875" customWidth="1"/>
    <col min="4" max="4" width="14" customWidth="1"/>
    <col min="5" max="5" width="11.44140625" style="16" bestFit="1" customWidth="1"/>
    <col min="6" max="6" width="21.33203125" style="16" customWidth="1"/>
    <col min="7" max="7" width="11.88671875" customWidth="1"/>
    <col min="8" max="9" width="19" customWidth="1"/>
    <col min="10" max="10" width="9.88671875" customWidth="1"/>
    <col min="11" max="11" width="13" bestFit="1" customWidth="1"/>
    <col min="12" max="12" width="48.109375" bestFit="1" customWidth="1"/>
    <col min="13" max="13" width="20.109375" bestFit="1" customWidth="1"/>
    <col min="14" max="14" width="14" style="25" bestFit="1" customWidth="1"/>
    <col min="15" max="15" width="25.21875" style="25" bestFit="1" customWidth="1"/>
    <col min="16" max="16" width="19.5546875" style="26" bestFit="1" customWidth="1"/>
    <col min="17" max="17" width="10.21875" bestFit="1" customWidth="1"/>
  </cols>
  <sheetData>
    <row r="1" spans="1:17" x14ac:dyDescent="0.3">
      <c r="A1" t="s">
        <v>3</v>
      </c>
      <c r="B1" t="s">
        <v>4</v>
      </c>
      <c r="C1" t="s">
        <v>6</v>
      </c>
      <c r="D1" t="s">
        <v>2</v>
      </c>
      <c r="E1" s="16" t="s">
        <v>7</v>
      </c>
      <c r="F1" s="16" t="s">
        <v>207</v>
      </c>
      <c r="G1" t="s">
        <v>211</v>
      </c>
      <c r="H1" t="s">
        <v>208</v>
      </c>
      <c r="I1" t="s">
        <v>209</v>
      </c>
      <c r="J1" s="23"/>
      <c r="K1" s="20" t="s">
        <v>918</v>
      </c>
      <c r="L1" s="20" t="s">
        <v>4</v>
      </c>
      <c r="M1" s="20" t="s">
        <v>209</v>
      </c>
      <c r="N1" s="24" t="s">
        <v>4839</v>
      </c>
      <c r="O1" s="24" t="s">
        <v>4840</v>
      </c>
      <c r="P1" s="26" t="s">
        <v>5680</v>
      </c>
      <c r="Q1" s="28" t="s">
        <v>5679</v>
      </c>
    </row>
    <row r="2" spans="1:17" x14ac:dyDescent="0.3">
      <c r="A2" t="s">
        <v>39</v>
      </c>
      <c r="B2" t="s">
        <v>40</v>
      </c>
      <c r="C2" t="s">
        <v>8</v>
      </c>
      <c r="D2" t="s">
        <v>10</v>
      </c>
      <c r="E2" s="16">
        <v>1572.682</v>
      </c>
      <c r="F2" s="16">
        <v>1808.5844</v>
      </c>
      <c r="H2">
        <v>99</v>
      </c>
      <c r="I2" t="s">
        <v>106</v>
      </c>
      <c r="K2" s="21" t="s">
        <v>69</v>
      </c>
      <c r="L2" s="21" t="s">
        <v>70</v>
      </c>
      <c r="N2" s="24">
        <v>16944.204999999998</v>
      </c>
      <c r="O2" s="24">
        <v>19485.835599999999</v>
      </c>
      <c r="P2" s="26">
        <v>22</v>
      </c>
      <c r="Q2" s="27">
        <f>O2/GETPIVOTDATA("Sum of amountIncludingVAT",$K$1)</f>
        <v>0.1731732303989319</v>
      </c>
    </row>
    <row r="3" spans="1:17" x14ac:dyDescent="0.3">
      <c r="A3" t="s">
        <v>39</v>
      </c>
      <c r="B3" t="s">
        <v>40</v>
      </c>
      <c r="C3" t="s">
        <v>8</v>
      </c>
      <c r="D3" t="s">
        <v>10</v>
      </c>
      <c r="E3" s="16">
        <v>4119.3163999999997</v>
      </c>
      <c r="F3" s="16">
        <v>4737.2139999999999</v>
      </c>
      <c r="H3">
        <v>94</v>
      </c>
      <c r="I3" t="s">
        <v>115</v>
      </c>
      <c r="K3" s="21" t="s">
        <v>128</v>
      </c>
      <c r="L3" s="21" t="s">
        <v>129</v>
      </c>
      <c r="N3" s="24">
        <v>13942.801589999997</v>
      </c>
      <c r="O3" s="24">
        <v>16034.221649999999</v>
      </c>
      <c r="P3" s="26">
        <v>25.315789473684209</v>
      </c>
      <c r="Q3" s="27">
        <f t="shared" ref="Q3:Q56" si="0">O3/GETPIVOTDATA("Sum of amountIncludingVAT",$K$1)</f>
        <v>0.14249827500664083</v>
      </c>
    </row>
    <row r="4" spans="1:17" x14ac:dyDescent="0.3">
      <c r="A4" t="s">
        <v>39</v>
      </c>
      <c r="B4" t="s">
        <v>40</v>
      </c>
      <c r="C4" t="s">
        <v>8</v>
      </c>
      <c r="D4" t="s">
        <v>10</v>
      </c>
      <c r="E4" s="16">
        <v>2134.0889999999999</v>
      </c>
      <c r="F4" s="16">
        <v>2454.2026000000001</v>
      </c>
      <c r="H4">
        <v>76</v>
      </c>
      <c r="I4" t="s">
        <v>496</v>
      </c>
      <c r="K4" s="21" t="s">
        <v>51</v>
      </c>
      <c r="L4" s="21" t="s">
        <v>52</v>
      </c>
      <c r="N4" s="24">
        <v>10194.790000000001</v>
      </c>
      <c r="O4" s="24">
        <v>11724.0085</v>
      </c>
      <c r="P4" s="26">
        <v>6.5</v>
      </c>
      <c r="Q4" s="27">
        <f t="shared" si="0"/>
        <v>0.10419283354569286</v>
      </c>
    </row>
    <row r="5" spans="1:17" x14ac:dyDescent="0.3">
      <c r="A5" t="s">
        <v>39</v>
      </c>
      <c r="B5" t="s">
        <v>40</v>
      </c>
      <c r="C5" t="s">
        <v>8</v>
      </c>
      <c r="D5" t="s">
        <v>10</v>
      </c>
      <c r="E5" s="16">
        <v>3195.2959999999998</v>
      </c>
      <c r="F5" s="16">
        <v>3674.5902999999998</v>
      </c>
      <c r="H5">
        <v>61</v>
      </c>
      <c r="I5" t="s">
        <v>1764</v>
      </c>
      <c r="K5" s="21" t="s">
        <v>95</v>
      </c>
      <c r="L5" s="21" t="s">
        <v>96</v>
      </c>
      <c r="N5" s="24">
        <v>5544.2814399999997</v>
      </c>
      <c r="O5" s="24">
        <v>6375.9234699999997</v>
      </c>
      <c r="P5" s="26">
        <v>4.666666666666667</v>
      </c>
      <c r="Q5" s="27">
        <f t="shared" si="0"/>
        <v>5.6663685701847315E-2</v>
      </c>
    </row>
    <row r="6" spans="1:17" x14ac:dyDescent="0.3">
      <c r="A6" t="s">
        <v>148</v>
      </c>
      <c r="B6" t="s">
        <v>149</v>
      </c>
      <c r="C6" t="s">
        <v>8</v>
      </c>
      <c r="D6" t="s">
        <v>10</v>
      </c>
      <c r="E6" s="16">
        <v>1377.6</v>
      </c>
      <c r="F6" s="16">
        <v>1584.24</v>
      </c>
      <c r="H6">
        <v>59</v>
      </c>
      <c r="I6" t="s">
        <v>1890</v>
      </c>
      <c r="K6" s="21" t="s">
        <v>41</v>
      </c>
      <c r="L6" s="21" t="s">
        <v>42</v>
      </c>
      <c r="N6" s="24">
        <v>5384.1199500000002</v>
      </c>
      <c r="O6" s="24">
        <v>6191.7383300000001</v>
      </c>
      <c r="P6" s="26">
        <v>25.666666666666668</v>
      </c>
      <c r="Q6" s="27">
        <f t="shared" si="0"/>
        <v>5.5026807697740605E-2</v>
      </c>
    </row>
    <row r="7" spans="1:17" x14ac:dyDescent="0.3">
      <c r="A7" t="s">
        <v>39</v>
      </c>
      <c r="B7" t="s">
        <v>40</v>
      </c>
      <c r="C7" t="s">
        <v>8</v>
      </c>
      <c r="D7" t="s">
        <v>10</v>
      </c>
      <c r="E7" s="16">
        <v>4667.2812000000004</v>
      </c>
      <c r="F7" s="16">
        <v>5367.3729999999996</v>
      </c>
      <c r="H7">
        <v>54</v>
      </c>
      <c r="I7" t="s">
        <v>2142</v>
      </c>
      <c r="K7" s="21" t="s">
        <v>98</v>
      </c>
      <c r="L7" s="21" t="s">
        <v>99</v>
      </c>
      <c r="N7" s="24">
        <v>4865.41</v>
      </c>
      <c r="O7" s="24">
        <v>5595.2214000000004</v>
      </c>
      <c r="P7" s="26">
        <v>5</v>
      </c>
      <c r="Q7" s="27">
        <f t="shared" si="0"/>
        <v>4.9725481858998874E-2</v>
      </c>
    </row>
    <row r="8" spans="1:17" x14ac:dyDescent="0.3">
      <c r="A8" t="s">
        <v>128</v>
      </c>
      <c r="B8" t="s">
        <v>129</v>
      </c>
      <c r="C8" t="s">
        <v>8</v>
      </c>
      <c r="D8" t="s">
        <v>10</v>
      </c>
      <c r="E8" s="16">
        <v>1006.4433</v>
      </c>
      <c r="F8" s="16">
        <v>1157.4097999999999</v>
      </c>
      <c r="H8">
        <v>52</v>
      </c>
      <c r="I8" t="s">
        <v>2216</v>
      </c>
      <c r="K8" s="21" t="s">
        <v>704</v>
      </c>
      <c r="L8" s="21" t="s">
        <v>705</v>
      </c>
      <c r="N8" s="24">
        <v>4072.3217</v>
      </c>
      <c r="O8" s="24">
        <v>4683.17</v>
      </c>
      <c r="P8" s="26">
        <v>6.666666666666667</v>
      </c>
      <c r="Q8" s="27">
        <f t="shared" si="0"/>
        <v>4.161995893095629E-2</v>
      </c>
    </row>
    <row r="9" spans="1:17" x14ac:dyDescent="0.3">
      <c r="A9" t="s">
        <v>562</v>
      </c>
      <c r="B9" t="s">
        <v>563</v>
      </c>
      <c r="C9" t="s">
        <v>8</v>
      </c>
      <c r="D9" t="s">
        <v>38</v>
      </c>
      <c r="E9" s="16">
        <v>2274.2611999999999</v>
      </c>
      <c r="F9" s="16">
        <v>2615.4004</v>
      </c>
      <c r="H9">
        <v>50</v>
      </c>
      <c r="I9" t="s">
        <v>2560</v>
      </c>
      <c r="K9" s="21" t="s">
        <v>53</v>
      </c>
      <c r="L9" s="21" t="s">
        <v>54</v>
      </c>
      <c r="N9" s="24">
        <v>3859.62</v>
      </c>
      <c r="O9" s="24">
        <v>4438.5628999999999</v>
      </c>
      <c r="P9" s="26">
        <v>16.75</v>
      </c>
      <c r="Q9" s="27">
        <f t="shared" si="0"/>
        <v>3.9446102876997041E-2</v>
      </c>
    </row>
    <row r="10" spans="1:17" x14ac:dyDescent="0.3">
      <c r="A10" t="s">
        <v>128</v>
      </c>
      <c r="B10" t="s">
        <v>129</v>
      </c>
      <c r="C10" t="s">
        <v>8</v>
      </c>
      <c r="D10" t="s">
        <v>10</v>
      </c>
      <c r="E10" s="16">
        <v>715.05830000000003</v>
      </c>
      <c r="F10" s="16">
        <v>822.31709999999998</v>
      </c>
      <c r="H10">
        <v>47</v>
      </c>
      <c r="I10" t="s">
        <v>2832</v>
      </c>
      <c r="K10" s="21" t="s">
        <v>2448</v>
      </c>
      <c r="L10" s="21" t="s">
        <v>2449</v>
      </c>
      <c r="N10" s="24">
        <v>2885.8199999999997</v>
      </c>
      <c r="O10" s="24">
        <v>3318.6929999999998</v>
      </c>
      <c r="P10" s="26">
        <v>11</v>
      </c>
      <c r="Q10" s="27">
        <f t="shared" si="0"/>
        <v>2.9493669109695378E-2</v>
      </c>
    </row>
    <row r="11" spans="1:17" x14ac:dyDescent="0.3">
      <c r="A11" t="s">
        <v>128</v>
      </c>
      <c r="B11" t="s">
        <v>129</v>
      </c>
      <c r="C11" t="s">
        <v>8</v>
      </c>
      <c r="D11" t="s">
        <v>10</v>
      </c>
      <c r="E11" s="16">
        <v>54.4</v>
      </c>
      <c r="F11" s="16">
        <v>62.56</v>
      </c>
      <c r="H11">
        <v>45</v>
      </c>
      <c r="I11" t="s">
        <v>3128</v>
      </c>
      <c r="K11" s="21" t="s">
        <v>2943</v>
      </c>
      <c r="L11" s="21" t="s">
        <v>2944</v>
      </c>
      <c r="N11" s="24">
        <v>2476.29</v>
      </c>
      <c r="O11" s="24">
        <v>2847.7335000000003</v>
      </c>
      <c r="P11" s="26">
        <v>4.5</v>
      </c>
      <c r="Q11" s="27">
        <f t="shared" si="0"/>
        <v>2.5308188965232615E-2</v>
      </c>
    </row>
    <row r="12" spans="1:17" x14ac:dyDescent="0.3">
      <c r="A12" t="s">
        <v>148</v>
      </c>
      <c r="B12" t="s">
        <v>149</v>
      </c>
      <c r="C12" t="s">
        <v>8</v>
      </c>
      <c r="D12" t="s">
        <v>10</v>
      </c>
      <c r="E12" s="16">
        <v>723.24</v>
      </c>
      <c r="F12" s="16">
        <v>831.726</v>
      </c>
      <c r="H12">
        <v>45</v>
      </c>
      <c r="I12" t="s">
        <v>3156</v>
      </c>
      <c r="K12" s="21" t="s">
        <v>73</v>
      </c>
      <c r="L12" s="21" t="s">
        <v>74</v>
      </c>
      <c r="N12" s="24">
        <v>2420.3153000000002</v>
      </c>
      <c r="O12" s="24">
        <v>2783.36258</v>
      </c>
      <c r="P12" s="26">
        <v>9</v>
      </c>
      <c r="Q12" s="27">
        <f t="shared" si="0"/>
        <v>2.4736115979039953E-2</v>
      </c>
    </row>
    <row r="13" spans="1:17" x14ac:dyDescent="0.3">
      <c r="A13" t="s">
        <v>39</v>
      </c>
      <c r="B13" t="s">
        <v>40</v>
      </c>
      <c r="C13" t="s">
        <v>8</v>
      </c>
      <c r="D13" t="s">
        <v>10</v>
      </c>
      <c r="E13" s="16">
        <v>2335.2831999999999</v>
      </c>
      <c r="F13" s="16">
        <v>2685.5756999999999</v>
      </c>
      <c r="H13">
        <v>43</v>
      </c>
      <c r="I13" t="s">
        <v>3475</v>
      </c>
      <c r="K13" s="21" t="s">
        <v>122</v>
      </c>
      <c r="L13" s="21" t="s">
        <v>123</v>
      </c>
      <c r="N13" s="24">
        <v>2292.23</v>
      </c>
      <c r="O13" s="24">
        <v>2636.0645</v>
      </c>
      <c r="P13" s="26">
        <v>10.333333333333334</v>
      </c>
      <c r="Q13" s="27">
        <f t="shared" si="0"/>
        <v>2.3427058216838555E-2</v>
      </c>
    </row>
    <row r="14" spans="1:17" x14ac:dyDescent="0.3">
      <c r="A14" t="s">
        <v>128</v>
      </c>
      <c r="B14" t="s">
        <v>129</v>
      </c>
      <c r="C14" t="s">
        <v>8</v>
      </c>
      <c r="D14" t="s">
        <v>10</v>
      </c>
      <c r="E14" s="16">
        <v>1302.6832999999999</v>
      </c>
      <c r="F14" s="16">
        <v>1498.0858000000001</v>
      </c>
      <c r="H14">
        <v>41</v>
      </c>
      <c r="I14" t="s">
        <v>3748</v>
      </c>
      <c r="K14" s="21" t="s">
        <v>6178</v>
      </c>
      <c r="L14" s="21" t="s">
        <v>6261</v>
      </c>
      <c r="N14" s="24">
        <v>2256.75</v>
      </c>
      <c r="O14" s="24">
        <v>2595.2624999999998</v>
      </c>
      <c r="P14" s="26">
        <v>4</v>
      </c>
      <c r="Q14" s="27">
        <f t="shared" si="0"/>
        <v>2.3064445378888857E-2</v>
      </c>
    </row>
    <row r="15" spans="1:17" x14ac:dyDescent="0.3">
      <c r="A15" t="s">
        <v>39</v>
      </c>
      <c r="B15" t="s">
        <v>40</v>
      </c>
      <c r="C15" t="s">
        <v>8</v>
      </c>
      <c r="D15" t="s">
        <v>10</v>
      </c>
      <c r="E15" s="16">
        <v>2094.1145000000001</v>
      </c>
      <c r="F15" s="16">
        <v>2408.2316999999998</v>
      </c>
      <c r="H15">
        <v>40</v>
      </c>
      <c r="I15" t="s">
        <v>3760</v>
      </c>
      <c r="K15" s="21" t="s">
        <v>148</v>
      </c>
      <c r="L15" s="21" t="s">
        <v>149</v>
      </c>
      <c r="N15" s="24">
        <v>2110.6800000000003</v>
      </c>
      <c r="O15" s="24">
        <v>2427.2819999999997</v>
      </c>
      <c r="P15" s="26">
        <v>41.333333333333336</v>
      </c>
      <c r="Q15" s="27">
        <f t="shared" si="0"/>
        <v>2.1571580180486598E-2</v>
      </c>
    </row>
    <row r="16" spans="1:17" x14ac:dyDescent="0.3">
      <c r="A16" t="s">
        <v>39</v>
      </c>
      <c r="B16" t="s">
        <v>40</v>
      </c>
      <c r="C16" t="s">
        <v>8</v>
      </c>
      <c r="D16" t="s">
        <v>10</v>
      </c>
      <c r="E16" s="16">
        <v>1880.8701000000001</v>
      </c>
      <c r="F16" s="16">
        <v>2163.0007000000001</v>
      </c>
      <c r="H16">
        <v>39</v>
      </c>
      <c r="I16" t="s">
        <v>3935</v>
      </c>
      <c r="K16" s="21" t="s">
        <v>596</v>
      </c>
      <c r="L16" s="21" t="s">
        <v>597</v>
      </c>
      <c r="N16" s="24">
        <v>2028.4153000000001</v>
      </c>
      <c r="O16" s="24">
        <v>2332.6775299999999</v>
      </c>
      <c r="P16" s="26">
        <v>16</v>
      </c>
      <c r="Q16" s="27">
        <f t="shared" si="0"/>
        <v>2.0730817586755244E-2</v>
      </c>
    </row>
    <row r="17" spans="1:17" x14ac:dyDescent="0.3">
      <c r="A17" t="s">
        <v>128</v>
      </c>
      <c r="B17" t="s">
        <v>129</v>
      </c>
      <c r="C17" t="s">
        <v>8</v>
      </c>
      <c r="D17" t="s">
        <v>10</v>
      </c>
      <c r="E17" s="16">
        <v>431.97332999999998</v>
      </c>
      <c r="F17" s="16">
        <v>496.76931999999999</v>
      </c>
      <c r="H17">
        <v>37</v>
      </c>
      <c r="I17" t="s">
        <v>4156</v>
      </c>
      <c r="K17" s="21" t="s">
        <v>120</v>
      </c>
      <c r="L17" s="21" t="s">
        <v>121</v>
      </c>
      <c r="N17" s="24">
        <v>1992.2833000000001</v>
      </c>
      <c r="O17" s="24">
        <v>2291.1257999999998</v>
      </c>
      <c r="P17" s="26">
        <v>4</v>
      </c>
      <c r="Q17" s="27">
        <f t="shared" si="0"/>
        <v>2.0361541797896374E-2</v>
      </c>
    </row>
    <row r="18" spans="1:17" x14ac:dyDescent="0.3">
      <c r="A18" t="s">
        <v>128</v>
      </c>
      <c r="B18" t="s">
        <v>129</v>
      </c>
      <c r="C18" t="s">
        <v>8</v>
      </c>
      <c r="D18" t="s">
        <v>10</v>
      </c>
      <c r="E18" s="16">
        <v>725.81335000000001</v>
      </c>
      <c r="F18" s="16">
        <v>834.68529999999998</v>
      </c>
      <c r="H18">
        <v>37</v>
      </c>
      <c r="I18" t="s">
        <v>4124</v>
      </c>
      <c r="K18" s="21" t="s">
        <v>837</v>
      </c>
      <c r="L18" s="21" t="s">
        <v>838</v>
      </c>
      <c r="N18" s="24">
        <v>1874.2487000000001</v>
      </c>
      <c r="O18" s="24">
        <v>2155.386</v>
      </c>
      <c r="P18" s="26">
        <v>3</v>
      </c>
      <c r="Q18" s="27">
        <f t="shared" si="0"/>
        <v>1.9155204017867845E-2</v>
      </c>
    </row>
    <row r="19" spans="1:17" x14ac:dyDescent="0.3">
      <c r="A19" t="s">
        <v>128</v>
      </c>
      <c r="B19" t="s">
        <v>129</v>
      </c>
      <c r="C19" t="s">
        <v>8</v>
      </c>
      <c r="D19" t="s">
        <v>10</v>
      </c>
      <c r="E19" s="16">
        <v>1092.8667</v>
      </c>
      <c r="F19" s="16">
        <v>1256.7965999999999</v>
      </c>
      <c r="H19">
        <v>35</v>
      </c>
      <c r="I19" t="s">
        <v>4317</v>
      </c>
      <c r="K19" s="21" t="s">
        <v>25</v>
      </c>
      <c r="L19" s="21" t="s">
        <v>26</v>
      </c>
      <c r="N19" s="24">
        <v>1837.37445</v>
      </c>
      <c r="O19" s="24">
        <v>2112.9805999999999</v>
      </c>
      <c r="P19" s="26">
        <v>15.25</v>
      </c>
      <c r="Q19" s="27">
        <f t="shared" si="0"/>
        <v>1.8778341549400807E-2</v>
      </c>
    </row>
    <row r="20" spans="1:17" x14ac:dyDescent="0.3">
      <c r="A20" t="s">
        <v>128</v>
      </c>
      <c r="B20" t="s">
        <v>129</v>
      </c>
      <c r="C20" t="s">
        <v>8</v>
      </c>
      <c r="D20" t="s">
        <v>10</v>
      </c>
      <c r="E20" s="16">
        <v>474.76334000000003</v>
      </c>
      <c r="F20" s="16">
        <v>545.97784000000001</v>
      </c>
      <c r="H20">
        <v>33</v>
      </c>
      <c r="I20" t="s">
        <v>4500</v>
      </c>
      <c r="K20" s="21" t="s">
        <v>1911</v>
      </c>
      <c r="L20" s="21" t="s">
        <v>1912</v>
      </c>
      <c r="N20" s="24">
        <v>1724.6985</v>
      </c>
      <c r="O20" s="24">
        <v>1983.4032999999999</v>
      </c>
      <c r="P20" s="26">
        <v>43</v>
      </c>
      <c r="Q20" s="27">
        <f t="shared" si="0"/>
        <v>1.7626770732115889E-2</v>
      </c>
    </row>
    <row r="21" spans="1:17" x14ac:dyDescent="0.3">
      <c r="A21" t="s">
        <v>128</v>
      </c>
      <c r="B21" t="s">
        <v>129</v>
      </c>
      <c r="C21" t="s">
        <v>8</v>
      </c>
      <c r="D21" t="s">
        <v>10</v>
      </c>
      <c r="E21" s="16">
        <v>890.67334000000005</v>
      </c>
      <c r="F21" s="16">
        <v>1024.2743</v>
      </c>
      <c r="H21">
        <v>31</v>
      </c>
      <c r="I21" t="s">
        <v>4692</v>
      </c>
      <c r="K21" s="21" t="s">
        <v>325</v>
      </c>
      <c r="L21" s="21" t="s">
        <v>326</v>
      </c>
      <c r="N21" s="24">
        <v>1134.5</v>
      </c>
      <c r="O21" s="24">
        <v>1304.675</v>
      </c>
      <c r="P21" s="26">
        <v>6</v>
      </c>
      <c r="Q21" s="27">
        <f t="shared" si="0"/>
        <v>1.1594821438949555E-2</v>
      </c>
    </row>
    <row r="22" spans="1:17" x14ac:dyDescent="0.3">
      <c r="A22" t="s">
        <v>39</v>
      </c>
      <c r="B22" t="s">
        <v>40</v>
      </c>
      <c r="C22" t="s">
        <v>8</v>
      </c>
      <c r="D22" t="s">
        <v>10</v>
      </c>
      <c r="E22" s="16">
        <v>1374.2672</v>
      </c>
      <c r="F22" s="16">
        <v>1580.4073000000001</v>
      </c>
      <c r="H22">
        <v>31</v>
      </c>
      <c r="I22" t="s">
        <v>4584</v>
      </c>
      <c r="K22" s="21" t="s">
        <v>126</v>
      </c>
      <c r="L22" s="21" t="s">
        <v>127</v>
      </c>
      <c r="N22" s="24">
        <v>988.98800000000006</v>
      </c>
      <c r="O22" s="24">
        <v>1137.3362</v>
      </c>
      <c r="P22" s="26">
        <v>36</v>
      </c>
      <c r="Q22" s="27">
        <f t="shared" si="0"/>
        <v>1.0107659114379766E-2</v>
      </c>
    </row>
    <row r="23" spans="1:17" x14ac:dyDescent="0.3">
      <c r="A23" t="s">
        <v>128</v>
      </c>
      <c r="B23" t="s">
        <v>129</v>
      </c>
      <c r="C23" t="s">
        <v>8</v>
      </c>
      <c r="D23" t="s">
        <v>10</v>
      </c>
      <c r="E23" s="16">
        <v>577.52329999999995</v>
      </c>
      <c r="F23" s="16">
        <v>664.15179999999998</v>
      </c>
      <c r="H23">
        <v>29</v>
      </c>
      <c r="I23" t="s">
        <v>4874</v>
      </c>
      <c r="K23" s="21" t="s">
        <v>567</v>
      </c>
      <c r="L23" s="21" t="s">
        <v>568</v>
      </c>
      <c r="N23" s="24">
        <v>984.49009999999998</v>
      </c>
      <c r="O23" s="24">
        <v>1132.1636000000001</v>
      </c>
      <c r="P23" s="26">
        <v>3</v>
      </c>
      <c r="Q23" s="27">
        <f t="shared" si="0"/>
        <v>1.0061689525497393E-2</v>
      </c>
    </row>
    <row r="24" spans="1:17" x14ac:dyDescent="0.3">
      <c r="A24" t="s">
        <v>580</v>
      </c>
      <c r="B24" t="s">
        <v>581</v>
      </c>
      <c r="C24" t="s">
        <v>8</v>
      </c>
      <c r="D24" t="s">
        <v>10</v>
      </c>
      <c r="E24" s="16">
        <v>4828.75</v>
      </c>
      <c r="F24" s="16">
        <v>5553.0625</v>
      </c>
      <c r="H24">
        <v>29</v>
      </c>
      <c r="I24" t="s">
        <v>4854</v>
      </c>
      <c r="K24" s="21" t="s">
        <v>1346</v>
      </c>
      <c r="L24" s="21" t="s">
        <v>1347</v>
      </c>
      <c r="N24" s="24">
        <v>983</v>
      </c>
      <c r="O24" s="24">
        <v>1130.45</v>
      </c>
      <c r="P24" s="26">
        <v>2</v>
      </c>
      <c r="Q24" s="27">
        <f t="shared" si="0"/>
        <v>1.0046460532822755E-2</v>
      </c>
    </row>
    <row r="25" spans="1:17" x14ac:dyDescent="0.3">
      <c r="A25" t="s">
        <v>128</v>
      </c>
      <c r="B25" t="s">
        <v>129</v>
      </c>
      <c r="C25" t="s">
        <v>8</v>
      </c>
      <c r="D25" t="s">
        <v>10</v>
      </c>
      <c r="E25" s="16">
        <v>905.72833000000003</v>
      </c>
      <c r="F25" s="16">
        <v>1041.5875000000001</v>
      </c>
      <c r="H25">
        <v>27</v>
      </c>
      <c r="I25" t="s">
        <v>5011</v>
      </c>
      <c r="K25" s="21" t="s">
        <v>401</v>
      </c>
      <c r="L25" s="21" t="s">
        <v>402</v>
      </c>
      <c r="N25" s="24">
        <v>855.5</v>
      </c>
      <c r="O25" s="24">
        <v>983.82500000000005</v>
      </c>
      <c r="P25" s="26">
        <v>7.6</v>
      </c>
      <c r="Q25" s="27">
        <f t="shared" si="0"/>
        <v>8.7433845227160387E-3</v>
      </c>
    </row>
    <row r="26" spans="1:17" x14ac:dyDescent="0.3">
      <c r="A26" t="s">
        <v>4877</v>
      </c>
      <c r="B26" t="s">
        <v>5340</v>
      </c>
      <c r="C26" t="s">
        <v>8</v>
      </c>
      <c r="D26" t="s">
        <v>10</v>
      </c>
      <c r="E26" s="16">
        <v>22.475000000000001</v>
      </c>
      <c r="F26" s="16">
        <v>25.846250000000001</v>
      </c>
      <c r="H26">
        <v>26</v>
      </c>
      <c r="I26" t="s">
        <v>5341</v>
      </c>
      <c r="K26" s="21" t="s">
        <v>1643</v>
      </c>
      <c r="L26" s="21" t="s">
        <v>1644</v>
      </c>
      <c r="N26" s="24">
        <v>781.79499999999996</v>
      </c>
      <c r="O26" s="24">
        <v>899.06422999999995</v>
      </c>
      <c r="P26" s="26">
        <v>5.5</v>
      </c>
      <c r="Q26" s="27">
        <f t="shared" si="0"/>
        <v>7.9901042090916707E-3</v>
      </c>
    </row>
    <row r="27" spans="1:17" x14ac:dyDescent="0.3">
      <c r="A27" t="s">
        <v>39</v>
      </c>
      <c r="B27" t="s">
        <v>40</v>
      </c>
      <c r="C27" t="s">
        <v>8</v>
      </c>
      <c r="D27" t="s">
        <v>10</v>
      </c>
      <c r="E27" s="16">
        <v>132.3261</v>
      </c>
      <c r="F27" s="16">
        <v>152.17501999999999</v>
      </c>
      <c r="H27">
        <v>26</v>
      </c>
      <c r="I27" t="s">
        <v>5236</v>
      </c>
      <c r="K27" s="21" t="s">
        <v>201</v>
      </c>
      <c r="L27" s="21" t="s">
        <v>202</v>
      </c>
      <c r="N27" s="24">
        <v>743.53152999999998</v>
      </c>
      <c r="O27" s="24">
        <v>855.06125999999995</v>
      </c>
      <c r="P27" s="26">
        <v>5</v>
      </c>
      <c r="Q27" s="27">
        <f t="shared" si="0"/>
        <v>7.5990439220980097E-3</v>
      </c>
    </row>
    <row r="28" spans="1:17" x14ac:dyDescent="0.3">
      <c r="A28" t="s">
        <v>148</v>
      </c>
      <c r="B28" t="s">
        <v>149</v>
      </c>
      <c r="C28" t="s">
        <v>8</v>
      </c>
      <c r="D28" t="s">
        <v>10</v>
      </c>
      <c r="E28" s="16">
        <v>9.84</v>
      </c>
      <c r="F28" s="16">
        <v>11.316000000000001</v>
      </c>
      <c r="H28">
        <v>26</v>
      </c>
      <c r="I28" t="s">
        <v>5344</v>
      </c>
      <c r="K28" s="21" t="s">
        <v>808</v>
      </c>
      <c r="L28" s="21" t="s">
        <v>904</v>
      </c>
      <c r="N28" s="24">
        <v>700.49649999999997</v>
      </c>
      <c r="O28" s="24">
        <v>805.57097999999996</v>
      </c>
      <c r="P28" s="26">
        <v>3</v>
      </c>
      <c r="Q28" s="27">
        <f t="shared" si="0"/>
        <v>7.1592171763079724E-3</v>
      </c>
    </row>
    <row r="29" spans="1:17" x14ac:dyDescent="0.3">
      <c r="A29" t="s">
        <v>871</v>
      </c>
      <c r="B29" t="s">
        <v>3551</v>
      </c>
      <c r="C29" t="s">
        <v>8</v>
      </c>
      <c r="D29" t="s">
        <v>10</v>
      </c>
      <c r="E29" s="16">
        <v>43.5</v>
      </c>
      <c r="F29" s="16">
        <v>50.024999999999999</v>
      </c>
      <c r="H29">
        <v>25</v>
      </c>
      <c r="I29" t="s">
        <v>5561</v>
      </c>
      <c r="K29" s="21" t="s">
        <v>7001</v>
      </c>
      <c r="L29" s="21" t="s">
        <v>7002</v>
      </c>
      <c r="N29" s="24">
        <v>563.34500000000003</v>
      </c>
      <c r="O29" s="24">
        <v>647.84673999999995</v>
      </c>
      <c r="P29" s="26">
        <v>2</v>
      </c>
      <c r="Q29" s="27">
        <f t="shared" si="0"/>
        <v>5.7575007339801705E-3</v>
      </c>
    </row>
    <row r="30" spans="1:17" x14ac:dyDescent="0.3">
      <c r="A30" t="s">
        <v>580</v>
      </c>
      <c r="B30" t="s">
        <v>581</v>
      </c>
      <c r="C30" t="s">
        <v>8</v>
      </c>
      <c r="D30" t="s">
        <v>10</v>
      </c>
      <c r="E30" s="16">
        <v>11.35</v>
      </c>
      <c r="F30" s="16">
        <v>13.0525</v>
      </c>
      <c r="H30">
        <v>25</v>
      </c>
      <c r="I30" t="s">
        <v>5479</v>
      </c>
      <c r="K30" s="21" t="s">
        <v>7118</v>
      </c>
      <c r="L30" s="21" t="s">
        <v>7119</v>
      </c>
      <c r="N30" s="24">
        <v>344.72</v>
      </c>
      <c r="O30" s="24">
        <v>396.428</v>
      </c>
      <c r="P30" s="26">
        <v>3</v>
      </c>
      <c r="Q30" s="27">
        <f t="shared" si="0"/>
        <v>3.5231087231685247E-3</v>
      </c>
    </row>
    <row r="31" spans="1:17" x14ac:dyDescent="0.3">
      <c r="A31" t="s">
        <v>122</v>
      </c>
      <c r="B31" t="s">
        <v>123</v>
      </c>
      <c r="C31" t="s">
        <v>8</v>
      </c>
      <c r="D31" t="s">
        <v>10</v>
      </c>
      <c r="E31" s="16">
        <v>164.25</v>
      </c>
      <c r="F31" s="16">
        <v>188.88749999999999</v>
      </c>
      <c r="H31">
        <v>24</v>
      </c>
      <c r="I31" t="s">
        <v>5583</v>
      </c>
      <c r="K31" s="21" t="s">
        <v>566</v>
      </c>
      <c r="L31" s="21" t="s">
        <v>590</v>
      </c>
      <c r="N31" s="24">
        <v>302.25002999999998</v>
      </c>
      <c r="O31" s="24">
        <v>347.58751999999998</v>
      </c>
      <c r="P31" s="26">
        <v>0</v>
      </c>
      <c r="Q31" s="27">
        <f t="shared" si="0"/>
        <v>3.0890568369956561E-3</v>
      </c>
    </row>
    <row r="32" spans="1:17" x14ac:dyDescent="0.3">
      <c r="A32" t="s">
        <v>128</v>
      </c>
      <c r="B32" t="s">
        <v>129</v>
      </c>
      <c r="C32" t="s">
        <v>8</v>
      </c>
      <c r="D32" t="s">
        <v>10</v>
      </c>
      <c r="E32" s="16">
        <v>648</v>
      </c>
      <c r="F32" s="16">
        <v>745.2</v>
      </c>
      <c r="H32">
        <v>24</v>
      </c>
      <c r="I32" t="s">
        <v>5567</v>
      </c>
      <c r="K32" s="21" t="s">
        <v>858</v>
      </c>
      <c r="L32" s="21" t="s">
        <v>2336</v>
      </c>
      <c r="N32" s="24">
        <v>264.32600000000002</v>
      </c>
      <c r="O32" s="24">
        <v>303.97489999999999</v>
      </c>
      <c r="P32" s="26">
        <v>3</v>
      </c>
      <c r="Q32" s="27">
        <f t="shared" si="0"/>
        <v>2.701465642725236E-3</v>
      </c>
    </row>
    <row r="33" spans="1:17" x14ac:dyDescent="0.3">
      <c r="A33" t="s">
        <v>128</v>
      </c>
      <c r="B33" t="s">
        <v>129</v>
      </c>
      <c r="C33" t="s">
        <v>8</v>
      </c>
      <c r="D33" t="s">
        <v>10</v>
      </c>
      <c r="E33" s="16">
        <v>721.36</v>
      </c>
      <c r="F33" s="16">
        <v>829.56399999999996</v>
      </c>
      <c r="H33">
        <v>22</v>
      </c>
      <c r="I33" t="s">
        <v>5781</v>
      </c>
      <c r="K33" s="21" t="s">
        <v>2267</v>
      </c>
      <c r="L33" s="21" t="s">
        <v>2268</v>
      </c>
      <c r="N33" s="24">
        <v>105</v>
      </c>
      <c r="O33" s="24">
        <v>120.75</v>
      </c>
      <c r="P33" s="26">
        <v>2</v>
      </c>
      <c r="Q33" s="27">
        <f t="shared" si="0"/>
        <v>1.0731214200878831E-3</v>
      </c>
    </row>
    <row r="34" spans="1:17" x14ac:dyDescent="0.3">
      <c r="A34" t="s">
        <v>73</v>
      </c>
      <c r="B34" t="s">
        <v>74</v>
      </c>
      <c r="C34" t="s">
        <v>8</v>
      </c>
      <c r="D34" t="s">
        <v>10</v>
      </c>
      <c r="E34" s="16">
        <v>498.99799999999999</v>
      </c>
      <c r="F34" s="16">
        <v>573.84770000000003</v>
      </c>
      <c r="H34">
        <v>20</v>
      </c>
      <c r="I34" t="s">
        <v>6021</v>
      </c>
      <c r="K34" s="21" t="s">
        <v>875</v>
      </c>
      <c r="L34" s="21" t="s">
        <v>876</v>
      </c>
      <c r="N34" s="24">
        <v>92.837999999999994</v>
      </c>
      <c r="O34" s="24">
        <v>106.7637</v>
      </c>
      <c r="P34" s="26">
        <v>6.5</v>
      </c>
      <c r="Q34" s="27">
        <f t="shared" si="0"/>
        <v>9.4882329902970378E-4</v>
      </c>
    </row>
    <row r="35" spans="1:17" x14ac:dyDescent="0.3">
      <c r="A35" t="s">
        <v>43</v>
      </c>
      <c r="B35" t="s">
        <v>44</v>
      </c>
      <c r="C35" t="s">
        <v>8</v>
      </c>
      <c r="D35" t="s">
        <v>10</v>
      </c>
      <c r="E35" s="16">
        <v>2591.2399999999998</v>
      </c>
      <c r="F35" s="16">
        <v>2979.9259999999999</v>
      </c>
      <c r="H35">
        <v>19</v>
      </c>
      <c r="I35" t="s">
        <v>6059</v>
      </c>
      <c r="K35" s="21" t="s">
        <v>2283</v>
      </c>
      <c r="L35" s="21" t="s">
        <v>2284</v>
      </c>
      <c r="N35" s="24">
        <v>78</v>
      </c>
      <c r="O35" s="24">
        <v>89.7</v>
      </c>
      <c r="P35" s="26">
        <v>23</v>
      </c>
      <c r="Q35" s="27">
        <f t="shared" si="0"/>
        <v>7.9717591206528464E-4</v>
      </c>
    </row>
    <row r="36" spans="1:17" x14ac:dyDescent="0.3">
      <c r="A36" t="s">
        <v>43</v>
      </c>
      <c r="B36" t="s">
        <v>44</v>
      </c>
      <c r="C36" t="s">
        <v>8</v>
      </c>
      <c r="D36" t="s">
        <v>10</v>
      </c>
      <c r="E36" s="16">
        <v>2296.4</v>
      </c>
      <c r="F36" s="16">
        <v>2640.86</v>
      </c>
      <c r="H36">
        <v>19</v>
      </c>
      <c r="I36" t="s">
        <v>6076</v>
      </c>
      <c r="K36" s="21" t="s">
        <v>931</v>
      </c>
      <c r="L36" s="21" t="s">
        <v>1767</v>
      </c>
      <c r="N36" s="24">
        <v>72.55</v>
      </c>
      <c r="O36" s="24">
        <v>83.432500000000005</v>
      </c>
      <c r="P36" s="26">
        <v>0</v>
      </c>
      <c r="Q36" s="27">
        <f t="shared" si="0"/>
        <v>7.4147580026072315E-4</v>
      </c>
    </row>
    <row r="37" spans="1:17" x14ac:dyDescent="0.3">
      <c r="A37" t="s">
        <v>821</v>
      </c>
      <c r="B37" t="s">
        <v>2040</v>
      </c>
      <c r="C37" t="s">
        <v>8</v>
      </c>
      <c r="D37" t="s">
        <v>10</v>
      </c>
      <c r="E37" s="16">
        <v>1286.4000000000001</v>
      </c>
      <c r="F37" s="16">
        <v>1479.36</v>
      </c>
      <c r="H37">
        <v>19</v>
      </c>
      <c r="I37" t="s">
        <v>6035</v>
      </c>
      <c r="K37" s="21" t="s">
        <v>1639</v>
      </c>
      <c r="L37" s="21" t="s">
        <v>1640</v>
      </c>
      <c r="N37" s="24">
        <v>68.25</v>
      </c>
      <c r="O37" s="24">
        <v>78.487499999999997</v>
      </c>
      <c r="P37" s="26">
        <v>3</v>
      </c>
      <c r="Q37" s="27">
        <f t="shared" si="0"/>
        <v>6.97528923057124E-4</v>
      </c>
    </row>
    <row r="38" spans="1:17" x14ac:dyDescent="0.3">
      <c r="A38" t="s">
        <v>43</v>
      </c>
      <c r="B38" t="s">
        <v>44</v>
      </c>
      <c r="C38" t="s">
        <v>8</v>
      </c>
      <c r="D38" t="s">
        <v>10</v>
      </c>
      <c r="E38" s="16">
        <v>10101.34</v>
      </c>
      <c r="F38" s="16">
        <v>11616.540999999999</v>
      </c>
      <c r="H38">
        <v>19</v>
      </c>
      <c r="I38" t="s">
        <v>6071</v>
      </c>
      <c r="K38" s="21" t="s">
        <v>5154</v>
      </c>
      <c r="L38" s="21" t="s">
        <v>5155</v>
      </c>
      <c r="N38" s="24">
        <v>60</v>
      </c>
      <c r="O38" s="24">
        <v>69</v>
      </c>
      <c r="P38" s="26">
        <v>3</v>
      </c>
      <c r="Q38" s="27">
        <f t="shared" si="0"/>
        <v>6.1321224005021898E-4</v>
      </c>
    </row>
    <row r="39" spans="1:17" x14ac:dyDescent="0.3">
      <c r="A39" t="s">
        <v>821</v>
      </c>
      <c r="B39" t="s">
        <v>2040</v>
      </c>
      <c r="C39" t="s">
        <v>8</v>
      </c>
      <c r="D39" t="s">
        <v>10</v>
      </c>
      <c r="E39" s="16">
        <v>659.12</v>
      </c>
      <c r="F39" s="16">
        <v>757.98800000000006</v>
      </c>
      <c r="H39">
        <v>19</v>
      </c>
      <c r="I39" t="s">
        <v>6056</v>
      </c>
      <c r="K39" s="21" t="s">
        <v>5293</v>
      </c>
      <c r="L39" s="21" t="s">
        <v>5294</v>
      </c>
      <c r="N39" s="24">
        <v>10.83</v>
      </c>
      <c r="O39" s="24">
        <v>12.454499999999999</v>
      </c>
      <c r="P39" s="26">
        <v>3</v>
      </c>
      <c r="Q39" s="27">
        <f t="shared" si="0"/>
        <v>1.1068480932906451E-4</v>
      </c>
    </row>
    <row r="40" spans="1:17" x14ac:dyDescent="0.3">
      <c r="A40" t="s">
        <v>821</v>
      </c>
      <c r="B40" t="s">
        <v>2040</v>
      </c>
      <c r="C40" t="s">
        <v>8</v>
      </c>
      <c r="D40" t="s">
        <v>10</v>
      </c>
      <c r="E40" s="16">
        <v>267.89999999999998</v>
      </c>
      <c r="F40" s="16">
        <v>308.08499999999998</v>
      </c>
      <c r="H40">
        <v>19</v>
      </c>
      <c r="I40" t="s">
        <v>6048</v>
      </c>
      <c r="K40" s="21" t="s">
        <v>7187</v>
      </c>
      <c r="L40" s="21" t="s">
        <v>7188</v>
      </c>
      <c r="N40" s="24">
        <v>4.34</v>
      </c>
      <c r="O40" s="24">
        <v>4.9909999999999997</v>
      </c>
      <c r="P40" s="26">
        <v>2</v>
      </c>
      <c r="Q40" s="27">
        <f t="shared" si="0"/>
        <v>4.4355685363632503E-5</v>
      </c>
    </row>
    <row r="41" spans="1:17" x14ac:dyDescent="0.3">
      <c r="A41" t="s">
        <v>39</v>
      </c>
      <c r="B41" t="s">
        <v>40</v>
      </c>
      <c r="C41" t="s">
        <v>8</v>
      </c>
      <c r="D41" t="s">
        <v>10</v>
      </c>
      <c r="E41" s="16">
        <v>2524.1394</v>
      </c>
      <c r="F41" s="16">
        <v>2902.7602999999999</v>
      </c>
      <c r="H41">
        <v>18</v>
      </c>
      <c r="I41" t="s">
        <v>6124</v>
      </c>
      <c r="K41" s="21" t="s">
        <v>316</v>
      </c>
      <c r="N41" s="24">
        <v>97845.405389999956</v>
      </c>
      <c r="O41" s="24">
        <v>112522.21578999997</v>
      </c>
      <c r="P41" s="26">
        <v>13.640776699029127</v>
      </c>
      <c r="Q41" s="27">
        <f t="shared" si="0"/>
        <v>1</v>
      </c>
    </row>
    <row r="42" spans="1:17" x14ac:dyDescent="0.3">
      <c r="A42" t="s">
        <v>128</v>
      </c>
      <c r="B42" t="s">
        <v>129</v>
      </c>
      <c r="C42" t="s">
        <v>8</v>
      </c>
      <c r="D42" t="s">
        <v>10</v>
      </c>
      <c r="E42" s="16">
        <v>599.34500000000003</v>
      </c>
      <c r="F42" s="16">
        <v>689.24676999999997</v>
      </c>
      <c r="H42">
        <v>18</v>
      </c>
      <c r="I42" t="s">
        <v>6126</v>
      </c>
      <c r="N42"/>
      <c r="O42"/>
      <c r="P42"/>
      <c r="Q42" s="27">
        <f t="shared" si="0"/>
        <v>0</v>
      </c>
    </row>
    <row r="43" spans="1:17" x14ac:dyDescent="0.3">
      <c r="A43" t="s">
        <v>43</v>
      </c>
      <c r="B43" t="s">
        <v>44</v>
      </c>
      <c r="C43" t="s">
        <v>8</v>
      </c>
      <c r="D43" t="s">
        <v>10</v>
      </c>
      <c r="E43" s="16">
        <v>1762.25</v>
      </c>
      <c r="F43" s="16">
        <v>2026.5875000000001</v>
      </c>
      <c r="H43">
        <v>18</v>
      </c>
      <c r="I43" t="s">
        <v>6125</v>
      </c>
      <c r="N43"/>
      <c r="O43"/>
      <c r="P43"/>
      <c r="Q43" s="27">
        <f t="shared" si="0"/>
        <v>0</v>
      </c>
    </row>
    <row r="44" spans="1:17" x14ac:dyDescent="0.3">
      <c r="A44" t="s">
        <v>43</v>
      </c>
      <c r="B44" t="s">
        <v>44</v>
      </c>
      <c r="C44" t="s">
        <v>8</v>
      </c>
      <c r="D44" t="s">
        <v>10</v>
      </c>
      <c r="E44" s="16">
        <v>3183.64</v>
      </c>
      <c r="F44" s="16">
        <v>3661.1860000000001</v>
      </c>
      <c r="H44">
        <v>18</v>
      </c>
      <c r="I44" t="s">
        <v>6121</v>
      </c>
      <c r="N44"/>
      <c r="O44"/>
      <c r="P44"/>
      <c r="Q44" s="27">
        <f t="shared" si="0"/>
        <v>0</v>
      </c>
    </row>
    <row r="45" spans="1:17" x14ac:dyDescent="0.3">
      <c r="A45" t="s">
        <v>118</v>
      </c>
      <c r="B45" t="s">
        <v>119</v>
      </c>
      <c r="C45" t="s">
        <v>8</v>
      </c>
      <c r="D45" t="s">
        <v>10</v>
      </c>
      <c r="E45" s="16">
        <v>313.2</v>
      </c>
      <c r="F45" s="16">
        <v>360.18</v>
      </c>
      <c r="H45">
        <v>17</v>
      </c>
      <c r="I45" t="s">
        <v>6134</v>
      </c>
      <c r="N45"/>
      <c r="O45"/>
      <c r="P45"/>
      <c r="Q45" s="27">
        <f t="shared" si="0"/>
        <v>0</v>
      </c>
    </row>
    <row r="46" spans="1:17" x14ac:dyDescent="0.3">
      <c r="A46" t="s">
        <v>128</v>
      </c>
      <c r="B46" t="s">
        <v>129</v>
      </c>
      <c r="C46" t="s">
        <v>8</v>
      </c>
      <c r="D46" t="s">
        <v>10</v>
      </c>
      <c r="E46" s="16">
        <v>296.84500000000003</v>
      </c>
      <c r="F46" s="16">
        <v>341.37177000000003</v>
      </c>
      <c r="H46">
        <v>17</v>
      </c>
      <c r="I46" t="s">
        <v>6165</v>
      </c>
      <c r="N46"/>
      <c r="O46"/>
      <c r="P46"/>
      <c r="Q46" s="27">
        <f t="shared" si="0"/>
        <v>0</v>
      </c>
    </row>
    <row r="47" spans="1:17" x14ac:dyDescent="0.3">
      <c r="A47" t="s">
        <v>325</v>
      </c>
      <c r="B47" t="s">
        <v>326</v>
      </c>
      <c r="C47" t="s">
        <v>8</v>
      </c>
      <c r="D47" t="s">
        <v>10</v>
      </c>
      <c r="E47" s="16">
        <v>517</v>
      </c>
      <c r="F47" s="16">
        <v>594.54999999999995</v>
      </c>
      <c r="H47">
        <v>17</v>
      </c>
      <c r="I47" t="s">
        <v>6137</v>
      </c>
      <c r="N47"/>
      <c r="O47"/>
      <c r="P47"/>
      <c r="Q47" s="27">
        <f t="shared" si="0"/>
        <v>0</v>
      </c>
    </row>
    <row r="48" spans="1:17" x14ac:dyDescent="0.3">
      <c r="A48" t="s">
        <v>57</v>
      </c>
      <c r="B48" t="s">
        <v>58</v>
      </c>
      <c r="C48" t="s">
        <v>8</v>
      </c>
      <c r="D48" t="s">
        <v>10</v>
      </c>
      <c r="E48" s="16">
        <v>1316.2</v>
      </c>
      <c r="F48" s="16">
        <v>1513.63</v>
      </c>
      <c r="H48">
        <v>16</v>
      </c>
      <c r="I48" t="s">
        <v>6177</v>
      </c>
      <c r="N48"/>
      <c r="O48"/>
      <c r="P48"/>
      <c r="Q48" s="27">
        <f t="shared" si="0"/>
        <v>0</v>
      </c>
    </row>
    <row r="49" spans="1:17" x14ac:dyDescent="0.3">
      <c r="A49" t="s">
        <v>65</v>
      </c>
      <c r="B49" t="s">
        <v>66</v>
      </c>
      <c r="C49" t="s">
        <v>8</v>
      </c>
      <c r="D49" t="s">
        <v>10</v>
      </c>
      <c r="E49" s="16">
        <v>2088.5117</v>
      </c>
      <c r="F49" s="16">
        <v>2401.7883000000002</v>
      </c>
      <c r="H49">
        <v>16</v>
      </c>
      <c r="I49" t="s">
        <v>6174</v>
      </c>
      <c r="N49"/>
      <c r="O49"/>
      <c r="P49"/>
      <c r="Q49" s="27">
        <f t="shared" si="0"/>
        <v>0</v>
      </c>
    </row>
    <row r="50" spans="1:17" x14ac:dyDescent="0.3">
      <c r="A50" t="s">
        <v>199</v>
      </c>
      <c r="B50" t="s">
        <v>200</v>
      </c>
      <c r="C50" t="s">
        <v>8</v>
      </c>
      <c r="D50" t="s">
        <v>10</v>
      </c>
      <c r="E50" s="16">
        <v>917.4</v>
      </c>
      <c r="F50" s="16">
        <v>1055.01</v>
      </c>
      <c r="H50">
        <v>16</v>
      </c>
      <c r="I50" t="s">
        <v>6173</v>
      </c>
      <c r="N50"/>
      <c r="O50"/>
      <c r="P50"/>
      <c r="Q50" s="27">
        <f t="shared" si="0"/>
        <v>0</v>
      </c>
    </row>
    <row r="51" spans="1:17" x14ac:dyDescent="0.3">
      <c r="A51" t="s">
        <v>60</v>
      </c>
      <c r="B51" t="s">
        <v>61</v>
      </c>
      <c r="C51" t="s">
        <v>8</v>
      </c>
      <c r="D51" t="s">
        <v>38</v>
      </c>
      <c r="E51" s="16">
        <v>1448.92</v>
      </c>
      <c r="F51" s="16">
        <v>1666.258</v>
      </c>
      <c r="H51">
        <v>16</v>
      </c>
      <c r="I51" t="s">
        <v>6245</v>
      </c>
      <c r="N51"/>
      <c r="O51"/>
      <c r="P51"/>
      <c r="Q51" s="27">
        <f t="shared" si="0"/>
        <v>0</v>
      </c>
    </row>
    <row r="52" spans="1:17" x14ac:dyDescent="0.3">
      <c r="A52" t="s">
        <v>39</v>
      </c>
      <c r="B52" t="s">
        <v>40</v>
      </c>
      <c r="C52" t="s">
        <v>8</v>
      </c>
      <c r="D52" t="s">
        <v>10</v>
      </c>
      <c r="E52" s="16">
        <v>3438.0713000000001</v>
      </c>
      <c r="F52" s="16">
        <v>3953.7820000000002</v>
      </c>
      <c r="H52">
        <v>15</v>
      </c>
      <c r="I52" t="s">
        <v>6278</v>
      </c>
      <c r="N52"/>
      <c r="O52"/>
      <c r="P52"/>
      <c r="Q52" s="27">
        <f t="shared" si="0"/>
        <v>0</v>
      </c>
    </row>
    <row r="53" spans="1:17" x14ac:dyDescent="0.3">
      <c r="A53" t="s">
        <v>435</v>
      </c>
      <c r="B53" t="s">
        <v>436</v>
      </c>
      <c r="C53" t="s">
        <v>8</v>
      </c>
      <c r="D53" t="s">
        <v>38</v>
      </c>
      <c r="E53" s="16">
        <v>47.32</v>
      </c>
      <c r="F53" s="16">
        <v>54.417999999999999</v>
      </c>
      <c r="H53">
        <v>15</v>
      </c>
      <c r="I53" t="s">
        <v>6287</v>
      </c>
      <c r="N53"/>
      <c r="O53"/>
      <c r="P53"/>
      <c r="Q53" s="27">
        <f t="shared" si="0"/>
        <v>0</v>
      </c>
    </row>
    <row r="54" spans="1:17" x14ac:dyDescent="0.3">
      <c r="A54" t="s">
        <v>65</v>
      </c>
      <c r="B54" t="s">
        <v>66</v>
      </c>
      <c r="C54" t="s">
        <v>8</v>
      </c>
      <c r="D54" t="s">
        <v>10</v>
      </c>
      <c r="E54" s="16">
        <v>3650.0178000000001</v>
      </c>
      <c r="F54" s="16">
        <v>4197.5204999999996</v>
      </c>
      <c r="H54">
        <v>15</v>
      </c>
      <c r="I54" t="s">
        <v>6283</v>
      </c>
      <c r="N54"/>
      <c r="O54"/>
      <c r="P54"/>
      <c r="Q54" s="27">
        <f t="shared" si="0"/>
        <v>0</v>
      </c>
    </row>
    <row r="55" spans="1:17" x14ac:dyDescent="0.3">
      <c r="A55" t="s">
        <v>65</v>
      </c>
      <c r="B55" t="s">
        <v>66</v>
      </c>
      <c r="C55" t="s">
        <v>8</v>
      </c>
      <c r="D55" t="s">
        <v>10</v>
      </c>
      <c r="E55" s="16">
        <v>3198.0111999999999</v>
      </c>
      <c r="F55" s="16">
        <v>3677.7130000000002</v>
      </c>
      <c r="H55">
        <v>14</v>
      </c>
      <c r="I55" t="s">
        <v>6348</v>
      </c>
      <c r="N55"/>
      <c r="O55"/>
      <c r="P55"/>
      <c r="Q55" s="27">
        <f t="shared" si="0"/>
        <v>0</v>
      </c>
    </row>
    <row r="56" spans="1:17" x14ac:dyDescent="0.3">
      <c r="A56" t="s">
        <v>65</v>
      </c>
      <c r="B56" t="s">
        <v>66</v>
      </c>
      <c r="C56" t="s">
        <v>8</v>
      </c>
      <c r="D56" t="s">
        <v>10</v>
      </c>
      <c r="E56" s="16">
        <v>4109.1122999999998</v>
      </c>
      <c r="F56" s="16">
        <v>4725.4790000000003</v>
      </c>
      <c r="H56">
        <v>13</v>
      </c>
      <c r="I56" t="s">
        <v>6368</v>
      </c>
      <c r="N56"/>
      <c r="O56"/>
      <c r="P56"/>
      <c r="Q56" s="29">
        <f t="shared" si="0"/>
        <v>0</v>
      </c>
    </row>
    <row r="57" spans="1:17" x14ac:dyDescent="0.3">
      <c r="A57" t="s">
        <v>39</v>
      </c>
      <c r="B57" t="s">
        <v>40</v>
      </c>
      <c r="C57" t="s">
        <v>8</v>
      </c>
      <c r="D57" t="s">
        <v>38</v>
      </c>
      <c r="E57" s="16">
        <v>60.521599999999999</v>
      </c>
      <c r="F57" s="16">
        <v>69.59984</v>
      </c>
      <c r="H57">
        <v>13</v>
      </c>
      <c r="I57" t="s">
        <v>6380</v>
      </c>
      <c r="N57"/>
      <c r="O57"/>
      <c r="P57"/>
    </row>
    <row r="58" spans="1:17" x14ac:dyDescent="0.3">
      <c r="A58" t="s">
        <v>65</v>
      </c>
      <c r="B58" t="s">
        <v>66</v>
      </c>
      <c r="C58" t="s">
        <v>8</v>
      </c>
      <c r="D58" t="s">
        <v>10</v>
      </c>
      <c r="E58" s="16">
        <v>6589.0146000000004</v>
      </c>
      <c r="F58" s="16">
        <v>7577.3666999999996</v>
      </c>
      <c r="H58">
        <v>13</v>
      </c>
      <c r="I58" t="s">
        <v>6401</v>
      </c>
      <c r="N58"/>
      <c r="O58"/>
      <c r="P58"/>
    </row>
    <row r="59" spans="1:17" x14ac:dyDescent="0.3">
      <c r="A59" t="s">
        <v>39</v>
      </c>
      <c r="B59" t="s">
        <v>40</v>
      </c>
      <c r="C59" t="s">
        <v>8</v>
      </c>
      <c r="D59" t="s">
        <v>10</v>
      </c>
      <c r="E59" s="16">
        <v>3214.9535999999998</v>
      </c>
      <c r="F59" s="16">
        <v>3697.1968000000002</v>
      </c>
      <c r="H59">
        <v>13</v>
      </c>
      <c r="I59" t="s">
        <v>6370</v>
      </c>
      <c r="N59"/>
      <c r="O59"/>
      <c r="P59"/>
    </row>
    <row r="60" spans="1:17" x14ac:dyDescent="0.3">
      <c r="A60" t="s">
        <v>73</v>
      </c>
      <c r="B60" t="s">
        <v>74</v>
      </c>
      <c r="C60" t="s">
        <v>8</v>
      </c>
      <c r="D60" t="s">
        <v>10</v>
      </c>
      <c r="E60" s="16">
        <v>787.34100000000001</v>
      </c>
      <c r="F60" s="16">
        <v>905.44213999999999</v>
      </c>
      <c r="H60">
        <v>12</v>
      </c>
      <c r="I60" t="s">
        <v>6447</v>
      </c>
      <c r="N60"/>
      <c r="O60"/>
      <c r="P60"/>
    </row>
    <row r="61" spans="1:17" x14ac:dyDescent="0.3">
      <c r="A61" t="s">
        <v>39</v>
      </c>
      <c r="B61" t="s">
        <v>40</v>
      </c>
      <c r="C61" t="s">
        <v>8</v>
      </c>
      <c r="D61" t="s">
        <v>38</v>
      </c>
      <c r="E61" s="16">
        <v>2271.2658999999999</v>
      </c>
      <c r="F61" s="16">
        <v>2611.9558000000002</v>
      </c>
      <c r="H61">
        <v>12</v>
      </c>
      <c r="I61" t="s">
        <v>6489</v>
      </c>
      <c r="N61"/>
      <c r="O61"/>
      <c r="P61"/>
    </row>
    <row r="62" spans="1:17" x14ac:dyDescent="0.3">
      <c r="A62" t="s">
        <v>39</v>
      </c>
      <c r="B62" t="s">
        <v>40</v>
      </c>
      <c r="C62" t="s">
        <v>8</v>
      </c>
      <c r="D62" t="s">
        <v>38</v>
      </c>
      <c r="E62" s="16">
        <v>1023.70734</v>
      </c>
      <c r="F62" s="16">
        <v>1177.2634</v>
      </c>
      <c r="H62">
        <v>12</v>
      </c>
      <c r="I62" t="s">
        <v>6512</v>
      </c>
      <c r="N62"/>
      <c r="O62"/>
      <c r="P62"/>
    </row>
    <row r="63" spans="1:17" x14ac:dyDescent="0.3">
      <c r="A63" t="s">
        <v>65</v>
      </c>
      <c r="B63" t="s">
        <v>66</v>
      </c>
      <c r="C63" t="s">
        <v>8</v>
      </c>
      <c r="D63" t="s">
        <v>10</v>
      </c>
      <c r="E63" s="16">
        <v>3478.1995000000002</v>
      </c>
      <c r="F63" s="16">
        <v>3999.9292</v>
      </c>
      <c r="H63">
        <v>11</v>
      </c>
      <c r="I63" t="s">
        <v>6538</v>
      </c>
      <c r="N63"/>
      <c r="O63"/>
      <c r="P63"/>
    </row>
    <row r="64" spans="1:17" x14ac:dyDescent="0.3">
      <c r="A64" t="s">
        <v>65</v>
      </c>
      <c r="B64" t="s">
        <v>66</v>
      </c>
      <c r="C64" t="s">
        <v>8</v>
      </c>
      <c r="D64" t="s">
        <v>10</v>
      </c>
      <c r="E64" s="16">
        <v>3478.1995000000002</v>
      </c>
      <c r="F64" s="16">
        <v>3999.9292</v>
      </c>
      <c r="H64">
        <v>11</v>
      </c>
      <c r="I64" t="s">
        <v>6529</v>
      </c>
      <c r="N64"/>
      <c r="O64"/>
      <c r="P64"/>
    </row>
    <row r="65" spans="1:16" x14ac:dyDescent="0.3">
      <c r="A65" t="s">
        <v>65</v>
      </c>
      <c r="B65" t="s">
        <v>66</v>
      </c>
      <c r="C65" t="s">
        <v>8</v>
      </c>
      <c r="D65" t="s">
        <v>10</v>
      </c>
      <c r="E65" s="16">
        <v>3478.1995000000002</v>
      </c>
      <c r="F65" s="16">
        <v>3999.9292</v>
      </c>
      <c r="H65">
        <v>11</v>
      </c>
      <c r="I65" t="s">
        <v>6523</v>
      </c>
      <c r="N65"/>
      <c r="O65"/>
      <c r="P65"/>
    </row>
    <row r="66" spans="1:16" x14ac:dyDescent="0.3">
      <c r="A66" t="s">
        <v>65</v>
      </c>
      <c r="B66" t="s">
        <v>66</v>
      </c>
      <c r="C66" t="s">
        <v>8</v>
      </c>
      <c r="D66" t="s">
        <v>10</v>
      </c>
      <c r="E66" s="16">
        <v>3478.1995000000002</v>
      </c>
      <c r="F66" s="16">
        <v>3999.9292</v>
      </c>
      <c r="H66">
        <v>11</v>
      </c>
      <c r="I66" t="s">
        <v>6528</v>
      </c>
      <c r="N66"/>
      <c r="O66"/>
      <c r="P66"/>
    </row>
    <row r="67" spans="1:16" x14ac:dyDescent="0.3">
      <c r="A67" t="s">
        <v>60</v>
      </c>
      <c r="B67" t="s">
        <v>61</v>
      </c>
      <c r="C67" t="s">
        <v>8</v>
      </c>
      <c r="D67" t="s">
        <v>38</v>
      </c>
      <c r="E67" s="16">
        <v>961.1</v>
      </c>
      <c r="F67" s="16">
        <v>1105.2650000000001</v>
      </c>
      <c r="H67">
        <v>11</v>
      </c>
      <c r="I67" t="s">
        <v>6525</v>
      </c>
      <c r="N67"/>
      <c r="O67"/>
      <c r="P67"/>
    </row>
    <row r="68" spans="1:16" x14ac:dyDescent="0.3">
      <c r="A68" t="s">
        <v>65</v>
      </c>
      <c r="B68" t="s">
        <v>66</v>
      </c>
      <c r="C68" t="s">
        <v>8</v>
      </c>
      <c r="D68" t="s">
        <v>10</v>
      </c>
      <c r="E68" s="16">
        <v>4714.8926000000001</v>
      </c>
      <c r="F68" s="16">
        <v>5422.1265000000003</v>
      </c>
      <c r="H68">
        <v>11</v>
      </c>
      <c r="I68" t="s">
        <v>6522</v>
      </c>
      <c r="N68"/>
      <c r="O68"/>
      <c r="P68"/>
    </row>
    <row r="69" spans="1:16" x14ac:dyDescent="0.3">
      <c r="A69" t="s">
        <v>65</v>
      </c>
      <c r="B69" t="s">
        <v>66</v>
      </c>
      <c r="C69" t="s">
        <v>8</v>
      </c>
      <c r="D69" t="s">
        <v>10</v>
      </c>
      <c r="E69" s="16">
        <v>3478.1995000000002</v>
      </c>
      <c r="F69" s="16">
        <v>3999.9292</v>
      </c>
      <c r="H69">
        <v>11</v>
      </c>
      <c r="I69" t="s">
        <v>6516</v>
      </c>
      <c r="N69"/>
      <c r="O69"/>
      <c r="P69"/>
    </row>
    <row r="70" spans="1:16" x14ac:dyDescent="0.3">
      <c r="A70" t="s">
        <v>65</v>
      </c>
      <c r="B70" t="s">
        <v>66</v>
      </c>
      <c r="C70" t="s">
        <v>8</v>
      </c>
      <c r="D70" t="s">
        <v>10</v>
      </c>
      <c r="E70" s="16">
        <v>3478.1995000000002</v>
      </c>
      <c r="F70" s="16">
        <v>3999.9292</v>
      </c>
      <c r="H70">
        <v>11</v>
      </c>
      <c r="I70" t="s">
        <v>6545</v>
      </c>
      <c r="N70"/>
      <c r="O70"/>
      <c r="P70"/>
    </row>
    <row r="71" spans="1:16" x14ac:dyDescent="0.3">
      <c r="A71" t="s">
        <v>2290</v>
      </c>
      <c r="B71" t="s">
        <v>2291</v>
      </c>
      <c r="C71" t="s">
        <v>8</v>
      </c>
      <c r="D71" t="s">
        <v>10</v>
      </c>
      <c r="E71" s="16">
        <v>67.941670000000002</v>
      </c>
      <c r="F71" s="16">
        <v>78.132919999999999</v>
      </c>
      <c r="H71">
        <v>10</v>
      </c>
      <c r="I71" t="s">
        <v>6596</v>
      </c>
      <c r="N71"/>
      <c r="O71"/>
      <c r="P71"/>
    </row>
    <row r="72" spans="1:16" x14ac:dyDescent="0.3">
      <c r="A72" t="s">
        <v>65</v>
      </c>
      <c r="B72" t="s">
        <v>66</v>
      </c>
      <c r="C72" t="s">
        <v>8</v>
      </c>
      <c r="D72" t="s">
        <v>10</v>
      </c>
      <c r="E72" s="16">
        <v>4347.7489999999998</v>
      </c>
      <c r="F72" s="16">
        <v>4999.9116000000004</v>
      </c>
      <c r="H72">
        <v>10</v>
      </c>
      <c r="I72" t="s">
        <v>6654</v>
      </c>
    </row>
    <row r="73" spans="1:16" x14ac:dyDescent="0.3">
      <c r="A73" t="s">
        <v>65</v>
      </c>
      <c r="B73" t="s">
        <v>66</v>
      </c>
      <c r="C73" t="s">
        <v>8</v>
      </c>
      <c r="D73" t="s">
        <v>10</v>
      </c>
      <c r="E73" s="16">
        <v>4504.0200000000004</v>
      </c>
      <c r="F73" s="16">
        <v>5179.6229999999996</v>
      </c>
      <c r="H73">
        <v>10</v>
      </c>
      <c r="I73" t="s">
        <v>6647</v>
      </c>
    </row>
    <row r="74" spans="1:16" x14ac:dyDescent="0.3">
      <c r="A74" t="s">
        <v>65</v>
      </c>
      <c r="B74" t="s">
        <v>66</v>
      </c>
      <c r="C74" t="s">
        <v>8</v>
      </c>
      <c r="D74" t="s">
        <v>10</v>
      </c>
      <c r="E74" s="16">
        <v>5526.4660000000003</v>
      </c>
      <c r="F74" s="16">
        <v>6355.4354999999996</v>
      </c>
      <c r="H74">
        <v>10</v>
      </c>
      <c r="I74" t="s">
        <v>6635</v>
      </c>
    </row>
    <row r="75" spans="1:16" x14ac:dyDescent="0.3">
      <c r="A75" t="s">
        <v>122</v>
      </c>
      <c r="B75" t="s">
        <v>123</v>
      </c>
      <c r="C75" t="s">
        <v>8</v>
      </c>
      <c r="D75" t="s">
        <v>10</v>
      </c>
      <c r="E75" s="16">
        <v>1119</v>
      </c>
      <c r="F75" s="16">
        <v>1286.8499999999999</v>
      </c>
      <c r="H75">
        <v>10</v>
      </c>
      <c r="I75" t="s">
        <v>6649</v>
      </c>
    </row>
    <row r="76" spans="1:16" x14ac:dyDescent="0.3">
      <c r="A76" t="s">
        <v>128</v>
      </c>
      <c r="B76" t="s">
        <v>129</v>
      </c>
      <c r="C76" t="s">
        <v>8</v>
      </c>
      <c r="D76" t="s">
        <v>10</v>
      </c>
      <c r="E76" s="16">
        <v>1290.8</v>
      </c>
      <c r="F76" s="16">
        <v>1484.42</v>
      </c>
      <c r="H76">
        <v>10</v>
      </c>
      <c r="I76" t="s">
        <v>7268</v>
      </c>
    </row>
    <row r="77" spans="1:16" x14ac:dyDescent="0.3">
      <c r="A77" t="s">
        <v>130</v>
      </c>
      <c r="B77" t="s">
        <v>131</v>
      </c>
      <c r="C77" t="s">
        <v>8</v>
      </c>
      <c r="D77" t="s">
        <v>10</v>
      </c>
      <c r="E77" s="16">
        <v>1054.95</v>
      </c>
      <c r="F77" s="16">
        <v>1213.1925000000001</v>
      </c>
      <c r="H77">
        <v>10</v>
      </c>
      <c r="I77" t="s">
        <v>6622</v>
      </c>
    </row>
    <row r="78" spans="1:16" x14ac:dyDescent="0.3">
      <c r="A78" t="s">
        <v>2166</v>
      </c>
      <c r="B78" t="s">
        <v>2167</v>
      </c>
      <c r="C78" t="s">
        <v>8</v>
      </c>
      <c r="D78" t="s">
        <v>10</v>
      </c>
      <c r="E78" s="16">
        <v>2032.6451</v>
      </c>
      <c r="F78" s="16">
        <v>2337.5419999999999</v>
      </c>
      <c r="H78">
        <v>10</v>
      </c>
      <c r="I78" t="s">
        <v>6551</v>
      </c>
    </row>
    <row r="79" spans="1:16" x14ac:dyDescent="0.3">
      <c r="A79" t="s">
        <v>65</v>
      </c>
      <c r="B79" t="s">
        <v>66</v>
      </c>
      <c r="C79" t="s">
        <v>8</v>
      </c>
      <c r="D79" t="s">
        <v>10</v>
      </c>
      <c r="E79" s="16">
        <v>3478.1995000000002</v>
      </c>
      <c r="F79" s="16">
        <v>3999.9292</v>
      </c>
      <c r="H79">
        <v>10</v>
      </c>
      <c r="I79" t="s">
        <v>6517</v>
      </c>
    </row>
    <row r="80" spans="1:16" x14ac:dyDescent="0.3">
      <c r="A80" t="s">
        <v>65</v>
      </c>
      <c r="B80" t="s">
        <v>66</v>
      </c>
      <c r="C80" t="s">
        <v>8</v>
      </c>
      <c r="D80" t="s">
        <v>10</v>
      </c>
      <c r="E80" s="16">
        <v>3478.1995000000002</v>
      </c>
      <c r="F80" s="16">
        <v>3999.9292</v>
      </c>
      <c r="H80">
        <v>10</v>
      </c>
      <c r="I80" t="s">
        <v>6646</v>
      </c>
    </row>
    <row r="81" spans="1:9" x14ac:dyDescent="0.3">
      <c r="A81" t="s">
        <v>65</v>
      </c>
      <c r="B81" t="s">
        <v>66</v>
      </c>
      <c r="C81" t="s">
        <v>8</v>
      </c>
      <c r="D81" t="s">
        <v>10</v>
      </c>
      <c r="E81" s="16">
        <v>4927.4489999999996</v>
      </c>
      <c r="F81" s="16">
        <v>5666.5663999999997</v>
      </c>
      <c r="H81">
        <v>10</v>
      </c>
      <c r="I81" t="s">
        <v>6630</v>
      </c>
    </row>
    <row r="82" spans="1:9" x14ac:dyDescent="0.3">
      <c r="A82" t="s">
        <v>749</v>
      </c>
      <c r="B82" t="s">
        <v>750</v>
      </c>
      <c r="C82" t="s">
        <v>8</v>
      </c>
      <c r="D82" t="s">
        <v>10</v>
      </c>
      <c r="E82" s="16">
        <v>32.75</v>
      </c>
      <c r="F82" s="16">
        <v>37.662500000000001</v>
      </c>
      <c r="H82">
        <v>10</v>
      </c>
      <c r="I82" t="s">
        <v>6569</v>
      </c>
    </row>
    <row r="83" spans="1:9" x14ac:dyDescent="0.3">
      <c r="A83" t="s">
        <v>65</v>
      </c>
      <c r="B83" t="s">
        <v>66</v>
      </c>
      <c r="C83" t="s">
        <v>8</v>
      </c>
      <c r="D83" t="s">
        <v>10</v>
      </c>
      <c r="E83" s="16">
        <v>3478.1995000000002</v>
      </c>
      <c r="F83" s="16">
        <v>3999.9292</v>
      </c>
      <c r="H83">
        <v>10</v>
      </c>
      <c r="I83" t="s">
        <v>6655</v>
      </c>
    </row>
    <row r="84" spans="1:9" x14ac:dyDescent="0.3">
      <c r="A84" t="s">
        <v>39</v>
      </c>
      <c r="B84" t="s">
        <v>40</v>
      </c>
      <c r="C84" t="s">
        <v>8</v>
      </c>
      <c r="D84" t="s">
        <v>10</v>
      </c>
      <c r="E84" s="16">
        <v>2618.7017000000001</v>
      </c>
      <c r="F84" s="16">
        <v>3011.5068000000001</v>
      </c>
      <c r="H84">
        <v>10</v>
      </c>
      <c r="I84" t="s">
        <v>6657</v>
      </c>
    </row>
    <row r="85" spans="1:9" x14ac:dyDescent="0.3">
      <c r="A85" t="s">
        <v>4877</v>
      </c>
      <c r="B85" t="s">
        <v>5340</v>
      </c>
      <c r="C85" t="s">
        <v>8</v>
      </c>
      <c r="D85" t="s">
        <v>10</v>
      </c>
      <c r="E85" s="16">
        <v>49.445</v>
      </c>
      <c r="F85" s="16">
        <v>56.861750000000001</v>
      </c>
      <c r="H85">
        <v>10</v>
      </c>
      <c r="I85" t="s">
        <v>6614</v>
      </c>
    </row>
    <row r="86" spans="1:9" x14ac:dyDescent="0.3">
      <c r="A86" t="s">
        <v>128</v>
      </c>
      <c r="B86" t="s">
        <v>129</v>
      </c>
      <c r="C86" t="s">
        <v>8</v>
      </c>
      <c r="D86" t="s">
        <v>10</v>
      </c>
      <c r="E86" s="16">
        <v>1067.47</v>
      </c>
      <c r="F86" s="16">
        <v>1227.5905</v>
      </c>
      <c r="H86">
        <v>9</v>
      </c>
      <c r="I86" t="s">
        <v>6739</v>
      </c>
    </row>
    <row r="87" spans="1:9" x14ac:dyDescent="0.3">
      <c r="A87" t="s">
        <v>60</v>
      </c>
      <c r="B87" t="s">
        <v>61</v>
      </c>
      <c r="C87" t="s">
        <v>8</v>
      </c>
      <c r="D87" t="s">
        <v>38</v>
      </c>
      <c r="E87" s="16">
        <v>104.42</v>
      </c>
      <c r="F87" s="16">
        <v>120.083</v>
      </c>
      <c r="H87">
        <v>9</v>
      </c>
      <c r="I87" t="s">
        <v>6757</v>
      </c>
    </row>
    <row r="88" spans="1:9" x14ac:dyDescent="0.3">
      <c r="A88" t="s">
        <v>562</v>
      </c>
      <c r="B88" t="s">
        <v>563</v>
      </c>
      <c r="C88" t="s">
        <v>8</v>
      </c>
      <c r="D88" t="s">
        <v>38</v>
      </c>
      <c r="E88" s="16">
        <v>417.24790000000002</v>
      </c>
      <c r="F88" s="16">
        <v>479.83505000000002</v>
      </c>
      <c r="H88">
        <v>9</v>
      </c>
      <c r="I88" t="s">
        <v>6743</v>
      </c>
    </row>
    <row r="89" spans="1:9" x14ac:dyDescent="0.3">
      <c r="A89" t="s">
        <v>120</v>
      </c>
      <c r="B89" t="s">
        <v>121</v>
      </c>
      <c r="C89" t="s">
        <v>8</v>
      </c>
      <c r="D89" t="s">
        <v>10</v>
      </c>
      <c r="E89" s="16">
        <v>938.08330000000001</v>
      </c>
      <c r="F89" s="16">
        <v>1078.7958000000001</v>
      </c>
      <c r="H89">
        <v>9</v>
      </c>
      <c r="I89" t="s">
        <v>6756</v>
      </c>
    </row>
    <row r="90" spans="1:9" x14ac:dyDescent="0.3">
      <c r="A90" t="s">
        <v>65</v>
      </c>
      <c r="B90" t="s">
        <v>66</v>
      </c>
      <c r="C90" t="s">
        <v>8</v>
      </c>
      <c r="D90" t="s">
        <v>10</v>
      </c>
      <c r="E90" s="16">
        <v>5741.4673000000003</v>
      </c>
      <c r="F90" s="16">
        <v>6602.6875</v>
      </c>
      <c r="H90">
        <v>9</v>
      </c>
      <c r="I90" t="s">
        <v>6740</v>
      </c>
    </row>
    <row r="91" spans="1:9" x14ac:dyDescent="0.3">
      <c r="A91" t="s">
        <v>57</v>
      </c>
      <c r="B91" t="s">
        <v>58</v>
      </c>
      <c r="C91" t="s">
        <v>8</v>
      </c>
      <c r="D91" t="s">
        <v>38</v>
      </c>
      <c r="E91" s="16">
        <v>30</v>
      </c>
      <c r="F91" s="16">
        <v>34.5</v>
      </c>
      <c r="H91">
        <v>9</v>
      </c>
      <c r="I91" t="s">
        <v>6745</v>
      </c>
    </row>
    <row r="92" spans="1:9" x14ac:dyDescent="0.3">
      <c r="A92" t="s">
        <v>65</v>
      </c>
      <c r="B92" t="s">
        <v>66</v>
      </c>
      <c r="C92" t="s">
        <v>8</v>
      </c>
      <c r="D92" t="s">
        <v>10</v>
      </c>
      <c r="E92" s="16">
        <v>6086.8490000000002</v>
      </c>
      <c r="F92" s="16">
        <v>6999.8765000000003</v>
      </c>
      <c r="H92">
        <v>9</v>
      </c>
      <c r="I92" t="s">
        <v>6659</v>
      </c>
    </row>
    <row r="93" spans="1:9" x14ac:dyDescent="0.3">
      <c r="A93" t="s">
        <v>73</v>
      </c>
      <c r="B93" t="s">
        <v>74</v>
      </c>
      <c r="C93" t="s">
        <v>8</v>
      </c>
      <c r="D93" t="s">
        <v>10</v>
      </c>
      <c r="E93" s="16">
        <v>417.25900000000001</v>
      </c>
      <c r="F93" s="16">
        <v>479.84784000000002</v>
      </c>
      <c r="H93">
        <v>9</v>
      </c>
      <c r="I93" t="s">
        <v>6719</v>
      </c>
    </row>
    <row r="94" spans="1:9" x14ac:dyDescent="0.3">
      <c r="A94" t="s">
        <v>65</v>
      </c>
      <c r="B94" t="s">
        <v>66</v>
      </c>
      <c r="C94" t="s">
        <v>8</v>
      </c>
      <c r="D94" t="s">
        <v>10</v>
      </c>
      <c r="E94" s="16">
        <v>4482.3429999999998</v>
      </c>
      <c r="F94" s="16">
        <v>5154.6940000000004</v>
      </c>
      <c r="H94">
        <v>9</v>
      </c>
      <c r="I94" t="s">
        <v>6748</v>
      </c>
    </row>
    <row r="95" spans="1:9" x14ac:dyDescent="0.3">
      <c r="A95" t="s">
        <v>34</v>
      </c>
      <c r="B95" t="s">
        <v>35</v>
      </c>
      <c r="C95" t="s">
        <v>8</v>
      </c>
      <c r="D95" t="s">
        <v>10</v>
      </c>
      <c r="E95" s="16">
        <v>10090.877</v>
      </c>
      <c r="F95" s="16">
        <v>11604.508</v>
      </c>
      <c r="H95">
        <v>8</v>
      </c>
      <c r="I95" t="s">
        <v>6813</v>
      </c>
    </row>
    <row r="96" spans="1:9" x14ac:dyDescent="0.3">
      <c r="A96" t="s">
        <v>201</v>
      </c>
      <c r="B96" t="s">
        <v>202</v>
      </c>
      <c r="C96" t="s">
        <v>8</v>
      </c>
      <c r="D96" t="s">
        <v>169</v>
      </c>
      <c r="E96" s="16">
        <v>470.47859999999997</v>
      </c>
      <c r="F96" s="16">
        <v>541.05039999999997</v>
      </c>
      <c r="H96">
        <v>8</v>
      </c>
      <c r="I96" t="s">
        <v>6795</v>
      </c>
    </row>
    <row r="97" spans="1:9" x14ac:dyDescent="0.3">
      <c r="A97" t="s">
        <v>65</v>
      </c>
      <c r="B97" t="s">
        <v>66</v>
      </c>
      <c r="C97" t="s">
        <v>8</v>
      </c>
      <c r="D97" t="s">
        <v>10</v>
      </c>
      <c r="E97" s="16">
        <v>6015.7939999999999</v>
      </c>
      <c r="F97" s="16">
        <v>6918.1629999999996</v>
      </c>
      <c r="H97">
        <v>8</v>
      </c>
      <c r="I97" t="s">
        <v>6764</v>
      </c>
    </row>
    <row r="98" spans="1:9" x14ac:dyDescent="0.3">
      <c r="A98" t="s">
        <v>65</v>
      </c>
      <c r="B98" t="s">
        <v>66</v>
      </c>
      <c r="C98" t="s">
        <v>8</v>
      </c>
      <c r="D98" t="s">
        <v>10</v>
      </c>
      <c r="E98" s="16">
        <v>5301.2266</v>
      </c>
      <c r="F98" s="16">
        <v>6096.4106000000002</v>
      </c>
      <c r="H98">
        <v>8</v>
      </c>
      <c r="I98" t="s">
        <v>6871</v>
      </c>
    </row>
    <row r="99" spans="1:9" x14ac:dyDescent="0.3">
      <c r="A99" t="s">
        <v>508</v>
      </c>
      <c r="B99" t="s">
        <v>509</v>
      </c>
      <c r="C99" t="s">
        <v>8</v>
      </c>
      <c r="D99" t="s">
        <v>38</v>
      </c>
      <c r="E99" s="16">
        <v>281.94</v>
      </c>
      <c r="F99" s="16">
        <v>324.23099999999999</v>
      </c>
      <c r="H99">
        <v>8</v>
      </c>
      <c r="I99" t="s">
        <v>6777</v>
      </c>
    </row>
    <row r="100" spans="1:9" x14ac:dyDescent="0.3">
      <c r="A100" t="s">
        <v>34</v>
      </c>
      <c r="B100" t="s">
        <v>35</v>
      </c>
      <c r="C100" t="s">
        <v>8</v>
      </c>
      <c r="D100" t="s">
        <v>169</v>
      </c>
      <c r="E100" s="16">
        <v>165.11</v>
      </c>
      <c r="F100" s="16">
        <v>189.87649999999999</v>
      </c>
      <c r="H100">
        <v>8</v>
      </c>
      <c r="I100" t="s">
        <v>6776</v>
      </c>
    </row>
    <row r="101" spans="1:9" x14ac:dyDescent="0.3">
      <c r="A101" t="s">
        <v>65</v>
      </c>
      <c r="B101" t="s">
        <v>66</v>
      </c>
      <c r="C101" t="s">
        <v>8</v>
      </c>
      <c r="D101" t="s">
        <v>10</v>
      </c>
      <c r="E101" s="16">
        <v>4675.4260000000004</v>
      </c>
      <c r="F101" s="16">
        <v>5376.7397000000001</v>
      </c>
      <c r="H101">
        <v>8</v>
      </c>
      <c r="I101" t="s">
        <v>6802</v>
      </c>
    </row>
    <row r="102" spans="1:9" x14ac:dyDescent="0.3">
      <c r="A102" t="s">
        <v>201</v>
      </c>
      <c r="B102" t="s">
        <v>202</v>
      </c>
      <c r="C102" t="s">
        <v>8</v>
      </c>
      <c r="D102" t="s">
        <v>38</v>
      </c>
      <c r="E102" s="16">
        <v>88.528180000000006</v>
      </c>
      <c r="F102" s="16">
        <v>101.8074</v>
      </c>
      <c r="H102">
        <v>8</v>
      </c>
      <c r="I102" t="s">
        <v>6816</v>
      </c>
    </row>
    <row r="103" spans="1:9" x14ac:dyDescent="0.3">
      <c r="A103" t="s">
        <v>39</v>
      </c>
      <c r="B103" t="s">
        <v>40</v>
      </c>
      <c r="C103" t="s">
        <v>8</v>
      </c>
      <c r="D103" t="s">
        <v>38</v>
      </c>
      <c r="E103" s="16">
        <v>2117.4486999999999</v>
      </c>
      <c r="F103" s="16">
        <v>2435.0662000000002</v>
      </c>
      <c r="H103">
        <v>7</v>
      </c>
      <c r="I103" t="s">
        <v>6915</v>
      </c>
    </row>
    <row r="104" spans="1:9" x14ac:dyDescent="0.3">
      <c r="A104" t="s">
        <v>562</v>
      </c>
      <c r="B104" t="s">
        <v>563</v>
      </c>
      <c r="C104" t="s">
        <v>8</v>
      </c>
      <c r="D104" t="s">
        <v>38</v>
      </c>
      <c r="E104" s="16">
        <v>544.65062999999998</v>
      </c>
      <c r="F104" s="16">
        <v>626.34826999999996</v>
      </c>
      <c r="H104">
        <v>7</v>
      </c>
      <c r="I104" t="s">
        <v>6906</v>
      </c>
    </row>
    <row r="105" spans="1:9" x14ac:dyDescent="0.3">
      <c r="A105" s="54" t="s">
        <v>580</v>
      </c>
      <c r="B105" s="54" t="s">
        <v>581</v>
      </c>
      <c r="C105" s="54" t="s">
        <v>8</v>
      </c>
      <c r="D105" s="54" t="s">
        <v>10</v>
      </c>
      <c r="E105" s="55">
        <v>370</v>
      </c>
      <c r="F105" s="55">
        <v>425.5</v>
      </c>
      <c r="G105" s="54"/>
      <c r="H105" s="54">
        <v>7</v>
      </c>
      <c r="I105" s="54" t="s">
        <v>6919</v>
      </c>
    </row>
    <row r="106" spans="1:9" x14ac:dyDescent="0.3">
      <c r="A106" s="54" t="s">
        <v>39</v>
      </c>
      <c r="B106" s="54" t="s">
        <v>40</v>
      </c>
      <c r="C106" s="54" t="s">
        <v>8</v>
      </c>
      <c r="D106" s="54" t="s">
        <v>38</v>
      </c>
      <c r="E106" s="55">
        <v>1348.1039000000001</v>
      </c>
      <c r="F106" s="55">
        <v>1550.3196</v>
      </c>
      <c r="G106" s="54"/>
      <c r="H106" s="54">
        <v>7</v>
      </c>
      <c r="I106" s="54" t="s">
        <v>6884</v>
      </c>
    </row>
    <row r="107" spans="1:9" x14ac:dyDescent="0.3">
      <c r="A107" s="54" t="s">
        <v>957</v>
      </c>
      <c r="B107" s="54" t="s">
        <v>958</v>
      </c>
      <c r="C107" s="54" t="s">
        <v>8</v>
      </c>
      <c r="D107" s="54" t="s">
        <v>10</v>
      </c>
      <c r="E107" s="55">
        <v>15.40277</v>
      </c>
      <c r="F107" s="55">
        <v>17.713190000000001</v>
      </c>
      <c r="G107" s="54"/>
      <c r="H107" s="54">
        <v>7</v>
      </c>
      <c r="I107" s="54" t="s">
        <v>6896</v>
      </c>
    </row>
    <row r="108" spans="1:9" x14ac:dyDescent="0.3">
      <c r="A108" s="54" t="s">
        <v>65</v>
      </c>
      <c r="B108" s="54" t="s">
        <v>66</v>
      </c>
      <c r="C108" s="54" t="s">
        <v>8</v>
      </c>
      <c r="D108" s="54" t="s">
        <v>10</v>
      </c>
      <c r="E108" s="55">
        <v>5813.7583000000004</v>
      </c>
      <c r="F108" s="55">
        <v>6685.8222999999998</v>
      </c>
      <c r="G108" s="54"/>
      <c r="H108" s="54">
        <v>7</v>
      </c>
      <c r="I108" s="54" t="s">
        <v>7135</v>
      </c>
    </row>
    <row r="109" spans="1:9" x14ac:dyDescent="0.3">
      <c r="A109" s="54" t="s">
        <v>65</v>
      </c>
      <c r="B109" s="54" t="s">
        <v>66</v>
      </c>
      <c r="C109" s="54" t="s">
        <v>8</v>
      </c>
      <c r="D109" s="54" t="s">
        <v>10</v>
      </c>
      <c r="E109" s="55">
        <v>5936.5254000000004</v>
      </c>
      <c r="F109" s="55">
        <v>6827.0043999999998</v>
      </c>
      <c r="G109" s="54"/>
      <c r="H109" s="54">
        <v>7</v>
      </c>
      <c r="I109" s="54" t="s">
        <v>6867</v>
      </c>
    </row>
    <row r="110" spans="1:9" x14ac:dyDescent="0.3">
      <c r="A110" s="54" t="s">
        <v>562</v>
      </c>
      <c r="B110" s="54" t="s">
        <v>563</v>
      </c>
      <c r="C110" s="54" t="s">
        <v>8</v>
      </c>
      <c r="D110" s="54" t="s">
        <v>38</v>
      </c>
      <c r="E110" s="55">
        <v>649.68273999999997</v>
      </c>
      <c r="F110" s="55">
        <v>747.13513</v>
      </c>
      <c r="G110" s="54"/>
      <c r="H110" s="54">
        <v>6</v>
      </c>
      <c r="I110" s="54" t="s">
        <v>6946</v>
      </c>
    </row>
    <row r="111" spans="1:9" x14ac:dyDescent="0.3">
      <c r="A111" s="54" t="s">
        <v>60</v>
      </c>
      <c r="B111" s="54" t="s">
        <v>61</v>
      </c>
      <c r="C111" s="54" t="s">
        <v>8</v>
      </c>
      <c r="D111" s="54" t="s">
        <v>38</v>
      </c>
      <c r="E111" s="55">
        <v>723.14</v>
      </c>
      <c r="F111" s="55">
        <v>831.61099999999999</v>
      </c>
      <c r="G111" s="54"/>
      <c r="H111" s="54">
        <v>6</v>
      </c>
      <c r="I111" s="54" t="s">
        <v>6958</v>
      </c>
    </row>
    <row r="112" spans="1:9" x14ac:dyDescent="0.3">
      <c r="A112" s="54" t="s">
        <v>448</v>
      </c>
      <c r="B112" s="54" t="s">
        <v>449</v>
      </c>
      <c r="C112" s="54" t="s">
        <v>8</v>
      </c>
      <c r="D112" s="54" t="s">
        <v>38</v>
      </c>
      <c r="E112" s="55">
        <v>67.349999999999994</v>
      </c>
      <c r="F112" s="55">
        <v>77.452500000000001</v>
      </c>
      <c r="G112" s="54"/>
      <c r="H112" s="54">
        <v>6</v>
      </c>
      <c r="I112" s="54" t="s">
        <v>6986</v>
      </c>
    </row>
    <row r="113" spans="1:9" x14ac:dyDescent="0.3">
      <c r="A113" s="54" t="s">
        <v>65</v>
      </c>
      <c r="B113" s="54" t="s">
        <v>66</v>
      </c>
      <c r="C113" s="54" t="s">
        <v>8</v>
      </c>
      <c r="D113" s="54" t="s">
        <v>10</v>
      </c>
      <c r="E113" s="55">
        <v>5371.8860000000004</v>
      </c>
      <c r="F113" s="55">
        <v>6177.6693999999998</v>
      </c>
      <c r="G113" s="54"/>
      <c r="H113" s="54">
        <v>6</v>
      </c>
      <c r="I113" s="54" t="s">
        <v>6988</v>
      </c>
    </row>
    <row r="114" spans="1:9" x14ac:dyDescent="0.3">
      <c r="A114" t="s">
        <v>65</v>
      </c>
      <c r="B114" t="s">
        <v>66</v>
      </c>
      <c r="C114" t="s">
        <v>8</v>
      </c>
      <c r="D114" t="s">
        <v>10</v>
      </c>
      <c r="E114" s="56">
        <v>4755.0712999999996</v>
      </c>
      <c r="F114" s="56">
        <v>5468.3320000000003</v>
      </c>
      <c r="H114">
        <v>6</v>
      </c>
      <c r="I114" t="s">
        <v>7005</v>
      </c>
    </row>
    <row r="115" spans="1:9" x14ac:dyDescent="0.3">
      <c r="A115" s="54" t="s">
        <v>2263</v>
      </c>
      <c r="B115" s="54" t="s">
        <v>2350</v>
      </c>
      <c r="C115" s="54" t="s">
        <v>8</v>
      </c>
      <c r="D115" s="54" t="s">
        <v>10</v>
      </c>
      <c r="E115" s="55">
        <v>12.5</v>
      </c>
      <c r="F115" s="55">
        <v>14.375</v>
      </c>
      <c r="G115" s="54"/>
      <c r="H115" s="54">
        <v>5</v>
      </c>
      <c r="I115" s="54" t="s">
        <v>7178</v>
      </c>
    </row>
    <row r="116" spans="1:9" x14ac:dyDescent="0.3">
      <c r="A116" s="54" t="s">
        <v>43</v>
      </c>
      <c r="B116" s="54" t="s">
        <v>44</v>
      </c>
      <c r="C116" s="54" t="s">
        <v>8</v>
      </c>
      <c r="D116" s="54" t="s">
        <v>10</v>
      </c>
      <c r="E116" s="55">
        <v>1255.25</v>
      </c>
      <c r="F116" s="55">
        <v>1443.5374999999999</v>
      </c>
      <c r="G116" s="54"/>
      <c r="H116" s="54">
        <v>5</v>
      </c>
      <c r="I116" s="54" t="s">
        <v>7183</v>
      </c>
    </row>
    <row r="117" spans="1:9" x14ac:dyDescent="0.3">
      <c r="A117" s="54" t="s">
        <v>39</v>
      </c>
      <c r="B117" s="54" t="s">
        <v>40</v>
      </c>
      <c r="C117" s="54" t="s">
        <v>8</v>
      </c>
      <c r="D117" s="54" t="s">
        <v>10</v>
      </c>
      <c r="E117" s="55">
        <v>1583.9253000000001</v>
      </c>
      <c r="F117" s="55">
        <v>1821.5139999999999</v>
      </c>
      <c r="G117" s="54"/>
      <c r="H117" s="54">
        <v>5</v>
      </c>
      <c r="I117" s="54" t="s">
        <v>7106</v>
      </c>
    </row>
    <row r="118" spans="1:9" x14ac:dyDescent="0.3">
      <c r="A118" s="54" t="s">
        <v>201</v>
      </c>
      <c r="B118" s="54" t="s">
        <v>202</v>
      </c>
      <c r="C118" s="54" t="s">
        <v>8</v>
      </c>
      <c r="D118" s="54" t="s">
        <v>169</v>
      </c>
      <c r="E118" s="55">
        <v>184.52475000000001</v>
      </c>
      <c r="F118" s="55">
        <v>212.20346000000001</v>
      </c>
      <c r="G118" s="54"/>
      <c r="H118" s="54">
        <v>5</v>
      </c>
      <c r="I118" s="54" t="s">
        <v>7112</v>
      </c>
    </row>
    <row r="119" spans="1:9" x14ac:dyDescent="0.3">
      <c r="A119" s="54" t="s">
        <v>2317</v>
      </c>
      <c r="B119" s="54" t="s">
        <v>2318</v>
      </c>
      <c r="C119" s="54" t="s">
        <v>8</v>
      </c>
      <c r="D119" s="54" t="s">
        <v>10</v>
      </c>
      <c r="E119" s="55">
        <v>30.1</v>
      </c>
      <c r="F119" s="55">
        <v>34.615000000000002</v>
      </c>
      <c r="G119" s="54"/>
      <c r="H119" s="54">
        <v>5</v>
      </c>
      <c r="I119" s="54" t="s">
        <v>7160</v>
      </c>
    </row>
    <row r="120" spans="1:9" x14ac:dyDescent="0.3">
      <c r="A120" s="54" t="s">
        <v>508</v>
      </c>
      <c r="B120" s="54" t="s">
        <v>509</v>
      </c>
      <c r="C120" s="54" t="s">
        <v>8</v>
      </c>
      <c r="D120" s="54" t="s">
        <v>10</v>
      </c>
      <c r="E120" s="55">
        <v>66.833340000000007</v>
      </c>
      <c r="F120" s="55">
        <v>76.858339999999998</v>
      </c>
      <c r="G120" s="54"/>
      <c r="H120" s="54">
        <v>5</v>
      </c>
      <c r="I120" s="54" t="s">
        <v>7136</v>
      </c>
    </row>
    <row r="121" spans="1:9" x14ac:dyDescent="0.3">
      <c r="A121" s="54" t="s">
        <v>562</v>
      </c>
      <c r="B121" s="54" t="s">
        <v>563</v>
      </c>
      <c r="C121" s="54" t="s">
        <v>8</v>
      </c>
      <c r="D121" s="54" t="s">
        <v>10</v>
      </c>
      <c r="E121" s="55">
        <v>704.68</v>
      </c>
      <c r="F121" s="55">
        <v>810.38199999999995</v>
      </c>
      <c r="G121" s="54"/>
      <c r="H121" s="54">
        <v>5</v>
      </c>
      <c r="I121" s="54" t="s">
        <v>7162</v>
      </c>
    </row>
    <row r="122" spans="1:9" x14ac:dyDescent="0.3">
      <c r="A122" s="54" t="s">
        <v>580</v>
      </c>
      <c r="B122" s="54" t="s">
        <v>581</v>
      </c>
      <c r="C122" s="54" t="s">
        <v>8</v>
      </c>
      <c r="D122" s="54" t="s">
        <v>10</v>
      </c>
      <c r="E122" s="55">
        <v>110</v>
      </c>
      <c r="F122" s="55">
        <v>126.5</v>
      </c>
      <c r="G122" s="54"/>
      <c r="H122" s="54">
        <v>5</v>
      </c>
      <c r="I122" s="54" t="s">
        <v>7032</v>
      </c>
    </row>
    <row r="123" spans="1:9" x14ac:dyDescent="0.3">
      <c r="A123" s="54" t="s">
        <v>39</v>
      </c>
      <c r="B123" s="54" t="s">
        <v>40</v>
      </c>
      <c r="C123" s="54" t="s">
        <v>8</v>
      </c>
      <c r="D123" s="54" t="s">
        <v>38</v>
      </c>
      <c r="E123" s="55">
        <v>3086.3184000000001</v>
      </c>
      <c r="F123" s="55">
        <v>3549.2660000000001</v>
      </c>
      <c r="G123" s="54"/>
      <c r="H123" s="54">
        <v>5</v>
      </c>
      <c r="I123" s="54" t="s">
        <v>7093</v>
      </c>
    </row>
    <row r="124" spans="1:9" x14ac:dyDescent="0.3">
      <c r="A124" s="54" t="s">
        <v>57</v>
      </c>
      <c r="B124" s="54" t="s">
        <v>58</v>
      </c>
      <c r="C124" s="54" t="s">
        <v>8</v>
      </c>
      <c r="D124" s="54" t="s">
        <v>10</v>
      </c>
      <c r="E124" s="55">
        <v>1018.01</v>
      </c>
      <c r="F124" s="55">
        <v>1170.7114999999999</v>
      </c>
      <c r="G124" s="54"/>
      <c r="H124" s="54">
        <v>5</v>
      </c>
      <c r="I124" s="54" t="s">
        <v>7026</v>
      </c>
    </row>
    <row r="125" spans="1:9" x14ac:dyDescent="0.3">
      <c r="A125" s="54" t="s">
        <v>39</v>
      </c>
      <c r="B125" s="54" t="s">
        <v>40</v>
      </c>
      <c r="C125" s="54" t="s">
        <v>8</v>
      </c>
      <c r="D125" s="54" t="s">
        <v>38</v>
      </c>
      <c r="E125" s="55">
        <v>267.77447999999998</v>
      </c>
      <c r="F125" s="55">
        <v>307.94063999999997</v>
      </c>
      <c r="G125" s="54"/>
      <c r="H125" s="54">
        <v>5</v>
      </c>
      <c r="I125" s="54" t="s">
        <v>7082</v>
      </c>
    </row>
    <row r="126" spans="1:9" x14ac:dyDescent="0.3">
      <c r="A126" s="54" t="s">
        <v>325</v>
      </c>
      <c r="B126" s="54" t="s">
        <v>326</v>
      </c>
      <c r="C126" s="54" t="s">
        <v>8</v>
      </c>
      <c r="D126" s="54" t="s">
        <v>10</v>
      </c>
      <c r="E126" s="55">
        <v>507.5</v>
      </c>
      <c r="F126" s="55">
        <v>583.625</v>
      </c>
      <c r="G126" s="54"/>
      <c r="H126" s="54">
        <v>4</v>
      </c>
      <c r="I126" s="54" t="s">
        <v>7200</v>
      </c>
    </row>
    <row r="127" spans="1:9" x14ac:dyDescent="0.3">
      <c r="A127" s="54" t="s">
        <v>5159</v>
      </c>
      <c r="B127" s="54" t="s">
        <v>5160</v>
      </c>
      <c r="C127" s="54" t="s">
        <v>8</v>
      </c>
      <c r="D127" s="54" t="s">
        <v>10</v>
      </c>
      <c r="E127" s="55">
        <v>318.46312999999998</v>
      </c>
      <c r="F127" s="55">
        <v>366.23259999999999</v>
      </c>
      <c r="G127" s="54"/>
      <c r="H127" s="54">
        <v>4</v>
      </c>
      <c r="I127" s="54" t="s">
        <v>7194</v>
      </c>
    </row>
    <row r="128" spans="1:9" x14ac:dyDescent="0.3">
      <c r="A128" t="s">
        <v>118</v>
      </c>
      <c r="B128" t="s">
        <v>119</v>
      </c>
      <c r="C128" t="s">
        <v>8</v>
      </c>
      <c r="D128" t="s">
        <v>10</v>
      </c>
      <c r="E128" s="56">
        <v>633.1</v>
      </c>
      <c r="F128" s="56">
        <v>728.06500000000005</v>
      </c>
      <c r="H128">
        <v>4</v>
      </c>
      <c r="I128" t="s">
        <v>7195</v>
      </c>
    </row>
    <row r="129" spans="1:9" x14ac:dyDescent="0.3">
      <c r="A129" t="s">
        <v>821</v>
      </c>
      <c r="B129" t="s">
        <v>2040</v>
      </c>
      <c r="C129" t="s">
        <v>8</v>
      </c>
      <c r="D129" t="s">
        <v>10</v>
      </c>
      <c r="E129" s="56">
        <v>104.1</v>
      </c>
      <c r="F129" s="56">
        <v>119.715</v>
      </c>
      <c r="H129">
        <v>4</v>
      </c>
      <c r="I129" t="s">
        <v>7196</v>
      </c>
    </row>
    <row r="130" spans="1:9" x14ac:dyDescent="0.3">
      <c r="A130" s="54" t="s">
        <v>2775</v>
      </c>
      <c r="B130" s="54" t="s">
        <v>2776</v>
      </c>
      <c r="C130" s="54" t="s">
        <v>8</v>
      </c>
      <c r="D130" s="54" t="s">
        <v>10</v>
      </c>
      <c r="E130" s="55">
        <v>34.570810000000002</v>
      </c>
      <c r="F130" s="55">
        <v>39.756419999999999</v>
      </c>
      <c r="G130" s="54"/>
      <c r="H130" s="54">
        <v>3</v>
      </c>
      <c r="I130" s="54" t="s">
        <v>7207</v>
      </c>
    </row>
    <row r="131" spans="1:9" x14ac:dyDescent="0.3">
      <c r="A131" s="54" t="s">
        <v>65</v>
      </c>
      <c r="B131" s="54" t="s">
        <v>66</v>
      </c>
      <c r="C131" s="54" t="s">
        <v>8</v>
      </c>
      <c r="D131" s="54" t="s">
        <v>10</v>
      </c>
      <c r="E131" s="55">
        <v>4766.4907000000003</v>
      </c>
      <c r="F131" s="55">
        <v>5481.4643999999998</v>
      </c>
      <c r="G131" s="54"/>
      <c r="H131" s="54">
        <v>3</v>
      </c>
      <c r="I131" s="54" t="s">
        <v>7210</v>
      </c>
    </row>
    <row r="132" spans="1:9" x14ac:dyDescent="0.3">
      <c r="A132" s="54" t="s">
        <v>73</v>
      </c>
      <c r="B132" s="54" t="s">
        <v>74</v>
      </c>
      <c r="C132" s="54" t="s">
        <v>8</v>
      </c>
      <c r="D132" s="54" t="s">
        <v>10</v>
      </c>
      <c r="E132" s="55">
        <v>716.71730000000002</v>
      </c>
      <c r="F132" s="55">
        <v>824.22490000000005</v>
      </c>
      <c r="G132" s="54"/>
      <c r="H132" s="54">
        <v>3</v>
      </c>
      <c r="I132" s="54" t="s">
        <v>7277</v>
      </c>
    </row>
    <row r="133" spans="1:9" x14ac:dyDescent="0.3">
      <c r="A133" s="54" t="s">
        <v>39</v>
      </c>
      <c r="B133" s="54" t="s">
        <v>40</v>
      </c>
      <c r="C133" s="54" t="s">
        <v>8</v>
      </c>
      <c r="D133" s="54" t="s">
        <v>10</v>
      </c>
      <c r="E133" s="55">
        <v>1401.0995</v>
      </c>
      <c r="F133" s="55">
        <v>1611.2644</v>
      </c>
      <c r="G133" s="54"/>
      <c r="H133" s="54">
        <v>3</v>
      </c>
      <c r="I133" s="54" t="s">
        <v>7216</v>
      </c>
    </row>
    <row r="134" spans="1:9" x14ac:dyDescent="0.3">
      <c r="A134" s="54" t="s">
        <v>34</v>
      </c>
      <c r="B134" s="54" t="s">
        <v>35</v>
      </c>
      <c r="C134" s="54" t="s">
        <v>8</v>
      </c>
      <c r="D134" s="54" t="s">
        <v>10</v>
      </c>
      <c r="E134" s="55">
        <v>7155.5</v>
      </c>
      <c r="F134" s="55">
        <v>8228.8250000000007</v>
      </c>
      <c r="G134" s="54"/>
      <c r="H134" s="54">
        <v>3</v>
      </c>
      <c r="I134" s="54" t="s">
        <v>7274</v>
      </c>
    </row>
    <row r="135" spans="1:9" x14ac:dyDescent="0.3">
      <c r="A135" t="s">
        <v>120</v>
      </c>
      <c r="B135" t="s">
        <v>121</v>
      </c>
      <c r="C135" t="s">
        <v>8</v>
      </c>
      <c r="D135" t="s">
        <v>10</v>
      </c>
      <c r="E135" s="56">
        <v>1054.2</v>
      </c>
      <c r="F135" s="56">
        <v>1212.33</v>
      </c>
      <c r="H135">
        <v>3</v>
      </c>
      <c r="I135" t="s">
        <v>7256</v>
      </c>
    </row>
    <row r="136" spans="1:9" x14ac:dyDescent="0.3">
      <c r="A136" s="54" t="s">
        <v>65</v>
      </c>
      <c r="B136" s="54" t="s">
        <v>66</v>
      </c>
      <c r="C136" s="54" t="s">
        <v>8</v>
      </c>
      <c r="D136" s="54" t="s">
        <v>169</v>
      </c>
      <c r="E136" s="55">
        <v>1614.7650000000001</v>
      </c>
      <c r="F136" s="55">
        <v>1856.9797000000001</v>
      </c>
      <c r="G136" s="54"/>
      <c r="H136" s="54">
        <v>3</v>
      </c>
      <c r="I136" s="54" t="s">
        <v>7230</v>
      </c>
    </row>
    <row r="137" spans="1:9" x14ac:dyDescent="0.3">
      <c r="A137" s="54" t="s">
        <v>57</v>
      </c>
      <c r="B137" s="54" t="s">
        <v>58</v>
      </c>
      <c r="C137" s="54" t="s">
        <v>8</v>
      </c>
      <c r="D137" s="54" t="s">
        <v>10</v>
      </c>
      <c r="E137" s="55">
        <v>563</v>
      </c>
      <c r="F137" s="55">
        <v>647.45000000000005</v>
      </c>
      <c r="G137" s="54"/>
      <c r="H137" s="54">
        <v>3</v>
      </c>
      <c r="I137" s="54" t="s">
        <v>7271</v>
      </c>
    </row>
    <row r="138" spans="1:9" x14ac:dyDescent="0.3">
      <c r="A138" s="54" t="s">
        <v>295</v>
      </c>
      <c r="B138" s="54" t="s">
        <v>345</v>
      </c>
      <c r="C138" s="54" t="s">
        <v>8</v>
      </c>
      <c r="D138" s="54" t="s">
        <v>10</v>
      </c>
      <c r="E138" s="55">
        <v>52.5</v>
      </c>
      <c r="F138" s="55">
        <v>60.375</v>
      </c>
      <c r="G138" s="54"/>
      <c r="H138" s="54">
        <v>3</v>
      </c>
      <c r="I138" s="54" t="s">
        <v>7234</v>
      </c>
    </row>
    <row r="139" spans="1:9" x14ac:dyDescent="0.3">
      <c r="A139" s="54" t="s">
        <v>122</v>
      </c>
      <c r="B139" s="54" t="s">
        <v>123</v>
      </c>
      <c r="C139" s="54" t="s">
        <v>8</v>
      </c>
      <c r="D139" s="54" t="s">
        <v>10</v>
      </c>
      <c r="E139" s="55">
        <v>1008.98</v>
      </c>
      <c r="F139" s="55">
        <v>1160.327</v>
      </c>
      <c r="G139" s="54"/>
      <c r="H139" s="54">
        <v>3</v>
      </c>
      <c r="I139" s="54" t="s">
        <v>7235</v>
      </c>
    </row>
    <row r="140" spans="1:9" x14ac:dyDescent="0.3">
      <c r="A140" t="s">
        <v>2166</v>
      </c>
      <c r="B140" t="s">
        <v>2167</v>
      </c>
      <c r="C140" t="s">
        <v>8</v>
      </c>
      <c r="D140" t="s">
        <v>10</v>
      </c>
      <c r="E140" s="56">
        <v>662.20209999999997</v>
      </c>
      <c r="F140" s="56">
        <v>761.53240000000005</v>
      </c>
      <c r="H140">
        <v>3</v>
      </c>
      <c r="I140" t="s">
        <v>7218</v>
      </c>
    </row>
    <row r="141" spans="1:9" x14ac:dyDescent="0.3">
      <c r="A141" s="54" t="s">
        <v>295</v>
      </c>
      <c r="B141" s="54" t="s">
        <v>345</v>
      </c>
      <c r="C141" s="54" t="s">
        <v>8</v>
      </c>
      <c r="D141" s="54" t="s">
        <v>10</v>
      </c>
      <c r="E141" s="55">
        <v>134</v>
      </c>
      <c r="F141" s="55">
        <v>154.1</v>
      </c>
      <c r="G141" s="54"/>
      <c r="H141" s="54">
        <v>3</v>
      </c>
      <c r="I141" s="54" t="s">
        <v>7243</v>
      </c>
    </row>
    <row r="142" spans="1:9" x14ac:dyDescent="0.3">
      <c r="A142" s="54" t="s">
        <v>325</v>
      </c>
      <c r="B142" s="54" t="s">
        <v>326</v>
      </c>
      <c r="C142" s="54" t="s">
        <v>8</v>
      </c>
      <c r="D142" s="54" t="s">
        <v>10</v>
      </c>
      <c r="E142" s="55">
        <v>110</v>
      </c>
      <c r="F142" s="55">
        <v>126.5</v>
      </c>
      <c r="G142" s="54"/>
      <c r="H142" s="54">
        <v>3</v>
      </c>
      <c r="I142" s="54" t="s">
        <v>7211</v>
      </c>
    </row>
    <row r="143" spans="1:9" x14ac:dyDescent="0.3">
      <c r="A143" s="54" t="s">
        <v>128</v>
      </c>
      <c r="B143" s="54" t="s">
        <v>129</v>
      </c>
      <c r="C143" s="54" t="s">
        <v>8</v>
      </c>
      <c r="D143" s="54" t="s">
        <v>10</v>
      </c>
      <c r="E143" s="55">
        <v>966.76</v>
      </c>
      <c r="F143" s="55">
        <v>1111.7739999999999</v>
      </c>
      <c r="G143" s="54"/>
      <c r="H143" s="54">
        <v>3</v>
      </c>
      <c r="I143" s="54" t="s">
        <v>7249</v>
      </c>
    </row>
    <row r="144" spans="1:9" x14ac:dyDescent="0.3">
      <c r="A144" s="54" t="s">
        <v>65</v>
      </c>
      <c r="B144" s="54" t="s">
        <v>66</v>
      </c>
      <c r="C144" s="54" t="s">
        <v>8</v>
      </c>
      <c r="D144" s="54" t="s">
        <v>10</v>
      </c>
      <c r="E144" s="55">
        <v>5217.2992999999997</v>
      </c>
      <c r="F144" s="55">
        <v>5999.8940000000002</v>
      </c>
      <c r="G144" s="54"/>
      <c r="H144" s="54">
        <v>2</v>
      </c>
      <c r="I144" s="54" t="s">
        <v>7354</v>
      </c>
    </row>
    <row r="145" spans="1:9" x14ac:dyDescent="0.3">
      <c r="A145" t="s">
        <v>39</v>
      </c>
      <c r="B145" t="s">
        <v>40</v>
      </c>
      <c r="C145" t="s">
        <v>8</v>
      </c>
      <c r="D145" t="s">
        <v>38</v>
      </c>
      <c r="E145" s="56">
        <v>1530.6782000000001</v>
      </c>
      <c r="F145" s="56">
        <v>1760.2799</v>
      </c>
      <c r="H145">
        <v>2</v>
      </c>
      <c r="I145" t="s">
        <v>7310</v>
      </c>
    </row>
    <row r="146" spans="1:9" x14ac:dyDescent="0.3">
      <c r="A146" s="54" t="s">
        <v>128</v>
      </c>
      <c r="B146" s="54" t="s">
        <v>129</v>
      </c>
      <c r="C146" s="54" t="s">
        <v>8</v>
      </c>
      <c r="D146" s="54" t="s">
        <v>10</v>
      </c>
      <c r="E146" s="55">
        <v>174.29499999999999</v>
      </c>
      <c r="F146" s="55">
        <v>200.43924999999999</v>
      </c>
      <c r="G146" s="54"/>
      <c r="H146" s="54">
        <v>2</v>
      </c>
      <c r="I146" s="54" t="s">
        <v>7332</v>
      </c>
    </row>
    <row r="147" spans="1:9" x14ac:dyDescent="0.3">
      <c r="A147" s="54" t="s">
        <v>562</v>
      </c>
      <c r="B147" s="54" t="s">
        <v>563</v>
      </c>
      <c r="C147" s="54" t="s">
        <v>8</v>
      </c>
      <c r="D147" s="54" t="s">
        <v>38</v>
      </c>
      <c r="E147" s="55">
        <v>41.68</v>
      </c>
      <c r="F147" s="55">
        <v>47.932000000000002</v>
      </c>
      <c r="G147" s="54"/>
      <c r="H147" s="54">
        <v>2</v>
      </c>
      <c r="I147" s="54" t="s">
        <v>7343</v>
      </c>
    </row>
    <row r="148" spans="1:9" x14ac:dyDescent="0.3">
      <c r="A148" s="54" t="s">
        <v>65</v>
      </c>
      <c r="B148" s="54" t="s">
        <v>66</v>
      </c>
      <c r="C148" s="54" t="s">
        <v>8</v>
      </c>
      <c r="D148" s="54" t="s">
        <v>10</v>
      </c>
      <c r="E148" s="55">
        <v>785.04920000000004</v>
      </c>
      <c r="F148" s="55">
        <v>902.8066</v>
      </c>
      <c r="G148" s="54"/>
      <c r="H148" s="54">
        <v>2</v>
      </c>
      <c r="I148" s="54" t="s">
        <v>7317</v>
      </c>
    </row>
    <row r="149" spans="1:9" x14ac:dyDescent="0.3">
      <c r="A149" t="s">
        <v>931</v>
      </c>
      <c r="B149" t="s">
        <v>1767</v>
      </c>
      <c r="C149" t="s">
        <v>8</v>
      </c>
      <c r="D149" t="s">
        <v>10</v>
      </c>
      <c r="E149" s="56">
        <v>72.55</v>
      </c>
      <c r="F149" s="56">
        <v>83.432500000000005</v>
      </c>
      <c r="H149">
        <v>2</v>
      </c>
      <c r="I149" t="s">
        <v>7348</v>
      </c>
    </row>
    <row r="150" spans="1:9" x14ac:dyDescent="0.3">
      <c r="A150" s="54" t="s">
        <v>139</v>
      </c>
      <c r="B150" s="54" t="s">
        <v>140</v>
      </c>
      <c r="C150" s="54" t="s">
        <v>8</v>
      </c>
      <c r="D150" s="54" t="s">
        <v>10</v>
      </c>
      <c r="E150" s="55">
        <v>101.842</v>
      </c>
      <c r="F150" s="55">
        <v>117.1183</v>
      </c>
      <c r="G150" s="54"/>
      <c r="H150" s="54">
        <v>2</v>
      </c>
      <c r="I150" s="54" t="s">
        <v>7293</v>
      </c>
    </row>
    <row r="151" spans="1:9" x14ac:dyDescent="0.3">
      <c r="A151" s="54" t="s">
        <v>1879</v>
      </c>
      <c r="B151" s="54" t="s">
        <v>1880</v>
      </c>
      <c r="C151" s="54" t="s">
        <v>8</v>
      </c>
      <c r="D151" s="54" t="s">
        <v>10</v>
      </c>
      <c r="E151" s="55">
        <v>24.51</v>
      </c>
      <c r="F151" s="55">
        <v>28.186499999999999</v>
      </c>
      <c r="G151" s="54"/>
      <c r="H151" s="54">
        <v>2</v>
      </c>
      <c r="I151" s="54" t="s">
        <v>7329</v>
      </c>
    </row>
    <row r="152" spans="1:9" x14ac:dyDescent="0.3">
      <c r="A152" s="54" t="s">
        <v>1161</v>
      </c>
      <c r="B152" s="54" t="s">
        <v>1162</v>
      </c>
      <c r="C152" s="54" t="s">
        <v>8</v>
      </c>
      <c r="D152" s="54" t="s">
        <v>10</v>
      </c>
      <c r="E152" s="55">
        <v>1537.86</v>
      </c>
      <c r="F152" s="55">
        <v>1768.539</v>
      </c>
      <c r="G152" s="54"/>
      <c r="H152" s="54">
        <v>2</v>
      </c>
      <c r="I152" s="54" t="s">
        <v>7331</v>
      </c>
    </row>
    <row r="153" spans="1:9" x14ac:dyDescent="0.3">
      <c r="A153" s="54" t="s">
        <v>1879</v>
      </c>
      <c r="B153" s="54" t="s">
        <v>1880</v>
      </c>
      <c r="C153" s="54" t="s">
        <v>8</v>
      </c>
      <c r="D153" s="54" t="s">
        <v>10</v>
      </c>
      <c r="E153" s="55">
        <v>31.29</v>
      </c>
      <c r="F153" s="55">
        <v>35.983499999999999</v>
      </c>
      <c r="G153" s="54"/>
      <c r="H153" s="54">
        <v>2</v>
      </c>
      <c r="I153" s="54" t="s">
        <v>7342</v>
      </c>
    </row>
    <row r="154" spans="1:9" x14ac:dyDescent="0.3">
      <c r="A154" s="54" t="s">
        <v>201</v>
      </c>
      <c r="B154" s="54" t="s">
        <v>202</v>
      </c>
      <c r="C154" s="54" t="s">
        <v>8</v>
      </c>
      <c r="D154" s="54" t="s">
        <v>10</v>
      </c>
      <c r="E154" s="55">
        <v>224.512</v>
      </c>
      <c r="F154" s="55">
        <v>258.18880000000001</v>
      </c>
      <c r="G154" s="54"/>
      <c r="H154" s="54">
        <v>1</v>
      </c>
      <c r="I154" s="54" t="s">
        <v>7369</v>
      </c>
    </row>
    <row r="155" spans="1:9" x14ac:dyDescent="0.3">
      <c r="A155" s="54" t="s">
        <v>43</v>
      </c>
      <c r="B155" s="54" t="s">
        <v>44</v>
      </c>
      <c r="C155" s="54" t="s">
        <v>8</v>
      </c>
      <c r="D155" s="54" t="s">
        <v>38</v>
      </c>
      <c r="E155" s="55">
        <v>4404.4709999999995</v>
      </c>
      <c r="F155" s="55">
        <v>5065.1419999999998</v>
      </c>
      <c r="G155" s="54"/>
      <c r="H155" s="54">
        <v>1</v>
      </c>
      <c r="I155" s="54" t="s">
        <v>7409</v>
      </c>
    </row>
    <row r="156" spans="1:9" x14ac:dyDescent="0.3">
      <c r="A156" s="54" t="s">
        <v>34</v>
      </c>
      <c r="B156" s="54" t="s">
        <v>35</v>
      </c>
      <c r="C156" s="54" t="s">
        <v>8</v>
      </c>
      <c r="D156" s="54" t="s">
        <v>10</v>
      </c>
      <c r="E156" s="55">
        <v>3682.13</v>
      </c>
      <c r="F156" s="55">
        <v>4234.4497000000001</v>
      </c>
      <c r="G156" s="54"/>
      <c r="H156" s="54">
        <v>1</v>
      </c>
      <c r="I156" s="54" t="s">
        <v>7412</v>
      </c>
    </row>
  </sheetData>
  <phoneticPr fontId="5" type="noConversion"/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40" zoomScale="85" zoomScaleNormal="85" workbookViewId="0">
      <selection activeCell="A173" sqref="A173"/>
    </sheetView>
  </sheetViews>
  <sheetFormatPr defaultColWidth="30.5546875" defaultRowHeight="14.4" x14ac:dyDescent="0.3"/>
  <cols>
    <col min="1" max="1" width="22" style="42" customWidth="1"/>
    <col min="2" max="2" width="37.5546875" style="42" bestFit="1" customWidth="1"/>
    <col min="3" max="3" width="16.109375" style="42" bestFit="1" customWidth="1"/>
    <col min="4" max="4" width="10.77734375" style="42" bestFit="1" customWidth="1"/>
    <col min="5" max="5" width="10.5546875" style="42" bestFit="1" customWidth="1"/>
    <col min="6" max="6" width="11.21875" style="42" bestFit="1" customWidth="1"/>
    <col min="7" max="7" width="19.21875" style="42" bestFit="1" customWidth="1"/>
    <col min="8" max="8" width="17.21875" style="42" bestFit="1" customWidth="1"/>
    <col min="9" max="9" width="9.88671875" style="42" bestFit="1" customWidth="1"/>
  </cols>
  <sheetData>
    <row r="1" spans="1:9" ht="18.600000000000001" customHeight="1" thickBot="1" x14ac:dyDescent="0.35">
      <c r="A1" s="18" t="s">
        <v>3</v>
      </c>
      <c r="B1" s="18" t="s">
        <v>7128</v>
      </c>
      <c r="C1" s="18" t="s">
        <v>287</v>
      </c>
      <c r="D1" s="18" t="s">
        <v>288</v>
      </c>
      <c r="E1" s="18" t="s">
        <v>289</v>
      </c>
      <c r="F1" s="18" t="s">
        <v>290</v>
      </c>
      <c r="G1" s="18" t="s">
        <v>291</v>
      </c>
      <c r="H1" s="18" t="s">
        <v>292</v>
      </c>
      <c r="I1" s="19" t="s">
        <v>293</v>
      </c>
    </row>
    <row r="2" spans="1:9" ht="18.600000000000001" customHeight="1" thickBot="1" x14ac:dyDescent="0.35">
      <c r="A2" s="12" t="s">
        <v>1031</v>
      </c>
      <c r="B2" s="13" t="s">
        <v>1032</v>
      </c>
      <c r="C2" s="13" t="s">
        <v>11450</v>
      </c>
      <c r="D2" s="13">
        <v>10</v>
      </c>
      <c r="E2" s="13">
        <v>928</v>
      </c>
      <c r="F2" s="13">
        <v>15</v>
      </c>
      <c r="G2" s="14">
        <v>46259</v>
      </c>
      <c r="H2" s="13" t="s">
        <v>294</v>
      </c>
      <c r="I2" s="15" t="s">
        <v>4143</v>
      </c>
    </row>
    <row r="3" spans="1:9" ht="18.600000000000001" customHeight="1" thickBot="1" x14ac:dyDescent="0.35">
      <c r="A3" s="5" t="s">
        <v>201</v>
      </c>
      <c r="B3" s="2" t="s">
        <v>202</v>
      </c>
      <c r="C3" s="2" t="s">
        <v>11451</v>
      </c>
      <c r="D3" s="2">
        <v>25</v>
      </c>
      <c r="E3" s="4">
        <v>9844</v>
      </c>
      <c r="F3" s="2">
        <v>436</v>
      </c>
      <c r="G3" s="3">
        <v>46259</v>
      </c>
      <c r="H3" s="2" t="s">
        <v>294</v>
      </c>
      <c r="I3" s="6" t="s">
        <v>4143</v>
      </c>
    </row>
    <row r="4" spans="1:9" ht="18.600000000000001" customHeight="1" thickBot="1" x14ac:dyDescent="0.35">
      <c r="A4" s="5" t="s">
        <v>75</v>
      </c>
      <c r="B4" s="2" t="s">
        <v>76</v>
      </c>
      <c r="C4" s="2" t="s">
        <v>11452</v>
      </c>
      <c r="D4" s="2">
        <v>10</v>
      </c>
      <c r="E4" s="4">
        <v>6023</v>
      </c>
      <c r="F4" s="2">
        <v>224</v>
      </c>
      <c r="G4" s="3">
        <v>46259</v>
      </c>
      <c r="H4" s="2" t="s">
        <v>294</v>
      </c>
      <c r="I4" s="6" t="s">
        <v>4143</v>
      </c>
    </row>
    <row r="5" spans="1:9" ht="18.600000000000001" customHeight="1" thickBot="1" x14ac:dyDescent="0.35">
      <c r="A5" s="5" t="s">
        <v>5199</v>
      </c>
      <c r="B5" s="2" t="s">
        <v>11453</v>
      </c>
      <c r="C5" s="2" t="s">
        <v>11454</v>
      </c>
      <c r="D5" s="2">
        <v>3</v>
      </c>
      <c r="E5" s="2">
        <v>516</v>
      </c>
      <c r="F5" s="2">
        <v>20</v>
      </c>
      <c r="G5" s="3">
        <v>46259</v>
      </c>
      <c r="H5" s="2" t="s">
        <v>294</v>
      </c>
      <c r="I5" s="6" t="s">
        <v>4143</v>
      </c>
    </row>
    <row r="6" spans="1:9" ht="18.600000000000001" customHeight="1" thickBot="1" x14ac:dyDescent="0.35">
      <c r="A6" s="5" t="s">
        <v>1424</v>
      </c>
      <c r="B6" s="2" t="s">
        <v>11086</v>
      </c>
      <c r="C6" s="2" t="s">
        <v>11087</v>
      </c>
      <c r="D6" s="2">
        <v>4</v>
      </c>
      <c r="E6" s="2">
        <v>484</v>
      </c>
      <c r="F6" s="2">
        <v>20</v>
      </c>
      <c r="G6" s="3">
        <v>46259</v>
      </c>
      <c r="H6" s="2" t="s">
        <v>294</v>
      </c>
      <c r="I6" s="6" t="s">
        <v>4143</v>
      </c>
    </row>
    <row r="7" spans="1:9" ht="18.600000000000001" customHeight="1" thickBot="1" x14ac:dyDescent="0.35">
      <c r="A7" s="5" t="s">
        <v>809</v>
      </c>
      <c r="B7" s="2" t="s">
        <v>360</v>
      </c>
      <c r="C7" s="2" t="s">
        <v>11455</v>
      </c>
      <c r="D7" s="2">
        <v>1</v>
      </c>
      <c r="E7" s="2">
        <v>42</v>
      </c>
      <c r="F7" s="2">
        <v>5</v>
      </c>
      <c r="G7" s="3">
        <v>46259</v>
      </c>
      <c r="H7" s="2" t="s">
        <v>294</v>
      </c>
      <c r="I7" s="6" t="s">
        <v>4143</v>
      </c>
    </row>
    <row r="8" spans="1:9" ht="18.600000000000001" customHeight="1" thickBot="1" x14ac:dyDescent="0.35">
      <c r="A8" s="5" t="s">
        <v>1536</v>
      </c>
      <c r="B8" s="2" t="s">
        <v>1537</v>
      </c>
      <c r="C8" s="2" t="s">
        <v>11456</v>
      </c>
      <c r="D8" s="2">
        <v>8</v>
      </c>
      <c r="E8" s="4">
        <v>4800</v>
      </c>
      <c r="F8" s="2">
        <v>263</v>
      </c>
      <c r="G8" s="3">
        <v>46259</v>
      </c>
      <c r="H8" s="2" t="s">
        <v>294</v>
      </c>
      <c r="I8" s="6" t="s">
        <v>4143</v>
      </c>
    </row>
    <row r="9" spans="1:9" ht="18.600000000000001" customHeight="1" thickBot="1" x14ac:dyDescent="0.35">
      <c r="A9" s="5" t="s">
        <v>11084</v>
      </c>
      <c r="B9" s="2" t="s">
        <v>11085</v>
      </c>
      <c r="C9" s="2" t="s">
        <v>11457</v>
      </c>
      <c r="D9" s="2">
        <v>3</v>
      </c>
      <c r="E9" s="2">
        <v>398</v>
      </c>
      <c r="F9" s="2">
        <v>71</v>
      </c>
      <c r="G9" s="3">
        <v>46259</v>
      </c>
      <c r="H9" s="2" t="s">
        <v>294</v>
      </c>
      <c r="I9" s="6" t="s">
        <v>4143</v>
      </c>
    </row>
    <row r="10" spans="1:9" ht="18.600000000000001" customHeight="1" thickBot="1" x14ac:dyDescent="0.35">
      <c r="A10" s="5" t="s">
        <v>11084</v>
      </c>
      <c r="B10" s="2" t="s">
        <v>11085</v>
      </c>
      <c r="C10" s="2" t="s">
        <v>11458</v>
      </c>
      <c r="D10" s="2">
        <v>1</v>
      </c>
      <c r="E10" s="2">
        <v>288</v>
      </c>
      <c r="F10" s="2">
        <v>36</v>
      </c>
      <c r="G10" s="3">
        <v>46259</v>
      </c>
      <c r="H10" s="2" t="s">
        <v>294</v>
      </c>
      <c r="I10" s="6" t="s">
        <v>4143</v>
      </c>
    </row>
    <row r="11" spans="1:9" ht="18.600000000000001" customHeight="1" thickBot="1" x14ac:dyDescent="0.35">
      <c r="A11" s="5" t="s">
        <v>401</v>
      </c>
      <c r="B11" s="2" t="s">
        <v>402</v>
      </c>
      <c r="C11" s="2" t="s">
        <v>11459</v>
      </c>
      <c r="D11" s="2">
        <v>1</v>
      </c>
      <c r="E11" s="4">
        <v>2364</v>
      </c>
      <c r="F11" s="2">
        <v>148</v>
      </c>
      <c r="G11" s="3">
        <v>46259</v>
      </c>
      <c r="H11" s="2" t="s">
        <v>294</v>
      </c>
      <c r="I11" s="6" t="s">
        <v>4143</v>
      </c>
    </row>
    <row r="12" spans="1:9" ht="18.600000000000001" customHeight="1" thickBot="1" x14ac:dyDescent="0.35">
      <c r="A12" s="5" t="s">
        <v>201</v>
      </c>
      <c r="B12" s="2" t="s">
        <v>202</v>
      </c>
      <c r="C12" s="2" t="s">
        <v>11460</v>
      </c>
      <c r="D12" s="2">
        <v>33</v>
      </c>
      <c r="E12" s="4">
        <v>17200</v>
      </c>
      <c r="F12" s="4">
        <v>2331</v>
      </c>
      <c r="G12" s="3">
        <v>46259</v>
      </c>
      <c r="H12" s="2" t="s">
        <v>294</v>
      </c>
      <c r="I12" s="6" t="s">
        <v>4143</v>
      </c>
    </row>
    <row r="13" spans="1:9" ht="18.600000000000001" customHeight="1" thickBot="1" x14ac:dyDescent="0.35">
      <c r="A13" s="5" t="s">
        <v>43</v>
      </c>
      <c r="B13" s="2" t="s">
        <v>44</v>
      </c>
      <c r="C13" s="2" t="s">
        <v>11461</v>
      </c>
      <c r="D13" s="2">
        <v>5</v>
      </c>
      <c r="E13" s="4">
        <v>16500</v>
      </c>
      <c r="F13" s="4">
        <v>1757</v>
      </c>
      <c r="G13" s="3">
        <v>46259</v>
      </c>
      <c r="H13" s="2" t="s">
        <v>294</v>
      </c>
      <c r="I13" s="6" t="s">
        <v>4143</v>
      </c>
    </row>
    <row r="14" spans="1:9" ht="18.600000000000001" customHeight="1" thickBot="1" x14ac:dyDescent="0.35">
      <c r="A14" s="5" t="s">
        <v>398</v>
      </c>
      <c r="B14" s="2" t="s">
        <v>399</v>
      </c>
      <c r="C14" s="2" t="s">
        <v>11462</v>
      </c>
      <c r="D14" s="2">
        <v>34</v>
      </c>
      <c r="E14" s="4">
        <v>14592</v>
      </c>
      <c r="F14" s="2">
        <v>807</v>
      </c>
      <c r="G14" s="3">
        <v>46259</v>
      </c>
      <c r="H14" s="2" t="s">
        <v>294</v>
      </c>
      <c r="I14" s="6" t="s">
        <v>4143</v>
      </c>
    </row>
    <row r="15" spans="1:9" ht="18.600000000000001" customHeight="1" thickBot="1" x14ac:dyDescent="0.35">
      <c r="A15" s="5" t="s">
        <v>75</v>
      </c>
      <c r="B15" s="2" t="s">
        <v>76</v>
      </c>
      <c r="C15" s="2" t="s">
        <v>11463</v>
      </c>
      <c r="D15" s="2">
        <v>24</v>
      </c>
      <c r="E15" s="4">
        <v>12000</v>
      </c>
      <c r="F15" s="2">
        <v>710</v>
      </c>
      <c r="G15" s="3">
        <v>46259</v>
      </c>
      <c r="H15" s="2" t="s">
        <v>294</v>
      </c>
      <c r="I15" s="6" t="s">
        <v>4143</v>
      </c>
    </row>
    <row r="16" spans="1:9" ht="18.600000000000001" customHeight="1" thickBot="1" x14ac:dyDescent="0.35">
      <c r="A16" s="5" t="s">
        <v>111</v>
      </c>
      <c r="B16" s="2" t="s">
        <v>112</v>
      </c>
      <c r="C16" s="2" t="s">
        <v>11464</v>
      </c>
      <c r="D16" s="2">
        <v>7</v>
      </c>
      <c r="E16" s="4">
        <v>1524</v>
      </c>
      <c r="F16" s="2">
        <v>59</v>
      </c>
      <c r="G16" s="3">
        <v>46259</v>
      </c>
      <c r="H16" s="2" t="s">
        <v>294</v>
      </c>
      <c r="I16" s="6" t="s">
        <v>4143</v>
      </c>
    </row>
    <row r="17" spans="1:9" ht="18.600000000000001" customHeight="1" thickBot="1" x14ac:dyDescent="0.35">
      <c r="A17" s="5" t="s">
        <v>873</v>
      </c>
      <c r="B17" s="2" t="s">
        <v>11465</v>
      </c>
      <c r="C17" s="2" t="s">
        <v>11466</v>
      </c>
      <c r="D17" s="2">
        <v>16</v>
      </c>
      <c r="E17" s="4">
        <v>1483</v>
      </c>
      <c r="F17" s="2">
        <v>70</v>
      </c>
      <c r="G17" s="3">
        <v>46259</v>
      </c>
      <c r="H17" s="2" t="s">
        <v>294</v>
      </c>
      <c r="I17" s="6" t="s">
        <v>4143</v>
      </c>
    </row>
    <row r="18" spans="1:9" ht="18.600000000000001" customHeight="1" thickBot="1" x14ac:dyDescent="0.35">
      <c r="A18" s="5" t="s">
        <v>508</v>
      </c>
      <c r="B18" s="2" t="s">
        <v>509</v>
      </c>
      <c r="C18" s="2" t="s">
        <v>11467</v>
      </c>
      <c r="D18" s="2">
        <v>12</v>
      </c>
      <c r="E18" s="4">
        <v>1176</v>
      </c>
      <c r="F18" s="2">
        <v>71</v>
      </c>
      <c r="G18" s="3">
        <v>46259</v>
      </c>
      <c r="H18" s="2" t="s">
        <v>294</v>
      </c>
      <c r="I18" s="6" t="s">
        <v>4143</v>
      </c>
    </row>
    <row r="19" spans="1:9" ht="18.600000000000001" customHeight="1" thickBot="1" x14ac:dyDescent="0.35">
      <c r="A19" s="5" t="s">
        <v>508</v>
      </c>
      <c r="B19" s="2" t="s">
        <v>509</v>
      </c>
      <c r="C19" s="2" t="s">
        <v>11468</v>
      </c>
      <c r="D19" s="2">
        <v>5</v>
      </c>
      <c r="E19" s="4">
        <v>1166</v>
      </c>
      <c r="F19" s="2">
        <v>49</v>
      </c>
      <c r="G19" s="3">
        <v>46259</v>
      </c>
      <c r="H19" s="2" t="s">
        <v>294</v>
      </c>
      <c r="I19" s="6" t="s">
        <v>4143</v>
      </c>
    </row>
    <row r="20" spans="1:9" ht="18.600000000000001" customHeight="1" thickBot="1" x14ac:dyDescent="0.35">
      <c r="A20" s="5" t="s">
        <v>11084</v>
      </c>
      <c r="B20" s="2" t="s">
        <v>11085</v>
      </c>
      <c r="C20" s="2" t="s">
        <v>11469</v>
      </c>
      <c r="D20" s="2">
        <v>5</v>
      </c>
      <c r="E20" s="4">
        <v>1088</v>
      </c>
      <c r="F20" s="2">
        <v>139</v>
      </c>
      <c r="G20" s="3">
        <v>46259</v>
      </c>
      <c r="H20" s="2" t="s">
        <v>294</v>
      </c>
      <c r="I20" s="6" t="s">
        <v>4143</v>
      </c>
    </row>
    <row r="21" spans="1:9" ht="18.600000000000001" customHeight="1" thickBot="1" x14ac:dyDescent="0.35">
      <c r="A21" s="5" t="s">
        <v>11084</v>
      </c>
      <c r="B21" s="2" t="s">
        <v>11085</v>
      </c>
      <c r="C21" s="2" t="s">
        <v>11470</v>
      </c>
      <c r="D21" s="2">
        <v>3</v>
      </c>
      <c r="E21" s="4">
        <v>1055</v>
      </c>
      <c r="F21" s="2">
        <v>86</v>
      </c>
      <c r="G21" s="3">
        <v>46259</v>
      </c>
      <c r="H21" s="2" t="s">
        <v>294</v>
      </c>
      <c r="I21" s="6" t="s">
        <v>4143</v>
      </c>
    </row>
    <row r="22" spans="1:9" ht="18.600000000000001" customHeight="1" thickBot="1" x14ac:dyDescent="0.35">
      <c r="A22" s="7" t="s">
        <v>11471</v>
      </c>
      <c r="B22" s="8" t="s">
        <v>11472</v>
      </c>
      <c r="C22" s="8" t="s">
        <v>11473</v>
      </c>
      <c r="D22" s="8">
        <v>4</v>
      </c>
      <c r="E22" s="8">
        <v>168</v>
      </c>
      <c r="F22" s="8">
        <v>5</v>
      </c>
      <c r="G22" s="10">
        <v>46259</v>
      </c>
      <c r="H22" s="8" t="s">
        <v>296</v>
      </c>
      <c r="I22" s="11" t="s">
        <v>4143</v>
      </c>
    </row>
    <row r="23" spans="1:9" ht="18.600000000000001" customHeight="1" thickBot="1" x14ac:dyDescent="0.35">
      <c r="A23" s="12" t="s">
        <v>93</v>
      </c>
      <c r="B23" s="13" t="s">
        <v>94</v>
      </c>
      <c r="C23" s="13" t="s">
        <v>11102</v>
      </c>
      <c r="D23" s="13">
        <v>1</v>
      </c>
      <c r="E23" s="13">
        <v>90</v>
      </c>
      <c r="F23" s="13">
        <v>1</v>
      </c>
      <c r="G23" s="14">
        <v>46259</v>
      </c>
      <c r="H23" s="13" t="s">
        <v>294</v>
      </c>
      <c r="I23" s="15" t="s">
        <v>4143</v>
      </c>
    </row>
    <row r="24" spans="1:9" ht="18.600000000000001" customHeight="1" thickBot="1" x14ac:dyDescent="0.35">
      <c r="A24" s="5" t="s">
        <v>9200</v>
      </c>
      <c r="B24" s="2" t="s">
        <v>9201</v>
      </c>
      <c r="C24" s="2" t="s">
        <v>11474</v>
      </c>
      <c r="D24" s="2">
        <v>18</v>
      </c>
      <c r="E24" s="4">
        <v>6281</v>
      </c>
      <c r="F24" s="2">
        <v>544</v>
      </c>
      <c r="G24" s="3">
        <v>46259</v>
      </c>
      <c r="H24" s="2" t="s">
        <v>294</v>
      </c>
      <c r="I24" s="6" t="s">
        <v>4143</v>
      </c>
    </row>
    <row r="25" spans="1:9" ht="18.600000000000001" customHeight="1" thickBot="1" x14ac:dyDescent="0.35">
      <c r="A25" s="5" t="s">
        <v>201</v>
      </c>
      <c r="B25" s="2" t="s">
        <v>202</v>
      </c>
      <c r="C25" s="2" t="s">
        <v>11475</v>
      </c>
      <c r="D25" s="2">
        <v>12</v>
      </c>
      <c r="E25" s="4">
        <v>4534</v>
      </c>
      <c r="F25" s="2">
        <v>228</v>
      </c>
      <c r="G25" s="3">
        <v>46259</v>
      </c>
      <c r="H25" s="2" t="s">
        <v>294</v>
      </c>
      <c r="I25" s="6" t="s">
        <v>4143</v>
      </c>
    </row>
    <row r="26" spans="1:9" ht="18.600000000000001" customHeight="1" thickBot="1" x14ac:dyDescent="0.35">
      <c r="A26" s="5" t="s">
        <v>135</v>
      </c>
      <c r="B26" s="2" t="s">
        <v>136</v>
      </c>
      <c r="C26" s="2" t="s">
        <v>11476</v>
      </c>
      <c r="D26" s="2">
        <v>24</v>
      </c>
      <c r="E26" s="4">
        <v>4348</v>
      </c>
      <c r="F26" s="2">
        <v>358</v>
      </c>
      <c r="G26" s="3">
        <v>46259</v>
      </c>
      <c r="H26" s="2" t="s">
        <v>294</v>
      </c>
      <c r="I26" s="6" t="s">
        <v>4143</v>
      </c>
    </row>
    <row r="27" spans="1:9" ht="18.600000000000001" customHeight="1" thickBot="1" x14ac:dyDescent="0.35">
      <c r="A27" s="5" t="s">
        <v>71</v>
      </c>
      <c r="B27" s="2" t="s">
        <v>72</v>
      </c>
      <c r="C27" s="2" t="s">
        <v>11477</v>
      </c>
      <c r="D27" s="2">
        <v>7</v>
      </c>
      <c r="E27" s="2">
        <v>260</v>
      </c>
      <c r="F27" s="2">
        <v>15</v>
      </c>
      <c r="G27" s="3">
        <v>46259</v>
      </c>
      <c r="H27" s="2" t="s">
        <v>294</v>
      </c>
      <c r="I27" s="6" t="s">
        <v>4143</v>
      </c>
    </row>
    <row r="28" spans="1:9" ht="18.600000000000001" customHeight="1" thickBot="1" x14ac:dyDescent="0.35">
      <c r="A28" s="5" t="s">
        <v>2505</v>
      </c>
      <c r="B28" s="2" t="s">
        <v>11478</v>
      </c>
      <c r="C28" s="2" t="s">
        <v>11479</v>
      </c>
      <c r="D28" s="2">
        <v>2</v>
      </c>
      <c r="E28" s="2">
        <v>24</v>
      </c>
      <c r="F28" s="2">
        <v>2</v>
      </c>
      <c r="G28" s="3">
        <v>46259</v>
      </c>
      <c r="H28" s="2" t="s">
        <v>294</v>
      </c>
      <c r="I28" s="6" t="s">
        <v>4143</v>
      </c>
    </row>
    <row r="29" spans="1:9" ht="18.600000000000001" customHeight="1" thickBot="1" x14ac:dyDescent="0.35">
      <c r="A29" s="5" t="s">
        <v>425</v>
      </c>
      <c r="B29" s="2" t="s">
        <v>426</v>
      </c>
      <c r="C29" s="2" t="s">
        <v>11480</v>
      </c>
      <c r="D29" s="2">
        <v>51</v>
      </c>
      <c r="E29" s="4">
        <v>19889</v>
      </c>
      <c r="F29" s="4">
        <v>1151</v>
      </c>
      <c r="G29" s="3">
        <v>46259</v>
      </c>
      <c r="H29" s="2" t="s">
        <v>294</v>
      </c>
      <c r="I29" s="6" t="s">
        <v>4143</v>
      </c>
    </row>
    <row r="30" spans="1:9" ht="18.600000000000001" customHeight="1" thickBot="1" x14ac:dyDescent="0.35">
      <c r="A30" s="5" t="s">
        <v>7133</v>
      </c>
      <c r="B30" s="2" t="s">
        <v>7134</v>
      </c>
      <c r="C30" s="2" t="s">
        <v>11481</v>
      </c>
      <c r="D30" s="2">
        <v>47</v>
      </c>
      <c r="E30" s="4">
        <v>11792</v>
      </c>
      <c r="F30" s="4">
        <v>1022</v>
      </c>
      <c r="G30" s="3">
        <v>46259</v>
      </c>
      <c r="H30" s="2" t="s">
        <v>294</v>
      </c>
      <c r="I30" s="6" t="s">
        <v>4143</v>
      </c>
    </row>
    <row r="31" spans="1:9" ht="18.600000000000001" customHeight="1" thickBot="1" x14ac:dyDescent="0.35">
      <c r="A31" s="5" t="s">
        <v>201</v>
      </c>
      <c r="B31" s="2" t="s">
        <v>202</v>
      </c>
      <c r="C31" s="2" t="s">
        <v>11482</v>
      </c>
      <c r="D31" s="2">
        <v>4</v>
      </c>
      <c r="E31" s="4">
        <v>1900</v>
      </c>
      <c r="F31" s="2">
        <v>141</v>
      </c>
      <c r="G31" s="3">
        <v>46259</v>
      </c>
      <c r="H31" s="2" t="s">
        <v>294</v>
      </c>
      <c r="I31" s="6" t="s">
        <v>4143</v>
      </c>
    </row>
    <row r="32" spans="1:9" ht="18.600000000000001" customHeight="1" thickBot="1" x14ac:dyDescent="0.35">
      <c r="A32" s="5" t="s">
        <v>5199</v>
      </c>
      <c r="B32" s="2" t="s">
        <v>11453</v>
      </c>
      <c r="C32" s="2" t="s">
        <v>11483</v>
      </c>
      <c r="D32" s="2">
        <v>3</v>
      </c>
      <c r="E32" s="4">
        <v>1480</v>
      </c>
      <c r="F32" s="2">
        <v>28</v>
      </c>
      <c r="G32" s="3">
        <v>46259</v>
      </c>
      <c r="H32" s="2" t="s">
        <v>294</v>
      </c>
      <c r="I32" s="6" t="s">
        <v>4143</v>
      </c>
    </row>
    <row r="33" spans="1:9" ht="18.600000000000001" customHeight="1" thickBot="1" x14ac:dyDescent="0.35">
      <c r="A33" s="7" t="s">
        <v>1945</v>
      </c>
      <c r="B33" s="8" t="s">
        <v>1946</v>
      </c>
      <c r="C33" s="8" t="s">
        <v>11484</v>
      </c>
      <c r="D33" s="8">
        <v>12</v>
      </c>
      <c r="E33" s="9">
        <v>1451</v>
      </c>
      <c r="F33" s="8">
        <v>89</v>
      </c>
      <c r="G33" s="10">
        <v>46259</v>
      </c>
      <c r="H33" s="8" t="s">
        <v>294</v>
      </c>
      <c r="I33" s="11" t="s">
        <v>4143</v>
      </c>
    </row>
    <row r="34" spans="1:9" ht="18.600000000000001" customHeight="1" thickBot="1" x14ac:dyDescent="0.35">
      <c r="A34" s="12" t="s">
        <v>10580</v>
      </c>
      <c r="B34" s="13" t="s">
        <v>11088</v>
      </c>
      <c r="C34" s="13" t="s">
        <v>11485</v>
      </c>
      <c r="D34" s="13">
        <v>2</v>
      </c>
      <c r="E34" s="13">
        <v>971</v>
      </c>
      <c r="F34" s="13">
        <v>91</v>
      </c>
      <c r="G34" s="14">
        <v>46259</v>
      </c>
      <c r="H34" s="13" t="s">
        <v>294</v>
      </c>
      <c r="I34" s="15" t="s">
        <v>4143</v>
      </c>
    </row>
    <row r="35" spans="1:9" ht="18.600000000000001" customHeight="1" thickBot="1" x14ac:dyDescent="0.35">
      <c r="A35" s="5" t="s">
        <v>893</v>
      </c>
      <c r="B35" s="2" t="s">
        <v>894</v>
      </c>
      <c r="C35" s="2" t="s">
        <v>11486</v>
      </c>
      <c r="D35" s="2">
        <v>31</v>
      </c>
      <c r="E35" s="4">
        <v>9352</v>
      </c>
      <c r="F35" s="2">
        <v>245</v>
      </c>
      <c r="G35" s="3">
        <v>46259</v>
      </c>
      <c r="H35" s="2" t="s">
        <v>294</v>
      </c>
      <c r="I35" s="6" t="s">
        <v>4143</v>
      </c>
    </row>
    <row r="36" spans="1:9" ht="18.600000000000001" customHeight="1" thickBot="1" x14ac:dyDescent="0.35">
      <c r="A36" s="5" t="s">
        <v>1639</v>
      </c>
      <c r="B36" s="2" t="s">
        <v>1640</v>
      </c>
      <c r="C36" s="2" t="s">
        <v>11487</v>
      </c>
      <c r="D36" s="2">
        <v>41</v>
      </c>
      <c r="E36" s="4">
        <v>9304</v>
      </c>
      <c r="F36" s="2">
        <v>454</v>
      </c>
      <c r="G36" s="3">
        <v>46259</v>
      </c>
      <c r="H36" s="2" t="s">
        <v>294</v>
      </c>
      <c r="I36" s="6" t="s">
        <v>4143</v>
      </c>
    </row>
    <row r="37" spans="1:9" ht="18.600000000000001" customHeight="1" thickBot="1" x14ac:dyDescent="0.35">
      <c r="A37" s="5" t="s">
        <v>11488</v>
      </c>
      <c r="B37" s="2" t="s">
        <v>11489</v>
      </c>
      <c r="C37" s="2" t="s">
        <v>11490</v>
      </c>
      <c r="D37" s="2">
        <v>11</v>
      </c>
      <c r="E37" s="2">
        <v>866</v>
      </c>
      <c r="F37" s="2">
        <v>30</v>
      </c>
      <c r="G37" s="3">
        <v>46259</v>
      </c>
      <c r="H37" s="2" t="s">
        <v>294</v>
      </c>
      <c r="I37" s="6" t="s">
        <v>4143</v>
      </c>
    </row>
    <row r="38" spans="1:9" ht="18.600000000000001" customHeight="1" thickBot="1" x14ac:dyDescent="0.35">
      <c r="A38" s="5" t="s">
        <v>776</v>
      </c>
      <c r="B38" s="2" t="s">
        <v>777</v>
      </c>
      <c r="C38" s="2" t="s">
        <v>11491</v>
      </c>
      <c r="D38" s="2">
        <v>8</v>
      </c>
      <c r="E38" s="2">
        <v>835</v>
      </c>
      <c r="F38" s="2">
        <v>13</v>
      </c>
      <c r="G38" s="3">
        <v>46259</v>
      </c>
      <c r="H38" s="2" t="s">
        <v>294</v>
      </c>
      <c r="I38" s="6" t="s">
        <v>4143</v>
      </c>
    </row>
    <row r="39" spans="1:9" ht="18.600000000000001" customHeight="1" thickBot="1" x14ac:dyDescent="0.35">
      <c r="A39" s="5" t="s">
        <v>71</v>
      </c>
      <c r="B39" s="2" t="s">
        <v>72</v>
      </c>
      <c r="C39" s="2" t="s">
        <v>11492</v>
      </c>
      <c r="D39" s="2">
        <v>77</v>
      </c>
      <c r="E39" s="4">
        <v>8692</v>
      </c>
      <c r="F39" s="2">
        <v>512</v>
      </c>
      <c r="G39" s="3">
        <v>46259</v>
      </c>
      <c r="H39" s="2" t="s">
        <v>294</v>
      </c>
      <c r="I39" s="6" t="s">
        <v>4143</v>
      </c>
    </row>
    <row r="40" spans="1:9" ht="18.600000000000001" customHeight="1" thickBot="1" x14ac:dyDescent="0.35">
      <c r="A40" s="5" t="s">
        <v>2290</v>
      </c>
      <c r="B40" s="2" t="s">
        <v>2291</v>
      </c>
      <c r="C40" s="2" t="s">
        <v>11493</v>
      </c>
      <c r="D40" s="2">
        <v>10</v>
      </c>
      <c r="E40" s="4">
        <v>8361</v>
      </c>
      <c r="F40" s="4">
        <v>1124</v>
      </c>
      <c r="G40" s="3">
        <v>46259</v>
      </c>
      <c r="H40" s="2" t="s">
        <v>294</v>
      </c>
      <c r="I40" s="6" t="s">
        <v>4143</v>
      </c>
    </row>
    <row r="41" spans="1:9" ht="18.600000000000001" customHeight="1" thickBot="1" x14ac:dyDescent="0.35">
      <c r="A41" s="5" t="s">
        <v>2279</v>
      </c>
      <c r="B41" s="2" t="s">
        <v>11494</v>
      </c>
      <c r="C41" s="2" t="s">
        <v>11495</v>
      </c>
      <c r="D41" s="2">
        <v>9</v>
      </c>
      <c r="E41" s="2">
        <v>78</v>
      </c>
      <c r="F41" s="2">
        <v>1</v>
      </c>
      <c r="G41" s="3">
        <v>46259</v>
      </c>
      <c r="H41" s="2" t="s">
        <v>294</v>
      </c>
      <c r="I41" s="6" t="s">
        <v>4143</v>
      </c>
    </row>
    <row r="42" spans="1:9" ht="18.600000000000001" customHeight="1" thickBot="1" x14ac:dyDescent="0.35">
      <c r="A42" s="5" t="s">
        <v>11496</v>
      </c>
      <c r="B42" s="2" t="s">
        <v>11497</v>
      </c>
      <c r="C42" s="2" t="s">
        <v>11498</v>
      </c>
      <c r="D42" s="2">
        <v>11</v>
      </c>
      <c r="E42" s="2">
        <v>72</v>
      </c>
      <c r="F42" s="2">
        <v>1</v>
      </c>
      <c r="G42" s="3">
        <v>46259</v>
      </c>
      <c r="H42" s="2" t="s">
        <v>294</v>
      </c>
      <c r="I42" s="6" t="s">
        <v>4143</v>
      </c>
    </row>
    <row r="43" spans="1:9" ht="18.600000000000001" customHeight="1" thickBot="1" x14ac:dyDescent="0.35">
      <c r="A43" s="5" t="s">
        <v>43</v>
      </c>
      <c r="B43" s="2" t="s">
        <v>44</v>
      </c>
      <c r="C43" s="2" t="s">
        <v>11499</v>
      </c>
      <c r="D43" s="2">
        <v>7</v>
      </c>
      <c r="E43" s="4">
        <v>7792</v>
      </c>
      <c r="F43" s="2">
        <v>629</v>
      </c>
      <c r="G43" s="3">
        <v>46259</v>
      </c>
      <c r="H43" s="2" t="s">
        <v>294</v>
      </c>
      <c r="I43" s="6" t="s">
        <v>4143</v>
      </c>
    </row>
    <row r="44" spans="1:9" ht="18.600000000000001" customHeight="1" thickBot="1" x14ac:dyDescent="0.35">
      <c r="A44" s="5" t="s">
        <v>71</v>
      </c>
      <c r="B44" s="2" t="s">
        <v>72</v>
      </c>
      <c r="C44" s="2" t="s">
        <v>11500</v>
      </c>
      <c r="D44" s="2">
        <v>17</v>
      </c>
      <c r="E44" s="4">
        <v>7542</v>
      </c>
      <c r="F44" s="2">
        <v>318</v>
      </c>
      <c r="G44" s="3">
        <v>46259</v>
      </c>
      <c r="H44" s="2" t="s">
        <v>294</v>
      </c>
      <c r="I44" s="6" t="s">
        <v>4143</v>
      </c>
    </row>
    <row r="45" spans="1:9" ht="18.600000000000001" customHeight="1" thickBot="1" x14ac:dyDescent="0.35">
      <c r="A45" s="5" t="s">
        <v>43</v>
      </c>
      <c r="B45" s="2" t="s">
        <v>44</v>
      </c>
      <c r="C45" s="2" t="s">
        <v>11501</v>
      </c>
      <c r="D45" s="2">
        <v>11</v>
      </c>
      <c r="E45" s="4">
        <v>7485</v>
      </c>
      <c r="F45" s="4">
        <v>5017</v>
      </c>
      <c r="G45" s="3">
        <v>46259</v>
      </c>
      <c r="H45" s="2" t="s">
        <v>294</v>
      </c>
      <c r="I45" s="6" t="s">
        <v>4143</v>
      </c>
    </row>
    <row r="46" spans="1:9" ht="18.600000000000001" customHeight="1" thickBot="1" x14ac:dyDescent="0.35">
      <c r="A46" s="5" t="s">
        <v>111</v>
      </c>
      <c r="B46" s="2" t="s">
        <v>112</v>
      </c>
      <c r="C46" s="2" t="s">
        <v>11502</v>
      </c>
      <c r="D46" s="2">
        <v>19</v>
      </c>
      <c r="E46" s="4">
        <v>7272</v>
      </c>
      <c r="F46" s="2">
        <v>961</v>
      </c>
      <c r="G46" s="3">
        <v>46259</v>
      </c>
      <c r="H46" s="2" t="s">
        <v>294</v>
      </c>
      <c r="I46" s="6" t="s">
        <v>4143</v>
      </c>
    </row>
    <row r="47" spans="1:9" ht="18.600000000000001" customHeight="1" thickBot="1" x14ac:dyDescent="0.35">
      <c r="A47" s="5" t="s">
        <v>9327</v>
      </c>
      <c r="B47" s="2" t="s">
        <v>9328</v>
      </c>
      <c r="C47" s="2" t="s">
        <v>11503</v>
      </c>
      <c r="D47" s="2">
        <v>3</v>
      </c>
      <c r="E47" s="4">
        <v>6900</v>
      </c>
      <c r="F47" s="2">
        <v>218</v>
      </c>
      <c r="G47" s="3">
        <v>46259</v>
      </c>
      <c r="H47" s="2" t="s">
        <v>294</v>
      </c>
      <c r="I47" s="6" t="s">
        <v>4143</v>
      </c>
    </row>
    <row r="48" spans="1:9" ht="18.600000000000001" customHeight="1" thickBot="1" x14ac:dyDescent="0.35">
      <c r="A48" s="5" t="s">
        <v>921</v>
      </c>
      <c r="B48" s="2" t="s">
        <v>922</v>
      </c>
      <c r="C48" s="2" t="s">
        <v>11504</v>
      </c>
      <c r="D48" s="2">
        <v>7</v>
      </c>
      <c r="E48" s="4">
        <v>6384</v>
      </c>
      <c r="F48" s="2">
        <v>395</v>
      </c>
      <c r="G48" s="3">
        <v>46259</v>
      </c>
      <c r="H48" s="2" t="s">
        <v>294</v>
      </c>
      <c r="I48" s="6" t="s">
        <v>4143</v>
      </c>
    </row>
    <row r="49" spans="1:9" ht="18.600000000000001" customHeight="1" thickBot="1" x14ac:dyDescent="0.35">
      <c r="A49" s="5" t="s">
        <v>3688</v>
      </c>
      <c r="B49" s="2" t="s">
        <v>11505</v>
      </c>
      <c r="C49" s="2" t="s">
        <v>11506</v>
      </c>
      <c r="D49" s="2">
        <v>60</v>
      </c>
      <c r="E49" s="4">
        <v>6074</v>
      </c>
      <c r="F49" s="2">
        <v>91</v>
      </c>
      <c r="G49" s="3">
        <v>46259</v>
      </c>
      <c r="H49" s="2" t="s">
        <v>294</v>
      </c>
      <c r="I49" s="6" t="s">
        <v>4143</v>
      </c>
    </row>
    <row r="50" spans="1:9" ht="18.600000000000001" customHeight="1" thickBot="1" x14ac:dyDescent="0.35">
      <c r="A50" s="5" t="s">
        <v>39</v>
      </c>
      <c r="B50" s="2" t="s">
        <v>40</v>
      </c>
      <c r="C50" s="2" t="s">
        <v>11507</v>
      </c>
      <c r="D50" s="2">
        <v>1</v>
      </c>
      <c r="E50" s="2">
        <v>544</v>
      </c>
      <c r="F50" s="2">
        <v>8</v>
      </c>
      <c r="G50" s="3">
        <v>46259</v>
      </c>
      <c r="H50" s="2" t="s">
        <v>294</v>
      </c>
      <c r="I50" s="6" t="s">
        <v>4143</v>
      </c>
    </row>
    <row r="51" spans="1:9" ht="18.600000000000001" customHeight="1" thickBot="1" x14ac:dyDescent="0.35">
      <c r="A51" s="5" t="s">
        <v>177</v>
      </c>
      <c r="B51" s="2" t="s">
        <v>178</v>
      </c>
      <c r="C51" s="2" t="s">
        <v>11508</v>
      </c>
      <c r="D51" s="2">
        <v>5</v>
      </c>
      <c r="E51" s="2">
        <v>501</v>
      </c>
      <c r="F51" s="2">
        <v>376</v>
      </c>
      <c r="G51" s="3">
        <v>46259</v>
      </c>
      <c r="H51" s="2" t="s">
        <v>294</v>
      </c>
      <c r="I51" s="6" t="s">
        <v>4143</v>
      </c>
    </row>
    <row r="52" spans="1:9" ht="18.600000000000001" customHeight="1" thickBot="1" x14ac:dyDescent="0.35">
      <c r="A52" s="5" t="s">
        <v>118</v>
      </c>
      <c r="B52" s="2" t="s">
        <v>119</v>
      </c>
      <c r="C52" s="2" t="s">
        <v>11509</v>
      </c>
      <c r="D52" s="2">
        <v>7</v>
      </c>
      <c r="E52" s="4">
        <v>5705</v>
      </c>
      <c r="F52" s="4">
        <v>4279</v>
      </c>
      <c r="G52" s="3">
        <v>46259</v>
      </c>
      <c r="H52" s="2" t="s">
        <v>294</v>
      </c>
      <c r="I52" s="6" t="s">
        <v>4143</v>
      </c>
    </row>
    <row r="53" spans="1:9" ht="18.600000000000001" customHeight="1" thickBot="1" x14ac:dyDescent="0.35">
      <c r="A53" s="5" t="s">
        <v>8641</v>
      </c>
      <c r="B53" s="2" t="s">
        <v>8642</v>
      </c>
      <c r="C53" s="2" t="s">
        <v>11510</v>
      </c>
      <c r="D53" s="2">
        <v>21</v>
      </c>
      <c r="E53" s="4">
        <v>5678</v>
      </c>
      <c r="F53" s="2">
        <v>702</v>
      </c>
      <c r="G53" s="3">
        <v>46259</v>
      </c>
      <c r="H53" s="2" t="s">
        <v>294</v>
      </c>
      <c r="I53" s="6" t="s">
        <v>4143</v>
      </c>
    </row>
    <row r="54" spans="1:9" ht="18.600000000000001" customHeight="1" thickBot="1" x14ac:dyDescent="0.35">
      <c r="A54" s="5" t="s">
        <v>75</v>
      </c>
      <c r="B54" s="2" t="s">
        <v>76</v>
      </c>
      <c r="C54" s="2" t="s">
        <v>11511</v>
      </c>
      <c r="D54" s="2">
        <v>10</v>
      </c>
      <c r="E54" s="4">
        <v>5302</v>
      </c>
      <c r="F54" s="2">
        <v>334</v>
      </c>
      <c r="G54" s="3">
        <v>46259</v>
      </c>
      <c r="H54" s="2" t="s">
        <v>294</v>
      </c>
      <c r="I54" s="6" t="s">
        <v>4143</v>
      </c>
    </row>
    <row r="55" spans="1:9" ht="18.600000000000001" customHeight="1" thickBot="1" x14ac:dyDescent="0.35">
      <c r="A55" s="5" t="s">
        <v>2263</v>
      </c>
      <c r="B55" s="2" t="s">
        <v>11512</v>
      </c>
      <c r="C55" s="2" t="s">
        <v>11513</v>
      </c>
      <c r="D55" s="2">
        <v>5</v>
      </c>
      <c r="E55" s="4">
        <v>5146</v>
      </c>
      <c r="F55" s="2">
        <v>617</v>
      </c>
      <c r="G55" s="3">
        <v>46259</v>
      </c>
      <c r="H55" s="2" t="s">
        <v>294</v>
      </c>
      <c r="I55" s="6" t="s">
        <v>4143</v>
      </c>
    </row>
    <row r="56" spans="1:9" ht="18.600000000000001" customHeight="1" thickBot="1" x14ac:dyDescent="0.35">
      <c r="A56" s="5" t="s">
        <v>7001</v>
      </c>
      <c r="B56" s="2" t="s">
        <v>7002</v>
      </c>
      <c r="C56" s="2" t="s">
        <v>11514</v>
      </c>
      <c r="D56" s="2">
        <v>8</v>
      </c>
      <c r="E56" s="4">
        <v>5138</v>
      </c>
      <c r="F56" s="4">
        <v>3608</v>
      </c>
      <c r="G56" s="3">
        <v>46259</v>
      </c>
      <c r="H56" s="2" t="s">
        <v>294</v>
      </c>
      <c r="I56" s="6" t="s">
        <v>4143</v>
      </c>
    </row>
    <row r="57" spans="1:9" ht="18.600000000000001" customHeight="1" thickBot="1" x14ac:dyDescent="0.35">
      <c r="A57" s="5" t="s">
        <v>1031</v>
      </c>
      <c r="B57" s="2" t="s">
        <v>1032</v>
      </c>
      <c r="C57" s="2" t="s">
        <v>11515</v>
      </c>
      <c r="D57" s="2">
        <v>1</v>
      </c>
      <c r="E57" s="2">
        <v>489</v>
      </c>
      <c r="F57" s="2">
        <v>7</v>
      </c>
      <c r="G57" s="3">
        <v>46259</v>
      </c>
      <c r="H57" s="2" t="s">
        <v>294</v>
      </c>
      <c r="I57" s="6" t="s">
        <v>4143</v>
      </c>
    </row>
    <row r="58" spans="1:9" ht="18.600000000000001" customHeight="1" thickBot="1" x14ac:dyDescent="0.35">
      <c r="A58" s="5" t="s">
        <v>39</v>
      </c>
      <c r="B58" s="2" t="s">
        <v>40</v>
      </c>
      <c r="C58" s="2" t="s">
        <v>11516</v>
      </c>
      <c r="D58" s="2">
        <v>4</v>
      </c>
      <c r="E58" s="2">
        <v>486</v>
      </c>
      <c r="F58" s="2">
        <v>11</v>
      </c>
      <c r="G58" s="3">
        <v>46259</v>
      </c>
      <c r="H58" s="2" t="s">
        <v>294</v>
      </c>
      <c r="I58" s="6" t="s">
        <v>4143</v>
      </c>
    </row>
    <row r="59" spans="1:9" ht="18.600000000000001" customHeight="1" thickBot="1" x14ac:dyDescent="0.35">
      <c r="A59" s="5" t="s">
        <v>71</v>
      </c>
      <c r="B59" s="2" t="s">
        <v>72</v>
      </c>
      <c r="C59" s="2" t="s">
        <v>11517</v>
      </c>
      <c r="D59" s="2">
        <v>5</v>
      </c>
      <c r="E59" s="2">
        <v>40</v>
      </c>
      <c r="F59" s="2">
        <v>5</v>
      </c>
      <c r="G59" s="3">
        <v>46259</v>
      </c>
      <c r="H59" s="2" t="s">
        <v>294</v>
      </c>
      <c r="I59" s="6" t="s">
        <v>4143</v>
      </c>
    </row>
    <row r="60" spans="1:9" ht="18.600000000000001" customHeight="1" thickBot="1" x14ac:dyDescent="0.35">
      <c r="A60" s="5" t="s">
        <v>11518</v>
      </c>
      <c r="B60" s="2" t="s">
        <v>11519</v>
      </c>
      <c r="C60" s="2" t="s">
        <v>11520</v>
      </c>
      <c r="D60" s="2">
        <v>19</v>
      </c>
      <c r="E60" s="4">
        <v>4829</v>
      </c>
      <c r="F60" s="4">
        <v>2509</v>
      </c>
      <c r="G60" s="3">
        <v>46259</v>
      </c>
      <c r="H60" s="2" t="s">
        <v>294</v>
      </c>
      <c r="I60" s="6" t="s">
        <v>4143</v>
      </c>
    </row>
    <row r="61" spans="1:9" ht="18.600000000000001" customHeight="1" thickBot="1" x14ac:dyDescent="0.35">
      <c r="A61" s="5" t="s">
        <v>11521</v>
      </c>
      <c r="B61" s="2" t="s">
        <v>11522</v>
      </c>
      <c r="C61" s="2" t="s">
        <v>11523</v>
      </c>
      <c r="D61" s="2">
        <v>22</v>
      </c>
      <c r="E61" s="4">
        <v>4782</v>
      </c>
      <c r="F61" s="2">
        <v>302</v>
      </c>
      <c r="G61" s="3">
        <v>46259</v>
      </c>
      <c r="H61" s="2" t="s">
        <v>294</v>
      </c>
      <c r="I61" s="6" t="s">
        <v>4143</v>
      </c>
    </row>
    <row r="62" spans="1:9" ht="18.600000000000001" customHeight="1" thickBot="1" x14ac:dyDescent="0.35">
      <c r="A62" s="5" t="s">
        <v>158</v>
      </c>
      <c r="B62" s="2" t="s">
        <v>159</v>
      </c>
      <c r="C62" s="2" t="s">
        <v>11524</v>
      </c>
      <c r="D62" s="2">
        <v>21</v>
      </c>
      <c r="E62" s="4">
        <v>4613</v>
      </c>
      <c r="F62" s="2">
        <v>183</v>
      </c>
      <c r="G62" s="3">
        <v>46259</v>
      </c>
      <c r="H62" s="2" t="s">
        <v>294</v>
      </c>
      <c r="I62" s="6" t="s">
        <v>4143</v>
      </c>
    </row>
    <row r="63" spans="1:9" ht="18.600000000000001" customHeight="1" thickBot="1" x14ac:dyDescent="0.35">
      <c r="A63" s="5" t="s">
        <v>71</v>
      </c>
      <c r="B63" s="2" t="s">
        <v>72</v>
      </c>
      <c r="C63" s="2" t="s">
        <v>11525</v>
      </c>
      <c r="D63" s="2">
        <v>28</v>
      </c>
      <c r="E63" s="4">
        <v>4514</v>
      </c>
      <c r="F63" s="2">
        <v>339</v>
      </c>
      <c r="G63" s="3">
        <v>46259</v>
      </c>
      <c r="H63" s="2" t="s">
        <v>294</v>
      </c>
      <c r="I63" s="6" t="s">
        <v>4143</v>
      </c>
    </row>
    <row r="64" spans="1:9" ht="18.600000000000001" customHeight="1" thickBot="1" x14ac:dyDescent="0.35">
      <c r="A64" s="5" t="s">
        <v>71</v>
      </c>
      <c r="B64" s="2" t="s">
        <v>72</v>
      </c>
      <c r="C64" s="2" t="s">
        <v>11526</v>
      </c>
      <c r="D64" s="2">
        <v>33</v>
      </c>
      <c r="E64" s="4">
        <v>4168</v>
      </c>
      <c r="F64" s="2">
        <v>448</v>
      </c>
      <c r="G64" s="3">
        <v>46259</v>
      </c>
      <c r="H64" s="2" t="s">
        <v>294</v>
      </c>
      <c r="I64" s="6" t="s">
        <v>4143</v>
      </c>
    </row>
    <row r="65" spans="1:9" ht="18.600000000000001" customHeight="1" thickBot="1" x14ac:dyDescent="0.35">
      <c r="A65" s="5" t="s">
        <v>9462</v>
      </c>
      <c r="B65" s="2" t="s">
        <v>9463</v>
      </c>
      <c r="C65" s="2" t="s">
        <v>11527</v>
      </c>
      <c r="D65" s="2">
        <v>1</v>
      </c>
      <c r="E65" s="4">
        <v>4000</v>
      </c>
      <c r="F65" s="2">
        <v>60</v>
      </c>
      <c r="G65" s="3">
        <v>46259</v>
      </c>
      <c r="H65" s="2" t="s">
        <v>294</v>
      </c>
      <c r="I65" s="6" t="s">
        <v>4143</v>
      </c>
    </row>
    <row r="66" spans="1:9" ht="18.600000000000001" customHeight="1" thickBot="1" x14ac:dyDescent="0.35">
      <c r="A66" s="5" t="s">
        <v>822</v>
      </c>
      <c r="B66" s="2" t="s">
        <v>823</v>
      </c>
      <c r="C66" s="2" t="s">
        <v>11528</v>
      </c>
      <c r="D66" s="2">
        <v>5</v>
      </c>
      <c r="E66" s="2">
        <v>384</v>
      </c>
      <c r="F66" s="2">
        <v>6</v>
      </c>
      <c r="G66" s="3">
        <v>46259</v>
      </c>
      <c r="H66" s="2" t="s">
        <v>294</v>
      </c>
      <c r="I66" s="6" t="s">
        <v>4143</v>
      </c>
    </row>
    <row r="67" spans="1:9" ht="18.600000000000001" customHeight="1" thickBot="1" x14ac:dyDescent="0.35">
      <c r="A67" s="5" t="s">
        <v>2355</v>
      </c>
      <c r="B67" s="2" t="s">
        <v>11529</v>
      </c>
      <c r="C67" s="2" t="s">
        <v>11530</v>
      </c>
      <c r="D67" s="2">
        <v>9</v>
      </c>
      <c r="E67" s="2">
        <v>371</v>
      </c>
      <c r="F67" s="2">
        <v>10</v>
      </c>
      <c r="G67" s="3">
        <v>46259</v>
      </c>
      <c r="H67" s="2" t="s">
        <v>294</v>
      </c>
      <c r="I67" s="6" t="s">
        <v>4143</v>
      </c>
    </row>
    <row r="68" spans="1:9" ht="18.600000000000001" customHeight="1" thickBot="1" x14ac:dyDescent="0.35">
      <c r="A68" s="5" t="s">
        <v>93</v>
      </c>
      <c r="B68" s="2" t="s">
        <v>94</v>
      </c>
      <c r="C68" s="2" t="s">
        <v>11092</v>
      </c>
      <c r="D68" s="2">
        <v>4</v>
      </c>
      <c r="E68" s="2">
        <v>360</v>
      </c>
      <c r="F68" s="2">
        <v>5</v>
      </c>
      <c r="G68" s="3">
        <v>46259</v>
      </c>
      <c r="H68" s="2" t="s">
        <v>294</v>
      </c>
      <c r="I68" s="6" t="s">
        <v>4143</v>
      </c>
    </row>
    <row r="69" spans="1:9" ht="18.600000000000001" customHeight="1" thickBot="1" x14ac:dyDescent="0.35">
      <c r="A69" s="5" t="s">
        <v>71</v>
      </c>
      <c r="B69" s="2" t="s">
        <v>72</v>
      </c>
      <c r="C69" s="2" t="s">
        <v>11531</v>
      </c>
      <c r="D69" s="2">
        <v>1</v>
      </c>
      <c r="E69" s="2">
        <v>36</v>
      </c>
      <c r="F69" s="2">
        <v>2</v>
      </c>
      <c r="G69" s="3">
        <v>46259</v>
      </c>
      <c r="H69" s="2" t="s">
        <v>294</v>
      </c>
      <c r="I69" s="6" t="s">
        <v>4143</v>
      </c>
    </row>
    <row r="70" spans="1:9" ht="18.600000000000001" customHeight="1" thickBot="1" x14ac:dyDescent="0.35">
      <c r="A70" s="5" t="s">
        <v>11521</v>
      </c>
      <c r="B70" s="2" t="s">
        <v>11522</v>
      </c>
      <c r="C70" s="2" t="s">
        <v>11532</v>
      </c>
      <c r="D70" s="2">
        <v>2</v>
      </c>
      <c r="E70" s="2">
        <v>348</v>
      </c>
      <c r="F70" s="2">
        <v>22</v>
      </c>
      <c r="G70" s="3">
        <v>46259</v>
      </c>
      <c r="H70" s="2" t="s">
        <v>294</v>
      </c>
      <c r="I70" s="6" t="s">
        <v>4143</v>
      </c>
    </row>
    <row r="71" spans="1:9" ht="18.600000000000001" customHeight="1" thickBot="1" x14ac:dyDescent="0.35">
      <c r="A71" s="5" t="s">
        <v>11533</v>
      </c>
      <c r="B71" s="2" t="s">
        <v>11534</v>
      </c>
      <c r="C71" s="2" t="s">
        <v>11535</v>
      </c>
      <c r="D71" s="2">
        <v>23</v>
      </c>
      <c r="E71" s="4">
        <v>34000</v>
      </c>
      <c r="F71" s="4">
        <v>14077</v>
      </c>
      <c r="G71" s="3">
        <v>46259</v>
      </c>
      <c r="H71" s="2" t="s">
        <v>294</v>
      </c>
      <c r="I71" s="6" t="s">
        <v>4143</v>
      </c>
    </row>
    <row r="72" spans="1:9" ht="18.600000000000001" customHeight="1" thickBot="1" x14ac:dyDescent="0.35">
      <c r="A72" s="5" t="s">
        <v>3814</v>
      </c>
      <c r="B72" s="2" t="s">
        <v>3815</v>
      </c>
      <c r="C72" s="2" t="s">
        <v>11536</v>
      </c>
      <c r="D72" s="2">
        <v>18</v>
      </c>
      <c r="E72" s="2">
        <v>333</v>
      </c>
      <c r="F72" s="2">
        <v>5</v>
      </c>
      <c r="G72" s="3">
        <v>46259</v>
      </c>
      <c r="H72" s="2" t="s">
        <v>294</v>
      </c>
      <c r="I72" s="6" t="s">
        <v>4143</v>
      </c>
    </row>
    <row r="73" spans="1:9" ht="18.600000000000001" customHeight="1" thickBot="1" x14ac:dyDescent="0.35">
      <c r="A73" s="5" t="s">
        <v>11537</v>
      </c>
      <c r="B73" s="2" t="s">
        <v>11538</v>
      </c>
      <c r="C73" s="2" t="s">
        <v>11539</v>
      </c>
      <c r="D73" s="2">
        <v>5</v>
      </c>
      <c r="E73" s="2">
        <v>310</v>
      </c>
      <c r="F73" s="2">
        <v>5</v>
      </c>
      <c r="G73" s="3">
        <v>46259</v>
      </c>
      <c r="H73" s="2" t="s">
        <v>294</v>
      </c>
      <c r="I73" s="6" t="s">
        <v>4143</v>
      </c>
    </row>
    <row r="74" spans="1:9" ht="18.600000000000001" customHeight="1" thickBot="1" x14ac:dyDescent="0.35">
      <c r="A74" s="5" t="s">
        <v>69</v>
      </c>
      <c r="B74" s="2" t="s">
        <v>70</v>
      </c>
      <c r="C74" s="2" t="s">
        <v>11540</v>
      </c>
      <c r="D74" s="2">
        <v>19</v>
      </c>
      <c r="E74" s="4">
        <v>30615</v>
      </c>
      <c r="F74" s="2">
        <v>629</v>
      </c>
      <c r="G74" s="3">
        <v>46259</v>
      </c>
      <c r="H74" s="2" t="s">
        <v>294</v>
      </c>
      <c r="I74" s="6" t="s">
        <v>4143</v>
      </c>
    </row>
    <row r="75" spans="1:9" ht="18.600000000000001" customHeight="1" thickBot="1" x14ac:dyDescent="0.35">
      <c r="A75" s="5" t="s">
        <v>11541</v>
      </c>
      <c r="B75" s="2" t="s">
        <v>11542</v>
      </c>
      <c r="C75" s="2" t="s">
        <v>11543</v>
      </c>
      <c r="D75" s="2">
        <v>6</v>
      </c>
      <c r="E75" s="4">
        <v>3660</v>
      </c>
      <c r="F75" s="2">
        <v>759</v>
      </c>
      <c r="G75" s="3">
        <v>46259</v>
      </c>
      <c r="H75" s="2" t="s">
        <v>294</v>
      </c>
      <c r="I75" s="6" t="s">
        <v>4143</v>
      </c>
    </row>
    <row r="76" spans="1:9" ht="18.600000000000001" customHeight="1" thickBot="1" x14ac:dyDescent="0.35">
      <c r="A76" s="5" t="s">
        <v>893</v>
      </c>
      <c r="B76" s="2" t="s">
        <v>894</v>
      </c>
      <c r="C76" s="2" t="s">
        <v>11544</v>
      </c>
      <c r="D76" s="2">
        <v>86</v>
      </c>
      <c r="E76" s="4">
        <v>3566</v>
      </c>
      <c r="F76" s="2">
        <v>89</v>
      </c>
      <c r="G76" s="3">
        <v>46259</v>
      </c>
      <c r="H76" s="2" t="s">
        <v>294</v>
      </c>
      <c r="I76" s="6" t="s">
        <v>4143</v>
      </c>
    </row>
    <row r="77" spans="1:9" ht="18.600000000000001" customHeight="1" thickBot="1" x14ac:dyDescent="0.35">
      <c r="A77" s="5" t="s">
        <v>5293</v>
      </c>
      <c r="B77" s="2" t="s">
        <v>5294</v>
      </c>
      <c r="C77" s="2" t="s">
        <v>11545</v>
      </c>
      <c r="D77" s="2">
        <v>10</v>
      </c>
      <c r="E77" s="4">
        <v>3188</v>
      </c>
      <c r="F77" s="2">
        <v>130</v>
      </c>
      <c r="G77" s="3">
        <v>46259</v>
      </c>
      <c r="H77" s="2" t="s">
        <v>294</v>
      </c>
      <c r="I77" s="6" t="s">
        <v>4143</v>
      </c>
    </row>
    <row r="78" spans="1:9" ht="18.600000000000001" customHeight="1" thickBot="1" x14ac:dyDescent="0.35">
      <c r="A78" s="5" t="s">
        <v>11095</v>
      </c>
      <c r="B78" s="2" t="s">
        <v>11096</v>
      </c>
      <c r="C78" s="2" t="s">
        <v>11546</v>
      </c>
      <c r="D78" s="2">
        <v>16</v>
      </c>
      <c r="E78" s="4">
        <v>3175</v>
      </c>
      <c r="F78" s="2">
        <v>180</v>
      </c>
      <c r="G78" s="3">
        <v>46259</v>
      </c>
      <c r="H78" s="2" t="s">
        <v>294</v>
      </c>
      <c r="I78" s="6" t="s">
        <v>4143</v>
      </c>
    </row>
    <row r="79" spans="1:9" ht="18.600000000000001" customHeight="1" thickBot="1" x14ac:dyDescent="0.35">
      <c r="A79" s="5" t="s">
        <v>2290</v>
      </c>
      <c r="B79" s="2" t="s">
        <v>2291</v>
      </c>
      <c r="C79" s="2" t="s">
        <v>11547</v>
      </c>
      <c r="D79" s="2">
        <v>1</v>
      </c>
      <c r="E79" s="4">
        <v>3000</v>
      </c>
      <c r="F79" s="2">
        <v>188</v>
      </c>
      <c r="G79" s="3">
        <v>46259</v>
      </c>
      <c r="H79" s="2" t="s">
        <v>294</v>
      </c>
      <c r="I79" s="6" t="s">
        <v>4143</v>
      </c>
    </row>
    <row r="80" spans="1:9" ht="18.600000000000001" customHeight="1" thickBot="1" x14ac:dyDescent="0.35">
      <c r="A80" s="5" t="s">
        <v>871</v>
      </c>
      <c r="B80" s="2" t="s">
        <v>11548</v>
      </c>
      <c r="C80" s="2" t="s">
        <v>11549</v>
      </c>
      <c r="D80" s="2">
        <v>3</v>
      </c>
      <c r="E80" s="2">
        <v>283</v>
      </c>
      <c r="F80" s="2">
        <v>15</v>
      </c>
      <c r="G80" s="3">
        <v>46259</v>
      </c>
      <c r="H80" s="2" t="s">
        <v>294</v>
      </c>
      <c r="I80" s="6" t="s">
        <v>4143</v>
      </c>
    </row>
    <row r="81" spans="1:9" ht="18.600000000000001" customHeight="1" thickBot="1" x14ac:dyDescent="0.35">
      <c r="A81" s="5" t="s">
        <v>506</v>
      </c>
      <c r="B81" s="2" t="s">
        <v>507</v>
      </c>
      <c r="C81" s="2" t="s">
        <v>11550</v>
      </c>
      <c r="D81" s="2">
        <v>4</v>
      </c>
      <c r="E81" s="2">
        <v>276</v>
      </c>
      <c r="F81" s="2">
        <v>4</v>
      </c>
      <c r="G81" s="3">
        <v>46259</v>
      </c>
      <c r="H81" s="2" t="s">
        <v>294</v>
      </c>
      <c r="I81" s="6" t="s">
        <v>4143</v>
      </c>
    </row>
    <row r="82" spans="1:9" ht="18.600000000000001" customHeight="1" thickBot="1" x14ac:dyDescent="0.35">
      <c r="A82" s="5" t="s">
        <v>701</v>
      </c>
      <c r="B82" s="2" t="s">
        <v>11551</v>
      </c>
      <c r="C82" s="2" t="s">
        <v>11552</v>
      </c>
      <c r="D82" s="2">
        <v>2</v>
      </c>
      <c r="E82" s="2">
        <v>264</v>
      </c>
      <c r="F82" s="2">
        <v>74</v>
      </c>
      <c r="G82" s="3">
        <v>46259</v>
      </c>
      <c r="H82" s="2" t="s">
        <v>294</v>
      </c>
      <c r="I82" s="6" t="s">
        <v>4143</v>
      </c>
    </row>
    <row r="83" spans="1:9" ht="18.600000000000001" customHeight="1" thickBot="1" x14ac:dyDescent="0.35">
      <c r="A83" s="5" t="s">
        <v>11521</v>
      </c>
      <c r="B83" s="2" t="s">
        <v>11522</v>
      </c>
      <c r="C83" s="2" t="s">
        <v>11553</v>
      </c>
      <c r="D83" s="2">
        <v>1</v>
      </c>
      <c r="E83" s="2">
        <v>256</v>
      </c>
      <c r="F83" s="2">
        <v>12</v>
      </c>
      <c r="G83" s="3">
        <v>46259</v>
      </c>
      <c r="H83" s="2" t="s">
        <v>294</v>
      </c>
      <c r="I83" s="6" t="s">
        <v>4143</v>
      </c>
    </row>
    <row r="84" spans="1:9" ht="18.600000000000001" customHeight="1" thickBot="1" x14ac:dyDescent="0.35">
      <c r="A84" s="5" t="s">
        <v>865</v>
      </c>
      <c r="B84" s="2" t="s">
        <v>866</v>
      </c>
      <c r="C84" s="2" t="s">
        <v>11554</v>
      </c>
      <c r="D84" s="2">
        <v>2</v>
      </c>
      <c r="E84" s="2">
        <v>22</v>
      </c>
      <c r="F84" s="2">
        <v>0</v>
      </c>
      <c r="G84" s="3">
        <v>46259</v>
      </c>
      <c r="H84" s="2" t="s">
        <v>294</v>
      </c>
      <c r="I84" s="6" t="s">
        <v>4143</v>
      </c>
    </row>
    <row r="85" spans="1:9" ht="18.600000000000001" customHeight="1" thickBot="1" x14ac:dyDescent="0.35">
      <c r="A85" s="5" t="s">
        <v>634</v>
      </c>
      <c r="B85" s="2" t="s">
        <v>11555</v>
      </c>
      <c r="C85" s="2" t="s">
        <v>11556</v>
      </c>
      <c r="D85" s="2">
        <v>29</v>
      </c>
      <c r="E85" s="4">
        <v>22950</v>
      </c>
      <c r="F85" s="2">
        <v>782</v>
      </c>
      <c r="G85" s="3">
        <v>46259</v>
      </c>
      <c r="H85" s="2" t="s">
        <v>294</v>
      </c>
      <c r="I85" s="6" t="s">
        <v>4143</v>
      </c>
    </row>
    <row r="86" spans="1:9" ht="18.600000000000001" customHeight="1" thickBot="1" x14ac:dyDescent="0.35">
      <c r="A86" s="5" t="s">
        <v>34</v>
      </c>
      <c r="B86" s="2" t="s">
        <v>35</v>
      </c>
      <c r="C86" s="2" t="s">
        <v>11557</v>
      </c>
      <c r="D86" s="2">
        <v>80</v>
      </c>
      <c r="E86" s="4">
        <v>22128</v>
      </c>
      <c r="F86" s="4">
        <v>1004</v>
      </c>
      <c r="G86" s="3">
        <v>46259</v>
      </c>
      <c r="H86" s="2" t="s">
        <v>294</v>
      </c>
      <c r="I86" s="6" t="s">
        <v>4143</v>
      </c>
    </row>
    <row r="87" spans="1:9" ht="18.600000000000001" customHeight="1" thickBot="1" x14ac:dyDescent="0.35">
      <c r="A87" s="5" t="s">
        <v>871</v>
      </c>
      <c r="B87" s="2" t="s">
        <v>11548</v>
      </c>
      <c r="C87" s="2" t="s">
        <v>11558</v>
      </c>
      <c r="D87" s="2">
        <v>2</v>
      </c>
      <c r="E87" s="2">
        <v>219</v>
      </c>
      <c r="F87" s="2">
        <v>4</v>
      </c>
      <c r="G87" s="3">
        <v>46259</v>
      </c>
      <c r="H87" s="2" t="s">
        <v>294</v>
      </c>
      <c r="I87" s="6" t="s">
        <v>4143</v>
      </c>
    </row>
    <row r="88" spans="1:9" ht="18.600000000000001" customHeight="1" thickBot="1" x14ac:dyDescent="0.35">
      <c r="A88" s="5" t="s">
        <v>11518</v>
      </c>
      <c r="B88" s="2" t="s">
        <v>11519</v>
      </c>
      <c r="C88" s="2" t="s">
        <v>11559</v>
      </c>
      <c r="D88" s="2">
        <v>7</v>
      </c>
      <c r="E88" s="2">
        <v>215</v>
      </c>
      <c r="F88" s="2">
        <v>110</v>
      </c>
      <c r="G88" s="3">
        <v>46259</v>
      </c>
      <c r="H88" s="2" t="s">
        <v>294</v>
      </c>
      <c r="I88" s="6" t="s">
        <v>4143</v>
      </c>
    </row>
    <row r="89" spans="1:9" ht="18.600000000000001" customHeight="1" thickBot="1" x14ac:dyDescent="0.35">
      <c r="A89" s="5" t="s">
        <v>53</v>
      </c>
      <c r="B89" s="2" t="s">
        <v>54</v>
      </c>
      <c r="C89" s="2" t="s">
        <v>11560</v>
      </c>
      <c r="D89" s="2">
        <v>12</v>
      </c>
      <c r="E89" s="4">
        <v>21000</v>
      </c>
      <c r="F89" s="4">
        <v>19487</v>
      </c>
      <c r="G89" s="3">
        <v>46259</v>
      </c>
      <c r="H89" s="2" t="s">
        <v>294</v>
      </c>
      <c r="I89" s="6" t="s">
        <v>4143</v>
      </c>
    </row>
    <row r="90" spans="1:9" ht="18.600000000000001" customHeight="1" thickBot="1" x14ac:dyDescent="0.35">
      <c r="A90" s="5" t="s">
        <v>4877</v>
      </c>
      <c r="B90" s="2" t="s">
        <v>11561</v>
      </c>
      <c r="C90" s="2" t="s">
        <v>11562</v>
      </c>
      <c r="D90" s="2">
        <v>8</v>
      </c>
      <c r="E90" s="4">
        <v>20784</v>
      </c>
      <c r="F90" s="4">
        <v>1299</v>
      </c>
      <c r="G90" s="3">
        <v>46259</v>
      </c>
      <c r="H90" s="2" t="s">
        <v>294</v>
      </c>
      <c r="I90" s="6" t="s">
        <v>4143</v>
      </c>
    </row>
    <row r="91" spans="1:9" ht="18.600000000000001" customHeight="1" thickBot="1" x14ac:dyDescent="0.35">
      <c r="A91" s="5" t="s">
        <v>1989</v>
      </c>
      <c r="B91" s="2" t="s">
        <v>11091</v>
      </c>
      <c r="C91" s="2" t="s">
        <v>11563</v>
      </c>
      <c r="D91" s="2">
        <v>8</v>
      </c>
      <c r="E91" s="4">
        <v>20214</v>
      </c>
      <c r="F91" s="4">
        <v>1641</v>
      </c>
      <c r="G91" s="3">
        <v>46259</v>
      </c>
      <c r="H91" s="2" t="s">
        <v>294</v>
      </c>
      <c r="I91" s="6" t="s">
        <v>4143</v>
      </c>
    </row>
    <row r="92" spans="1:9" ht="18.600000000000001" customHeight="1" thickBot="1" x14ac:dyDescent="0.35">
      <c r="A92" s="5" t="s">
        <v>865</v>
      </c>
      <c r="B92" s="2" t="s">
        <v>866</v>
      </c>
      <c r="C92" s="2" t="s">
        <v>11564</v>
      </c>
      <c r="D92" s="2">
        <v>42</v>
      </c>
      <c r="E92" s="4">
        <v>2994</v>
      </c>
      <c r="F92" s="2">
        <v>45</v>
      </c>
      <c r="G92" s="3">
        <v>46259</v>
      </c>
      <c r="H92" s="2" t="s">
        <v>294</v>
      </c>
      <c r="I92" s="6" t="s">
        <v>4143</v>
      </c>
    </row>
    <row r="93" spans="1:9" ht="18.600000000000001" customHeight="1" thickBot="1" x14ac:dyDescent="0.35">
      <c r="A93" s="5" t="s">
        <v>11565</v>
      </c>
      <c r="B93" s="2" t="s">
        <v>11555</v>
      </c>
      <c r="C93" s="2" t="s">
        <v>11566</v>
      </c>
      <c r="D93" s="2">
        <v>31</v>
      </c>
      <c r="E93" s="4">
        <v>2954</v>
      </c>
      <c r="F93" s="2">
        <v>112</v>
      </c>
      <c r="G93" s="3">
        <v>46259</v>
      </c>
      <c r="H93" s="2" t="s">
        <v>294</v>
      </c>
      <c r="I93" s="6" t="s">
        <v>4143</v>
      </c>
    </row>
    <row r="94" spans="1:9" ht="18.600000000000001" customHeight="1" thickBot="1" x14ac:dyDescent="0.35">
      <c r="A94" s="5" t="s">
        <v>65</v>
      </c>
      <c r="B94" s="2" t="s">
        <v>66</v>
      </c>
      <c r="C94" s="2" t="s">
        <v>11567</v>
      </c>
      <c r="D94" s="2">
        <v>6</v>
      </c>
      <c r="E94" s="4">
        <v>2904</v>
      </c>
      <c r="F94" s="2">
        <v>126</v>
      </c>
      <c r="G94" s="3">
        <v>46259</v>
      </c>
      <c r="H94" s="2" t="s">
        <v>294</v>
      </c>
      <c r="I94" s="6" t="s">
        <v>4143</v>
      </c>
    </row>
    <row r="95" spans="1:9" ht="18.600000000000001" customHeight="1" thickBot="1" x14ac:dyDescent="0.35">
      <c r="A95" s="5" t="s">
        <v>1022</v>
      </c>
      <c r="B95" s="2" t="s">
        <v>1023</v>
      </c>
      <c r="C95" s="2" t="s">
        <v>11568</v>
      </c>
      <c r="D95" s="2">
        <v>17</v>
      </c>
      <c r="E95" s="4">
        <v>2880</v>
      </c>
      <c r="F95" s="2">
        <v>77</v>
      </c>
      <c r="G95" s="3">
        <v>46259</v>
      </c>
      <c r="H95" s="2" t="s">
        <v>294</v>
      </c>
      <c r="I95" s="6" t="s">
        <v>4143</v>
      </c>
    </row>
    <row r="96" spans="1:9" ht="18.600000000000001" customHeight="1" thickBot="1" x14ac:dyDescent="0.35">
      <c r="A96" s="5" t="s">
        <v>5293</v>
      </c>
      <c r="B96" s="2" t="s">
        <v>5294</v>
      </c>
      <c r="C96" s="2" t="s">
        <v>11569</v>
      </c>
      <c r="D96" s="2">
        <v>6</v>
      </c>
      <c r="E96" s="4">
        <v>2827</v>
      </c>
      <c r="F96" s="2">
        <v>44</v>
      </c>
      <c r="G96" s="3">
        <v>46259</v>
      </c>
      <c r="H96" s="2" t="s">
        <v>294</v>
      </c>
      <c r="I96" s="6" t="s">
        <v>4143</v>
      </c>
    </row>
    <row r="97" spans="1:9" ht="18.600000000000001" customHeight="1" thickBot="1" x14ac:dyDescent="0.35">
      <c r="A97" s="5" t="s">
        <v>65</v>
      </c>
      <c r="B97" s="2" t="s">
        <v>66</v>
      </c>
      <c r="C97" s="2" t="s">
        <v>11570</v>
      </c>
      <c r="D97" s="2">
        <v>1</v>
      </c>
      <c r="E97" s="4">
        <v>2814</v>
      </c>
      <c r="F97" s="4">
        <v>2111</v>
      </c>
      <c r="G97" s="3">
        <v>46259</v>
      </c>
      <c r="H97" s="2" t="s">
        <v>294</v>
      </c>
      <c r="I97" s="6" t="s">
        <v>4143</v>
      </c>
    </row>
    <row r="98" spans="1:9" ht="18.600000000000001" customHeight="1" thickBot="1" x14ac:dyDescent="0.35">
      <c r="A98" s="5" t="s">
        <v>871</v>
      </c>
      <c r="B98" s="2" t="s">
        <v>11548</v>
      </c>
      <c r="C98" s="2" t="s">
        <v>11571</v>
      </c>
      <c r="D98" s="2">
        <v>1</v>
      </c>
      <c r="E98" s="4">
        <v>2376</v>
      </c>
      <c r="F98" s="2">
        <v>74</v>
      </c>
      <c r="G98" s="3">
        <v>46259</v>
      </c>
      <c r="H98" s="2" t="s">
        <v>294</v>
      </c>
      <c r="I98" s="6" t="s">
        <v>4143</v>
      </c>
    </row>
    <row r="99" spans="1:9" ht="18.600000000000001" customHeight="1" thickBot="1" x14ac:dyDescent="0.35">
      <c r="A99" s="5" t="s">
        <v>776</v>
      </c>
      <c r="B99" s="2" t="s">
        <v>777</v>
      </c>
      <c r="C99" s="2" t="s">
        <v>11572</v>
      </c>
      <c r="D99" s="2">
        <v>4</v>
      </c>
      <c r="E99" s="4">
        <v>2270</v>
      </c>
      <c r="F99" s="2">
        <v>58</v>
      </c>
      <c r="G99" s="3">
        <v>46259</v>
      </c>
      <c r="H99" s="2" t="s">
        <v>294</v>
      </c>
      <c r="I99" s="6" t="s">
        <v>4143</v>
      </c>
    </row>
    <row r="100" spans="1:9" ht="18.600000000000001" customHeight="1" thickBot="1" x14ac:dyDescent="0.35">
      <c r="A100" s="5" t="s">
        <v>508</v>
      </c>
      <c r="B100" s="2" t="s">
        <v>509</v>
      </c>
      <c r="C100" s="2" t="s">
        <v>11573</v>
      </c>
      <c r="D100" s="2">
        <v>13</v>
      </c>
      <c r="E100" s="4">
        <v>2196</v>
      </c>
      <c r="F100" s="2">
        <v>137</v>
      </c>
      <c r="G100" s="3">
        <v>46259</v>
      </c>
      <c r="H100" s="2" t="s">
        <v>294</v>
      </c>
      <c r="I100" s="6" t="s">
        <v>4143</v>
      </c>
    </row>
    <row r="101" spans="1:9" ht="18.600000000000001" customHeight="1" thickBot="1" x14ac:dyDescent="0.35">
      <c r="A101" s="5" t="s">
        <v>11574</v>
      </c>
      <c r="B101" s="2" t="s">
        <v>11575</v>
      </c>
      <c r="C101" s="2" t="s">
        <v>11576</v>
      </c>
      <c r="D101" s="2">
        <v>54</v>
      </c>
      <c r="E101" s="4">
        <v>2098</v>
      </c>
      <c r="F101" s="2">
        <v>31</v>
      </c>
      <c r="G101" s="3">
        <v>46259</v>
      </c>
      <c r="H101" s="2" t="s">
        <v>294</v>
      </c>
      <c r="I101" s="6" t="s">
        <v>4143</v>
      </c>
    </row>
    <row r="102" spans="1:9" ht="18.600000000000001" customHeight="1" thickBot="1" x14ac:dyDescent="0.35">
      <c r="A102" s="5" t="s">
        <v>2287</v>
      </c>
      <c r="B102" s="2" t="s">
        <v>11577</v>
      </c>
      <c r="C102" s="2" t="s">
        <v>11578</v>
      </c>
      <c r="D102" s="2">
        <v>29</v>
      </c>
      <c r="E102" s="4">
        <v>2010</v>
      </c>
      <c r="F102" s="2">
        <v>87</v>
      </c>
      <c r="G102" s="3">
        <v>46259</v>
      </c>
      <c r="H102" s="2" t="s">
        <v>294</v>
      </c>
      <c r="I102" s="6" t="s">
        <v>4143</v>
      </c>
    </row>
    <row r="103" spans="1:9" ht="18.600000000000001" customHeight="1" thickBot="1" x14ac:dyDescent="0.35">
      <c r="A103" s="5" t="s">
        <v>34</v>
      </c>
      <c r="B103" s="2" t="s">
        <v>35</v>
      </c>
      <c r="C103" s="2" t="s">
        <v>11579</v>
      </c>
      <c r="D103" s="2">
        <v>61</v>
      </c>
      <c r="E103" s="4">
        <v>19862</v>
      </c>
      <c r="F103" s="2">
        <v>913</v>
      </c>
      <c r="G103" s="3">
        <v>46259</v>
      </c>
      <c r="H103" s="2" t="s">
        <v>294</v>
      </c>
      <c r="I103" s="6" t="s">
        <v>4143</v>
      </c>
    </row>
    <row r="104" spans="1:9" ht="18.600000000000001" customHeight="1" thickBot="1" x14ac:dyDescent="0.35">
      <c r="A104" s="5" t="s">
        <v>128</v>
      </c>
      <c r="B104" s="2" t="s">
        <v>9052</v>
      </c>
      <c r="C104" s="2" t="s">
        <v>11580</v>
      </c>
      <c r="D104" s="2">
        <v>21</v>
      </c>
      <c r="E104" s="4">
        <v>19000</v>
      </c>
      <c r="F104" s="4">
        <v>38423</v>
      </c>
      <c r="G104" s="3">
        <v>46259</v>
      </c>
      <c r="H104" s="2" t="s">
        <v>294</v>
      </c>
      <c r="I104" s="6" t="s">
        <v>4143</v>
      </c>
    </row>
    <row r="105" spans="1:9" ht="18.600000000000001" customHeight="1" thickBot="1" x14ac:dyDescent="0.35">
      <c r="A105" s="5" t="s">
        <v>11581</v>
      </c>
      <c r="B105" s="2" t="s">
        <v>11582</v>
      </c>
      <c r="C105" s="2" t="s">
        <v>11583</v>
      </c>
      <c r="D105" s="2">
        <v>22</v>
      </c>
      <c r="E105" s="2">
        <v>180</v>
      </c>
      <c r="F105" s="2">
        <v>3</v>
      </c>
      <c r="G105" s="3">
        <v>46259</v>
      </c>
      <c r="H105" s="2" t="s">
        <v>294</v>
      </c>
      <c r="I105" s="6" t="s">
        <v>4143</v>
      </c>
    </row>
    <row r="106" spans="1:9" ht="18.600000000000001" customHeight="1" thickBot="1" x14ac:dyDescent="0.35">
      <c r="A106" s="5" t="s">
        <v>19</v>
      </c>
      <c r="B106" s="2" t="s">
        <v>20</v>
      </c>
      <c r="C106" s="2" t="s">
        <v>11584</v>
      </c>
      <c r="D106" s="2">
        <v>18</v>
      </c>
      <c r="E106" s="4">
        <v>17669</v>
      </c>
      <c r="F106" s="2">
        <v>464</v>
      </c>
      <c r="G106" s="3">
        <v>46259</v>
      </c>
      <c r="H106" s="2" t="s">
        <v>294</v>
      </c>
      <c r="I106" s="6" t="s">
        <v>4143</v>
      </c>
    </row>
    <row r="107" spans="1:9" ht="18.600000000000001" customHeight="1" thickBot="1" x14ac:dyDescent="0.35">
      <c r="A107" s="5" t="s">
        <v>8641</v>
      </c>
      <c r="B107" s="2" t="s">
        <v>8642</v>
      </c>
      <c r="C107" s="2" t="s">
        <v>11585</v>
      </c>
      <c r="D107" s="2">
        <v>8</v>
      </c>
      <c r="E107" s="4">
        <v>16895</v>
      </c>
      <c r="F107" s="4">
        <v>1430</v>
      </c>
      <c r="G107" s="3">
        <v>46259</v>
      </c>
      <c r="H107" s="2" t="s">
        <v>294</v>
      </c>
      <c r="I107" s="6" t="s">
        <v>4143</v>
      </c>
    </row>
    <row r="108" spans="1:9" ht="18.600000000000001" customHeight="1" thickBot="1" x14ac:dyDescent="0.35">
      <c r="A108" s="5" t="s">
        <v>3202</v>
      </c>
      <c r="B108" s="2" t="s">
        <v>11586</v>
      </c>
      <c r="C108" s="2" t="s">
        <v>11587</v>
      </c>
      <c r="D108" s="2">
        <v>7</v>
      </c>
      <c r="E108" s="2">
        <v>156</v>
      </c>
      <c r="F108" s="2">
        <v>2</v>
      </c>
      <c r="G108" s="3">
        <v>46259</v>
      </c>
      <c r="H108" s="2" t="s">
        <v>294</v>
      </c>
      <c r="I108" s="6" t="s">
        <v>4143</v>
      </c>
    </row>
    <row r="109" spans="1:9" ht="18.600000000000001" customHeight="1" thickBot="1" x14ac:dyDescent="0.35">
      <c r="A109" s="5" t="s">
        <v>2497</v>
      </c>
      <c r="B109" s="2" t="s">
        <v>2498</v>
      </c>
      <c r="C109" s="2" t="s">
        <v>11588</v>
      </c>
      <c r="D109" s="2">
        <v>3</v>
      </c>
      <c r="E109" s="2">
        <v>156</v>
      </c>
      <c r="F109" s="2">
        <v>10</v>
      </c>
      <c r="G109" s="3">
        <v>46259</v>
      </c>
      <c r="H109" s="2" t="s">
        <v>294</v>
      </c>
      <c r="I109" s="6" t="s">
        <v>4143</v>
      </c>
    </row>
    <row r="110" spans="1:9" ht="18.600000000000001" customHeight="1" thickBot="1" x14ac:dyDescent="0.35">
      <c r="A110" s="5" t="s">
        <v>1989</v>
      </c>
      <c r="B110" s="2" t="s">
        <v>11091</v>
      </c>
      <c r="C110" s="2" t="s">
        <v>11589</v>
      </c>
      <c r="D110" s="2">
        <v>3</v>
      </c>
      <c r="E110" s="4">
        <v>15300</v>
      </c>
      <c r="F110" s="4">
        <v>1862</v>
      </c>
      <c r="G110" s="3">
        <v>46259</v>
      </c>
      <c r="H110" s="2" t="s">
        <v>294</v>
      </c>
      <c r="I110" s="6" t="s">
        <v>4143</v>
      </c>
    </row>
    <row r="111" spans="1:9" ht="18.600000000000001" customHeight="1" thickBot="1" x14ac:dyDescent="0.35">
      <c r="A111" s="5" t="s">
        <v>53</v>
      </c>
      <c r="B111" s="2" t="s">
        <v>54</v>
      </c>
      <c r="C111" s="2" t="s">
        <v>10581</v>
      </c>
      <c r="D111" s="2">
        <v>11</v>
      </c>
      <c r="E111" s="4">
        <v>14300</v>
      </c>
      <c r="F111" s="4">
        <v>15011</v>
      </c>
      <c r="G111" s="3">
        <v>46259</v>
      </c>
      <c r="H111" s="2" t="s">
        <v>294</v>
      </c>
      <c r="I111" s="6" t="s">
        <v>4143</v>
      </c>
    </row>
    <row r="112" spans="1:9" ht="18.600000000000001" customHeight="1" thickBot="1" x14ac:dyDescent="0.35">
      <c r="A112" s="5" t="s">
        <v>71</v>
      </c>
      <c r="B112" s="2" t="s">
        <v>72</v>
      </c>
      <c r="C112" s="2" t="s">
        <v>11590</v>
      </c>
      <c r="D112" s="2">
        <v>5</v>
      </c>
      <c r="E112" s="2">
        <v>135</v>
      </c>
      <c r="F112" s="2">
        <v>14</v>
      </c>
      <c r="G112" s="3">
        <v>46259</v>
      </c>
      <c r="H112" s="2" t="s">
        <v>294</v>
      </c>
      <c r="I112" s="6" t="s">
        <v>4143</v>
      </c>
    </row>
    <row r="113" spans="1:9" ht="18.600000000000001" customHeight="1" thickBot="1" x14ac:dyDescent="0.35">
      <c r="A113" s="5" t="s">
        <v>494</v>
      </c>
      <c r="B113" s="2" t="s">
        <v>495</v>
      </c>
      <c r="C113" s="2" t="s">
        <v>11591</v>
      </c>
      <c r="D113" s="2">
        <v>26</v>
      </c>
      <c r="E113" s="4">
        <v>11744</v>
      </c>
      <c r="F113" s="2">
        <v>940</v>
      </c>
      <c r="G113" s="3">
        <v>46259</v>
      </c>
      <c r="H113" s="2" t="s">
        <v>294</v>
      </c>
      <c r="I113" s="6" t="s">
        <v>4143</v>
      </c>
    </row>
    <row r="114" spans="1:9" ht="18.600000000000001" customHeight="1" thickBot="1" x14ac:dyDescent="0.35">
      <c r="A114" s="5" t="s">
        <v>11592</v>
      </c>
      <c r="B114" s="2" t="s">
        <v>11593</v>
      </c>
      <c r="C114" s="2" t="s">
        <v>11594</v>
      </c>
      <c r="D114" s="2">
        <v>5</v>
      </c>
      <c r="E114" s="2">
        <v>109</v>
      </c>
      <c r="F114" s="2">
        <v>3</v>
      </c>
      <c r="G114" s="3">
        <v>46259</v>
      </c>
      <c r="H114" s="2" t="s">
        <v>294</v>
      </c>
      <c r="I114" s="6" t="s">
        <v>4143</v>
      </c>
    </row>
    <row r="115" spans="1:9" ht="18.600000000000001" customHeight="1" thickBot="1" x14ac:dyDescent="0.35">
      <c r="A115" s="5" t="s">
        <v>130</v>
      </c>
      <c r="B115" s="2" t="s">
        <v>131</v>
      </c>
      <c r="C115" s="2" t="s">
        <v>11595</v>
      </c>
      <c r="D115" s="2">
        <v>71</v>
      </c>
      <c r="E115" s="4">
        <v>10776</v>
      </c>
      <c r="F115" s="2">
        <v>776</v>
      </c>
      <c r="G115" s="3">
        <v>46259</v>
      </c>
      <c r="H115" s="2" t="s">
        <v>294</v>
      </c>
      <c r="I115" s="6" t="s">
        <v>4143</v>
      </c>
    </row>
    <row r="116" spans="1:9" ht="18.600000000000001" customHeight="1" thickBot="1" x14ac:dyDescent="0.35">
      <c r="A116" s="5" t="s">
        <v>11565</v>
      </c>
      <c r="B116" s="2" t="s">
        <v>11555</v>
      </c>
      <c r="C116" s="2" t="s">
        <v>11596</v>
      </c>
      <c r="D116" s="2">
        <v>25</v>
      </c>
      <c r="E116" s="4">
        <v>10736</v>
      </c>
      <c r="F116" s="2">
        <v>347</v>
      </c>
      <c r="G116" s="3">
        <v>46259</v>
      </c>
      <c r="H116" s="2" t="s">
        <v>294</v>
      </c>
      <c r="I116" s="6" t="s">
        <v>4143</v>
      </c>
    </row>
    <row r="117" spans="1:9" ht="18.600000000000001" customHeight="1" thickBot="1" x14ac:dyDescent="0.35">
      <c r="A117" s="5" t="s">
        <v>325</v>
      </c>
      <c r="B117" s="2" t="s">
        <v>326</v>
      </c>
      <c r="C117" s="2" t="s">
        <v>10894</v>
      </c>
      <c r="D117" s="2">
        <v>8</v>
      </c>
      <c r="E117" s="4">
        <v>10427</v>
      </c>
      <c r="F117" s="4">
        <v>6227</v>
      </c>
      <c r="G117" s="3">
        <v>46259</v>
      </c>
      <c r="H117" s="2" t="s">
        <v>294</v>
      </c>
      <c r="I117" s="6" t="s">
        <v>4143</v>
      </c>
    </row>
    <row r="118" spans="1:9" ht="18.600000000000001" customHeight="1" thickBot="1" x14ac:dyDescent="0.35">
      <c r="A118" s="5" t="s">
        <v>1472</v>
      </c>
      <c r="B118" s="2" t="s">
        <v>1473</v>
      </c>
      <c r="C118" s="2" t="s">
        <v>11597</v>
      </c>
      <c r="D118" s="2">
        <v>16</v>
      </c>
      <c r="E118" s="4">
        <v>10336</v>
      </c>
      <c r="F118" s="2">
        <v>640</v>
      </c>
      <c r="G118" s="3">
        <v>46259</v>
      </c>
      <c r="H118" s="2" t="s">
        <v>294</v>
      </c>
      <c r="I118" s="6" t="s">
        <v>4143</v>
      </c>
    </row>
    <row r="119" spans="1:9" ht="18.600000000000001" customHeight="1" thickBot="1" x14ac:dyDescent="0.35">
      <c r="A119" s="5" t="s">
        <v>10580</v>
      </c>
      <c r="B119" s="2" t="s">
        <v>11088</v>
      </c>
      <c r="C119" s="2" t="s">
        <v>11598</v>
      </c>
      <c r="D119" s="2">
        <v>7</v>
      </c>
      <c r="E119" s="4">
        <v>10293</v>
      </c>
      <c r="F119" s="2">
        <v>570</v>
      </c>
      <c r="G119" s="3">
        <v>46259</v>
      </c>
      <c r="H119" s="2" t="s">
        <v>294</v>
      </c>
      <c r="I119" s="6" t="s">
        <v>4143</v>
      </c>
    </row>
    <row r="120" spans="1:9" ht="18.600000000000001" customHeight="1" thickBot="1" x14ac:dyDescent="0.35">
      <c r="A120" s="5" t="s">
        <v>821</v>
      </c>
      <c r="B120" s="2" t="s">
        <v>11599</v>
      </c>
      <c r="C120" s="2" t="s">
        <v>11600</v>
      </c>
      <c r="D120" s="2">
        <v>4</v>
      </c>
      <c r="E120" s="4">
        <v>1879</v>
      </c>
      <c r="F120" s="4">
        <v>1409</v>
      </c>
      <c r="G120" s="3">
        <v>46259</v>
      </c>
      <c r="H120" s="2" t="s">
        <v>294</v>
      </c>
      <c r="I120" s="6" t="s">
        <v>4143</v>
      </c>
    </row>
    <row r="121" spans="1:9" ht="18.600000000000001" customHeight="1" thickBot="1" x14ac:dyDescent="0.35">
      <c r="A121" s="5" t="s">
        <v>571</v>
      </c>
      <c r="B121" s="2" t="s">
        <v>572</v>
      </c>
      <c r="C121" s="2" t="s">
        <v>11601</v>
      </c>
      <c r="D121" s="2">
        <v>5</v>
      </c>
      <c r="E121" s="4">
        <v>1764</v>
      </c>
      <c r="F121" s="2">
        <v>57</v>
      </c>
      <c r="G121" s="3">
        <v>46259</v>
      </c>
      <c r="H121" s="2" t="s">
        <v>294</v>
      </c>
      <c r="I121" s="6" t="s">
        <v>4143</v>
      </c>
    </row>
    <row r="122" spans="1:9" ht="18.600000000000001" customHeight="1" thickBot="1" x14ac:dyDescent="0.35">
      <c r="A122" s="5" t="s">
        <v>778</v>
      </c>
      <c r="B122" s="2" t="s">
        <v>779</v>
      </c>
      <c r="C122" s="2" t="s">
        <v>11602</v>
      </c>
      <c r="D122" s="2">
        <v>14</v>
      </c>
      <c r="E122" s="4">
        <v>1596</v>
      </c>
      <c r="F122" s="2">
        <v>67</v>
      </c>
      <c r="G122" s="3">
        <v>46259</v>
      </c>
      <c r="H122" s="2" t="s">
        <v>294</v>
      </c>
      <c r="I122" s="6" t="s">
        <v>4143</v>
      </c>
    </row>
    <row r="123" spans="1:9" ht="18.600000000000001" customHeight="1" thickBot="1" x14ac:dyDescent="0.35">
      <c r="A123" s="5" t="s">
        <v>506</v>
      </c>
      <c r="B123" s="2" t="s">
        <v>507</v>
      </c>
      <c r="C123" s="2" t="s">
        <v>11603</v>
      </c>
      <c r="D123" s="2">
        <v>11</v>
      </c>
      <c r="E123" s="4">
        <v>1413</v>
      </c>
      <c r="F123" s="2">
        <v>18</v>
      </c>
      <c r="G123" s="3">
        <v>46259</v>
      </c>
      <c r="H123" s="2" t="s">
        <v>294</v>
      </c>
      <c r="I123" s="6" t="s">
        <v>4143</v>
      </c>
    </row>
    <row r="124" spans="1:9" ht="18.600000000000001" customHeight="1" thickBot="1" x14ac:dyDescent="0.35">
      <c r="A124" s="5" t="s">
        <v>5159</v>
      </c>
      <c r="B124" s="2" t="s">
        <v>11604</v>
      </c>
      <c r="C124" s="2" t="s">
        <v>11605</v>
      </c>
      <c r="D124" s="2">
        <v>9</v>
      </c>
      <c r="E124" s="4">
        <v>1405</v>
      </c>
      <c r="F124" s="2">
        <v>90</v>
      </c>
      <c r="G124" s="3">
        <v>46259</v>
      </c>
      <c r="H124" s="2" t="s">
        <v>294</v>
      </c>
      <c r="I124" s="6" t="s">
        <v>4143</v>
      </c>
    </row>
    <row r="125" spans="1:9" ht="18.600000000000001" customHeight="1" thickBot="1" x14ac:dyDescent="0.35">
      <c r="A125" s="5" t="s">
        <v>882</v>
      </c>
      <c r="B125" s="2" t="s">
        <v>11606</v>
      </c>
      <c r="C125" s="2" t="s">
        <v>11607</v>
      </c>
      <c r="D125" s="2">
        <v>10</v>
      </c>
      <c r="E125" s="4">
        <v>1376</v>
      </c>
      <c r="F125" s="2">
        <v>83</v>
      </c>
      <c r="G125" s="3">
        <v>46259</v>
      </c>
      <c r="H125" s="2" t="s">
        <v>294</v>
      </c>
      <c r="I125" s="6" t="s">
        <v>4143</v>
      </c>
    </row>
    <row r="126" spans="1:9" ht="18.600000000000001" customHeight="1" thickBot="1" x14ac:dyDescent="0.35">
      <c r="A126" s="5" t="s">
        <v>57</v>
      </c>
      <c r="B126" s="2" t="s">
        <v>58</v>
      </c>
      <c r="C126" s="2" t="s">
        <v>11608</v>
      </c>
      <c r="D126" s="2">
        <v>18</v>
      </c>
      <c r="E126" s="4">
        <v>1362</v>
      </c>
      <c r="F126" s="2">
        <v>89</v>
      </c>
      <c r="G126" s="3">
        <v>46259</v>
      </c>
      <c r="H126" s="2" t="s">
        <v>294</v>
      </c>
      <c r="I126" s="6" t="s">
        <v>4143</v>
      </c>
    </row>
    <row r="127" spans="1:9" ht="18.600000000000001" customHeight="1" thickBot="1" x14ac:dyDescent="0.35">
      <c r="A127" s="5" t="s">
        <v>506</v>
      </c>
      <c r="B127" s="2" t="s">
        <v>507</v>
      </c>
      <c r="C127" s="2" t="s">
        <v>11609</v>
      </c>
      <c r="D127" s="2">
        <v>10</v>
      </c>
      <c r="E127" s="4">
        <v>1295</v>
      </c>
      <c r="F127" s="2">
        <v>34</v>
      </c>
      <c r="G127" s="3">
        <v>46259</v>
      </c>
      <c r="H127" s="2" t="s">
        <v>294</v>
      </c>
      <c r="I127" s="6" t="s">
        <v>4143</v>
      </c>
    </row>
    <row r="128" spans="1:9" ht="18.600000000000001" customHeight="1" thickBot="1" x14ac:dyDescent="0.35">
      <c r="A128" s="5" t="s">
        <v>9327</v>
      </c>
      <c r="B128" s="2" t="s">
        <v>9328</v>
      </c>
      <c r="C128" s="2" t="s">
        <v>11610</v>
      </c>
      <c r="D128" s="2">
        <v>5</v>
      </c>
      <c r="E128" s="4">
        <v>1194</v>
      </c>
      <c r="F128" s="2">
        <v>149</v>
      </c>
      <c r="G128" s="3">
        <v>46259</v>
      </c>
      <c r="H128" s="2" t="s">
        <v>294</v>
      </c>
      <c r="I128" s="6" t="s">
        <v>4143</v>
      </c>
    </row>
    <row r="129" spans="1:9" ht="18.600000000000001" customHeight="1" thickBot="1" x14ac:dyDescent="0.35">
      <c r="A129" s="5" t="s">
        <v>1725</v>
      </c>
      <c r="B129" s="2" t="s">
        <v>11611</v>
      </c>
      <c r="C129" s="2" t="s">
        <v>11612</v>
      </c>
      <c r="D129" s="2">
        <v>2</v>
      </c>
      <c r="E129" s="4">
        <v>1068</v>
      </c>
      <c r="F129" s="2">
        <v>67</v>
      </c>
      <c r="G129" s="3">
        <v>46259</v>
      </c>
      <c r="H129" s="2" t="s">
        <v>294</v>
      </c>
      <c r="I129" s="6" t="s">
        <v>4143</v>
      </c>
    </row>
    <row r="130" spans="1:9" ht="18.600000000000001" customHeight="1" thickBot="1" x14ac:dyDescent="0.35">
      <c r="A130" s="5" t="s">
        <v>1882</v>
      </c>
      <c r="B130" s="2" t="s">
        <v>1883</v>
      </c>
      <c r="C130" s="2" t="s">
        <v>11613</v>
      </c>
      <c r="D130" s="2">
        <v>28</v>
      </c>
      <c r="E130" s="4">
        <v>9162</v>
      </c>
      <c r="F130" s="2">
        <v>137</v>
      </c>
      <c r="G130" s="3">
        <v>46259</v>
      </c>
      <c r="H130" s="2" t="s">
        <v>296</v>
      </c>
      <c r="I130" s="6" t="s">
        <v>4143</v>
      </c>
    </row>
    <row r="131" spans="1:9" ht="18.600000000000001" customHeight="1" thickBot="1" x14ac:dyDescent="0.35">
      <c r="A131" s="5" t="s">
        <v>9695</v>
      </c>
      <c r="B131" s="2" t="s">
        <v>9696</v>
      </c>
      <c r="C131" s="2" t="s">
        <v>11614</v>
      </c>
      <c r="D131" s="2">
        <v>27</v>
      </c>
      <c r="E131" s="2">
        <v>847</v>
      </c>
      <c r="F131" s="2">
        <v>14</v>
      </c>
      <c r="G131" s="3">
        <v>46259</v>
      </c>
      <c r="H131" s="2" t="s">
        <v>296</v>
      </c>
      <c r="I131" s="6" t="s">
        <v>4143</v>
      </c>
    </row>
    <row r="132" spans="1:9" ht="18.600000000000001" customHeight="1" thickBot="1" x14ac:dyDescent="0.35">
      <c r="A132" s="5" t="s">
        <v>2285</v>
      </c>
      <c r="B132" s="2" t="s">
        <v>2286</v>
      </c>
      <c r="C132" s="2" t="s">
        <v>11615</v>
      </c>
      <c r="D132" s="2">
        <v>49</v>
      </c>
      <c r="E132" s="2">
        <v>838</v>
      </c>
      <c r="F132" s="2">
        <v>13</v>
      </c>
      <c r="G132" s="3">
        <v>46259</v>
      </c>
      <c r="H132" s="2" t="s">
        <v>296</v>
      </c>
      <c r="I132" s="6" t="s">
        <v>4143</v>
      </c>
    </row>
    <row r="133" spans="1:9" ht="18.600000000000001" customHeight="1" thickBot="1" x14ac:dyDescent="0.35">
      <c r="A133" s="5" t="s">
        <v>841</v>
      </c>
      <c r="B133" s="2" t="s">
        <v>842</v>
      </c>
      <c r="C133" s="2" t="s">
        <v>11616</v>
      </c>
      <c r="D133" s="2">
        <v>49</v>
      </c>
      <c r="E133" s="4">
        <v>7952</v>
      </c>
      <c r="F133" s="2">
        <v>349</v>
      </c>
      <c r="G133" s="3">
        <v>46259</v>
      </c>
      <c r="H133" s="2" t="s">
        <v>296</v>
      </c>
      <c r="I133" s="6" t="s">
        <v>4143</v>
      </c>
    </row>
    <row r="134" spans="1:9" ht="15" thickBot="1" x14ac:dyDescent="0.35">
      <c r="A134" s="5" t="s">
        <v>1882</v>
      </c>
      <c r="B134" s="2" t="s">
        <v>1883</v>
      </c>
      <c r="C134" s="2" t="s">
        <v>11617</v>
      </c>
      <c r="D134" s="2">
        <v>1</v>
      </c>
      <c r="E134" s="2">
        <v>671</v>
      </c>
      <c r="F134" s="2">
        <v>10</v>
      </c>
      <c r="G134" s="3">
        <v>46259</v>
      </c>
      <c r="H134" s="2" t="s">
        <v>296</v>
      </c>
      <c r="I134" s="6" t="s">
        <v>4143</v>
      </c>
    </row>
    <row r="135" spans="1:9" ht="15" thickBot="1" x14ac:dyDescent="0.35">
      <c r="A135" s="5" t="s">
        <v>11618</v>
      </c>
      <c r="B135" s="2" t="s">
        <v>11619</v>
      </c>
      <c r="C135" s="2" t="s">
        <v>11620</v>
      </c>
      <c r="D135" s="2">
        <v>3</v>
      </c>
      <c r="E135" s="2">
        <v>66</v>
      </c>
      <c r="F135" s="2">
        <v>17</v>
      </c>
      <c r="G135" s="3">
        <v>46259</v>
      </c>
      <c r="H135" s="2" t="s">
        <v>296</v>
      </c>
      <c r="I135" s="6" t="s">
        <v>4143</v>
      </c>
    </row>
    <row r="136" spans="1:9" ht="15" thickBot="1" x14ac:dyDescent="0.35">
      <c r="A136" s="5" t="s">
        <v>972</v>
      </c>
      <c r="B136" s="2" t="s">
        <v>973</v>
      </c>
      <c r="C136" s="2" t="s">
        <v>11621</v>
      </c>
      <c r="D136" s="2">
        <v>32</v>
      </c>
      <c r="E136" s="2">
        <v>625</v>
      </c>
      <c r="F136" s="2">
        <v>9</v>
      </c>
      <c r="G136" s="3">
        <v>46259</v>
      </c>
      <c r="H136" s="2" t="s">
        <v>296</v>
      </c>
      <c r="I136" s="6" t="s">
        <v>4143</v>
      </c>
    </row>
    <row r="137" spans="1:9" ht="15" thickBot="1" x14ac:dyDescent="0.35">
      <c r="A137" s="5" t="s">
        <v>1884</v>
      </c>
      <c r="B137" s="2" t="s">
        <v>1885</v>
      </c>
      <c r="C137" s="2" t="s">
        <v>11622</v>
      </c>
      <c r="D137" s="2">
        <v>13</v>
      </c>
      <c r="E137" s="2">
        <v>600</v>
      </c>
      <c r="F137" s="2">
        <v>9</v>
      </c>
      <c r="G137" s="3">
        <v>46259</v>
      </c>
      <c r="H137" s="2" t="s">
        <v>296</v>
      </c>
      <c r="I137" s="6" t="s">
        <v>4143</v>
      </c>
    </row>
    <row r="138" spans="1:9" ht="15" thickBot="1" x14ac:dyDescent="0.35">
      <c r="A138" s="5" t="s">
        <v>1916</v>
      </c>
      <c r="B138" s="2" t="s">
        <v>1917</v>
      </c>
      <c r="C138" s="2" t="s">
        <v>11623</v>
      </c>
      <c r="D138" s="2">
        <v>1</v>
      </c>
      <c r="E138" s="2">
        <v>60</v>
      </c>
      <c r="F138" s="2">
        <v>45</v>
      </c>
      <c r="G138" s="3">
        <v>46259</v>
      </c>
      <c r="H138" s="2" t="s">
        <v>296</v>
      </c>
      <c r="I138" s="6" t="s">
        <v>4143</v>
      </c>
    </row>
    <row r="139" spans="1:9" ht="15" thickBot="1" x14ac:dyDescent="0.35">
      <c r="A139" s="5" t="s">
        <v>854</v>
      </c>
      <c r="B139" s="2" t="s">
        <v>855</v>
      </c>
      <c r="C139" s="2" t="s">
        <v>11624</v>
      </c>
      <c r="D139" s="2">
        <v>3</v>
      </c>
      <c r="E139" s="2">
        <v>598</v>
      </c>
      <c r="F139" s="2">
        <v>2</v>
      </c>
      <c r="G139" s="3">
        <v>46259</v>
      </c>
      <c r="H139" s="2" t="s">
        <v>296</v>
      </c>
      <c r="I139" s="6" t="s">
        <v>4143</v>
      </c>
    </row>
    <row r="140" spans="1:9" ht="15" thickBot="1" x14ac:dyDescent="0.35">
      <c r="A140" s="5" t="s">
        <v>6375</v>
      </c>
      <c r="B140" s="2" t="s">
        <v>6376</v>
      </c>
      <c r="C140" s="2" t="s">
        <v>11625</v>
      </c>
      <c r="D140" s="2">
        <v>1</v>
      </c>
      <c r="E140" s="4">
        <v>5880</v>
      </c>
      <c r="F140" s="4">
        <v>4410</v>
      </c>
      <c r="G140" s="3">
        <v>46259</v>
      </c>
      <c r="H140" s="2" t="s">
        <v>296</v>
      </c>
      <c r="I140" s="6" t="s">
        <v>4143</v>
      </c>
    </row>
    <row r="141" spans="1:9" ht="15" thickBot="1" x14ac:dyDescent="0.35">
      <c r="A141" s="5" t="s">
        <v>6375</v>
      </c>
      <c r="B141" s="2" t="s">
        <v>6376</v>
      </c>
      <c r="C141" s="2" t="s">
        <v>11626</v>
      </c>
      <c r="D141" s="2">
        <v>1</v>
      </c>
      <c r="E141" s="4">
        <v>5880</v>
      </c>
      <c r="F141" s="4">
        <v>4410</v>
      </c>
      <c r="G141" s="3">
        <v>46259</v>
      </c>
      <c r="H141" s="2" t="s">
        <v>296</v>
      </c>
      <c r="I141" s="6" t="s">
        <v>4143</v>
      </c>
    </row>
    <row r="142" spans="1:9" ht="15" thickBot="1" x14ac:dyDescent="0.35">
      <c r="A142" s="5" t="s">
        <v>11618</v>
      </c>
      <c r="B142" s="2" t="s">
        <v>11619</v>
      </c>
      <c r="C142" s="2" t="s">
        <v>11627</v>
      </c>
      <c r="D142" s="2">
        <v>14</v>
      </c>
      <c r="E142" s="4">
        <v>5164</v>
      </c>
      <c r="F142" s="2">
        <v>781</v>
      </c>
      <c r="G142" s="3">
        <v>46259</v>
      </c>
      <c r="H142" s="2" t="s">
        <v>296</v>
      </c>
      <c r="I142" s="6" t="s">
        <v>4143</v>
      </c>
    </row>
    <row r="143" spans="1:9" ht="15" thickBot="1" x14ac:dyDescent="0.35">
      <c r="A143" s="5" t="s">
        <v>175</v>
      </c>
      <c r="B143" s="2" t="s">
        <v>176</v>
      </c>
      <c r="C143" s="2" t="s">
        <v>11628</v>
      </c>
      <c r="D143" s="2">
        <v>14</v>
      </c>
      <c r="E143" s="4">
        <v>5023</v>
      </c>
      <c r="F143" s="2">
        <v>117</v>
      </c>
      <c r="G143" s="3">
        <v>46259</v>
      </c>
      <c r="H143" s="2" t="s">
        <v>296</v>
      </c>
      <c r="I143" s="6" t="s">
        <v>4143</v>
      </c>
    </row>
    <row r="144" spans="1:9" ht="15" thickBot="1" x14ac:dyDescent="0.35">
      <c r="A144" s="5" t="s">
        <v>1029</v>
      </c>
      <c r="B144" s="2" t="s">
        <v>1030</v>
      </c>
      <c r="C144" s="2" t="s">
        <v>11629</v>
      </c>
      <c r="D144" s="2">
        <v>11</v>
      </c>
      <c r="E144" s="2">
        <v>429</v>
      </c>
      <c r="F144" s="2">
        <v>6</v>
      </c>
      <c r="G144" s="3">
        <v>46259</v>
      </c>
      <c r="H144" s="2" t="s">
        <v>296</v>
      </c>
      <c r="I144" s="6" t="s">
        <v>4143</v>
      </c>
    </row>
    <row r="145" spans="1:9" ht="15" thickBot="1" x14ac:dyDescent="0.35">
      <c r="A145" s="5" t="s">
        <v>9050</v>
      </c>
      <c r="B145" s="2" t="s">
        <v>9051</v>
      </c>
      <c r="C145" s="2" t="s">
        <v>11630</v>
      </c>
      <c r="D145" s="2">
        <v>1</v>
      </c>
      <c r="E145" s="4">
        <v>39000</v>
      </c>
      <c r="F145" s="4">
        <v>1463</v>
      </c>
      <c r="G145" s="3">
        <v>46259</v>
      </c>
      <c r="H145" s="2" t="s">
        <v>296</v>
      </c>
      <c r="I145" s="6" t="s">
        <v>4143</v>
      </c>
    </row>
    <row r="146" spans="1:9" ht="15" thickBot="1" x14ac:dyDescent="0.35">
      <c r="A146" s="5" t="s">
        <v>75</v>
      </c>
      <c r="B146" s="2" t="s">
        <v>76</v>
      </c>
      <c r="C146" s="2" t="s">
        <v>11631</v>
      </c>
      <c r="D146" s="2">
        <v>5</v>
      </c>
      <c r="E146" s="4">
        <v>38000</v>
      </c>
      <c r="F146" s="4">
        <v>1229</v>
      </c>
      <c r="G146" s="3">
        <v>46259</v>
      </c>
      <c r="H146" s="2" t="s">
        <v>296</v>
      </c>
      <c r="I146" s="6" t="s">
        <v>4143</v>
      </c>
    </row>
    <row r="147" spans="1:9" ht="15" thickBot="1" x14ac:dyDescent="0.35">
      <c r="A147" s="5" t="s">
        <v>9050</v>
      </c>
      <c r="B147" s="2" t="s">
        <v>9051</v>
      </c>
      <c r="C147" s="2" t="s">
        <v>11632</v>
      </c>
      <c r="D147" s="2">
        <v>1</v>
      </c>
      <c r="E147" s="4">
        <v>37440</v>
      </c>
      <c r="F147" s="4">
        <v>1755</v>
      </c>
      <c r="G147" s="3">
        <v>46259</v>
      </c>
      <c r="H147" s="2" t="s">
        <v>296</v>
      </c>
      <c r="I147" s="6" t="s">
        <v>4143</v>
      </c>
    </row>
    <row r="148" spans="1:9" ht="15" thickBot="1" x14ac:dyDescent="0.35">
      <c r="A148" s="5" t="s">
        <v>939</v>
      </c>
      <c r="B148" s="2" t="s">
        <v>940</v>
      </c>
      <c r="C148" s="2" t="s">
        <v>11633</v>
      </c>
      <c r="D148" s="2">
        <v>13</v>
      </c>
      <c r="E148" s="2">
        <v>361</v>
      </c>
      <c r="F148" s="2">
        <v>36</v>
      </c>
      <c r="G148" s="3">
        <v>46259</v>
      </c>
      <c r="H148" s="2" t="s">
        <v>296</v>
      </c>
      <c r="I148" s="6" t="s">
        <v>4143</v>
      </c>
    </row>
    <row r="149" spans="1:9" ht="15" thickBot="1" x14ac:dyDescent="0.35">
      <c r="A149" s="5" t="s">
        <v>16</v>
      </c>
      <c r="B149" s="2" t="s">
        <v>17</v>
      </c>
      <c r="C149" s="2" t="s">
        <v>11634</v>
      </c>
      <c r="D149" s="2">
        <v>57</v>
      </c>
      <c r="E149" s="4">
        <v>36698</v>
      </c>
      <c r="F149" s="4">
        <v>14884</v>
      </c>
      <c r="G149" s="3">
        <v>46259</v>
      </c>
      <c r="H149" s="2" t="s">
        <v>296</v>
      </c>
      <c r="I149" s="6" t="s">
        <v>4143</v>
      </c>
    </row>
    <row r="150" spans="1:9" ht="15" thickBot="1" x14ac:dyDescent="0.35">
      <c r="A150" s="5" t="s">
        <v>564</v>
      </c>
      <c r="B150" s="2" t="s">
        <v>565</v>
      </c>
      <c r="C150" s="2" t="s">
        <v>11099</v>
      </c>
      <c r="D150" s="2">
        <v>19</v>
      </c>
      <c r="E150" s="4">
        <v>36304</v>
      </c>
      <c r="F150" s="4">
        <v>1135</v>
      </c>
      <c r="G150" s="3">
        <v>46259</v>
      </c>
      <c r="H150" s="2" t="s">
        <v>296</v>
      </c>
      <c r="I150" s="6" t="s">
        <v>4143</v>
      </c>
    </row>
    <row r="151" spans="1:9" ht="15" thickBot="1" x14ac:dyDescent="0.35">
      <c r="A151" s="5" t="s">
        <v>65</v>
      </c>
      <c r="B151" s="2" t="s">
        <v>66</v>
      </c>
      <c r="C151" s="2" t="s">
        <v>11635</v>
      </c>
      <c r="D151" s="2">
        <v>54</v>
      </c>
      <c r="E151" s="4">
        <v>35000</v>
      </c>
      <c r="F151" s="4">
        <v>12498</v>
      </c>
      <c r="G151" s="3">
        <v>46259</v>
      </c>
      <c r="H151" s="2" t="s">
        <v>296</v>
      </c>
      <c r="I151" s="6" t="s">
        <v>4143</v>
      </c>
    </row>
    <row r="152" spans="1:9" ht="15" thickBot="1" x14ac:dyDescent="0.35">
      <c r="A152" s="5" t="s">
        <v>2285</v>
      </c>
      <c r="B152" s="2" t="s">
        <v>2286</v>
      </c>
      <c r="C152" s="2" t="s">
        <v>11636</v>
      </c>
      <c r="D152" s="2">
        <v>1</v>
      </c>
      <c r="E152" s="2">
        <v>3</v>
      </c>
      <c r="F152" s="2">
        <v>0</v>
      </c>
      <c r="G152" s="3">
        <v>46259</v>
      </c>
      <c r="H152" s="2" t="s">
        <v>296</v>
      </c>
      <c r="I152" s="6" t="s">
        <v>4143</v>
      </c>
    </row>
    <row r="153" spans="1:9" ht="15" thickBot="1" x14ac:dyDescent="0.35">
      <c r="A153" s="5" t="s">
        <v>6375</v>
      </c>
      <c r="B153" s="2" t="s">
        <v>6376</v>
      </c>
      <c r="C153" s="2" t="s">
        <v>11637</v>
      </c>
      <c r="D153" s="2">
        <v>1</v>
      </c>
      <c r="E153" s="4">
        <v>3360</v>
      </c>
      <c r="F153" s="2">
        <v>630</v>
      </c>
      <c r="G153" s="3">
        <v>46259</v>
      </c>
      <c r="H153" s="2" t="s">
        <v>296</v>
      </c>
      <c r="I153" s="6" t="s">
        <v>4143</v>
      </c>
    </row>
    <row r="154" spans="1:9" ht="15" thickBot="1" x14ac:dyDescent="0.35">
      <c r="A154" s="5" t="s">
        <v>1989</v>
      </c>
      <c r="B154" s="2" t="s">
        <v>11091</v>
      </c>
      <c r="C154" s="2" t="s">
        <v>11638</v>
      </c>
      <c r="D154" s="2">
        <v>93</v>
      </c>
      <c r="E154" s="4">
        <v>26500</v>
      </c>
      <c r="F154" s="4">
        <v>1751</v>
      </c>
      <c r="G154" s="3">
        <v>46259</v>
      </c>
      <c r="H154" s="2" t="s">
        <v>296</v>
      </c>
      <c r="I154" s="6" t="s">
        <v>4143</v>
      </c>
    </row>
    <row r="155" spans="1:9" ht="15" thickBot="1" x14ac:dyDescent="0.35">
      <c r="A155" s="5" t="s">
        <v>1989</v>
      </c>
      <c r="B155" s="2" t="s">
        <v>11091</v>
      </c>
      <c r="C155" s="2" t="s">
        <v>11639</v>
      </c>
      <c r="D155" s="2">
        <v>11</v>
      </c>
      <c r="E155" s="4">
        <v>23000</v>
      </c>
      <c r="F155" s="4">
        <v>1849</v>
      </c>
      <c r="G155" s="3">
        <v>46259</v>
      </c>
      <c r="H155" s="2" t="s">
        <v>296</v>
      </c>
      <c r="I155" s="6" t="s">
        <v>4143</v>
      </c>
    </row>
    <row r="156" spans="1:9" ht="15" thickBot="1" x14ac:dyDescent="0.35">
      <c r="A156" s="5" t="s">
        <v>854</v>
      </c>
      <c r="B156" s="2" t="s">
        <v>855</v>
      </c>
      <c r="C156" s="2" t="s">
        <v>11640</v>
      </c>
      <c r="D156" s="2">
        <v>22</v>
      </c>
      <c r="E156" s="4">
        <v>2610</v>
      </c>
      <c r="F156" s="2">
        <v>265</v>
      </c>
      <c r="G156" s="3">
        <v>46259</v>
      </c>
      <c r="H156" s="2" t="s">
        <v>296</v>
      </c>
      <c r="I156" s="6" t="s">
        <v>4143</v>
      </c>
    </row>
    <row r="157" spans="1:9" ht="15" thickBot="1" x14ac:dyDescent="0.35">
      <c r="A157" s="5" t="s">
        <v>11100</v>
      </c>
      <c r="B157" s="2" t="s">
        <v>11101</v>
      </c>
      <c r="C157" s="2" t="s">
        <v>11641</v>
      </c>
      <c r="D157" s="2">
        <v>2</v>
      </c>
      <c r="E157" s="4">
        <v>19530</v>
      </c>
      <c r="F157" s="4">
        <v>14648</v>
      </c>
      <c r="G157" s="3">
        <v>46259</v>
      </c>
      <c r="H157" s="2" t="s">
        <v>296</v>
      </c>
      <c r="I157" s="6" t="s">
        <v>4143</v>
      </c>
    </row>
    <row r="158" spans="1:9" ht="15" thickBot="1" x14ac:dyDescent="0.35">
      <c r="A158" s="5" t="s">
        <v>867</v>
      </c>
      <c r="B158" s="2" t="s">
        <v>868</v>
      </c>
      <c r="C158" s="2" t="s">
        <v>11642</v>
      </c>
      <c r="D158" s="2">
        <v>4</v>
      </c>
      <c r="E158" s="2">
        <v>164</v>
      </c>
      <c r="F158" s="2">
        <v>20</v>
      </c>
      <c r="G158" s="3">
        <v>46259</v>
      </c>
      <c r="H158" s="2" t="s">
        <v>296</v>
      </c>
      <c r="I158" s="6" t="s">
        <v>4143</v>
      </c>
    </row>
    <row r="159" spans="1:9" ht="15" thickBot="1" x14ac:dyDescent="0.35">
      <c r="A159" s="5" t="s">
        <v>819</v>
      </c>
      <c r="B159" s="2" t="s">
        <v>820</v>
      </c>
      <c r="C159" s="2" t="s">
        <v>11643</v>
      </c>
      <c r="D159" s="2">
        <v>5</v>
      </c>
      <c r="E159" s="2">
        <v>150</v>
      </c>
      <c r="F159" s="2">
        <v>2</v>
      </c>
      <c r="G159" s="3">
        <v>46259</v>
      </c>
      <c r="H159" s="2" t="s">
        <v>296</v>
      </c>
      <c r="I159" s="6" t="s">
        <v>4143</v>
      </c>
    </row>
    <row r="160" spans="1:9" ht="15" thickBot="1" x14ac:dyDescent="0.35">
      <c r="A160" s="5" t="s">
        <v>939</v>
      </c>
      <c r="B160" s="2" t="s">
        <v>940</v>
      </c>
      <c r="C160" s="2" t="s">
        <v>11644</v>
      </c>
      <c r="D160" s="2">
        <v>5</v>
      </c>
      <c r="E160" s="2">
        <v>141</v>
      </c>
      <c r="F160" s="2">
        <v>5</v>
      </c>
      <c r="G160" s="3">
        <v>46259</v>
      </c>
      <c r="H160" s="2" t="s">
        <v>296</v>
      </c>
      <c r="I160" s="6" t="s">
        <v>4143</v>
      </c>
    </row>
    <row r="161" spans="1:9" ht="15" thickBot="1" x14ac:dyDescent="0.35">
      <c r="A161" s="5" t="s">
        <v>854</v>
      </c>
      <c r="B161" s="2" t="s">
        <v>855</v>
      </c>
      <c r="C161" s="2" t="s">
        <v>11645</v>
      </c>
      <c r="D161" s="2">
        <v>44</v>
      </c>
      <c r="E161" s="4">
        <v>14866</v>
      </c>
      <c r="F161" s="2">
        <v>237</v>
      </c>
      <c r="G161" s="3">
        <v>46259</v>
      </c>
      <c r="H161" s="2" t="s">
        <v>296</v>
      </c>
      <c r="I161" s="6" t="s">
        <v>4143</v>
      </c>
    </row>
    <row r="162" spans="1:9" ht="15" thickBot="1" x14ac:dyDescent="0.35">
      <c r="A162" s="5" t="s">
        <v>11646</v>
      </c>
      <c r="B162" s="2" t="s">
        <v>11647</v>
      </c>
      <c r="C162" s="2" t="s">
        <v>11648</v>
      </c>
      <c r="D162" s="2">
        <v>30</v>
      </c>
      <c r="E162" s="2">
        <v>138</v>
      </c>
      <c r="F162" s="2">
        <v>2</v>
      </c>
      <c r="G162" s="3">
        <v>46259</v>
      </c>
      <c r="H162" s="2" t="s">
        <v>296</v>
      </c>
      <c r="I162" s="6" t="s">
        <v>4143</v>
      </c>
    </row>
    <row r="163" spans="1:9" ht="15" thickBot="1" x14ac:dyDescent="0.35">
      <c r="A163" s="5" t="s">
        <v>11618</v>
      </c>
      <c r="B163" s="2" t="s">
        <v>11619</v>
      </c>
      <c r="C163" s="2" t="s">
        <v>11649</v>
      </c>
      <c r="D163" s="2">
        <v>39</v>
      </c>
      <c r="E163" s="4">
        <v>12863</v>
      </c>
      <c r="F163" s="4">
        <v>1150</v>
      </c>
      <c r="G163" s="3">
        <v>46259</v>
      </c>
      <c r="H163" s="2" t="s">
        <v>296</v>
      </c>
      <c r="I163" s="6" t="s">
        <v>4143</v>
      </c>
    </row>
    <row r="164" spans="1:9" ht="15" thickBot="1" x14ac:dyDescent="0.35">
      <c r="A164" s="5" t="s">
        <v>1916</v>
      </c>
      <c r="B164" s="2" t="s">
        <v>1917</v>
      </c>
      <c r="C164" s="2" t="s">
        <v>11650</v>
      </c>
      <c r="D164" s="2">
        <v>11</v>
      </c>
      <c r="E164" s="4">
        <v>1949</v>
      </c>
      <c r="F164" s="4">
        <v>1440</v>
      </c>
      <c r="G164" s="3">
        <v>46259</v>
      </c>
      <c r="H164" s="2" t="s">
        <v>296</v>
      </c>
      <c r="I164" s="6" t="s">
        <v>4143</v>
      </c>
    </row>
    <row r="165" spans="1:9" ht="15" thickBot="1" x14ac:dyDescent="0.35">
      <c r="A165" s="5" t="s">
        <v>5154</v>
      </c>
      <c r="B165" s="2" t="s">
        <v>5155</v>
      </c>
      <c r="C165" s="2" t="s">
        <v>11651</v>
      </c>
      <c r="D165" s="2">
        <v>6</v>
      </c>
      <c r="E165" s="4">
        <v>1734</v>
      </c>
      <c r="F165" s="2">
        <v>48</v>
      </c>
      <c r="G165" s="3">
        <v>46259</v>
      </c>
      <c r="H165" s="2" t="s">
        <v>296</v>
      </c>
      <c r="I165" s="6" t="s">
        <v>4143</v>
      </c>
    </row>
    <row r="166" spans="1:9" ht="15" thickBot="1" x14ac:dyDescent="0.35">
      <c r="A166" s="5" t="s">
        <v>11652</v>
      </c>
      <c r="B166" s="2" t="s">
        <v>11653</v>
      </c>
      <c r="C166" s="2" t="s">
        <v>11654</v>
      </c>
      <c r="D166" s="2">
        <v>19</v>
      </c>
      <c r="E166" s="4">
        <v>1544</v>
      </c>
      <c r="F166" s="2">
        <v>23</v>
      </c>
      <c r="G166" s="3">
        <v>46259</v>
      </c>
      <c r="H166" s="2" t="s">
        <v>296</v>
      </c>
      <c r="I166" s="6" t="s">
        <v>4143</v>
      </c>
    </row>
    <row r="167" spans="1:9" ht="15" thickBot="1" x14ac:dyDescent="0.35">
      <c r="A167" s="5" t="s">
        <v>2285</v>
      </c>
      <c r="B167" s="2" t="s">
        <v>2286</v>
      </c>
      <c r="C167" s="2" t="s">
        <v>11655</v>
      </c>
      <c r="D167" s="2">
        <v>31</v>
      </c>
      <c r="E167" s="4">
        <v>1541</v>
      </c>
      <c r="F167" s="2">
        <v>42</v>
      </c>
      <c r="G167" s="3">
        <v>46259</v>
      </c>
      <c r="H167" s="2" t="s">
        <v>296</v>
      </c>
      <c r="I167" s="6" t="s">
        <v>4143</v>
      </c>
    </row>
    <row r="168" spans="1:9" ht="15" thickBot="1" x14ac:dyDescent="0.35">
      <c r="A168" s="5" t="s">
        <v>819</v>
      </c>
      <c r="B168" s="2" t="s">
        <v>820</v>
      </c>
      <c r="C168" s="2" t="s">
        <v>11656</v>
      </c>
      <c r="D168" s="2">
        <v>31</v>
      </c>
      <c r="E168" s="4">
        <v>1426</v>
      </c>
      <c r="F168" s="2">
        <v>37</v>
      </c>
      <c r="G168" s="3">
        <v>46259</v>
      </c>
      <c r="H168" s="2" t="s">
        <v>296</v>
      </c>
      <c r="I168" s="6" t="s">
        <v>4143</v>
      </c>
    </row>
    <row r="169" spans="1:9" ht="15" thickBot="1" x14ac:dyDescent="0.35">
      <c r="A169" s="7" t="s">
        <v>3239</v>
      </c>
      <c r="B169" s="8" t="s">
        <v>11657</v>
      </c>
      <c r="C169" s="8" t="s">
        <v>11658</v>
      </c>
      <c r="D169" s="8">
        <v>16</v>
      </c>
      <c r="E169" s="8">
        <v>824</v>
      </c>
      <c r="F169" s="8">
        <v>12</v>
      </c>
      <c r="G169" s="10">
        <v>46259</v>
      </c>
      <c r="H169" s="8" t="s">
        <v>9597</v>
      </c>
      <c r="I169" s="11" t="s">
        <v>4143</v>
      </c>
    </row>
    <row r="170" spans="1:9" ht="21" thickBot="1" x14ac:dyDescent="0.35">
      <c r="A170" s="12" t="s">
        <v>10863</v>
      </c>
      <c r="B170" s="13" t="s">
        <v>10864</v>
      </c>
      <c r="C170" s="13" t="s">
        <v>11659</v>
      </c>
      <c r="D170" s="13">
        <v>177</v>
      </c>
      <c r="E170" s="57">
        <v>8638</v>
      </c>
      <c r="F170" s="13">
        <v>137</v>
      </c>
      <c r="G170" s="14">
        <v>46259</v>
      </c>
      <c r="H170" s="13" t="s">
        <v>294</v>
      </c>
      <c r="I170" s="15" t="s">
        <v>4143</v>
      </c>
    </row>
    <row r="171" spans="1:9" ht="21" thickBot="1" x14ac:dyDescent="0.35">
      <c r="A171" s="5" t="s">
        <v>10863</v>
      </c>
      <c r="B171" s="2" t="s">
        <v>10864</v>
      </c>
      <c r="C171" s="2" t="s">
        <v>11660</v>
      </c>
      <c r="D171" s="2">
        <v>174</v>
      </c>
      <c r="E171" s="4">
        <v>7713</v>
      </c>
      <c r="F171" s="2">
        <v>116</v>
      </c>
      <c r="G171" s="3">
        <v>46259</v>
      </c>
      <c r="H171" s="2" t="s">
        <v>294</v>
      </c>
      <c r="I171" s="6" t="s">
        <v>4143</v>
      </c>
    </row>
    <row r="172" spans="1:9" ht="21" thickBot="1" x14ac:dyDescent="0.35">
      <c r="A172" s="7" t="s">
        <v>10863</v>
      </c>
      <c r="B172" s="8" t="s">
        <v>10864</v>
      </c>
      <c r="C172" s="8" t="s">
        <v>11661</v>
      </c>
      <c r="D172" s="8">
        <v>178</v>
      </c>
      <c r="E172" s="9">
        <v>31018</v>
      </c>
      <c r="F172" s="8">
        <v>465</v>
      </c>
      <c r="G172" s="10">
        <v>46259</v>
      </c>
      <c r="H172" s="8" t="s">
        <v>294</v>
      </c>
      <c r="I172" s="11" t="s">
        <v>4143</v>
      </c>
    </row>
    <row r="173" spans="1:9" ht="15" thickBot="1" x14ac:dyDescent="0.35">
      <c r="A173" s="7"/>
      <c r="B173" s="8"/>
      <c r="C173" s="8"/>
      <c r="D173" s="8"/>
      <c r="E173" s="8"/>
      <c r="F173" s="8"/>
      <c r="G173" s="10"/>
      <c r="H173" s="8"/>
      <c r="I173" s="11"/>
    </row>
    <row r="174" spans="1:9" ht="15" thickBot="1" x14ac:dyDescent="0.35">
      <c r="A174" s="12"/>
      <c r="B174" s="13"/>
      <c r="C174" s="13"/>
      <c r="D174" s="13"/>
      <c r="E174" s="57"/>
      <c r="F174" s="13"/>
      <c r="G174" s="14"/>
      <c r="H174" s="13"/>
      <c r="I174" s="15"/>
    </row>
    <row r="175" spans="1:9" ht="15" thickBot="1" x14ac:dyDescent="0.35">
      <c r="A175" s="5"/>
      <c r="B175" s="2"/>
      <c r="C175" s="2"/>
      <c r="D175" s="2"/>
      <c r="E175" s="4"/>
      <c r="F175" s="2"/>
      <c r="G175" s="3"/>
      <c r="H175" s="2"/>
      <c r="I175" s="6"/>
    </row>
    <row r="176" spans="1:9" ht="15" thickBot="1" x14ac:dyDescent="0.35">
      <c r="A176" s="7"/>
      <c r="B176" s="8"/>
      <c r="C176" s="8"/>
      <c r="D176" s="8"/>
      <c r="E176" s="9"/>
      <c r="F176" s="8"/>
      <c r="G176" s="10"/>
      <c r="H176" s="8"/>
      <c r="I176" s="11"/>
    </row>
    <row r="177" spans="1:9" ht="15" thickBot="1" x14ac:dyDescent="0.35">
      <c r="A177" s="12"/>
      <c r="B177" s="13"/>
      <c r="C177" s="13"/>
      <c r="D177" s="13"/>
      <c r="E177" s="13"/>
      <c r="F177" s="13"/>
      <c r="G177" s="14"/>
      <c r="H177" s="13"/>
      <c r="I177" s="15"/>
    </row>
    <row r="178" spans="1:9" ht="15" thickBot="1" x14ac:dyDescent="0.35">
      <c r="A178" s="5"/>
      <c r="B178" s="2"/>
      <c r="C178" s="2"/>
      <c r="D178" s="2"/>
      <c r="E178" s="2"/>
      <c r="F178" s="2"/>
      <c r="G178" s="3"/>
      <c r="H178" s="2"/>
      <c r="I178" s="6"/>
    </row>
    <row r="179" spans="1:9" ht="15" thickBot="1" x14ac:dyDescent="0.35">
      <c r="A179" s="5"/>
      <c r="B179" s="2"/>
      <c r="C179" s="2"/>
      <c r="D179" s="2"/>
      <c r="E179" s="4"/>
      <c r="F179" s="4"/>
      <c r="G179" s="3"/>
      <c r="H179" s="2"/>
      <c r="I179" s="6"/>
    </row>
    <row r="180" spans="1:9" ht="15" thickBot="1" x14ac:dyDescent="0.35">
      <c r="A180" s="5"/>
      <c r="B180" s="2"/>
      <c r="C180" s="2"/>
      <c r="D180" s="2"/>
      <c r="E180" s="4"/>
      <c r="F180" s="2"/>
      <c r="G180" s="3"/>
      <c r="H180" s="2"/>
      <c r="I180" s="6"/>
    </row>
    <row r="181" spans="1:9" ht="15" thickBot="1" x14ac:dyDescent="0.35">
      <c r="A181" s="5"/>
      <c r="B181" s="2"/>
      <c r="C181" s="2"/>
      <c r="D181" s="2"/>
      <c r="E181" s="4"/>
      <c r="F181" s="2"/>
      <c r="G181" s="3"/>
      <c r="H181" s="2"/>
      <c r="I181" s="6"/>
    </row>
    <row r="182" spans="1:9" ht="15" thickBot="1" x14ac:dyDescent="0.35">
      <c r="A182" s="7"/>
      <c r="B182" s="8"/>
      <c r="C182" s="8"/>
      <c r="D182" s="8"/>
      <c r="E182" s="9"/>
      <c r="F182" s="9"/>
      <c r="G182" s="10"/>
      <c r="H182" s="8"/>
      <c r="I182" s="11"/>
    </row>
    <row r="183" spans="1:9" ht="15" thickBot="1" x14ac:dyDescent="0.35">
      <c r="A183" s="5"/>
      <c r="B183" s="2"/>
      <c r="C183" s="2"/>
      <c r="D183" s="2"/>
      <c r="E183" s="2"/>
      <c r="F183" s="2"/>
      <c r="G183" s="3"/>
      <c r="H183" s="2"/>
      <c r="I183" s="6"/>
    </row>
    <row r="184" spans="1:9" ht="15" thickBot="1" x14ac:dyDescent="0.35">
      <c r="A184" s="5"/>
      <c r="B184" s="2"/>
      <c r="C184" s="2"/>
      <c r="D184" s="2"/>
      <c r="E184" s="2"/>
      <c r="F184" s="2"/>
      <c r="G184" s="3"/>
      <c r="H184" s="2"/>
      <c r="I184" s="6"/>
    </row>
    <row r="185" spans="1:9" ht="15" thickBot="1" x14ac:dyDescent="0.35">
      <c r="A185" s="5"/>
      <c r="B185" s="2"/>
      <c r="C185" s="2"/>
      <c r="D185" s="2"/>
      <c r="E185" s="2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4"/>
      <c r="F186" s="4"/>
      <c r="G186" s="3"/>
      <c r="H186" s="2"/>
      <c r="I186" s="6"/>
    </row>
    <row r="187" spans="1:9" ht="15" thickBot="1" x14ac:dyDescent="0.35">
      <c r="A187" s="5"/>
      <c r="B187" s="2"/>
      <c r="C187" s="2"/>
      <c r="D187" s="2"/>
      <c r="E187" s="2"/>
      <c r="F187" s="2"/>
      <c r="G187" s="3"/>
      <c r="H187" s="2"/>
      <c r="I187" s="6"/>
    </row>
    <row r="188" spans="1:9" ht="15" thickBot="1" x14ac:dyDescent="0.35">
      <c r="A188" s="5"/>
      <c r="B188" s="2"/>
      <c r="C188" s="2"/>
      <c r="D188" s="2"/>
      <c r="E188" s="2"/>
      <c r="F188" s="2"/>
      <c r="G188" s="3"/>
      <c r="H188" s="2"/>
      <c r="I188" s="6"/>
    </row>
    <row r="189" spans="1:9" ht="15" thickBot="1" x14ac:dyDescent="0.35">
      <c r="A189" s="7"/>
      <c r="B189" s="8"/>
      <c r="C189" s="8"/>
      <c r="D189" s="8"/>
      <c r="E189" s="8"/>
      <c r="F189" s="8"/>
      <c r="G189" s="10"/>
      <c r="H189" s="8"/>
      <c r="I189" s="11"/>
    </row>
    <row r="190" spans="1:9" ht="15" thickBot="1" x14ac:dyDescent="0.35">
      <c r="A190" s="12"/>
      <c r="B190" s="13"/>
      <c r="C190" s="13"/>
      <c r="D190" s="13"/>
      <c r="E190" s="13"/>
      <c r="F190" s="13"/>
      <c r="G190" s="14"/>
      <c r="H190" s="13"/>
      <c r="I190" s="15"/>
    </row>
    <row r="191" spans="1:9" ht="15" thickBot="1" x14ac:dyDescent="0.35">
      <c r="A191" s="5"/>
      <c r="B191" s="2"/>
      <c r="C191" s="2"/>
      <c r="D191" s="2"/>
      <c r="E191" s="2"/>
      <c r="F191" s="2"/>
      <c r="G191" s="3"/>
      <c r="H191" s="2"/>
      <c r="I191" s="6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2"/>
      <c r="F193" s="2"/>
      <c r="G193" s="3"/>
      <c r="H193" s="2"/>
      <c r="I193" s="6"/>
    </row>
    <row r="194" spans="1:9" ht="15" thickBot="1" x14ac:dyDescent="0.35">
      <c r="A194" s="5"/>
      <c r="B194" s="2"/>
      <c r="C194" s="2"/>
      <c r="D194" s="2"/>
      <c r="E194" s="4"/>
      <c r="F194" s="4"/>
      <c r="G194" s="3"/>
      <c r="H194" s="2"/>
      <c r="I194" s="6"/>
    </row>
    <row r="195" spans="1:9" ht="15" thickBot="1" x14ac:dyDescent="0.35">
      <c r="A195" s="5"/>
      <c r="B195" s="2"/>
      <c r="C195" s="2"/>
      <c r="D195" s="2"/>
      <c r="E195" s="4"/>
      <c r="F195" s="2"/>
      <c r="G195" s="3"/>
      <c r="H195" s="2"/>
      <c r="I195" s="6"/>
    </row>
    <row r="196" spans="1:9" ht="15" thickBot="1" x14ac:dyDescent="0.35">
      <c r="A196" s="5"/>
      <c r="B196" s="2"/>
      <c r="C196" s="2"/>
      <c r="D196" s="2"/>
      <c r="E196" s="2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4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7"/>
      <c r="B200" s="8"/>
      <c r="C200" s="8"/>
      <c r="D200" s="8"/>
      <c r="E200" s="9"/>
      <c r="F200" s="8"/>
      <c r="G200" s="10"/>
      <c r="H200" s="8"/>
      <c r="I200" s="11"/>
    </row>
    <row r="201" spans="1:9" ht="15" thickBot="1" x14ac:dyDescent="0.35">
      <c r="A201" s="5"/>
      <c r="B201" s="2"/>
      <c r="C201" s="2"/>
      <c r="D201" s="2"/>
      <c r="E201" s="4"/>
      <c r="F201" s="2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5"/>
      <c r="B203" s="2"/>
      <c r="C203" s="2"/>
      <c r="D203" s="2"/>
      <c r="E203" s="4"/>
      <c r="F203" s="2"/>
      <c r="G203" s="3"/>
      <c r="H203" s="2"/>
      <c r="I203" s="6"/>
    </row>
    <row r="204" spans="1:9" ht="15" thickBot="1" x14ac:dyDescent="0.35">
      <c r="A204" s="7"/>
      <c r="B204" s="8"/>
      <c r="C204" s="8"/>
      <c r="D204" s="8"/>
      <c r="E204" s="9"/>
      <c r="F204" s="8"/>
      <c r="G204" s="10"/>
      <c r="H204" s="8"/>
      <c r="I204" s="11"/>
    </row>
    <row r="205" spans="1:9" ht="15" thickBot="1" x14ac:dyDescent="0.35">
      <c r="A205" s="12"/>
      <c r="B205" s="13"/>
      <c r="C205" s="13"/>
      <c r="D205" s="13"/>
      <c r="E205" s="57"/>
      <c r="F205" s="13"/>
      <c r="G205" s="14"/>
      <c r="H205" s="13"/>
      <c r="I205" s="15"/>
    </row>
    <row r="206" spans="1:9" ht="15" thickBot="1" x14ac:dyDescent="0.35">
      <c r="A206" s="5"/>
      <c r="B206" s="2"/>
      <c r="C206" s="2"/>
      <c r="D206" s="2"/>
      <c r="E206" s="4"/>
      <c r="F206" s="2"/>
      <c r="G206" s="3"/>
      <c r="H206" s="2"/>
      <c r="I206" s="6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2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2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4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4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2"/>
      <c r="F216" s="2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4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2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7"/>
      <c r="B224" s="8"/>
      <c r="C224" s="8"/>
      <c r="D224" s="8"/>
      <c r="E224" s="9"/>
      <c r="F224" s="8"/>
      <c r="G224" s="10"/>
      <c r="H224" s="8"/>
      <c r="I224" s="11"/>
    </row>
    <row r="225" spans="1:9" ht="15" thickBot="1" x14ac:dyDescent="0.35">
      <c r="A225" s="12"/>
      <c r="B225" s="13"/>
      <c r="C225" s="13"/>
      <c r="D225" s="13"/>
      <c r="E225" s="13"/>
      <c r="F225" s="13"/>
      <c r="G225" s="14"/>
      <c r="H225" s="13"/>
      <c r="I225" s="15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5"/>
      <c r="B227" s="2"/>
      <c r="C227" s="2"/>
      <c r="D227" s="2"/>
      <c r="E227" s="2"/>
      <c r="F227" s="2"/>
      <c r="G227" s="3"/>
      <c r="H227" s="2"/>
      <c r="I227" s="6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49"/>
      <c r="B240" s="32"/>
      <c r="C240" s="32"/>
      <c r="D240" s="32"/>
      <c r="E240" s="33"/>
      <c r="F240" s="32"/>
      <c r="G240" s="34"/>
      <c r="H240" s="32"/>
      <c r="I240" s="44"/>
    </row>
    <row r="241" spans="1:9" ht="15" thickBot="1" x14ac:dyDescent="0.35">
      <c r="A241" s="49"/>
      <c r="B241" s="32"/>
      <c r="C241" s="32"/>
      <c r="D241" s="32"/>
      <c r="E241" s="32"/>
      <c r="F241" s="32"/>
      <c r="G241" s="34"/>
      <c r="H241" s="32"/>
      <c r="I241" s="44"/>
    </row>
    <row r="242" spans="1:9" ht="15" thickBot="1" x14ac:dyDescent="0.35">
      <c r="A242" s="49"/>
      <c r="B242" s="32"/>
      <c r="C242" s="32"/>
      <c r="D242" s="32"/>
      <c r="E242" s="33"/>
      <c r="F242" s="32"/>
      <c r="G242" s="34"/>
      <c r="H242" s="32"/>
      <c r="I242" s="44"/>
    </row>
    <row r="243" spans="1:9" ht="15" thickBot="1" x14ac:dyDescent="0.35">
      <c r="A243" s="49"/>
      <c r="B243" s="32"/>
      <c r="C243" s="32"/>
      <c r="D243" s="32"/>
      <c r="E243" s="33"/>
      <c r="F243" s="32"/>
      <c r="G243" s="34"/>
      <c r="H243" s="32"/>
      <c r="I243" s="44"/>
    </row>
    <row r="244" spans="1:9" ht="15" thickBot="1" x14ac:dyDescent="0.35">
      <c r="A244" s="49"/>
      <c r="B244" s="32"/>
      <c r="C244" s="32"/>
      <c r="D244" s="32"/>
      <c r="E244" s="33"/>
      <c r="F244" s="32"/>
      <c r="G244" s="34"/>
      <c r="H244" s="32"/>
      <c r="I244" s="44"/>
    </row>
    <row r="245" spans="1:9" ht="15" thickBot="1" x14ac:dyDescent="0.35">
      <c r="A245" s="49"/>
      <c r="B245" s="32"/>
      <c r="C245" s="32"/>
      <c r="D245" s="32"/>
      <c r="E245" s="32"/>
      <c r="F245" s="32"/>
      <c r="G245" s="34"/>
      <c r="H245" s="32"/>
      <c r="I245" s="44"/>
    </row>
    <row r="246" spans="1:9" ht="15" thickBot="1" x14ac:dyDescent="0.35">
      <c r="A246" s="50"/>
      <c r="B246" s="35"/>
      <c r="C246" s="35"/>
      <c r="D246" s="35"/>
      <c r="E246" s="37"/>
      <c r="F246" s="35"/>
      <c r="G246" s="36"/>
      <c r="H246" s="35"/>
      <c r="I246" s="45"/>
    </row>
    <row r="247" spans="1:9" ht="15" thickBot="1" x14ac:dyDescent="0.35">
      <c r="A247" s="51"/>
      <c r="B247" s="30"/>
      <c r="C247" s="30"/>
      <c r="D247" s="30"/>
      <c r="E247" s="30"/>
      <c r="F247" s="30"/>
      <c r="G247" s="31"/>
      <c r="H247" s="30"/>
      <c r="I247" s="43"/>
    </row>
    <row r="248" spans="1:9" ht="15" thickBot="1" x14ac:dyDescent="0.35">
      <c r="A248" s="49"/>
      <c r="B248" s="32"/>
      <c r="C248" s="32"/>
      <c r="D248" s="32"/>
      <c r="E248" s="32"/>
      <c r="F248" s="32"/>
      <c r="G248" s="34"/>
      <c r="H248" s="32"/>
      <c r="I248" s="44"/>
    </row>
    <row r="249" spans="1:9" ht="15" thickBot="1" x14ac:dyDescent="0.35">
      <c r="A249" s="49"/>
      <c r="B249" s="32"/>
      <c r="C249" s="32"/>
      <c r="D249" s="32"/>
      <c r="E249" s="33"/>
      <c r="F249" s="32"/>
      <c r="G249" s="34"/>
      <c r="H249" s="32"/>
      <c r="I249" s="44"/>
    </row>
    <row r="250" spans="1:9" ht="15" thickBot="1" x14ac:dyDescent="0.35">
      <c r="A250" s="49"/>
      <c r="B250" s="32"/>
      <c r="C250" s="32"/>
      <c r="D250" s="32"/>
      <c r="E250" s="32"/>
      <c r="F250" s="32"/>
      <c r="G250" s="34"/>
      <c r="H250" s="32"/>
      <c r="I250" s="44"/>
    </row>
    <row r="251" spans="1:9" ht="15" thickBot="1" x14ac:dyDescent="0.35">
      <c r="A251" s="49"/>
      <c r="B251" s="32"/>
      <c r="C251" s="32"/>
      <c r="D251" s="32"/>
      <c r="E251" s="32"/>
      <c r="F251" s="32"/>
      <c r="G251" s="34"/>
      <c r="H251" s="32"/>
      <c r="I251" s="44"/>
    </row>
    <row r="252" spans="1:9" ht="15" thickBot="1" x14ac:dyDescent="0.35">
      <c r="A252" s="49"/>
      <c r="B252" s="32"/>
      <c r="C252" s="32"/>
      <c r="D252" s="32"/>
      <c r="E252" s="33"/>
      <c r="F252" s="32"/>
      <c r="G252" s="34"/>
      <c r="H252" s="32"/>
      <c r="I252" s="44"/>
    </row>
    <row r="253" spans="1:9" ht="15" thickBot="1" x14ac:dyDescent="0.35">
      <c r="A253" s="49"/>
      <c r="B253" s="32"/>
      <c r="C253" s="32"/>
      <c r="D253" s="32"/>
      <c r="E253" s="32"/>
      <c r="F253" s="32"/>
      <c r="G253" s="34"/>
      <c r="H253" s="32"/>
      <c r="I253" s="44"/>
    </row>
    <row r="254" spans="1:9" ht="15" thickBot="1" x14ac:dyDescent="0.35">
      <c r="A254" s="49"/>
      <c r="B254" s="32"/>
      <c r="C254" s="32"/>
      <c r="D254" s="32"/>
      <c r="E254" s="33"/>
      <c r="F254" s="33"/>
      <c r="G254" s="34"/>
      <c r="H254" s="32"/>
      <c r="I254" s="44"/>
    </row>
    <row r="255" spans="1:9" ht="15" thickBot="1" x14ac:dyDescent="0.35">
      <c r="A255" s="49"/>
      <c r="B255" s="32"/>
      <c r="C255" s="32"/>
      <c r="D255" s="32"/>
      <c r="E255" s="33"/>
      <c r="F255" s="33"/>
      <c r="G255" s="34"/>
      <c r="H255" s="32"/>
      <c r="I255" s="44"/>
    </row>
    <row r="256" spans="1:9" ht="15" thickBot="1" x14ac:dyDescent="0.35">
      <c r="A256" s="49"/>
      <c r="B256" s="32"/>
      <c r="C256" s="32"/>
      <c r="D256" s="32"/>
      <c r="E256" s="33"/>
      <c r="F256" s="33"/>
      <c r="G256" s="34"/>
      <c r="H256" s="32"/>
      <c r="I256" s="44"/>
    </row>
    <row r="257" spans="1:9" ht="15" thickBot="1" x14ac:dyDescent="0.35">
      <c r="A257" s="49"/>
      <c r="B257" s="32"/>
      <c r="C257" s="32"/>
      <c r="D257" s="32"/>
      <c r="E257" s="33"/>
      <c r="F257" s="33"/>
      <c r="G257" s="34"/>
      <c r="H257" s="32"/>
      <c r="I257" s="44"/>
    </row>
    <row r="258" spans="1:9" ht="15" thickBot="1" x14ac:dyDescent="0.35">
      <c r="A258" s="49"/>
      <c r="B258" s="32"/>
      <c r="C258" s="32"/>
      <c r="D258" s="32"/>
      <c r="E258" s="33"/>
      <c r="F258" s="33"/>
      <c r="G258" s="34"/>
      <c r="H258" s="32"/>
      <c r="I258" s="44"/>
    </row>
    <row r="259" spans="1:9" ht="15" thickBot="1" x14ac:dyDescent="0.35">
      <c r="A259" s="49"/>
      <c r="B259" s="32"/>
      <c r="C259" s="32"/>
      <c r="D259" s="32"/>
      <c r="E259" s="33"/>
      <c r="F259" s="33"/>
      <c r="G259" s="34"/>
      <c r="H259" s="32"/>
      <c r="I259" s="44"/>
    </row>
    <row r="260" spans="1:9" ht="15" thickBot="1" x14ac:dyDescent="0.35">
      <c r="A260" s="50"/>
      <c r="B260" s="35"/>
      <c r="C260" s="35"/>
      <c r="D260" s="35"/>
      <c r="E260" s="37"/>
      <c r="F260" s="35"/>
      <c r="G260" s="36"/>
      <c r="H260" s="35"/>
      <c r="I260" s="45"/>
    </row>
    <row r="261" spans="1:9" ht="15" thickBot="1" x14ac:dyDescent="0.35">
      <c r="A261" s="52"/>
      <c r="B261" s="32"/>
      <c r="C261" s="32"/>
      <c r="D261" s="32"/>
      <c r="E261" s="33"/>
      <c r="F261" s="32"/>
      <c r="G261" s="34"/>
      <c r="H261" s="32"/>
      <c r="I261" s="44"/>
    </row>
    <row r="262" spans="1:9" ht="15" thickBot="1" x14ac:dyDescent="0.35">
      <c r="A262" s="52"/>
      <c r="B262" s="32"/>
      <c r="C262" s="32"/>
      <c r="D262" s="32"/>
      <c r="E262" s="33"/>
      <c r="F262" s="33"/>
      <c r="G262" s="34"/>
      <c r="H262" s="32"/>
      <c r="I262" s="44"/>
    </row>
    <row r="263" spans="1:9" ht="15" thickBot="1" x14ac:dyDescent="0.35">
      <c r="A263" s="52"/>
      <c r="B263" s="32"/>
      <c r="C263" s="32"/>
      <c r="D263" s="32"/>
      <c r="E263" s="33"/>
      <c r="F263" s="33"/>
      <c r="G263" s="34"/>
      <c r="H263" s="32"/>
      <c r="I263" s="44"/>
    </row>
    <row r="264" spans="1:9" ht="15" thickBot="1" x14ac:dyDescent="0.35">
      <c r="A264" s="52"/>
      <c r="B264" s="35"/>
      <c r="C264" s="35"/>
      <c r="D264" s="35"/>
      <c r="E264" s="37"/>
      <c r="F264" s="37"/>
      <c r="G264" s="36"/>
      <c r="H264" s="35"/>
      <c r="I264" s="45"/>
    </row>
    <row r="265" spans="1:9" ht="15" thickBot="1" x14ac:dyDescent="0.35">
      <c r="A265" s="52"/>
      <c r="B265" s="30"/>
      <c r="C265" s="30"/>
      <c r="D265" s="30"/>
      <c r="E265" s="38"/>
      <c r="F265" s="38"/>
      <c r="G265" s="31"/>
      <c r="H265" s="30"/>
      <c r="I265" s="43"/>
    </row>
    <row r="266" spans="1:9" ht="15" thickBot="1" x14ac:dyDescent="0.35">
      <c r="A266" s="52"/>
      <c r="B266" s="32"/>
      <c r="C266" s="32"/>
      <c r="D266" s="32"/>
      <c r="E266" s="32"/>
      <c r="F266" s="32"/>
      <c r="G266" s="34"/>
      <c r="H266" s="32"/>
      <c r="I266" s="44"/>
    </row>
    <row r="267" spans="1:9" ht="15" thickBot="1" x14ac:dyDescent="0.35">
      <c r="A267" s="52"/>
      <c r="B267" s="32"/>
      <c r="C267" s="32"/>
      <c r="D267" s="32"/>
      <c r="E267" s="33"/>
      <c r="F267" s="32"/>
      <c r="G267" s="34"/>
      <c r="H267" s="32"/>
      <c r="I267" s="44"/>
    </row>
    <row r="268" spans="1:9" ht="15" thickBot="1" x14ac:dyDescent="0.35">
      <c r="A268" s="52"/>
      <c r="B268" s="32"/>
      <c r="C268" s="32"/>
      <c r="D268" s="32"/>
      <c r="E268" s="33"/>
      <c r="F268" s="32"/>
      <c r="G268" s="34"/>
      <c r="H268" s="32"/>
      <c r="I268" s="44"/>
    </row>
    <row r="269" spans="1:9" ht="15" thickBot="1" x14ac:dyDescent="0.35">
      <c r="A269" s="52"/>
      <c r="B269" s="32"/>
      <c r="C269" s="32"/>
      <c r="D269" s="32"/>
      <c r="E269" s="33"/>
      <c r="F269" s="32"/>
      <c r="G269" s="34"/>
      <c r="H269" s="32"/>
      <c r="I269" s="44"/>
    </row>
    <row r="270" spans="1:9" ht="15" thickBot="1" x14ac:dyDescent="0.35">
      <c r="A270" s="52"/>
      <c r="B270" s="32"/>
      <c r="C270" s="32"/>
      <c r="D270" s="32"/>
      <c r="E270" s="32"/>
      <c r="F270" s="32"/>
      <c r="G270" s="34"/>
      <c r="H270" s="32"/>
      <c r="I270" s="44"/>
    </row>
    <row r="271" spans="1:9" ht="15" thickBot="1" x14ac:dyDescent="0.35">
      <c r="A271" s="52"/>
      <c r="B271" s="32"/>
      <c r="C271" s="32"/>
      <c r="D271" s="32"/>
      <c r="E271" s="33"/>
      <c r="F271" s="32"/>
      <c r="G271" s="34"/>
      <c r="H271" s="32"/>
      <c r="I271" s="44"/>
    </row>
    <row r="272" spans="1:9" ht="15" thickBot="1" x14ac:dyDescent="0.35">
      <c r="A272" s="52"/>
      <c r="B272" s="32"/>
      <c r="C272" s="32"/>
      <c r="D272" s="32"/>
      <c r="E272" s="33"/>
      <c r="F272" s="32"/>
      <c r="G272" s="34"/>
      <c r="H272" s="32"/>
      <c r="I272" s="44"/>
    </row>
    <row r="273" spans="1:9" ht="15" thickBot="1" x14ac:dyDescent="0.35">
      <c r="A273" s="52"/>
      <c r="B273" s="32"/>
      <c r="C273" s="32"/>
      <c r="D273" s="32"/>
      <c r="E273" s="33"/>
      <c r="F273" s="33"/>
      <c r="G273" s="34"/>
      <c r="H273" s="32"/>
      <c r="I273" s="44"/>
    </row>
    <row r="274" spans="1:9" ht="15" thickBot="1" x14ac:dyDescent="0.35">
      <c r="A274" s="52"/>
      <c r="B274" s="32"/>
      <c r="C274" s="32"/>
      <c r="D274" s="32"/>
      <c r="E274" s="33"/>
      <c r="F274" s="32"/>
      <c r="G274" s="34"/>
      <c r="H274" s="32"/>
      <c r="I274" s="44"/>
    </row>
    <row r="275" spans="1:9" ht="15" thickBot="1" x14ac:dyDescent="0.35">
      <c r="A275" s="52"/>
      <c r="B275" s="32"/>
      <c r="C275" s="32"/>
      <c r="D275" s="32"/>
      <c r="E275" s="33"/>
      <c r="F275" s="32"/>
      <c r="G275" s="34"/>
      <c r="H275" s="32"/>
      <c r="I275" s="44"/>
    </row>
    <row r="276" spans="1:9" ht="15" thickBot="1" x14ac:dyDescent="0.35">
      <c r="A276" s="52"/>
      <c r="B276" s="32"/>
      <c r="C276" s="32"/>
      <c r="D276" s="32"/>
      <c r="E276" s="33"/>
      <c r="F276" s="32"/>
      <c r="G276" s="34"/>
      <c r="H276" s="32"/>
      <c r="I276" s="44"/>
    </row>
    <row r="277" spans="1:9" ht="15" thickBot="1" x14ac:dyDescent="0.35">
      <c r="A277" s="52"/>
      <c r="B277" s="32"/>
      <c r="C277" s="32"/>
      <c r="D277" s="32"/>
      <c r="E277" s="33"/>
      <c r="F277" s="32"/>
      <c r="G277" s="34"/>
      <c r="H277" s="32"/>
      <c r="I277" s="44"/>
    </row>
    <row r="278" spans="1:9" ht="15" thickBot="1" x14ac:dyDescent="0.35">
      <c r="A278" s="52"/>
      <c r="B278" s="32"/>
      <c r="C278" s="32"/>
      <c r="D278" s="32"/>
      <c r="E278" s="33"/>
      <c r="F278" s="32"/>
      <c r="G278" s="34"/>
      <c r="H278" s="32"/>
      <c r="I278" s="44"/>
    </row>
    <row r="279" spans="1:9" ht="15" thickBot="1" x14ac:dyDescent="0.35">
      <c r="A279" s="52"/>
      <c r="B279" s="32"/>
      <c r="C279" s="32"/>
      <c r="D279" s="32"/>
      <c r="E279" s="33"/>
      <c r="F279" s="32"/>
      <c r="G279" s="34"/>
      <c r="H279" s="32"/>
      <c r="I279" s="44"/>
    </row>
    <row r="280" spans="1:9" ht="15" thickBot="1" x14ac:dyDescent="0.35">
      <c r="A280" s="49"/>
      <c r="B280" s="32"/>
      <c r="C280" s="32"/>
      <c r="D280" s="32"/>
      <c r="E280" s="33"/>
      <c r="F280" s="33"/>
      <c r="G280" s="34"/>
      <c r="H280" s="32"/>
      <c r="I280" s="44"/>
    </row>
    <row r="281" spans="1:9" ht="15" thickBot="1" x14ac:dyDescent="0.35">
      <c r="A281" s="49"/>
      <c r="B281" s="32"/>
      <c r="C281" s="32"/>
      <c r="D281" s="32"/>
      <c r="E281" s="33"/>
      <c r="F281" s="32"/>
      <c r="G281" s="34"/>
      <c r="H281" s="32"/>
      <c r="I281" s="44"/>
    </row>
    <row r="282" spans="1:9" ht="15" thickBot="1" x14ac:dyDescent="0.35">
      <c r="A282" s="49"/>
      <c r="B282" s="32"/>
      <c r="C282" s="32"/>
      <c r="D282" s="32"/>
      <c r="E282" s="33"/>
      <c r="F282" s="32"/>
      <c r="G282" s="34"/>
      <c r="H282" s="32"/>
      <c r="I282" s="44"/>
    </row>
    <row r="283" spans="1:9" ht="15" thickBot="1" x14ac:dyDescent="0.35">
      <c r="A283" s="49"/>
      <c r="B283" s="32"/>
      <c r="C283" s="32"/>
      <c r="D283" s="32"/>
      <c r="E283" s="33"/>
      <c r="F283" s="32"/>
      <c r="G283" s="34"/>
      <c r="H283" s="32"/>
      <c r="I283" s="44"/>
    </row>
    <row r="284" spans="1:9" ht="15" thickBot="1" x14ac:dyDescent="0.35">
      <c r="A284" s="49"/>
      <c r="B284" s="32"/>
      <c r="C284" s="32"/>
      <c r="D284" s="32"/>
      <c r="E284" s="33"/>
      <c r="F284" s="32"/>
      <c r="G284" s="34"/>
      <c r="H284" s="32"/>
      <c r="I284" s="44"/>
    </row>
    <row r="285" spans="1:9" ht="15" thickBot="1" x14ac:dyDescent="0.35">
      <c r="A285" s="49"/>
      <c r="B285" s="32"/>
      <c r="C285" s="32"/>
      <c r="D285" s="32"/>
      <c r="E285" s="33"/>
      <c r="F285" s="32"/>
      <c r="G285" s="34"/>
      <c r="H285" s="32"/>
      <c r="I285" s="44"/>
    </row>
    <row r="286" spans="1:9" ht="15" thickBot="1" x14ac:dyDescent="0.35">
      <c r="A286" s="49"/>
      <c r="B286" s="32"/>
      <c r="C286" s="32"/>
      <c r="D286" s="32"/>
      <c r="E286" s="33"/>
      <c r="F286" s="32"/>
      <c r="G286" s="34"/>
      <c r="H286" s="32"/>
      <c r="I286" s="44"/>
    </row>
    <row r="287" spans="1:9" x14ac:dyDescent="0.3">
      <c r="A287" s="53"/>
      <c r="B287" s="39"/>
      <c r="C287" s="39"/>
      <c r="D287" s="39"/>
      <c r="E287" s="40"/>
      <c r="F287" s="39"/>
      <c r="G287" s="41"/>
      <c r="H287" s="39"/>
      <c r="I287" s="46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Q5482"/>
  <sheetViews>
    <sheetView tabSelected="1" zoomScale="70" zoomScaleNormal="70" workbookViewId="0">
      <selection activeCell="F4" sqref="F4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11.21875" bestFit="1" customWidth="1"/>
    <col min="17" max="17" width="19.5546875" bestFit="1" customWidth="1"/>
  </cols>
  <sheetData>
    <row r="1" spans="1:17" x14ac:dyDescent="0.3">
      <c r="A1" s="17" t="s">
        <v>0</v>
      </c>
      <c r="B1" t="s">
        <v>206</v>
      </c>
      <c r="C1" s="17" t="s">
        <v>3</v>
      </c>
      <c r="D1" s="17" t="s">
        <v>4</v>
      </c>
      <c r="E1" s="17" t="s">
        <v>6</v>
      </c>
      <c r="F1" s="17" t="s">
        <v>2</v>
      </c>
      <c r="G1" s="22" t="s">
        <v>7</v>
      </c>
      <c r="H1" s="48" t="s">
        <v>207</v>
      </c>
      <c r="I1" t="s">
        <v>211</v>
      </c>
      <c r="J1" s="17" t="s">
        <v>208</v>
      </c>
      <c r="K1" t="s">
        <v>1</v>
      </c>
      <c r="L1" t="s">
        <v>210</v>
      </c>
      <c r="M1" t="s">
        <v>213</v>
      </c>
      <c r="N1" t="s">
        <v>214</v>
      </c>
      <c r="O1" s="17" t="s">
        <v>212</v>
      </c>
      <c r="P1" t="s">
        <v>299</v>
      </c>
      <c r="Q1" t="s">
        <v>300</v>
      </c>
    </row>
    <row r="2" spans="1:17" x14ac:dyDescent="0.3">
      <c r="A2" s="1">
        <v>46036</v>
      </c>
      <c r="B2" t="s">
        <v>218</v>
      </c>
      <c r="C2" t="s">
        <v>14</v>
      </c>
      <c r="D2" t="s">
        <v>15</v>
      </c>
      <c r="E2" t="s">
        <v>8</v>
      </c>
      <c r="F2" t="s">
        <v>10</v>
      </c>
      <c r="G2" s="16">
        <v>5485.66</v>
      </c>
      <c r="H2" s="16">
        <v>6308.509</v>
      </c>
      <c r="J2">
        <v>223</v>
      </c>
      <c r="K2" t="s">
        <v>13</v>
      </c>
      <c r="M2">
        <v>0</v>
      </c>
      <c r="N2">
        <v>551</v>
      </c>
      <c r="O2" t="s">
        <v>216</v>
      </c>
      <c r="P2" s="17"/>
      <c r="Q2" s="17" t="str">
        <f>_xlfn.XLOOKUP(Table2[[#This Row],[buyFromVendorNo]],'Next Day Scheduled'!A:A,'Pending Returns'!O:O,"NOT_FOUND")</f>
        <v>NOT_FOUND</v>
      </c>
    </row>
    <row r="3" spans="1:17" x14ac:dyDescent="0.3">
      <c r="A3" s="1">
        <v>46037</v>
      </c>
      <c r="B3" t="s">
        <v>607</v>
      </c>
      <c r="C3" t="s">
        <v>14</v>
      </c>
      <c r="D3" t="s">
        <v>15</v>
      </c>
      <c r="E3" t="s">
        <v>8</v>
      </c>
      <c r="F3" t="s">
        <v>10</v>
      </c>
      <c r="G3" s="16">
        <v>6981.59</v>
      </c>
      <c r="H3" s="16">
        <v>8028.8285999999998</v>
      </c>
      <c r="J3">
        <v>222</v>
      </c>
      <c r="K3" t="s">
        <v>21</v>
      </c>
      <c r="M3">
        <v>0</v>
      </c>
      <c r="N3">
        <v>551</v>
      </c>
      <c r="O3" t="s">
        <v>216</v>
      </c>
      <c r="P3" s="17"/>
      <c r="Q3" s="17" t="str">
        <f>_xlfn.XLOOKUP(Table2[[#This Row],[buyFromVendorNo]],'Next Day Scheduled'!A:A,'Pending Returns'!O:O,"NOT_FOUND")</f>
        <v>NOT_FOUND</v>
      </c>
    </row>
    <row r="4" spans="1:17" x14ac:dyDescent="0.3">
      <c r="A4" s="1">
        <v>46040</v>
      </c>
      <c r="B4" t="s">
        <v>1033</v>
      </c>
      <c r="C4" t="s">
        <v>935</v>
      </c>
      <c r="D4" t="s">
        <v>936</v>
      </c>
      <c r="E4" t="s">
        <v>8</v>
      </c>
      <c r="F4" t="s">
        <v>10</v>
      </c>
      <c r="G4" s="16">
        <v>30630.75</v>
      </c>
      <c r="H4" s="16">
        <v>35225.362999999998</v>
      </c>
      <c r="I4" s="1">
        <v>46040</v>
      </c>
      <c r="J4">
        <v>219</v>
      </c>
      <c r="K4" t="s">
        <v>1034</v>
      </c>
      <c r="L4" t="s">
        <v>1035</v>
      </c>
      <c r="M4">
        <v>32</v>
      </c>
      <c r="N4">
        <v>6</v>
      </c>
      <c r="O4" t="s">
        <v>1036</v>
      </c>
      <c r="P4" s="17"/>
      <c r="Q4" s="17" t="str">
        <f>_xlfn.XLOOKUP(Table2[[#This Row],[buyFromVendorNo]],'Next Day Scheduled'!A:A,'Pending Returns'!O:O,"NOT_FOUND")</f>
        <v>NOT_FOUND</v>
      </c>
    </row>
    <row r="5" spans="1:17" x14ac:dyDescent="0.3">
      <c r="A5" s="1">
        <v>46041</v>
      </c>
      <c r="B5" t="s">
        <v>1033</v>
      </c>
      <c r="C5" t="s">
        <v>566</v>
      </c>
      <c r="D5" t="s">
        <v>590</v>
      </c>
      <c r="E5" t="s">
        <v>8</v>
      </c>
      <c r="F5" t="s">
        <v>10</v>
      </c>
      <c r="G5" s="16">
        <v>9389.9210000000003</v>
      </c>
      <c r="H5" s="16">
        <v>10798.407999999999</v>
      </c>
      <c r="I5" s="1">
        <v>46041</v>
      </c>
      <c r="J5">
        <v>218</v>
      </c>
      <c r="K5" t="s">
        <v>1037</v>
      </c>
      <c r="L5" t="s">
        <v>1038</v>
      </c>
      <c r="M5">
        <v>32</v>
      </c>
      <c r="N5">
        <v>1</v>
      </c>
      <c r="O5" t="s">
        <v>1036</v>
      </c>
      <c r="P5" s="17"/>
      <c r="Q5" s="17" t="str">
        <f>_xlfn.XLOOKUP(Table2[[#This Row],[buyFromVendorNo]],'Next Day Scheduled'!A:A,'Pending Returns'!O:O,"NOT_FOUND")</f>
        <v>NOT_FOUND</v>
      </c>
    </row>
    <row r="6" spans="1:17" x14ac:dyDescent="0.3">
      <c r="A6" s="1">
        <v>46043</v>
      </c>
      <c r="B6" t="s">
        <v>1039</v>
      </c>
      <c r="C6" t="s">
        <v>43</v>
      </c>
      <c r="D6" t="s">
        <v>44</v>
      </c>
      <c r="E6" t="s">
        <v>8</v>
      </c>
      <c r="F6" t="s">
        <v>10</v>
      </c>
      <c r="G6" s="16">
        <v>7510.55</v>
      </c>
      <c r="H6" s="16">
        <v>8637.1329999999998</v>
      </c>
      <c r="I6" s="1">
        <v>46043</v>
      </c>
      <c r="J6">
        <v>216</v>
      </c>
      <c r="K6" t="s">
        <v>1040</v>
      </c>
      <c r="L6" t="s">
        <v>1041</v>
      </c>
      <c r="M6">
        <v>46</v>
      </c>
      <c r="N6">
        <v>2</v>
      </c>
      <c r="O6" t="s">
        <v>1036</v>
      </c>
      <c r="P6" s="17"/>
      <c r="Q6" s="17" t="str">
        <f>_xlfn.XLOOKUP(Table2[[#This Row],[buyFromVendorNo]],'Next Day Scheduled'!A:A,'Pending Returns'!O:O,"NOT_FOUND")</f>
        <v>Posted Credit Note</v>
      </c>
    </row>
    <row r="7" spans="1:17" x14ac:dyDescent="0.3">
      <c r="A7" s="1">
        <v>46053</v>
      </c>
      <c r="B7" t="s">
        <v>1045</v>
      </c>
      <c r="C7" t="s">
        <v>133</v>
      </c>
      <c r="D7" t="s">
        <v>134</v>
      </c>
      <c r="E7" t="s">
        <v>8</v>
      </c>
      <c r="F7" t="s">
        <v>10</v>
      </c>
      <c r="G7" s="16">
        <v>2970.2959999999998</v>
      </c>
      <c r="H7" s="16">
        <v>3415.8402999999998</v>
      </c>
      <c r="I7" s="1">
        <v>46053</v>
      </c>
      <c r="J7">
        <v>206</v>
      </c>
      <c r="K7" t="s">
        <v>1046</v>
      </c>
      <c r="L7" t="s">
        <v>1047</v>
      </c>
      <c r="M7">
        <v>26</v>
      </c>
      <c r="N7">
        <v>12</v>
      </c>
      <c r="O7" t="s">
        <v>1036</v>
      </c>
      <c r="P7" s="17"/>
      <c r="Q7" s="17" t="str">
        <f>_xlfn.XLOOKUP(Table2[[#This Row],[buyFromVendorNo]],'Next Day Scheduled'!A:A,'Pending Returns'!O:O,"NOT_FOUND")</f>
        <v>NOT_FOUND</v>
      </c>
    </row>
    <row r="8" spans="1:17" x14ac:dyDescent="0.3">
      <c r="A8" s="1">
        <v>46053</v>
      </c>
      <c r="B8" t="s">
        <v>1042</v>
      </c>
      <c r="C8" t="s">
        <v>36</v>
      </c>
      <c r="D8" t="s">
        <v>37</v>
      </c>
      <c r="E8" t="s">
        <v>8</v>
      </c>
      <c r="F8" t="s">
        <v>10</v>
      </c>
      <c r="G8" s="16">
        <v>6068.28</v>
      </c>
      <c r="H8" s="16">
        <v>6978.5219999999999</v>
      </c>
      <c r="I8" s="1">
        <v>46053</v>
      </c>
      <c r="J8">
        <v>206</v>
      </c>
      <c r="K8" t="s">
        <v>1043</v>
      </c>
      <c r="L8" t="s">
        <v>1044</v>
      </c>
      <c r="M8">
        <v>40</v>
      </c>
      <c r="N8">
        <v>3</v>
      </c>
      <c r="O8" t="s">
        <v>1036</v>
      </c>
      <c r="P8" s="17"/>
      <c r="Q8" s="17" t="str">
        <f>_xlfn.XLOOKUP(Table2[[#This Row],[buyFromVendorNo]],'Next Day Scheduled'!A:A,'Pending Returns'!O:O,"NOT_FOUND")</f>
        <v>NOT_FOUND</v>
      </c>
    </row>
    <row r="9" spans="1:17" x14ac:dyDescent="0.3">
      <c r="A9" s="1">
        <v>46053</v>
      </c>
      <c r="B9" t="s">
        <v>1045</v>
      </c>
      <c r="C9" t="s">
        <v>133</v>
      </c>
      <c r="D9" t="s">
        <v>134</v>
      </c>
      <c r="E9" t="s">
        <v>8</v>
      </c>
      <c r="F9" t="s">
        <v>10</v>
      </c>
      <c r="G9" s="16">
        <v>8228.9529999999995</v>
      </c>
      <c r="H9" s="16">
        <v>9463.2960000000003</v>
      </c>
      <c r="I9" s="1">
        <v>46053</v>
      </c>
      <c r="J9">
        <v>206</v>
      </c>
      <c r="K9" t="s">
        <v>1048</v>
      </c>
      <c r="L9" t="s">
        <v>1049</v>
      </c>
      <c r="M9">
        <v>26</v>
      </c>
      <c r="N9">
        <v>12</v>
      </c>
      <c r="O9" t="s">
        <v>1036</v>
      </c>
      <c r="P9" s="17"/>
      <c r="Q9" s="17" t="str">
        <f>_xlfn.XLOOKUP(Table2[[#This Row],[buyFromVendorNo]],'Next Day Scheduled'!A:A,'Pending Returns'!O:O,"NOT_FOUND")</f>
        <v>NOT_FOUND</v>
      </c>
    </row>
    <row r="10" spans="1:17" x14ac:dyDescent="0.3">
      <c r="A10" s="1">
        <v>46056</v>
      </c>
      <c r="B10" t="s">
        <v>1050</v>
      </c>
      <c r="C10" t="s">
        <v>71</v>
      </c>
      <c r="D10" t="s">
        <v>72</v>
      </c>
      <c r="E10" t="s">
        <v>8</v>
      </c>
      <c r="F10" t="s">
        <v>10</v>
      </c>
      <c r="G10" s="16">
        <v>26798.35</v>
      </c>
      <c r="H10" s="16">
        <v>30818.103999999999</v>
      </c>
      <c r="I10" s="1">
        <v>46056</v>
      </c>
      <c r="J10">
        <v>203</v>
      </c>
      <c r="K10" t="s">
        <v>1051</v>
      </c>
      <c r="L10" t="s">
        <v>1052</v>
      </c>
      <c r="M10">
        <v>27</v>
      </c>
      <c r="N10">
        <v>8</v>
      </c>
      <c r="O10" t="s">
        <v>1036</v>
      </c>
      <c r="P10" s="17"/>
      <c r="Q10" s="17" t="str">
        <f>_xlfn.XLOOKUP(Table2[[#This Row],[buyFromVendorNo]],'Next Day Scheduled'!A:A,'Pending Returns'!O:O,"NOT_FOUND")</f>
        <v>Posted Credit Note</v>
      </c>
    </row>
    <row r="11" spans="1:17" x14ac:dyDescent="0.3">
      <c r="A11" s="1">
        <v>46062</v>
      </c>
      <c r="B11" t="s">
        <v>1056</v>
      </c>
      <c r="C11" t="s">
        <v>65</v>
      </c>
      <c r="D11" t="s">
        <v>66</v>
      </c>
      <c r="E11" t="s">
        <v>8</v>
      </c>
      <c r="F11" t="s">
        <v>10</v>
      </c>
      <c r="G11" s="16">
        <v>2840.53</v>
      </c>
      <c r="H11" s="16">
        <v>3266.6095999999998</v>
      </c>
      <c r="I11" s="1">
        <v>46062</v>
      </c>
      <c r="J11">
        <v>197</v>
      </c>
      <c r="K11" t="s">
        <v>1057</v>
      </c>
      <c r="L11" t="s">
        <v>1058</v>
      </c>
      <c r="M11">
        <v>55</v>
      </c>
      <c r="N11">
        <v>5</v>
      </c>
      <c r="O11" t="s">
        <v>1036</v>
      </c>
      <c r="P11" s="17"/>
      <c r="Q11" s="17" t="str">
        <f>_xlfn.XLOOKUP(Table2[[#This Row],[buyFromVendorNo]],'Next Day Scheduled'!A:A,'Pending Returns'!O:O,"NOT_FOUND")</f>
        <v>Posted Credit Note</v>
      </c>
    </row>
    <row r="12" spans="1:17" x14ac:dyDescent="0.3">
      <c r="A12" s="1">
        <v>46062</v>
      </c>
      <c r="B12" t="s">
        <v>1053</v>
      </c>
      <c r="C12" t="s">
        <v>65</v>
      </c>
      <c r="D12" t="s">
        <v>66</v>
      </c>
      <c r="E12" t="s">
        <v>8</v>
      </c>
      <c r="F12" t="s">
        <v>10</v>
      </c>
      <c r="G12" s="16">
        <v>6114.2875999999997</v>
      </c>
      <c r="H12" s="16">
        <v>7031.4306999999999</v>
      </c>
      <c r="I12" s="1">
        <v>46062</v>
      </c>
      <c r="J12">
        <v>197</v>
      </c>
      <c r="K12" t="s">
        <v>1054</v>
      </c>
      <c r="L12" t="s">
        <v>1055</v>
      </c>
      <c r="M12">
        <v>55</v>
      </c>
      <c r="N12">
        <v>5</v>
      </c>
      <c r="O12" t="s">
        <v>1036</v>
      </c>
      <c r="P12" s="17"/>
      <c r="Q12" s="17" t="str">
        <f>_xlfn.XLOOKUP(Table2[[#This Row],[buyFromVendorNo]],'Next Day Scheduled'!A:A,'Pending Returns'!O:O,"NOT_FOUND")</f>
        <v>Posted Credit Note</v>
      </c>
    </row>
    <row r="13" spans="1:17" x14ac:dyDescent="0.3">
      <c r="A13" s="1">
        <v>46064</v>
      </c>
      <c r="B13" t="s">
        <v>1059</v>
      </c>
      <c r="C13" t="s">
        <v>1018</v>
      </c>
      <c r="D13" t="s">
        <v>1019</v>
      </c>
      <c r="E13" t="s">
        <v>8</v>
      </c>
      <c r="F13" t="s">
        <v>10</v>
      </c>
      <c r="G13" s="16">
        <v>23918.405999999999</v>
      </c>
      <c r="H13" s="16">
        <v>27506.166000000001</v>
      </c>
      <c r="I13" s="1">
        <v>46064</v>
      </c>
      <c r="J13">
        <v>195</v>
      </c>
      <c r="K13" t="s">
        <v>1060</v>
      </c>
      <c r="L13" t="s">
        <v>1061</v>
      </c>
      <c r="M13">
        <v>28</v>
      </c>
      <c r="N13">
        <v>3</v>
      </c>
      <c r="O13" t="s">
        <v>1036</v>
      </c>
      <c r="P13" s="17"/>
      <c r="Q13" s="17" t="str">
        <f>_xlfn.XLOOKUP(Table2[[#This Row],[buyFromVendorNo]],'Next Day Scheduled'!A:A,'Pending Returns'!O:O,"NOT_FOUND")</f>
        <v>NOT_FOUND</v>
      </c>
    </row>
    <row r="14" spans="1:17" x14ac:dyDescent="0.3">
      <c r="A14" s="1">
        <v>46075</v>
      </c>
      <c r="B14" t="s">
        <v>1053</v>
      </c>
      <c r="C14" t="s">
        <v>470</v>
      </c>
      <c r="D14" t="s">
        <v>471</v>
      </c>
      <c r="E14" t="s">
        <v>8</v>
      </c>
      <c r="F14" t="s">
        <v>10</v>
      </c>
      <c r="G14" s="16">
        <v>88892.164000000004</v>
      </c>
      <c r="H14" s="16">
        <v>102225.99</v>
      </c>
      <c r="I14" s="1">
        <v>46070</v>
      </c>
      <c r="J14">
        <v>184</v>
      </c>
      <c r="K14" t="s">
        <v>1062</v>
      </c>
      <c r="L14" t="s">
        <v>1063</v>
      </c>
      <c r="M14">
        <v>26</v>
      </c>
      <c r="N14">
        <v>6</v>
      </c>
      <c r="O14" t="s">
        <v>1036</v>
      </c>
      <c r="P14" s="17"/>
      <c r="Q14" s="17" t="str">
        <f>_xlfn.XLOOKUP(Table2[[#This Row],[buyFromVendorNo]],'Next Day Scheduled'!A:A,'Pending Returns'!O:O,"NOT_FOUND")</f>
        <v>NOT_FOUND</v>
      </c>
    </row>
    <row r="15" spans="1:17" x14ac:dyDescent="0.3">
      <c r="A15" s="1">
        <v>46079</v>
      </c>
      <c r="B15" t="s">
        <v>1064</v>
      </c>
      <c r="C15" t="s">
        <v>45</v>
      </c>
      <c r="D15" t="s">
        <v>46</v>
      </c>
      <c r="E15" t="s">
        <v>8</v>
      </c>
      <c r="F15" t="s">
        <v>10</v>
      </c>
      <c r="G15" s="16">
        <v>76813.63</v>
      </c>
      <c r="H15" s="16">
        <v>88335.679999999993</v>
      </c>
      <c r="I15" s="1">
        <v>46079</v>
      </c>
      <c r="J15">
        <v>180</v>
      </c>
      <c r="K15" t="s">
        <v>1065</v>
      </c>
      <c r="L15" t="s">
        <v>1066</v>
      </c>
      <c r="M15">
        <v>10</v>
      </c>
      <c r="N15">
        <v>37</v>
      </c>
      <c r="O15" t="s">
        <v>1036</v>
      </c>
      <c r="P15" s="17"/>
      <c r="Q15" s="17" t="str">
        <f>_xlfn.XLOOKUP(Table2[[#This Row],[buyFromVendorNo]],'Next Day Scheduled'!A:A,'Pending Returns'!O:O,"NOT_FOUND")</f>
        <v>NOT_FOUND</v>
      </c>
    </row>
    <row r="16" spans="1:17" x14ac:dyDescent="0.3">
      <c r="A16" s="1">
        <v>46088</v>
      </c>
      <c r="B16" t="s">
        <v>220</v>
      </c>
      <c r="C16" t="s">
        <v>633</v>
      </c>
      <c r="D16" t="s">
        <v>690</v>
      </c>
      <c r="E16" t="s">
        <v>8</v>
      </c>
      <c r="F16" t="s">
        <v>10</v>
      </c>
      <c r="G16" s="16">
        <v>15299.832</v>
      </c>
      <c r="H16" s="16">
        <v>17594.807000000001</v>
      </c>
      <c r="I16" s="1">
        <v>46111</v>
      </c>
      <c r="J16">
        <v>171</v>
      </c>
      <c r="K16" t="s">
        <v>1067</v>
      </c>
      <c r="L16" t="s">
        <v>1068</v>
      </c>
      <c r="M16">
        <v>24</v>
      </c>
      <c r="N16">
        <v>6</v>
      </c>
      <c r="O16" t="s">
        <v>1036</v>
      </c>
      <c r="P16" s="17"/>
      <c r="Q16" s="17" t="str">
        <f>_xlfn.XLOOKUP(Table2[[#This Row],[buyFromVendorNo]],'Next Day Scheduled'!A:A,'Pending Returns'!O:O,"NOT_FOUND")</f>
        <v>NOT_FOUND</v>
      </c>
    </row>
    <row r="17" spans="1:17" x14ac:dyDescent="0.3">
      <c r="A17" s="1">
        <v>46089</v>
      </c>
      <c r="B17" t="s">
        <v>1080</v>
      </c>
      <c r="C17" t="s">
        <v>65</v>
      </c>
      <c r="D17" t="s">
        <v>66</v>
      </c>
      <c r="E17" t="s">
        <v>8</v>
      </c>
      <c r="F17" t="s">
        <v>10</v>
      </c>
      <c r="G17" s="16">
        <v>5912.1562000000004</v>
      </c>
      <c r="H17" s="16">
        <v>6798.98</v>
      </c>
      <c r="I17" s="1">
        <v>46070</v>
      </c>
      <c r="J17">
        <v>170</v>
      </c>
      <c r="K17" t="s">
        <v>1081</v>
      </c>
      <c r="L17" t="s">
        <v>1082</v>
      </c>
      <c r="M17">
        <v>47</v>
      </c>
      <c r="N17">
        <v>5</v>
      </c>
      <c r="O17" t="s">
        <v>1036</v>
      </c>
      <c r="P17" s="17"/>
      <c r="Q17" s="17" t="str">
        <f>_xlfn.XLOOKUP(Table2[[#This Row],[buyFromVendorNo]],'Next Day Scheduled'!A:A,'Pending Returns'!O:O,"NOT_FOUND")</f>
        <v>Posted Credit Note</v>
      </c>
    </row>
    <row r="18" spans="1:17" x14ac:dyDescent="0.3">
      <c r="A18" s="1">
        <v>46089</v>
      </c>
      <c r="B18" t="s">
        <v>1069</v>
      </c>
      <c r="C18" t="s">
        <v>321</v>
      </c>
      <c r="D18" t="s">
        <v>322</v>
      </c>
      <c r="E18" t="s">
        <v>8</v>
      </c>
      <c r="F18" t="s">
        <v>10</v>
      </c>
      <c r="G18" s="16">
        <v>21414.338</v>
      </c>
      <c r="H18" s="16">
        <v>24626.488000000001</v>
      </c>
      <c r="I18" s="1">
        <v>46070</v>
      </c>
      <c r="J18">
        <v>170</v>
      </c>
      <c r="K18" t="s">
        <v>1070</v>
      </c>
      <c r="L18" t="s">
        <v>1071</v>
      </c>
      <c r="M18">
        <v>24</v>
      </c>
      <c r="N18">
        <v>5</v>
      </c>
      <c r="O18" t="s">
        <v>1036</v>
      </c>
      <c r="P18" s="17"/>
      <c r="Q18" s="17" t="str">
        <f>_xlfn.XLOOKUP(Table2[[#This Row],[buyFromVendorNo]],'Next Day Scheduled'!A:A,'Pending Returns'!O:O,"NOT_FOUND")</f>
        <v>NOT_FOUND</v>
      </c>
    </row>
    <row r="19" spans="1:17" x14ac:dyDescent="0.3">
      <c r="A19" s="1">
        <v>46089</v>
      </c>
      <c r="B19" t="s">
        <v>1072</v>
      </c>
      <c r="C19" t="s">
        <v>65</v>
      </c>
      <c r="D19" t="s">
        <v>66</v>
      </c>
      <c r="E19" t="s">
        <v>8</v>
      </c>
      <c r="F19" t="s">
        <v>10</v>
      </c>
      <c r="G19" s="16">
        <v>5857.9766</v>
      </c>
      <c r="H19" s="16">
        <v>6736.6729999999998</v>
      </c>
      <c r="I19" s="1">
        <v>46070</v>
      </c>
      <c r="J19">
        <v>170</v>
      </c>
      <c r="K19" t="s">
        <v>1073</v>
      </c>
      <c r="L19" t="s">
        <v>1074</v>
      </c>
      <c r="M19">
        <v>47</v>
      </c>
      <c r="N19">
        <v>5</v>
      </c>
      <c r="O19" t="s">
        <v>1036</v>
      </c>
      <c r="P19" s="17"/>
      <c r="Q19" s="17" t="str">
        <f>_xlfn.XLOOKUP(Table2[[#This Row],[buyFromVendorNo]],'Next Day Scheduled'!A:A,'Pending Returns'!O:O,"NOT_FOUND")</f>
        <v>Posted Credit Note</v>
      </c>
    </row>
    <row r="20" spans="1:17" x14ac:dyDescent="0.3">
      <c r="A20" s="1">
        <v>46089</v>
      </c>
      <c r="B20" t="s">
        <v>1077</v>
      </c>
      <c r="C20" t="s">
        <v>181</v>
      </c>
      <c r="D20" t="s">
        <v>182</v>
      </c>
      <c r="E20" t="s">
        <v>8</v>
      </c>
      <c r="F20" t="s">
        <v>10</v>
      </c>
      <c r="G20" s="16">
        <v>8719.8330000000005</v>
      </c>
      <c r="H20" s="16">
        <v>10027.808000000001</v>
      </c>
      <c r="I20" s="1">
        <v>46070</v>
      </c>
      <c r="J20">
        <v>170</v>
      </c>
      <c r="K20" t="s">
        <v>1078</v>
      </c>
      <c r="L20" t="s">
        <v>1079</v>
      </c>
      <c r="M20">
        <v>32</v>
      </c>
      <c r="N20">
        <v>2</v>
      </c>
      <c r="O20" t="s">
        <v>1036</v>
      </c>
      <c r="P20" s="17"/>
      <c r="Q20" s="17" t="str">
        <f>_xlfn.XLOOKUP(Table2[[#This Row],[buyFromVendorNo]],'Next Day Scheduled'!A:A,'Pending Returns'!O:O,"NOT_FOUND")</f>
        <v>NOT_FOUND</v>
      </c>
    </row>
    <row r="21" spans="1:17" x14ac:dyDescent="0.3">
      <c r="A21" s="1">
        <v>46089</v>
      </c>
      <c r="B21" t="s">
        <v>1072</v>
      </c>
      <c r="C21" t="s">
        <v>65</v>
      </c>
      <c r="D21" t="s">
        <v>66</v>
      </c>
      <c r="E21" t="s">
        <v>8</v>
      </c>
      <c r="F21" t="s">
        <v>10</v>
      </c>
      <c r="G21" s="16">
        <v>5023.7573000000002</v>
      </c>
      <c r="H21" s="16">
        <v>5777.3209999999999</v>
      </c>
      <c r="I21" s="1">
        <v>46070</v>
      </c>
      <c r="J21">
        <v>170</v>
      </c>
      <c r="K21" t="s">
        <v>1075</v>
      </c>
      <c r="L21" t="s">
        <v>1076</v>
      </c>
      <c r="M21">
        <v>47</v>
      </c>
      <c r="N21">
        <v>5</v>
      </c>
      <c r="O21" t="s">
        <v>1036</v>
      </c>
      <c r="P21" s="17"/>
      <c r="Q21" s="17" t="str">
        <f>_xlfn.XLOOKUP(Table2[[#This Row],[buyFromVendorNo]],'Next Day Scheduled'!A:A,'Pending Returns'!O:O,"NOT_FOUND")</f>
        <v>Posted Credit Note</v>
      </c>
    </row>
    <row r="22" spans="1:17" x14ac:dyDescent="0.3">
      <c r="A22" s="1">
        <v>46089</v>
      </c>
      <c r="B22" t="s">
        <v>1083</v>
      </c>
      <c r="C22" t="s">
        <v>1022</v>
      </c>
      <c r="D22" t="s">
        <v>1023</v>
      </c>
      <c r="E22" t="s">
        <v>8</v>
      </c>
      <c r="F22" t="s">
        <v>10</v>
      </c>
      <c r="G22" s="16">
        <v>21373.14</v>
      </c>
      <c r="H22" s="16">
        <v>24579.111000000001</v>
      </c>
      <c r="I22" s="1">
        <v>46070</v>
      </c>
      <c r="J22">
        <v>170</v>
      </c>
      <c r="K22" t="s">
        <v>1084</v>
      </c>
      <c r="L22" t="s">
        <v>1085</v>
      </c>
      <c r="M22">
        <v>15</v>
      </c>
      <c r="N22">
        <v>5</v>
      </c>
      <c r="O22" t="s">
        <v>1036</v>
      </c>
      <c r="P22" s="17"/>
      <c r="Q22" s="17" t="str">
        <f>_xlfn.XLOOKUP(Table2[[#This Row],[buyFromVendorNo]],'Next Day Scheduled'!A:A,'Pending Returns'!O:O,"NOT_FOUND")</f>
        <v>Posted Credit Note</v>
      </c>
    </row>
    <row r="23" spans="1:17" x14ac:dyDescent="0.3">
      <c r="A23" s="1">
        <v>46090</v>
      </c>
      <c r="B23" t="s">
        <v>1086</v>
      </c>
      <c r="C23" t="s">
        <v>562</v>
      </c>
      <c r="D23" t="s">
        <v>563</v>
      </c>
      <c r="E23" t="s">
        <v>8</v>
      </c>
      <c r="F23" t="s">
        <v>10</v>
      </c>
      <c r="G23" s="16">
        <v>3723.85</v>
      </c>
      <c r="H23" s="16">
        <v>4282.4277000000002</v>
      </c>
      <c r="I23" s="1">
        <v>46070</v>
      </c>
      <c r="J23">
        <v>169</v>
      </c>
      <c r="K23" t="s">
        <v>1087</v>
      </c>
      <c r="L23" t="s">
        <v>1088</v>
      </c>
      <c r="M23">
        <v>34</v>
      </c>
      <c r="N23">
        <v>1</v>
      </c>
      <c r="O23" t="s">
        <v>1036</v>
      </c>
      <c r="P23" s="17"/>
      <c r="Q23" s="17" t="str">
        <f>_xlfn.XLOOKUP(Table2[[#This Row],[buyFromVendorNo]],'Next Day Scheduled'!A:A,'Pending Returns'!O:O,"NOT_FOUND")</f>
        <v>NOT_FOUND</v>
      </c>
    </row>
    <row r="24" spans="1:17" x14ac:dyDescent="0.3">
      <c r="A24" s="1">
        <v>46093</v>
      </c>
      <c r="B24" t="s">
        <v>1059</v>
      </c>
      <c r="C24" t="s">
        <v>199</v>
      </c>
      <c r="D24" t="s">
        <v>200</v>
      </c>
      <c r="E24" t="s">
        <v>8</v>
      </c>
      <c r="F24" t="s">
        <v>10</v>
      </c>
      <c r="G24" s="16">
        <v>1215.2</v>
      </c>
      <c r="H24" s="16">
        <v>1397.48</v>
      </c>
      <c r="I24" s="1">
        <v>46070</v>
      </c>
      <c r="J24">
        <v>166</v>
      </c>
      <c r="K24" t="s">
        <v>1089</v>
      </c>
      <c r="L24" t="s">
        <v>1090</v>
      </c>
      <c r="M24">
        <v>23</v>
      </c>
      <c r="N24">
        <v>6</v>
      </c>
      <c r="O24" t="s">
        <v>1036</v>
      </c>
      <c r="P24" s="17"/>
      <c r="Q24" s="17" t="str">
        <f>_xlfn.XLOOKUP(Table2[[#This Row],[buyFromVendorNo]],'Next Day Scheduled'!A:A,'Pending Returns'!O:O,"NOT_FOUND")</f>
        <v>NOT_FOUND</v>
      </c>
    </row>
    <row r="25" spans="1:17" x14ac:dyDescent="0.3">
      <c r="A25" s="1">
        <v>46093</v>
      </c>
      <c r="B25" t="s">
        <v>1093</v>
      </c>
      <c r="C25" t="s">
        <v>199</v>
      </c>
      <c r="D25" t="s">
        <v>200</v>
      </c>
      <c r="E25" t="s">
        <v>8</v>
      </c>
      <c r="F25" t="s">
        <v>10</v>
      </c>
      <c r="G25" s="16">
        <v>967.6</v>
      </c>
      <c r="H25" s="16">
        <v>1112.74</v>
      </c>
      <c r="I25" s="1">
        <v>46070</v>
      </c>
      <c r="J25">
        <v>166</v>
      </c>
      <c r="K25" t="s">
        <v>1094</v>
      </c>
      <c r="L25" t="s">
        <v>1095</v>
      </c>
      <c r="M25">
        <v>23</v>
      </c>
      <c r="N25">
        <v>6</v>
      </c>
      <c r="O25" t="s">
        <v>1036</v>
      </c>
      <c r="P25" s="17"/>
      <c r="Q25" s="17" t="str">
        <f>_xlfn.XLOOKUP(Table2[[#This Row],[buyFromVendorNo]],'Next Day Scheduled'!A:A,'Pending Returns'!O:O,"NOT_FOUND")</f>
        <v>NOT_FOUND</v>
      </c>
    </row>
    <row r="26" spans="1:17" x14ac:dyDescent="0.3">
      <c r="A26" s="1">
        <v>46093</v>
      </c>
      <c r="B26" t="s">
        <v>1069</v>
      </c>
      <c r="C26" t="s">
        <v>199</v>
      </c>
      <c r="D26" t="s">
        <v>200</v>
      </c>
      <c r="E26" t="s">
        <v>8</v>
      </c>
      <c r="F26" t="s">
        <v>10</v>
      </c>
      <c r="G26" s="16">
        <v>929.3</v>
      </c>
      <c r="H26" s="16">
        <v>1068.6949999999999</v>
      </c>
      <c r="I26" s="1">
        <v>46070</v>
      </c>
      <c r="J26">
        <v>166</v>
      </c>
      <c r="K26" t="s">
        <v>1091</v>
      </c>
      <c r="L26" t="s">
        <v>1092</v>
      </c>
      <c r="M26">
        <v>23</v>
      </c>
      <c r="N26">
        <v>6</v>
      </c>
      <c r="O26" t="s">
        <v>1036</v>
      </c>
      <c r="P26" s="17"/>
      <c r="Q26" s="17" t="str">
        <f>_xlfn.XLOOKUP(Table2[[#This Row],[buyFromVendorNo]],'Next Day Scheduled'!A:A,'Pending Returns'!O:O,"NOT_FOUND")</f>
        <v>NOT_FOUND</v>
      </c>
    </row>
    <row r="27" spans="1:17" x14ac:dyDescent="0.3">
      <c r="A27" s="1">
        <v>46096</v>
      </c>
      <c r="B27" t="s">
        <v>1053</v>
      </c>
      <c r="C27" t="s">
        <v>295</v>
      </c>
      <c r="D27" t="s">
        <v>345</v>
      </c>
      <c r="E27" t="s">
        <v>8</v>
      </c>
      <c r="F27" t="s">
        <v>10</v>
      </c>
      <c r="G27" s="16">
        <v>2413.75</v>
      </c>
      <c r="H27" s="16">
        <v>2775.8125</v>
      </c>
      <c r="I27" s="1">
        <v>46070</v>
      </c>
      <c r="J27">
        <v>163</v>
      </c>
      <c r="K27" t="s">
        <v>1096</v>
      </c>
      <c r="L27" t="s">
        <v>1097</v>
      </c>
      <c r="M27">
        <v>61</v>
      </c>
      <c r="N27">
        <v>1</v>
      </c>
      <c r="O27" t="s">
        <v>1036</v>
      </c>
      <c r="P27" s="17"/>
      <c r="Q27" s="17" t="str">
        <f>_xlfn.XLOOKUP(Table2[[#This Row],[buyFromVendorNo]],'Next Day Scheduled'!A:A,'Pending Returns'!O:O,"NOT_FOUND")</f>
        <v>NOT_FOUND</v>
      </c>
    </row>
    <row r="28" spans="1:17" x14ac:dyDescent="0.3">
      <c r="A28" s="1">
        <v>46109</v>
      </c>
      <c r="B28" t="s">
        <v>1098</v>
      </c>
      <c r="C28" t="s">
        <v>1099</v>
      </c>
      <c r="D28" t="s">
        <v>1100</v>
      </c>
      <c r="E28" t="s">
        <v>8</v>
      </c>
      <c r="F28" t="s">
        <v>38</v>
      </c>
      <c r="G28" s="16">
        <v>13189.893</v>
      </c>
      <c r="H28" s="16">
        <v>15168.377</v>
      </c>
      <c r="I28" s="1">
        <v>46107</v>
      </c>
      <c r="J28">
        <v>150</v>
      </c>
      <c r="K28" t="s">
        <v>1101</v>
      </c>
      <c r="L28" t="s">
        <v>1102</v>
      </c>
      <c r="M28">
        <v>17</v>
      </c>
      <c r="N28">
        <v>5</v>
      </c>
      <c r="O28" t="s">
        <v>1036</v>
      </c>
      <c r="P28" s="17"/>
      <c r="Q28" s="17" t="str">
        <f>_xlfn.XLOOKUP(Table2[[#This Row],[buyFromVendorNo]],'Next Day Scheduled'!A:A,'Pending Returns'!O:O,"NOT_FOUND")</f>
        <v>NOT_FOUND</v>
      </c>
    </row>
    <row r="29" spans="1:17" x14ac:dyDescent="0.3">
      <c r="A29" s="1">
        <v>46110</v>
      </c>
      <c r="B29" t="s">
        <v>220</v>
      </c>
      <c r="C29" t="s">
        <v>508</v>
      </c>
      <c r="D29" t="s">
        <v>509</v>
      </c>
      <c r="E29" t="s">
        <v>8</v>
      </c>
      <c r="F29" t="s">
        <v>10</v>
      </c>
      <c r="G29" s="16">
        <v>1726.6670999999999</v>
      </c>
      <c r="H29" s="16">
        <v>1985.6672000000001</v>
      </c>
      <c r="I29" s="1">
        <v>46099</v>
      </c>
      <c r="J29">
        <v>149</v>
      </c>
      <c r="K29" t="s">
        <v>1103</v>
      </c>
      <c r="L29" t="s">
        <v>1104</v>
      </c>
      <c r="M29">
        <v>19</v>
      </c>
      <c r="N29">
        <v>9</v>
      </c>
      <c r="O29" t="s">
        <v>1036</v>
      </c>
      <c r="P29" s="17"/>
      <c r="Q29" s="17" t="str">
        <f>_xlfn.XLOOKUP(Table2[[#This Row],[buyFromVendorNo]],'Next Day Scheduled'!A:A,'Pending Returns'!O:O,"NOT_FOUND")</f>
        <v>Posted Credit Note</v>
      </c>
    </row>
    <row r="30" spans="1:17" x14ac:dyDescent="0.3">
      <c r="A30" s="1">
        <v>46111</v>
      </c>
      <c r="B30" t="s">
        <v>220</v>
      </c>
      <c r="C30" t="s">
        <v>118</v>
      </c>
      <c r="D30" t="s">
        <v>119</v>
      </c>
      <c r="E30" t="s">
        <v>8</v>
      </c>
      <c r="F30" t="s">
        <v>10</v>
      </c>
      <c r="G30" s="16">
        <v>3278.85</v>
      </c>
      <c r="H30" s="16">
        <v>3770.6774999999998</v>
      </c>
      <c r="I30" s="1">
        <v>46110</v>
      </c>
      <c r="J30">
        <v>148</v>
      </c>
      <c r="K30" t="s">
        <v>1118</v>
      </c>
      <c r="L30" t="s">
        <v>1119</v>
      </c>
      <c r="M30">
        <v>37</v>
      </c>
      <c r="N30">
        <v>5</v>
      </c>
      <c r="O30" t="s">
        <v>1036</v>
      </c>
      <c r="P30" s="17"/>
      <c r="Q30" s="17" t="str">
        <f>_xlfn.XLOOKUP(Table2[[#This Row],[buyFromVendorNo]],'Next Day Scheduled'!A:A,'Pending Returns'!O:O,"NOT_FOUND")</f>
        <v>Posted Credit Note</v>
      </c>
    </row>
    <row r="31" spans="1:17" x14ac:dyDescent="0.3">
      <c r="A31" s="1">
        <v>46111</v>
      </c>
      <c r="B31" t="s">
        <v>224</v>
      </c>
      <c r="C31" t="s">
        <v>562</v>
      </c>
      <c r="D31" t="s">
        <v>563</v>
      </c>
      <c r="E31" t="s">
        <v>8</v>
      </c>
      <c r="F31" t="s">
        <v>38</v>
      </c>
      <c r="G31" s="16">
        <v>7015.8</v>
      </c>
      <c r="H31" s="16">
        <v>8068.17</v>
      </c>
      <c r="I31" s="1">
        <v>46110</v>
      </c>
      <c r="J31">
        <v>148</v>
      </c>
      <c r="K31" t="s">
        <v>1105</v>
      </c>
      <c r="L31" t="s">
        <v>1106</v>
      </c>
      <c r="M31">
        <v>64</v>
      </c>
      <c r="N31">
        <v>23</v>
      </c>
      <c r="O31" t="s">
        <v>1036</v>
      </c>
      <c r="P31" s="17"/>
      <c r="Q31" s="17" t="str">
        <f>_xlfn.XLOOKUP(Table2[[#This Row],[buyFromVendorNo]],'Next Day Scheduled'!A:A,'Pending Returns'!O:O,"NOT_FOUND")</f>
        <v>NOT_FOUND</v>
      </c>
    </row>
    <row r="32" spans="1:17" x14ac:dyDescent="0.3">
      <c r="A32" s="1">
        <v>46111</v>
      </c>
      <c r="B32" t="s">
        <v>1109</v>
      </c>
      <c r="C32" t="s">
        <v>204</v>
      </c>
      <c r="D32" t="s">
        <v>205</v>
      </c>
      <c r="E32" t="s">
        <v>8</v>
      </c>
      <c r="F32" t="s">
        <v>10</v>
      </c>
      <c r="G32" s="16">
        <v>2733</v>
      </c>
      <c r="H32" s="16">
        <v>3142.95</v>
      </c>
      <c r="I32" s="1">
        <v>46109</v>
      </c>
      <c r="J32">
        <v>148</v>
      </c>
      <c r="K32" t="s">
        <v>1110</v>
      </c>
      <c r="L32" t="s">
        <v>1111</v>
      </c>
      <c r="M32">
        <v>0</v>
      </c>
      <c r="N32">
        <v>163</v>
      </c>
      <c r="O32" t="s">
        <v>1036</v>
      </c>
      <c r="P32" s="17"/>
      <c r="Q32" s="17" t="str">
        <f>_xlfn.XLOOKUP(Table2[[#This Row],[buyFromVendorNo]],'Next Day Scheduled'!A:A,'Pending Returns'!O:O,"NOT_FOUND")</f>
        <v>NOT_FOUND</v>
      </c>
    </row>
    <row r="33" spans="1:17" x14ac:dyDescent="0.3">
      <c r="A33" s="1">
        <v>46111</v>
      </c>
      <c r="B33" t="s">
        <v>220</v>
      </c>
      <c r="C33" t="s">
        <v>49</v>
      </c>
      <c r="D33" t="s">
        <v>50</v>
      </c>
      <c r="E33" t="s">
        <v>8</v>
      </c>
      <c r="F33" t="s">
        <v>10</v>
      </c>
      <c r="G33" s="16">
        <v>25033.416000000001</v>
      </c>
      <c r="H33" s="16">
        <v>28788.428</v>
      </c>
      <c r="I33" s="1">
        <v>46109</v>
      </c>
      <c r="J33">
        <v>148</v>
      </c>
      <c r="K33" t="s">
        <v>1112</v>
      </c>
      <c r="L33" t="s">
        <v>1113</v>
      </c>
      <c r="M33">
        <v>12</v>
      </c>
      <c r="N33">
        <v>15</v>
      </c>
      <c r="O33" t="s">
        <v>1036</v>
      </c>
      <c r="P33" s="17"/>
      <c r="Q33" s="17" t="str">
        <f>_xlfn.XLOOKUP(Table2[[#This Row],[buyFromVendorNo]],'Next Day Scheduled'!A:A,'Pending Returns'!O:O,"NOT_FOUND")</f>
        <v>NOT_FOUND</v>
      </c>
    </row>
    <row r="34" spans="1:17" x14ac:dyDescent="0.3">
      <c r="A34" s="1">
        <v>46111</v>
      </c>
      <c r="B34" t="s">
        <v>1098</v>
      </c>
      <c r="C34" t="s">
        <v>204</v>
      </c>
      <c r="D34" t="s">
        <v>205</v>
      </c>
      <c r="E34" t="s">
        <v>8</v>
      </c>
      <c r="F34" t="s">
        <v>38</v>
      </c>
      <c r="G34" s="16">
        <v>13999.503000000001</v>
      </c>
      <c r="H34" s="16">
        <v>16099.429</v>
      </c>
      <c r="I34" s="1">
        <v>46109</v>
      </c>
      <c r="J34">
        <v>148</v>
      </c>
      <c r="K34" t="s">
        <v>1120</v>
      </c>
      <c r="L34" t="s">
        <v>1121</v>
      </c>
      <c r="M34">
        <v>23</v>
      </c>
      <c r="N34">
        <v>5</v>
      </c>
      <c r="O34" t="s">
        <v>1036</v>
      </c>
      <c r="P34" s="17"/>
      <c r="Q34" s="17" t="str">
        <f>_xlfn.XLOOKUP(Table2[[#This Row],[buyFromVendorNo]],'Next Day Scheduled'!A:A,'Pending Returns'!O:O,"NOT_FOUND")</f>
        <v>NOT_FOUND</v>
      </c>
    </row>
    <row r="35" spans="1:17" x14ac:dyDescent="0.3">
      <c r="A35" s="1">
        <v>46111</v>
      </c>
      <c r="B35" t="s">
        <v>220</v>
      </c>
      <c r="C35" t="s">
        <v>562</v>
      </c>
      <c r="D35" t="s">
        <v>563</v>
      </c>
      <c r="E35" t="s">
        <v>8</v>
      </c>
      <c r="F35" t="s">
        <v>10</v>
      </c>
      <c r="G35" s="16">
        <v>4574.7</v>
      </c>
      <c r="H35" s="16">
        <v>5260.9049999999997</v>
      </c>
      <c r="I35" s="1">
        <v>46099</v>
      </c>
      <c r="J35">
        <v>148</v>
      </c>
      <c r="K35" t="s">
        <v>1107</v>
      </c>
      <c r="L35" t="s">
        <v>1108</v>
      </c>
      <c r="M35">
        <v>33</v>
      </c>
      <c r="N35">
        <v>1</v>
      </c>
      <c r="O35" t="s">
        <v>1036</v>
      </c>
      <c r="P35" s="17"/>
      <c r="Q35" s="17" t="str">
        <f>_xlfn.XLOOKUP(Table2[[#This Row],[buyFromVendorNo]],'Next Day Scheduled'!A:A,'Pending Returns'!O:O,"NOT_FOUND")</f>
        <v>NOT_FOUND</v>
      </c>
    </row>
    <row r="36" spans="1:17" x14ac:dyDescent="0.3">
      <c r="A36" s="1">
        <v>46111</v>
      </c>
      <c r="B36" t="s">
        <v>224</v>
      </c>
      <c r="C36" t="s">
        <v>204</v>
      </c>
      <c r="D36" t="s">
        <v>205</v>
      </c>
      <c r="E36" t="s">
        <v>8</v>
      </c>
      <c r="F36" t="s">
        <v>38</v>
      </c>
      <c r="G36" s="16">
        <v>21728.828000000001</v>
      </c>
      <c r="H36" s="16">
        <v>24988.153999999999</v>
      </c>
      <c r="I36" s="1">
        <v>46109</v>
      </c>
      <c r="J36">
        <v>148</v>
      </c>
      <c r="K36" t="s">
        <v>1114</v>
      </c>
      <c r="L36" t="s">
        <v>1115</v>
      </c>
      <c r="M36">
        <v>23</v>
      </c>
      <c r="N36">
        <v>5</v>
      </c>
      <c r="O36" t="s">
        <v>1036</v>
      </c>
      <c r="P36" s="17"/>
      <c r="Q36" s="17" t="str">
        <f>_xlfn.XLOOKUP(Table2[[#This Row],[buyFromVendorNo]],'Next Day Scheduled'!A:A,'Pending Returns'!O:O,"NOT_FOUND")</f>
        <v>NOT_FOUND</v>
      </c>
    </row>
    <row r="37" spans="1:17" x14ac:dyDescent="0.3">
      <c r="A37" s="1">
        <v>46111</v>
      </c>
      <c r="B37" t="s">
        <v>224</v>
      </c>
      <c r="C37" t="s">
        <v>562</v>
      </c>
      <c r="D37" t="s">
        <v>563</v>
      </c>
      <c r="E37" t="s">
        <v>8</v>
      </c>
      <c r="F37" t="s">
        <v>38</v>
      </c>
      <c r="G37" s="16">
        <v>3442.5</v>
      </c>
      <c r="H37" s="16">
        <v>3958.875</v>
      </c>
      <c r="I37" s="1">
        <v>46110</v>
      </c>
      <c r="J37">
        <v>148</v>
      </c>
      <c r="K37" t="s">
        <v>1116</v>
      </c>
      <c r="L37" t="s">
        <v>1117</v>
      </c>
      <c r="M37">
        <v>64</v>
      </c>
      <c r="N37">
        <v>23</v>
      </c>
      <c r="O37" t="s">
        <v>1036</v>
      </c>
      <c r="P37" s="17"/>
      <c r="Q37" s="17" t="str">
        <f>_xlfn.XLOOKUP(Table2[[#This Row],[buyFromVendorNo]],'Next Day Scheduled'!A:A,'Pending Returns'!O:O,"NOT_FOUND")</f>
        <v>NOT_FOUND</v>
      </c>
    </row>
    <row r="38" spans="1:17" x14ac:dyDescent="0.3">
      <c r="A38" s="1">
        <v>46111</v>
      </c>
      <c r="B38" t="s">
        <v>224</v>
      </c>
      <c r="C38" t="s">
        <v>43</v>
      </c>
      <c r="D38" t="s">
        <v>44</v>
      </c>
      <c r="E38" t="s">
        <v>8</v>
      </c>
      <c r="F38" t="s">
        <v>38</v>
      </c>
      <c r="G38" s="16">
        <v>3206.9333000000001</v>
      </c>
      <c r="H38" s="16">
        <v>3687.9733999999999</v>
      </c>
      <c r="I38" s="1">
        <v>46111</v>
      </c>
      <c r="J38">
        <v>148</v>
      </c>
      <c r="K38" t="s">
        <v>1122</v>
      </c>
      <c r="L38" t="s">
        <v>1123</v>
      </c>
      <c r="M38">
        <v>133</v>
      </c>
      <c r="N38">
        <v>1</v>
      </c>
      <c r="O38" t="s">
        <v>1036</v>
      </c>
      <c r="P38" s="17"/>
      <c r="Q38" s="17" t="str">
        <f>_xlfn.XLOOKUP(Table2[[#This Row],[buyFromVendorNo]],'Next Day Scheduled'!A:A,'Pending Returns'!O:O,"NOT_FOUND")</f>
        <v>Posted Credit Note</v>
      </c>
    </row>
    <row r="39" spans="1:17" x14ac:dyDescent="0.3">
      <c r="A39" s="1">
        <v>46112</v>
      </c>
      <c r="B39" t="s">
        <v>220</v>
      </c>
      <c r="C39" t="s">
        <v>1124</v>
      </c>
      <c r="D39" t="s">
        <v>1125</v>
      </c>
      <c r="E39" t="s">
        <v>8</v>
      </c>
      <c r="F39" t="s">
        <v>10</v>
      </c>
      <c r="G39" s="16">
        <v>41832.800000000003</v>
      </c>
      <c r="H39" s="16">
        <v>48107.72</v>
      </c>
      <c r="I39" s="1">
        <v>46110</v>
      </c>
      <c r="J39">
        <v>147</v>
      </c>
      <c r="K39" t="s">
        <v>1126</v>
      </c>
      <c r="L39" t="s">
        <v>1127</v>
      </c>
      <c r="M39">
        <v>0</v>
      </c>
      <c r="N39">
        <v>246</v>
      </c>
      <c r="O39" t="s">
        <v>1036</v>
      </c>
      <c r="P39" s="17"/>
      <c r="Q39" s="17" t="str">
        <f>_xlfn.XLOOKUP(Table2[[#This Row],[buyFromVendorNo]],'Next Day Scheduled'!A:A,'Pending Returns'!O:O,"NOT_FOUND")</f>
        <v>NOT_FOUND</v>
      </c>
    </row>
    <row r="40" spans="1:17" x14ac:dyDescent="0.3">
      <c r="A40" s="1">
        <v>46113</v>
      </c>
      <c r="B40" t="s">
        <v>220</v>
      </c>
      <c r="C40" t="s">
        <v>295</v>
      </c>
      <c r="D40" t="s">
        <v>345</v>
      </c>
      <c r="E40" t="s">
        <v>8</v>
      </c>
      <c r="F40" t="s">
        <v>10</v>
      </c>
      <c r="G40" s="16">
        <v>986</v>
      </c>
      <c r="H40" s="16">
        <v>1133.9000000000001</v>
      </c>
      <c r="I40" s="1">
        <v>46105</v>
      </c>
      <c r="J40">
        <v>146</v>
      </c>
      <c r="K40" t="s">
        <v>1140</v>
      </c>
      <c r="L40" t="s">
        <v>1141</v>
      </c>
      <c r="M40">
        <v>56</v>
      </c>
      <c r="N40">
        <v>1</v>
      </c>
      <c r="O40" t="s">
        <v>1036</v>
      </c>
      <c r="P40" s="17"/>
      <c r="Q40" s="17" t="str">
        <f>_xlfn.XLOOKUP(Table2[[#This Row],[buyFromVendorNo]],'Next Day Scheduled'!A:A,'Pending Returns'!O:O,"NOT_FOUND")</f>
        <v>NOT_FOUND</v>
      </c>
    </row>
    <row r="41" spans="1:17" x14ac:dyDescent="0.3">
      <c r="A41" s="1">
        <v>46113</v>
      </c>
      <c r="B41" t="s">
        <v>224</v>
      </c>
      <c r="C41" t="s">
        <v>43</v>
      </c>
      <c r="D41" t="s">
        <v>44</v>
      </c>
      <c r="E41" t="s">
        <v>8</v>
      </c>
      <c r="F41" t="s">
        <v>38</v>
      </c>
      <c r="G41" s="16">
        <v>3535.34</v>
      </c>
      <c r="H41" s="16">
        <v>4065.6410000000001</v>
      </c>
      <c r="I41" s="1">
        <v>46113</v>
      </c>
      <c r="J41">
        <v>146</v>
      </c>
      <c r="K41" t="s">
        <v>1128</v>
      </c>
      <c r="L41" t="s">
        <v>1129</v>
      </c>
      <c r="M41">
        <v>131</v>
      </c>
      <c r="N41">
        <v>1</v>
      </c>
      <c r="O41" t="s">
        <v>1036</v>
      </c>
      <c r="P41" s="17"/>
      <c r="Q41" s="17" t="str">
        <f>_xlfn.XLOOKUP(Table2[[#This Row],[buyFromVendorNo]],'Next Day Scheduled'!A:A,'Pending Returns'!O:O,"NOT_FOUND")</f>
        <v>Posted Credit Note</v>
      </c>
    </row>
    <row r="42" spans="1:17" x14ac:dyDescent="0.3">
      <c r="A42" s="1">
        <v>46113</v>
      </c>
      <c r="B42" t="s">
        <v>220</v>
      </c>
      <c r="C42" t="s">
        <v>548</v>
      </c>
      <c r="D42" t="s">
        <v>549</v>
      </c>
      <c r="E42" t="s">
        <v>8</v>
      </c>
      <c r="F42" t="s">
        <v>10</v>
      </c>
      <c r="G42" s="16">
        <v>8351.7649999999994</v>
      </c>
      <c r="H42" s="16">
        <v>9604.5290000000005</v>
      </c>
      <c r="I42" s="1">
        <v>46112</v>
      </c>
      <c r="J42">
        <v>146</v>
      </c>
      <c r="K42" t="s">
        <v>1136</v>
      </c>
      <c r="L42" t="s">
        <v>1137</v>
      </c>
      <c r="M42">
        <v>21</v>
      </c>
      <c r="N42">
        <v>3</v>
      </c>
      <c r="O42" t="s">
        <v>1036</v>
      </c>
      <c r="P42" s="17"/>
      <c r="Q42" s="17" t="str">
        <f>_xlfn.XLOOKUP(Table2[[#This Row],[buyFromVendorNo]],'Next Day Scheduled'!A:A,'Pending Returns'!O:O,"NOT_FOUND")</f>
        <v>NOT_FOUND</v>
      </c>
    </row>
    <row r="43" spans="1:17" x14ac:dyDescent="0.3">
      <c r="A43" s="1">
        <v>46113</v>
      </c>
      <c r="B43" t="s">
        <v>1133</v>
      </c>
      <c r="C43" t="s">
        <v>199</v>
      </c>
      <c r="D43" t="s">
        <v>200</v>
      </c>
      <c r="E43" t="s">
        <v>8</v>
      </c>
      <c r="F43" t="s">
        <v>10</v>
      </c>
      <c r="G43" s="16">
        <v>1603.4</v>
      </c>
      <c r="H43" s="16">
        <v>1843.91</v>
      </c>
      <c r="I43" s="1">
        <v>46111</v>
      </c>
      <c r="J43">
        <v>146</v>
      </c>
      <c r="K43" t="s">
        <v>1134</v>
      </c>
      <c r="L43" t="s">
        <v>1135</v>
      </c>
      <c r="M43">
        <v>20</v>
      </c>
      <c r="N43">
        <v>6</v>
      </c>
      <c r="O43" t="s">
        <v>1036</v>
      </c>
      <c r="P43" s="17"/>
      <c r="Q43" s="17" t="str">
        <f>_xlfn.XLOOKUP(Table2[[#This Row],[buyFromVendorNo]],'Next Day Scheduled'!A:A,'Pending Returns'!O:O,"NOT_FOUND")</f>
        <v>NOT_FOUND</v>
      </c>
    </row>
    <row r="44" spans="1:17" x14ac:dyDescent="0.3">
      <c r="A44" s="1">
        <v>46113</v>
      </c>
      <c r="B44" t="s">
        <v>220</v>
      </c>
      <c r="C44" t="s">
        <v>548</v>
      </c>
      <c r="D44" t="s">
        <v>549</v>
      </c>
      <c r="E44" t="s">
        <v>8</v>
      </c>
      <c r="F44" t="s">
        <v>10</v>
      </c>
      <c r="G44" s="16">
        <v>8416.8610000000008</v>
      </c>
      <c r="H44" s="16">
        <v>9679.39</v>
      </c>
      <c r="I44" s="1">
        <v>46112</v>
      </c>
      <c r="J44">
        <v>146</v>
      </c>
      <c r="K44" t="s">
        <v>1138</v>
      </c>
      <c r="L44" t="s">
        <v>1139</v>
      </c>
      <c r="M44">
        <v>21</v>
      </c>
      <c r="N44">
        <v>3</v>
      </c>
      <c r="O44" t="s">
        <v>1036</v>
      </c>
      <c r="P44" s="17"/>
      <c r="Q44" s="17" t="str">
        <f>_xlfn.XLOOKUP(Table2[[#This Row],[buyFromVendorNo]],'Next Day Scheduled'!A:A,'Pending Returns'!O:O,"NOT_FOUND")</f>
        <v>NOT_FOUND</v>
      </c>
    </row>
    <row r="45" spans="1:17" x14ac:dyDescent="0.3">
      <c r="A45" s="1">
        <v>46113</v>
      </c>
      <c r="B45" t="s">
        <v>1142</v>
      </c>
      <c r="C45" t="s">
        <v>199</v>
      </c>
      <c r="D45" t="s">
        <v>200</v>
      </c>
      <c r="E45" t="s">
        <v>8</v>
      </c>
      <c r="F45" t="s">
        <v>10</v>
      </c>
      <c r="G45" s="16">
        <v>1117.0999999999999</v>
      </c>
      <c r="H45" s="16">
        <v>1284.665</v>
      </c>
      <c r="I45" s="1">
        <v>46111</v>
      </c>
      <c r="J45">
        <v>146</v>
      </c>
      <c r="K45" t="s">
        <v>1143</v>
      </c>
      <c r="L45" t="s">
        <v>1144</v>
      </c>
      <c r="M45">
        <v>20</v>
      </c>
      <c r="N45">
        <v>6</v>
      </c>
      <c r="O45" t="s">
        <v>1036</v>
      </c>
      <c r="P45" s="17"/>
      <c r="Q45" s="17" t="str">
        <f>_xlfn.XLOOKUP(Table2[[#This Row],[buyFromVendorNo]],'Next Day Scheduled'!A:A,'Pending Returns'!O:O,"NOT_FOUND")</f>
        <v>NOT_FOUND</v>
      </c>
    </row>
    <row r="46" spans="1:17" x14ac:dyDescent="0.3">
      <c r="A46" s="1">
        <v>46113</v>
      </c>
      <c r="B46" t="s">
        <v>1130</v>
      </c>
      <c r="C46" t="s">
        <v>199</v>
      </c>
      <c r="D46" t="s">
        <v>200</v>
      </c>
      <c r="E46" t="s">
        <v>8</v>
      </c>
      <c r="F46" t="s">
        <v>10</v>
      </c>
      <c r="G46" s="16">
        <v>1373.7</v>
      </c>
      <c r="H46" s="16">
        <v>1579.7550000000001</v>
      </c>
      <c r="I46" s="1">
        <v>46111</v>
      </c>
      <c r="J46">
        <v>146</v>
      </c>
      <c r="K46" t="s">
        <v>1131</v>
      </c>
      <c r="L46" t="s">
        <v>1132</v>
      </c>
      <c r="M46">
        <v>20</v>
      </c>
      <c r="N46">
        <v>6</v>
      </c>
      <c r="O46" t="s">
        <v>1036</v>
      </c>
      <c r="P46" s="17"/>
      <c r="Q46" s="17" t="str">
        <f>_xlfn.XLOOKUP(Table2[[#This Row],[buyFromVendorNo]],'Next Day Scheduled'!A:A,'Pending Returns'!O:O,"NOT_FOUND")</f>
        <v>NOT_FOUND</v>
      </c>
    </row>
    <row r="47" spans="1:17" x14ac:dyDescent="0.3">
      <c r="A47" s="1">
        <v>46114</v>
      </c>
      <c r="B47" t="s">
        <v>220</v>
      </c>
      <c r="C47" t="s">
        <v>571</v>
      </c>
      <c r="D47" t="s">
        <v>572</v>
      </c>
      <c r="E47" t="s">
        <v>8</v>
      </c>
      <c r="F47" t="s">
        <v>10</v>
      </c>
      <c r="G47" s="16">
        <v>21219.61</v>
      </c>
      <c r="H47" s="16">
        <v>24402.55</v>
      </c>
      <c r="I47" s="1">
        <v>46111</v>
      </c>
      <c r="J47">
        <v>145</v>
      </c>
      <c r="K47" t="s">
        <v>1149</v>
      </c>
      <c r="L47" t="s">
        <v>1150</v>
      </c>
      <c r="M47">
        <v>16</v>
      </c>
      <c r="N47">
        <v>0</v>
      </c>
      <c r="O47" t="s">
        <v>1036</v>
      </c>
      <c r="P47" s="17"/>
      <c r="Q47" s="17" t="str">
        <f>_xlfn.XLOOKUP(Table2[[#This Row],[buyFromVendorNo]],'Next Day Scheduled'!A:A,'Pending Returns'!O:O,"NOT_FOUND")</f>
        <v>Posted Credit Note</v>
      </c>
    </row>
    <row r="48" spans="1:17" x14ac:dyDescent="0.3">
      <c r="A48" s="1">
        <v>46114</v>
      </c>
      <c r="B48" t="s">
        <v>220</v>
      </c>
      <c r="C48" t="s">
        <v>310</v>
      </c>
      <c r="D48" t="s">
        <v>311</v>
      </c>
      <c r="E48" t="s">
        <v>8</v>
      </c>
      <c r="F48" t="s">
        <v>10</v>
      </c>
      <c r="G48" s="16">
        <v>8970.3989999999994</v>
      </c>
      <c r="H48" s="16">
        <v>10315.959000000001</v>
      </c>
      <c r="I48" s="1">
        <v>46109</v>
      </c>
      <c r="J48">
        <v>145</v>
      </c>
      <c r="K48" t="s">
        <v>1151</v>
      </c>
      <c r="L48" t="s">
        <v>1152</v>
      </c>
      <c r="M48">
        <v>16</v>
      </c>
      <c r="N48">
        <v>2</v>
      </c>
      <c r="O48" t="s">
        <v>1036</v>
      </c>
      <c r="P48" s="17"/>
      <c r="Q48" s="17" t="str">
        <f>_xlfn.XLOOKUP(Table2[[#This Row],[buyFromVendorNo]],'Next Day Scheduled'!A:A,'Pending Returns'!O:O,"NOT_FOUND")</f>
        <v>NOT_FOUND</v>
      </c>
    </row>
    <row r="49" spans="1:17" x14ac:dyDescent="0.3">
      <c r="A49" s="1">
        <v>46114</v>
      </c>
      <c r="B49" t="s">
        <v>220</v>
      </c>
      <c r="C49" t="s">
        <v>43</v>
      </c>
      <c r="D49" t="s">
        <v>44</v>
      </c>
      <c r="E49" t="s">
        <v>8</v>
      </c>
      <c r="F49" t="s">
        <v>10</v>
      </c>
      <c r="G49" s="16">
        <v>13024.25</v>
      </c>
      <c r="H49" s="16">
        <v>14977.888000000001</v>
      </c>
      <c r="I49" s="1">
        <v>46114</v>
      </c>
      <c r="J49">
        <v>145</v>
      </c>
      <c r="K49" t="s">
        <v>1145</v>
      </c>
      <c r="L49" t="s">
        <v>1146</v>
      </c>
      <c r="M49">
        <v>34</v>
      </c>
      <c r="N49">
        <v>2</v>
      </c>
      <c r="O49" t="s">
        <v>1036</v>
      </c>
      <c r="P49" s="17"/>
      <c r="Q49" s="17" t="str">
        <f>_xlfn.XLOOKUP(Table2[[#This Row],[buyFromVendorNo]],'Next Day Scheduled'!A:A,'Pending Returns'!O:O,"NOT_FOUND")</f>
        <v>Posted Credit Note</v>
      </c>
    </row>
    <row r="50" spans="1:17" x14ac:dyDescent="0.3">
      <c r="A50" s="1">
        <v>46114</v>
      </c>
      <c r="B50" t="s">
        <v>220</v>
      </c>
      <c r="C50" t="s">
        <v>191</v>
      </c>
      <c r="D50" t="s">
        <v>192</v>
      </c>
      <c r="E50" t="s">
        <v>8</v>
      </c>
      <c r="F50" t="s">
        <v>10</v>
      </c>
      <c r="G50" s="16">
        <v>28623.51</v>
      </c>
      <c r="H50" s="16">
        <v>32917.040000000001</v>
      </c>
      <c r="I50" s="1">
        <v>46113</v>
      </c>
      <c r="J50">
        <v>145</v>
      </c>
      <c r="K50" t="s">
        <v>1147</v>
      </c>
      <c r="L50" t="s">
        <v>1148</v>
      </c>
      <c r="M50">
        <v>20</v>
      </c>
      <c r="N50">
        <v>3</v>
      </c>
      <c r="O50" t="s">
        <v>1036</v>
      </c>
      <c r="P50" s="17"/>
      <c r="Q50" s="17" t="str">
        <f>_xlfn.XLOOKUP(Table2[[#This Row],[buyFromVendorNo]],'Next Day Scheduled'!A:A,'Pending Returns'!O:O,"NOT_FOUND")</f>
        <v>NOT_FOUND</v>
      </c>
    </row>
    <row r="51" spans="1:17" x14ac:dyDescent="0.3">
      <c r="A51" s="1">
        <v>46116</v>
      </c>
      <c r="B51" t="s">
        <v>224</v>
      </c>
      <c r="C51" t="s">
        <v>776</v>
      </c>
      <c r="D51" t="s">
        <v>777</v>
      </c>
      <c r="E51" t="s">
        <v>8</v>
      </c>
      <c r="F51" t="s">
        <v>38</v>
      </c>
      <c r="G51" s="16">
        <v>9386.82</v>
      </c>
      <c r="H51" s="16">
        <v>10794.843000000001</v>
      </c>
      <c r="I51" s="1">
        <v>46116</v>
      </c>
      <c r="J51">
        <v>143</v>
      </c>
      <c r="K51" t="s">
        <v>1157</v>
      </c>
      <c r="L51" t="s">
        <v>1158</v>
      </c>
      <c r="M51">
        <v>22</v>
      </c>
      <c r="N51">
        <v>2</v>
      </c>
      <c r="O51" t="s">
        <v>1036</v>
      </c>
      <c r="P51" s="17"/>
      <c r="Q51" s="17" t="str">
        <f>_xlfn.XLOOKUP(Table2[[#This Row],[buyFromVendorNo]],'Next Day Scheduled'!A:A,'Pending Returns'!O:O,"NOT_FOUND")</f>
        <v>Posted Credit Note</v>
      </c>
    </row>
    <row r="52" spans="1:17" x14ac:dyDescent="0.3">
      <c r="A52" s="1">
        <v>46116</v>
      </c>
      <c r="B52" t="s">
        <v>224</v>
      </c>
      <c r="C52" t="s">
        <v>598</v>
      </c>
      <c r="D52" t="s">
        <v>599</v>
      </c>
      <c r="E52" t="s">
        <v>8</v>
      </c>
      <c r="F52" t="s">
        <v>38</v>
      </c>
      <c r="G52" s="16">
        <v>5498.46</v>
      </c>
      <c r="H52" s="16">
        <v>6323.2290000000003</v>
      </c>
      <c r="I52" s="1">
        <v>46110</v>
      </c>
      <c r="J52">
        <v>143</v>
      </c>
      <c r="K52" t="s">
        <v>1155</v>
      </c>
      <c r="L52" t="s">
        <v>1156</v>
      </c>
      <c r="M52">
        <v>17</v>
      </c>
      <c r="N52">
        <v>6</v>
      </c>
      <c r="O52" t="s">
        <v>1036</v>
      </c>
      <c r="P52" s="17"/>
      <c r="Q52" s="17" t="str">
        <f>_xlfn.XLOOKUP(Table2[[#This Row],[buyFromVendorNo]],'Next Day Scheduled'!A:A,'Pending Returns'!O:O,"NOT_FOUND")</f>
        <v>NOT_FOUND</v>
      </c>
    </row>
    <row r="53" spans="1:17" x14ac:dyDescent="0.3">
      <c r="A53" s="1">
        <v>46116</v>
      </c>
      <c r="B53" t="s">
        <v>220</v>
      </c>
      <c r="C53" t="s">
        <v>1161</v>
      </c>
      <c r="D53" t="s">
        <v>1162</v>
      </c>
      <c r="E53" t="s">
        <v>8</v>
      </c>
      <c r="F53" t="s">
        <v>10</v>
      </c>
      <c r="G53" s="16">
        <v>4175.58</v>
      </c>
      <c r="H53" s="16">
        <v>4801.9170000000004</v>
      </c>
      <c r="I53" s="1">
        <v>46110</v>
      </c>
      <c r="J53">
        <v>143</v>
      </c>
      <c r="K53" t="s">
        <v>1163</v>
      </c>
      <c r="L53" t="s">
        <v>1164</v>
      </c>
      <c r="M53">
        <v>15</v>
      </c>
      <c r="N53">
        <v>6</v>
      </c>
      <c r="O53" t="s">
        <v>1036</v>
      </c>
      <c r="P53" s="17"/>
      <c r="Q53" s="17" t="str">
        <f>_xlfn.XLOOKUP(Table2[[#This Row],[buyFromVendorNo]],'Next Day Scheduled'!A:A,'Pending Returns'!O:O,"NOT_FOUND")</f>
        <v>NOT_FOUND</v>
      </c>
    </row>
    <row r="54" spans="1:17" x14ac:dyDescent="0.3">
      <c r="A54" s="1">
        <v>46116</v>
      </c>
      <c r="B54" t="s">
        <v>220</v>
      </c>
      <c r="C54" t="s">
        <v>118</v>
      </c>
      <c r="D54" t="s">
        <v>119</v>
      </c>
      <c r="E54" t="s">
        <v>8</v>
      </c>
      <c r="F54" t="s">
        <v>10</v>
      </c>
      <c r="G54" s="16">
        <v>2229.35</v>
      </c>
      <c r="H54" s="16">
        <v>2563.7523999999999</v>
      </c>
      <c r="I54" s="1">
        <v>46114</v>
      </c>
      <c r="J54">
        <v>143</v>
      </c>
      <c r="K54" t="s">
        <v>1153</v>
      </c>
      <c r="L54" t="s">
        <v>1154</v>
      </c>
      <c r="M54">
        <v>36</v>
      </c>
      <c r="N54">
        <v>5</v>
      </c>
      <c r="O54" t="s">
        <v>1036</v>
      </c>
      <c r="P54" s="17"/>
      <c r="Q54" s="17" t="str">
        <f>_xlfn.XLOOKUP(Table2[[#This Row],[buyFromVendorNo]],'Next Day Scheduled'!A:A,'Pending Returns'!O:O,"NOT_FOUND")</f>
        <v>Posted Credit Note</v>
      </c>
    </row>
    <row r="55" spans="1:17" x14ac:dyDescent="0.3">
      <c r="A55" s="1">
        <v>46116</v>
      </c>
      <c r="B55" t="s">
        <v>220</v>
      </c>
      <c r="C55" t="s">
        <v>494</v>
      </c>
      <c r="D55" t="s">
        <v>495</v>
      </c>
      <c r="E55" t="s">
        <v>8</v>
      </c>
      <c r="F55" t="s">
        <v>10</v>
      </c>
      <c r="G55" s="16">
        <v>2664.09</v>
      </c>
      <c r="H55" s="16">
        <v>3063.7035999999998</v>
      </c>
      <c r="I55" s="1">
        <v>46107</v>
      </c>
      <c r="J55">
        <v>143</v>
      </c>
      <c r="K55" t="s">
        <v>1159</v>
      </c>
      <c r="L55" t="s">
        <v>1160</v>
      </c>
      <c r="M55">
        <v>12</v>
      </c>
      <c r="N55">
        <v>7</v>
      </c>
      <c r="O55" t="s">
        <v>1036</v>
      </c>
      <c r="P55" s="17"/>
      <c r="Q55" s="17" t="str">
        <f>_xlfn.XLOOKUP(Table2[[#This Row],[buyFromVendorNo]],'Next Day Scheduled'!A:A,'Pending Returns'!O:O,"NOT_FOUND")</f>
        <v>Posted Credit Note</v>
      </c>
    </row>
    <row r="56" spans="1:17" x14ac:dyDescent="0.3">
      <c r="A56" s="1">
        <v>46117</v>
      </c>
      <c r="B56" t="s">
        <v>220</v>
      </c>
      <c r="C56" t="s">
        <v>43</v>
      </c>
      <c r="D56" t="s">
        <v>44</v>
      </c>
      <c r="E56" t="s">
        <v>8</v>
      </c>
      <c r="F56" t="s">
        <v>10</v>
      </c>
      <c r="G56" s="16">
        <v>9266.93</v>
      </c>
      <c r="H56" s="16">
        <v>10656.97</v>
      </c>
      <c r="I56" s="1">
        <v>46117</v>
      </c>
      <c r="J56">
        <v>142</v>
      </c>
      <c r="K56" t="s">
        <v>1165</v>
      </c>
      <c r="L56" t="s">
        <v>1166</v>
      </c>
      <c r="M56">
        <v>34</v>
      </c>
      <c r="N56">
        <v>2</v>
      </c>
      <c r="O56" t="s">
        <v>1036</v>
      </c>
      <c r="P56" s="17"/>
      <c r="Q56" s="17" t="str">
        <f>_xlfn.XLOOKUP(Table2[[#This Row],[buyFromVendorNo]],'Next Day Scheduled'!A:A,'Pending Returns'!O:O,"NOT_FOUND")</f>
        <v>Posted Credit Note</v>
      </c>
    </row>
    <row r="57" spans="1:17" x14ac:dyDescent="0.3">
      <c r="A57" s="1">
        <v>46117</v>
      </c>
      <c r="B57" t="s">
        <v>220</v>
      </c>
      <c r="C57" t="s">
        <v>130</v>
      </c>
      <c r="D57" t="s">
        <v>131</v>
      </c>
      <c r="E57" t="s">
        <v>8</v>
      </c>
      <c r="F57" t="s">
        <v>10</v>
      </c>
      <c r="G57" s="16">
        <v>2219.558</v>
      </c>
      <c r="H57" s="16">
        <v>2552.4917</v>
      </c>
      <c r="I57" s="1">
        <v>46110</v>
      </c>
      <c r="J57">
        <v>142</v>
      </c>
      <c r="K57" t="s">
        <v>1167</v>
      </c>
      <c r="L57" t="s">
        <v>1168</v>
      </c>
      <c r="M57">
        <v>20</v>
      </c>
      <c r="N57">
        <v>7</v>
      </c>
      <c r="O57" t="s">
        <v>1036</v>
      </c>
      <c r="P57" s="17"/>
      <c r="Q57" s="17" t="str">
        <f>_xlfn.XLOOKUP(Table2[[#This Row],[buyFromVendorNo]],'Next Day Scheduled'!A:A,'Pending Returns'!O:O,"NOT_FOUND")</f>
        <v>Posted Credit Note</v>
      </c>
    </row>
    <row r="58" spans="1:17" x14ac:dyDescent="0.3">
      <c r="A58" s="1">
        <v>46117</v>
      </c>
      <c r="B58" t="s">
        <v>220</v>
      </c>
      <c r="C58" t="s">
        <v>137</v>
      </c>
      <c r="D58" t="s">
        <v>138</v>
      </c>
      <c r="E58" t="s">
        <v>8</v>
      </c>
      <c r="F58" t="s">
        <v>10</v>
      </c>
      <c r="G58" s="16">
        <v>51824.94</v>
      </c>
      <c r="H58" s="16">
        <v>59598.68</v>
      </c>
      <c r="I58" s="1">
        <v>46111</v>
      </c>
      <c r="J58">
        <v>142</v>
      </c>
      <c r="K58" t="s">
        <v>1171</v>
      </c>
      <c r="L58" t="s">
        <v>1172</v>
      </c>
      <c r="M58">
        <v>23</v>
      </c>
      <c r="N58">
        <v>5</v>
      </c>
      <c r="O58" t="s">
        <v>1036</v>
      </c>
      <c r="P58" s="17"/>
      <c r="Q58" s="17" t="str">
        <f>_xlfn.XLOOKUP(Table2[[#This Row],[buyFromVendorNo]],'Next Day Scheduled'!A:A,'Pending Returns'!O:O,"NOT_FOUND")</f>
        <v>NOT_FOUND</v>
      </c>
    </row>
    <row r="59" spans="1:17" x14ac:dyDescent="0.3">
      <c r="A59" s="1">
        <v>46117</v>
      </c>
      <c r="B59" t="s">
        <v>224</v>
      </c>
      <c r="C59" t="s">
        <v>808</v>
      </c>
      <c r="D59" t="s">
        <v>904</v>
      </c>
      <c r="E59" t="s">
        <v>8</v>
      </c>
      <c r="F59" t="s">
        <v>38</v>
      </c>
      <c r="G59" s="16">
        <v>2040.43</v>
      </c>
      <c r="H59" s="16">
        <v>2346.4944</v>
      </c>
      <c r="I59" s="1">
        <v>46111</v>
      </c>
      <c r="J59">
        <v>142</v>
      </c>
      <c r="K59" t="s">
        <v>1169</v>
      </c>
      <c r="L59" t="s">
        <v>1170</v>
      </c>
      <c r="M59">
        <v>24</v>
      </c>
      <c r="N59">
        <v>2</v>
      </c>
      <c r="O59" t="s">
        <v>1036</v>
      </c>
      <c r="P59" s="17"/>
      <c r="Q59" s="17" t="str">
        <f>_xlfn.XLOOKUP(Table2[[#This Row],[buyFromVendorNo]],'Next Day Scheduled'!A:A,'Pending Returns'!O:O,"NOT_FOUND")</f>
        <v>NOT_FOUND</v>
      </c>
    </row>
    <row r="60" spans="1:17" x14ac:dyDescent="0.3">
      <c r="A60" s="1">
        <v>46118</v>
      </c>
      <c r="B60" t="s">
        <v>1173</v>
      </c>
      <c r="C60" t="s">
        <v>122</v>
      </c>
      <c r="D60" t="s">
        <v>123</v>
      </c>
      <c r="E60" t="s">
        <v>8</v>
      </c>
      <c r="F60" t="s">
        <v>10</v>
      </c>
      <c r="G60" s="16">
        <v>1168</v>
      </c>
      <c r="H60" s="16">
        <v>1343.2</v>
      </c>
      <c r="I60" s="1">
        <v>46110</v>
      </c>
      <c r="J60">
        <v>141</v>
      </c>
      <c r="K60" t="s">
        <v>1174</v>
      </c>
      <c r="L60" t="s">
        <v>1175</v>
      </c>
      <c r="M60">
        <v>43</v>
      </c>
      <c r="N60">
        <v>1</v>
      </c>
      <c r="O60" t="s">
        <v>1036</v>
      </c>
      <c r="P60" s="17"/>
      <c r="Q60" s="17" t="str">
        <f>_xlfn.XLOOKUP(Table2[[#This Row],[buyFromVendorNo]],'Next Day Scheduled'!A:A,'Pending Returns'!O:O,"NOT_FOUND")</f>
        <v>NOT_FOUND</v>
      </c>
    </row>
    <row r="61" spans="1:17" x14ac:dyDescent="0.3">
      <c r="A61" s="1">
        <v>46118</v>
      </c>
      <c r="B61" t="s">
        <v>220</v>
      </c>
      <c r="C61" t="s">
        <v>122</v>
      </c>
      <c r="D61" t="s">
        <v>123</v>
      </c>
      <c r="E61" t="s">
        <v>8</v>
      </c>
      <c r="F61" t="s">
        <v>10</v>
      </c>
      <c r="G61" s="16">
        <v>1533</v>
      </c>
      <c r="H61" s="16">
        <v>1762.95</v>
      </c>
      <c r="I61" s="1">
        <v>46110</v>
      </c>
      <c r="J61">
        <v>141</v>
      </c>
      <c r="K61" t="s">
        <v>1186</v>
      </c>
      <c r="L61" t="s">
        <v>1187</v>
      </c>
      <c r="M61">
        <v>43</v>
      </c>
      <c r="N61">
        <v>1</v>
      </c>
      <c r="O61" t="s">
        <v>1036</v>
      </c>
      <c r="P61" s="17"/>
      <c r="Q61" s="17" t="str">
        <f>_xlfn.XLOOKUP(Table2[[#This Row],[buyFromVendorNo]],'Next Day Scheduled'!A:A,'Pending Returns'!O:O,"NOT_FOUND")</f>
        <v>NOT_FOUND</v>
      </c>
    </row>
    <row r="62" spans="1:17" x14ac:dyDescent="0.3">
      <c r="A62" s="1">
        <v>46118</v>
      </c>
      <c r="B62" t="s">
        <v>220</v>
      </c>
      <c r="C62" t="s">
        <v>122</v>
      </c>
      <c r="D62" t="s">
        <v>123</v>
      </c>
      <c r="E62" t="s">
        <v>8</v>
      </c>
      <c r="F62" t="s">
        <v>10</v>
      </c>
      <c r="G62" s="16">
        <v>1168</v>
      </c>
      <c r="H62" s="16">
        <v>1343.2</v>
      </c>
      <c r="I62" s="1">
        <v>46110</v>
      </c>
      <c r="J62">
        <v>141</v>
      </c>
      <c r="K62" t="s">
        <v>1184</v>
      </c>
      <c r="L62" t="s">
        <v>1185</v>
      </c>
      <c r="M62">
        <v>43</v>
      </c>
      <c r="N62">
        <v>1</v>
      </c>
      <c r="O62" t="s">
        <v>1036</v>
      </c>
      <c r="P62" s="17"/>
      <c r="Q62" s="17" t="str">
        <f>_xlfn.XLOOKUP(Table2[[#This Row],[buyFromVendorNo]],'Next Day Scheduled'!A:A,'Pending Returns'!O:O,"NOT_FOUND")</f>
        <v>NOT_FOUND</v>
      </c>
    </row>
    <row r="63" spans="1:17" x14ac:dyDescent="0.3">
      <c r="A63" s="1">
        <v>46118</v>
      </c>
      <c r="B63" t="s">
        <v>1181</v>
      </c>
      <c r="C63" t="s">
        <v>122</v>
      </c>
      <c r="D63" t="s">
        <v>123</v>
      </c>
      <c r="E63" t="s">
        <v>8</v>
      </c>
      <c r="F63" t="s">
        <v>10</v>
      </c>
      <c r="G63" s="16">
        <v>1238.5</v>
      </c>
      <c r="H63" s="16">
        <v>1424.2750000000001</v>
      </c>
      <c r="I63" s="1">
        <v>46110</v>
      </c>
      <c r="J63">
        <v>141</v>
      </c>
      <c r="K63" t="s">
        <v>1182</v>
      </c>
      <c r="L63" t="s">
        <v>1183</v>
      </c>
      <c r="M63">
        <v>43</v>
      </c>
      <c r="N63">
        <v>1</v>
      </c>
      <c r="O63" t="s">
        <v>1036</v>
      </c>
      <c r="P63" s="17"/>
      <c r="Q63" s="17" t="str">
        <f>_xlfn.XLOOKUP(Table2[[#This Row],[buyFromVendorNo]],'Next Day Scheduled'!A:A,'Pending Returns'!O:O,"NOT_FOUND")</f>
        <v>NOT_FOUND</v>
      </c>
    </row>
    <row r="64" spans="1:17" x14ac:dyDescent="0.3">
      <c r="A64" s="1">
        <v>46118</v>
      </c>
      <c r="B64" t="s">
        <v>1188</v>
      </c>
      <c r="C64" t="s">
        <v>199</v>
      </c>
      <c r="D64" t="s">
        <v>200</v>
      </c>
      <c r="E64" t="s">
        <v>8</v>
      </c>
      <c r="F64" t="s">
        <v>10</v>
      </c>
      <c r="G64" s="16">
        <v>1422.3</v>
      </c>
      <c r="H64" s="16">
        <v>1635.645</v>
      </c>
      <c r="I64" s="1">
        <v>46111</v>
      </c>
      <c r="J64">
        <v>141</v>
      </c>
      <c r="K64" t="s">
        <v>1189</v>
      </c>
      <c r="L64" t="s">
        <v>1190</v>
      </c>
      <c r="M64">
        <v>20</v>
      </c>
      <c r="N64">
        <v>6</v>
      </c>
      <c r="O64" t="s">
        <v>1036</v>
      </c>
      <c r="P64" s="17"/>
      <c r="Q64" s="17" t="str">
        <f>_xlfn.XLOOKUP(Table2[[#This Row],[buyFromVendorNo]],'Next Day Scheduled'!A:A,'Pending Returns'!O:O,"NOT_FOUND")</f>
        <v>NOT_FOUND</v>
      </c>
    </row>
    <row r="65" spans="1:17" x14ac:dyDescent="0.3">
      <c r="A65" s="1">
        <v>46118</v>
      </c>
      <c r="B65" t="s">
        <v>1178</v>
      </c>
      <c r="C65" t="s">
        <v>122</v>
      </c>
      <c r="D65" t="s">
        <v>123</v>
      </c>
      <c r="E65" t="s">
        <v>8</v>
      </c>
      <c r="F65" t="s">
        <v>10</v>
      </c>
      <c r="G65" s="16">
        <v>1076.75</v>
      </c>
      <c r="H65" s="16">
        <v>1238.2625</v>
      </c>
      <c r="I65" s="1">
        <v>46110</v>
      </c>
      <c r="J65">
        <v>141</v>
      </c>
      <c r="K65" t="s">
        <v>1179</v>
      </c>
      <c r="L65" t="s">
        <v>1180</v>
      </c>
      <c r="M65">
        <v>43</v>
      </c>
      <c r="N65">
        <v>1</v>
      </c>
      <c r="O65" t="s">
        <v>1036</v>
      </c>
      <c r="P65" s="17"/>
      <c r="Q65" s="17" t="str">
        <f>_xlfn.XLOOKUP(Table2[[#This Row],[buyFromVendorNo]],'Next Day Scheduled'!A:A,'Pending Returns'!O:O,"NOT_FOUND")</f>
        <v>NOT_FOUND</v>
      </c>
    </row>
    <row r="66" spans="1:17" x14ac:dyDescent="0.3">
      <c r="A66" s="1">
        <v>46118</v>
      </c>
      <c r="B66" t="s">
        <v>1822</v>
      </c>
      <c r="C66" t="s">
        <v>102</v>
      </c>
      <c r="D66" t="s">
        <v>103</v>
      </c>
      <c r="E66" t="s">
        <v>8</v>
      </c>
      <c r="F66" t="s">
        <v>10</v>
      </c>
      <c r="G66" s="16">
        <v>3964.8</v>
      </c>
      <c r="H66" s="16">
        <v>4559.5200000000004</v>
      </c>
      <c r="J66">
        <v>141</v>
      </c>
      <c r="K66" t="s">
        <v>101</v>
      </c>
      <c r="M66">
        <v>0</v>
      </c>
      <c r="N66">
        <v>330</v>
      </c>
      <c r="O66" t="s">
        <v>216</v>
      </c>
      <c r="P66" s="17"/>
      <c r="Q66" s="17" t="str">
        <f>_xlfn.XLOOKUP(Table2[[#This Row],[buyFromVendorNo]],'Next Day Scheduled'!A:A,'Pending Returns'!O:O,"NOT_FOUND")</f>
        <v>NOT_FOUND</v>
      </c>
    </row>
    <row r="67" spans="1:17" x14ac:dyDescent="0.3">
      <c r="A67" s="1">
        <v>46118</v>
      </c>
      <c r="B67" t="s">
        <v>220</v>
      </c>
      <c r="C67" t="s">
        <v>697</v>
      </c>
      <c r="D67" t="s">
        <v>698</v>
      </c>
      <c r="E67" t="s">
        <v>8</v>
      </c>
      <c r="F67" t="s">
        <v>10</v>
      </c>
      <c r="G67" s="16">
        <v>8171.9546</v>
      </c>
      <c r="H67" s="16">
        <v>9397.7479999999996</v>
      </c>
      <c r="I67" s="1">
        <v>46117</v>
      </c>
      <c r="J67">
        <v>141</v>
      </c>
      <c r="K67" t="s">
        <v>1176</v>
      </c>
      <c r="L67" t="s">
        <v>1177</v>
      </c>
      <c r="M67">
        <v>22</v>
      </c>
      <c r="N67">
        <v>2</v>
      </c>
      <c r="O67" t="s">
        <v>1036</v>
      </c>
      <c r="P67" s="17"/>
      <c r="Q67" s="17" t="str">
        <f>_xlfn.XLOOKUP(Table2[[#This Row],[buyFromVendorNo]],'Next Day Scheduled'!A:A,'Pending Returns'!O:O,"NOT_FOUND")</f>
        <v>NOT_FOUND</v>
      </c>
    </row>
    <row r="68" spans="1:17" x14ac:dyDescent="0.3">
      <c r="A68" s="1">
        <v>46118</v>
      </c>
      <c r="B68" t="s">
        <v>1191</v>
      </c>
      <c r="C68" t="s">
        <v>122</v>
      </c>
      <c r="D68" t="s">
        <v>123</v>
      </c>
      <c r="E68" t="s">
        <v>8</v>
      </c>
      <c r="F68" t="s">
        <v>10</v>
      </c>
      <c r="G68" s="16">
        <v>1220.25</v>
      </c>
      <c r="H68" s="16">
        <v>1403.2874999999999</v>
      </c>
      <c r="I68" s="1">
        <v>46110</v>
      </c>
      <c r="J68">
        <v>141</v>
      </c>
      <c r="K68" t="s">
        <v>1192</v>
      </c>
      <c r="L68" t="s">
        <v>1193</v>
      </c>
      <c r="M68">
        <v>43</v>
      </c>
      <c r="N68">
        <v>1</v>
      </c>
      <c r="O68" t="s">
        <v>1036</v>
      </c>
      <c r="P68" s="17"/>
      <c r="Q68" s="17" t="str">
        <f>_xlfn.XLOOKUP(Table2[[#This Row],[buyFromVendorNo]],'Next Day Scheduled'!A:A,'Pending Returns'!O:O,"NOT_FOUND")</f>
        <v>NOT_FOUND</v>
      </c>
    </row>
    <row r="69" spans="1:17" x14ac:dyDescent="0.3">
      <c r="A69" s="1">
        <v>46119</v>
      </c>
      <c r="B69" t="s">
        <v>220</v>
      </c>
      <c r="C69" t="s">
        <v>566</v>
      </c>
      <c r="D69" t="s">
        <v>590</v>
      </c>
      <c r="E69" t="s">
        <v>8</v>
      </c>
      <c r="F69" t="s">
        <v>10</v>
      </c>
      <c r="G69" s="16">
        <v>5869.125</v>
      </c>
      <c r="H69" s="16">
        <v>6749.4937</v>
      </c>
      <c r="I69" s="1">
        <v>46111</v>
      </c>
      <c r="J69">
        <v>140</v>
      </c>
      <c r="K69" t="s">
        <v>1194</v>
      </c>
      <c r="L69" t="s">
        <v>1195</v>
      </c>
      <c r="M69">
        <v>20</v>
      </c>
      <c r="N69">
        <v>1</v>
      </c>
      <c r="O69" t="s">
        <v>1036</v>
      </c>
      <c r="P69" s="17"/>
      <c r="Q69" s="17" t="str">
        <f>_xlfn.XLOOKUP(Table2[[#This Row],[buyFromVendorNo]],'Next Day Scheduled'!A:A,'Pending Returns'!O:O,"NOT_FOUND")</f>
        <v>NOT_FOUND</v>
      </c>
    </row>
    <row r="70" spans="1:17" x14ac:dyDescent="0.3">
      <c r="A70" s="1">
        <v>46119</v>
      </c>
      <c r="B70" t="s">
        <v>220</v>
      </c>
      <c r="C70" t="s">
        <v>1196</v>
      </c>
      <c r="D70" t="s">
        <v>1197</v>
      </c>
      <c r="E70" t="s">
        <v>8</v>
      </c>
      <c r="F70" t="s">
        <v>10</v>
      </c>
      <c r="G70" s="16">
        <v>420</v>
      </c>
      <c r="H70" s="16">
        <v>483</v>
      </c>
      <c r="I70" s="1">
        <v>46070</v>
      </c>
      <c r="J70">
        <v>140</v>
      </c>
      <c r="K70" t="s">
        <v>1198</v>
      </c>
      <c r="L70" t="s">
        <v>1199</v>
      </c>
      <c r="M70">
        <v>37</v>
      </c>
      <c r="N70">
        <v>1</v>
      </c>
      <c r="O70" t="s">
        <v>1036</v>
      </c>
      <c r="P70" s="17"/>
      <c r="Q70" s="17" t="str">
        <f>_xlfn.XLOOKUP(Table2[[#This Row],[buyFromVendorNo]],'Next Day Scheduled'!A:A,'Pending Returns'!O:O,"NOT_FOUND")</f>
        <v>NOT_FOUND</v>
      </c>
    </row>
    <row r="71" spans="1:17" x14ac:dyDescent="0.3">
      <c r="A71" s="1">
        <v>46124</v>
      </c>
      <c r="B71" t="s">
        <v>224</v>
      </c>
      <c r="C71" t="s">
        <v>618</v>
      </c>
      <c r="D71" t="s">
        <v>619</v>
      </c>
      <c r="E71" t="s">
        <v>8</v>
      </c>
      <c r="F71" t="s">
        <v>38</v>
      </c>
      <c r="G71" s="16">
        <v>658.16814999999997</v>
      </c>
      <c r="H71" s="16">
        <v>658.16814999999997</v>
      </c>
      <c r="I71" s="1">
        <v>46117</v>
      </c>
      <c r="J71">
        <v>135</v>
      </c>
      <c r="K71" t="s">
        <v>1203</v>
      </c>
      <c r="L71" t="s">
        <v>1204</v>
      </c>
      <c r="M71">
        <v>135</v>
      </c>
      <c r="N71">
        <v>0</v>
      </c>
      <c r="O71" t="s">
        <v>1036</v>
      </c>
      <c r="P71" s="17"/>
      <c r="Q71" s="17" t="str">
        <f>_xlfn.XLOOKUP(Table2[[#This Row],[buyFromVendorNo]],'Next Day Scheduled'!A:A,'Pending Returns'!O:O,"NOT_FOUND")</f>
        <v>NOT_FOUND</v>
      </c>
    </row>
    <row r="72" spans="1:17" x14ac:dyDescent="0.3">
      <c r="A72" s="1">
        <v>46124</v>
      </c>
      <c r="B72" t="s">
        <v>224</v>
      </c>
      <c r="C72" t="s">
        <v>618</v>
      </c>
      <c r="D72" t="s">
        <v>619</v>
      </c>
      <c r="E72" t="s">
        <v>8</v>
      </c>
      <c r="F72" t="s">
        <v>38</v>
      </c>
      <c r="G72" s="16">
        <v>48.610689999999998</v>
      </c>
      <c r="H72" s="16">
        <v>48.610689999999998</v>
      </c>
      <c r="I72" s="1">
        <v>46117</v>
      </c>
      <c r="J72">
        <v>135</v>
      </c>
      <c r="K72" t="s">
        <v>1205</v>
      </c>
      <c r="L72" t="s">
        <v>1206</v>
      </c>
      <c r="M72">
        <v>135</v>
      </c>
      <c r="N72">
        <v>0</v>
      </c>
      <c r="O72" t="s">
        <v>1036</v>
      </c>
      <c r="P72" s="17"/>
      <c r="Q72" s="17" t="str">
        <f>_xlfn.XLOOKUP(Table2[[#This Row],[buyFromVendorNo]],'Next Day Scheduled'!A:A,'Pending Returns'!O:O,"NOT_FOUND")</f>
        <v>NOT_FOUND</v>
      </c>
    </row>
    <row r="73" spans="1:17" x14ac:dyDescent="0.3">
      <c r="A73" s="1">
        <v>46124</v>
      </c>
      <c r="B73" t="s">
        <v>1200</v>
      </c>
      <c r="C73" t="s">
        <v>109</v>
      </c>
      <c r="D73" t="s">
        <v>110</v>
      </c>
      <c r="E73" t="s">
        <v>8</v>
      </c>
      <c r="F73" t="s">
        <v>10</v>
      </c>
      <c r="G73" s="16">
        <v>6950.95</v>
      </c>
      <c r="H73" s="16">
        <v>7993.5923000000003</v>
      </c>
      <c r="I73" s="1">
        <v>46111</v>
      </c>
      <c r="J73">
        <v>135</v>
      </c>
      <c r="K73" t="s">
        <v>1201</v>
      </c>
      <c r="L73" t="s">
        <v>1202</v>
      </c>
      <c r="M73">
        <v>16</v>
      </c>
      <c r="N73">
        <v>7</v>
      </c>
      <c r="O73" t="s">
        <v>1036</v>
      </c>
      <c r="P73" s="17"/>
      <c r="Q73" s="17" t="str">
        <f>_xlfn.XLOOKUP(Table2[[#This Row],[buyFromVendorNo]],'Next Day Scheduled'!A:A,'Pending Returns'!O:O,"NOT_FOUND")</f>
        <v>NOT_FOUND</v>
      </c>
    </row>
    <row r="74" spans="1:17" x14ac:dyDescent="0.3">
      <c r="A74" s="1">
        <v>46125</v>
      </c>
      <c r="B74" t="s">
        <v>1207</v>
      </c>
      <c r="C74" t="s">
        <v>618</v>
      </c>
      <c r="D74" t="s">
        <v>619</v>
      </c>
      <c r="E74" t="s">
        <v>8</v>
      </c>
      <c r="F74" t="s">
        <v>38</v>
      </c>
      <c r="G74" s="16">
        <v>287.64321999999999</v>
      </c>
      <c r="H74" s="16">
        <v>287.64321999999999</v>
      </c>
      <c r="I74" s="1">
        <v>46122</v>
      </c>
      <c r="J74">
        <v>134</v>
      </c>
      <c r="K74" t="s">
        <v>1208</v>
      </c>
      <c r="L74" t="s">
        <v>1209</v>
      </c>
      <c r="M74">
        <v>134</v>
      </c>
      <c r="N74">
        <v>0</v>
      </c>
      <c r="O74" t="s">
        <v>1036</v>
      </c>
      <c r="P74" s="17"/>
      <c r="Q74" s="17" t="str">
        <f>_xlfn.XLOOKUP(Table2[[#This Row],[buyFromVendorNo]],'Next Day Scheduled'!A:A,'Pending Returns'!O:O,"NOT_FOUND")</f>
        <v>NOT_FOUND</v>
      </c>
    </row>
    <row r="75" spans="1:17" x14ac:dyDescent="0.3">
      <c r="A75" s="1">
        <v>46125</v>
      </c>
      <c r="B75" t="s">
        <v>1210</v>
      </c>
      <c r="C75" t="s">
        <v>618</v>
      </c>
      <c r="D75" t="s">
        <v>619</v>
      </c>
      <c r="E75" t="s">
        <v>8</v>
      </c>
      <c r="F75" t="s">
        <v>38</v>
      </c>
      <c r="G75" s="16">
        <v>38.003399999999999</v>
      </c>
      <c r="H75" s="16">
        <v>38.003399999999999</v>
      </c>
      <c r="I75" s="1">
        <v>46120</v>
      </c>
      <c r="J75">
        <v>134</v>
      </c>
      <c r="K75" t="s">
        <v>1211</v>
      </c>
      <c r="L75" t="s">
        <v>1212</v>
      </c>
      <c r="M75">
        <v>134</v>
      </c>
      <c r="N75">
        <v>0</v>
      </c>
      <c r="O75" t="s">
        <v>1036</v>
      </c>
      <c r="P75" s="17"/>
      <c r="Q75" s="17" t="str">
        <f>_xlfn.XLOOKUP(Table2[[#This Row],[buyFromVendorNo]],'Next Day Scheduled'!A:A,'Pending Returns'!O:O,"NOT_FOUND")</f>
        <v>NOT_FOUND</v>
      </c>
    </row>
    <row r="76" spans="1:17" x14ac:dyDescent="0.3">
      <c r="A76" s="1">
        <v>46126</v>
      </c>
      <c r="B76" t="s">
        <v>1130</v>
      </c>
      <c r="C76" t="s">
        <v>139</v>
      </c>
      <c r="D76" t="s">
        <v>140</v>
      </c>
      <c r="E76" t="s">
        <v>8</v>
      </c>
      <c r="F76" t="s">
        <v>10</v>
      </c>
      <c r="G76" s="16">
        <v>4057.634</v>
      </c>
      <c r="H76" s="16">
        <v>4666.2793000000001</v>
      </c>
      <c r="I76" s="1">
        <v>46117</v>
      </c>
      <c r="J76">
        <v>133</v>
      </c>
      <c r="K76" t="s">
        <v>1213</v>
      </c>
      <c r="L76" t="s">
        <v>1214</v>
      </c>
      <c r="M76">
        <v>20</v>
      </c>
      <c r="N76">
        <v>7</v>
      </c>
      <c r="O76" t="s">
        <v>1036</v>
      </c>
      <c r="P76" s="17"/>
      <c r="Q76" s="17" t="str">
        <f>_xlfn.XLOOKUP(Table2[[#This Row],[buyFromVendorNo]],'Next Day Scheduled'!A:A,'Pending Returns'!O:O,"NOT_FOUND")</f>
        <v>NOT_FOUND</v>
      </c>
    </row>
    <row r="77" spans="1:17" x14ac:dyDescent="0.3">
      <c r="A77" s="1">
        <v>46126</v>
      </c>
      <c r="B77" t="s">
        <v>220</v>
      </c>
      <c r="C77" t="s">
        <v>139</v>
      </c>
      <c r="D77" t="s">
        <v>140</v>
      </c>
      <c r="E77" t="s">
        <v>8</v>
      </c>
      <c r="F77" t="s">
        <v>10</v>
      </c>
      <c r="G77" s="16">
        <v>901.5172</v>
      </c>
      <c r="H77" s="16">
        <v>1036.7447999999999</v>
      </c>
      <c r="I77" s="1">
        <v>46117</v>
      </c>
      <c r="J77">
        <v>133</v>
      </c>
      <c r="K77" t="s">
        <v>1220</v>
      </c>
      <c r="L77" t="s">
        <v>1221</v>
      </c>
      <c r="M77">
        <v>20</v>
      </c>
      <c r="N77">
        <v>7</v>
      </c>
      <c r="O77" t="s">
        <v>1036</v>
      </c>
      <c r="P77" s="17"/>
      <c r="Q77" s="17" t="str">
        <f>_xlfn.XLOOKUP(Table2[[#This Row],[buyFromVendorNo]],'Next Day Scheduled'!A:A,'Pending Returns'!O:O,"NOT_FOUND")</f>
        <v>NOT_FOUND</v>
      </c>
    </row>
    <row r="78" spans="1:17" x14ac:dyDescent="0.3">
      <c r="A78" s="1">
        <v>46126</v>
      </c>
      <c r="B78" t="s">
        <v>1215</v>
      </c>
      <c r="C78" t="s">
        <v>1216</v>
      </c>
      <c r="D78" t="s">
        <v>1217</v>
      </c>
      <c r="E78" t="s">
        <v>8</v>
      </c>
      <c r="F78" t="s">
        <v>10</v>
      </c>
      <c r="G78" s="16">
        <v>5717</v>
      </c>
      <c r="H78" s="16">
        <v>6574.55</v>
      </c>
      <c r="I78" s="1">
        <v>46113</v>
      </c>
      <c r="J78">
        <v>133</v>
      </c>
      <c r="K78" t="s">
        <v>1218</v>
      </c>
      <c r="L78" t="s">
        <v>1219</v>
      </c>
      <c r="M78">
        <v>0</v>
      </c>
      <c r="N78">
        <v>224</v>
      </c>
      <c r="O78" t="s">
        <v>1036</v>
      </c>
      <c r="P78" s="17"/>
      <c r="Q78" s="17" t="str">
        <f>_xlfn.XLOOKUP(Table2[[#This Row],[buyFromVendorNo]],'Next Day Scheduled'!A:A,'Pending Returns'!O:O,"NOT_FOUND")</f>
        <v>NOT_FOUND</v>
      </c>
    </row>
    <row r="79" spans="1:17" x14ac:dyDescent="0.3">
      <c r="A79" s="1">
        <v>46128</v>
      </c>
      <c r="B79" t="s">
        <v>674</v>
      </c>
      <c r="C79" t="s">
        <v>1222</v>
      </c>
      <c r="D79" t="s">
        <v>1223</v>
      </c>
      <c r="E79" t="s">
        <v>8</v>
      </c>
      <c r="F79" t="s">
        <v>10</v>
      </c>
      <c r="G79" s="16">
        <v>2719</v>
      </c>
      <c r="H79" s="16">
        <v>3126.85</v>
      </c>
      <c r="I79" s="1">
        <v>46128</v>
      </c>
      <c r="J79">
        <v>131</v>
      </c>
      <c r="K79" t="s">
        <v>1224</v>
      </c>
      <c r="L79" t="s">
        <v>1225</v>
      </c>
      <c r="M79">
        <v>18</v>
      </c>
      <c r="N79">
        <v>3</v>
      </c>
      <c r="O79" t="s">
        <v>1036</v>
      </c>
      <c r="P79" s="17"/>
      <c r="Q79" s="17" t="str">
        <f>_xlfn.XLOOKUP(Table2[[#This Row],[buyFromVendorNo]],'Next Day Scheduled'!A:A,'Pending Returns'!O:O,"NOT_FOUND")</f>
        <v>NOT_FOUND</v>
      </c>
    </row>
    <row r="80" spans="1:17" x14ac:dyDescent="0.3">
      <c r="A80" s="1">
        <v>46129</v>
      </c>
      <c r="B80" t="s">
        <v>273</v>
      </c>
      <c r="C80" t="s">
        <v>618</v>
      </c>
      <c r="D80" t="s">
        <v>619</v>
      </c>
      <c r="E80" t="s">
        <v>8</v>
      </c>
      <c r="F80" t="s">
        <v>38</v>
      </c>
      <c r="G80" s="16">
        <v>58.298310000000001</v>
      </c>
      <c r="H80" s="16">
        <v>58.298310000000001</v>
      </c>
      <c r="I80" s="1">
        <v>46126</v>
      </c>
      <c r="J80">
        <v>130</v>
      </c>
      <c r="K80" t="s">
        <v>1228</v>
      </c>
      <c r="L80" t="s">
        <v>1229</v>
      </c>
      <c r="M80">
        <v>130</v>
      </c>
      <c r="N80">
        <v>0</v>
      </c>
      <c r="O80" t="s">
        <v>1036</v>
      </c>
      <c r="P80" s="17"/>
      <c r="Q80" s="17" t="str">
        <f>_xlfn.XLOOKUP(Table2[[#This Row],[buyFromVendorNo]],'Next Day Scheduled'!A:A,'Pending Returns'!O:O,"NOT_FOUND")</f>
        <v>NOT_FOUND</v>
      </c>
    </row>
    <row r="81" spans="1:17" x14ac:dyDescent="0.3">
      <c r="A81" s="1">
        <v>46129</v>
      </c>
      <c r="B81" t="s">
        <v>1210</v>
      </c>
      <c r="C81" t="s">
        <v>618</v>
      </c>
      <c r="D81" t="s">
        <v>619</v>
      </c>
      <c r="E81" t="s">
        <v>8</v>
      </c>
      <c r="F81" t="s">
        <v>38</v>
      </c>
      <c r="G81" s="16">
        <v>357.16095000000001</v>
      </c>
      <c r="H81" s="16">
        <v>357.16095000000001</v>
      </c>
      <c r="I81" s="1">
        <v>46124</v>
      </c>
      <c r="J81">
        <v>130</v>
      </c>
      <c r="K81" t="s">
        <v>1226</v>
      </c>
      <c r="L81" t="s">
        <v>1227</v>
      </c>
      <c r="M81">
        <v>130</v>
      </c>
      <c r="N81">
        <v>0</v>
      </c>
      <c r="O81" t="s">
        <v>1036</v>
      </c>
      <c r="P81" s="17"/>
      <c r="Q81" s="17" t="str">
        <f>_xlfn.XLOOKUP(Table2[[#This Row],[buyFromVendorNo]],'Next Day Scheduled'!A:A,'Pending Returns'!O:O,"NOT_FOUND")</f>
        <v>NOT_FOUND</v>
      </c>
    </row>
    <row r="82" spans="1:17" x14ac:dyDescent="0.3">
      <c r="A82" s="1">
        <v>46130</v>
      </c>
      <c r="B82" t="s">
        <v>224</v>
      </c>
      <c r="C82" t="s">
        <v>43</v>
      </c>
      <c r="D82" t="s">
        <v>44</v>
      </c>
      <c r="E82" t="s">
        <v>8</v>
      </c>
      <c r="F82" t="s">
        <v>38</v>
      </c>
      <c r="G82" s="16">
        <v>1302.94</v>
      </c>
      <c r="H82" s="16">
        <v>1498.3810000000001</v>
      </c>
      <c r="I82" s="1">
        <v>46130</v>
      </c>
      <c r="J82">
        <v>129</v>
      </c>
      <c r="K82" t="s">
        <v>1232</v>
      </c>
      <c r="L82" t="s">
        <v>1233</v>
      </c>
      <c r="M82">
        <v>115</v>
      </c>
      <c r="N82">
        <v>1</v>
      </c>
      <c r="O82" t="s">
        <v>1036</v>
      </c>
      <c r="P82" s="17"/>
      <c r="Q82" s="17" t="str">
        <f>_xlfn.XLOOKUP(Table2[[#This Row],[buyFromVendorNo]],'Next Day Scheduled'!A:A,'Pending Returns'!O:O,"NOT_FOUND")</f>
        <v>Posted Credit Note</v>
      </c>
    </row>
    <row r="83" spans="1:17" x14ac:dyDescent="0.3">
      <c r="A83" s="1">
        <v>46130</v>
      </c>
      <c r="B83" t="s">
        <v>1207</v>
      </c>
      <c r="C83" t="s">
        <v>329</v>
      </c>
      <c r="D83" t="s">
        <v>320</v>
      </c>
      <c r="E83" t="s">
        <v>8</v>
      </c>
      <c r="F83" t="s">
        <v>38</v>
      </c>
      <c r="G83" s="16">
        <v>277910</v>
      </c>
      <c r="H83" s="16">
        <v>319596.5</v>
      </c>
      <c r="I83" s="1">
        <v>46124</v>
      </c>
      <c r="J83">
        <v>129</v>
      </c>
      <c r="K83" t="s">
        <v>1230</v>
      </c>
      <c r="L83" t="s">
        <v>1231</v>
      </c>
      <c r="M83">
        <v>11</v>
      </c>
      <c r="N83">
        <v>2</v>
      </c>
      <c r="O83" t="s">
        <v>1036</v>
      </c>
      <c r="P83" s="17"/>
      <c r="Q83" s="17" t="str">
        <f>_xlfn.XLOOKUP(Table2[[#This Row],[buyFromVendorNo]],'Next Day Scheduled'!A:A,'Pending Returns'!O:O,"NOT_FOUND")</f>
        <v>NOT_FOUND</v>
      </c>
    </row>
    <row r="84" spans="1:17" x14ac:dyDescent="0.3">
      <c r="A84" s="1">
        <v>46131</v>
      </c>
      <c r="B84" t="s">
        <v>792</v>
      </c>
      <c r="C84" t="s">
        <v>65</v>
      </c>
      <c r="D84" t="s">
        <v>66</v>
      </c>
      <c r="E84" t="s">
        <v>8</v>
      </c>
      <c r="F84" t="s">
        <v>10</v>
      </c>
      <c r="G84" s="16">
        <v>2469.7507000000001</v>
      </c>
      <c r="H84" s="16">
        <v>2840.2134000000001</v>
      </c>
      <c r="I84" s="1">
        <v>46130</v>
      </c>
      <c r="J84">
        <v>128</v>
      </c>
      <c r="K84" t="s">
        <v>1260</v>
      </c>
      <c r="L84" t="s">
        <v>1261</v>
      </c>
      <c r="M84">
        <v>40</v>
      </c>
      <c r="N84">
        <v>5</v>
      </c>
      <c r="O84" t="s">
        <v>1036</v>
      </c>
      <c r="P84" s="17"/>
      <c r="Q84" s="17" t="str">
        <f>_xlfn.XLOOKUP(Table2[[#This Row],[buyFromVendorNo]],'Next Day Scheduled'!A:A,'Pending Returns'!O:O,"NOT_FOUND")</f>
        <v>Posted Credit Note</v>
      </c>
    </row>
    <row r="85" spans="1:17" x14ac:dyDescent="0.3">
      <c r="A85" s="1">
        <v>46131</v>
      </c>
      <c r="B85" t="s">
        <v>265</v>
      </c>
      <c r="C85" t="s">
        <v>191</v>
      </c>
      <c r="D85" t="s">
        <v>192</v>
      </c>
      <c r="E85" t="s">
        <v>8</v>
      </c>
      <c r="F85" t="s">
        <v>10</v>
      </c>
      <c r="G85" s="16">
        <v>7098.97</v>
      </c>
      <c r="H85" s="16">
        <v>8163.8154000000004</v>
      </c>
      <c r="I85" s="1">
        <v>46128</v>
      </c>
      <c r="J85">
        <v>128</v>
      </c>
      <c r="K85" t="s">
        <v>1237</v>
      </c>
      <c r="L85" t="s">
        <v>1238</v>
      </c>
      <c r="M85">
        <v>18</v>
      </c>
      <c r="N85">
        <v>3</v>
      </c>
      <c r="O85" t="s">
        <v>1036</v>
      </c>
      <c r="P85" s="17"/>
      <c r="Q85" s="17" t="str">
        <f>_xlfn.XLOOKUP(Table2[[#This Row],[buyFromVendorNo]],'Next Day Scheduled'!A:A,'Pending Returns'!O:O,"NOT_FOUND")</f>
        <v>NOT_FOUND</v>
      </c>
    </row>
    <row r="86" spans="1:17" x14ac:dyDescent="0.3">
      <c r="A86" s="1">
        <v>46131</v>
      </c>
      <c r="B86" t="s">
        <v>677</v>
      </c>
      <c r="C86" t="s">
        <v>65</v>
      </c>
      <c r="D86" t="s">
        <v>66</v>
      </c>
      <c r="E86" t="s">
        <v>8</v>
      </c>
      <c r="F86" t="s">
        <v>10</v>
      </c>
      <c r="G86" s="16">
        <v>2624.2048</v>
      </c>
      <c r="H86" s="16">
        <v>3017.8357000000001</v>
      </c>
      <c r="I86" s="1">
        <v>46130</v>
      </c>
      <c r="J86">
        <v>128</v>
      </c>
      <c r="K86" t="s">
        <v>1239</v>
      </c>
      <c r="L86" t="s">
        <v>1240</v>
      </c>
      <c r="M86">
        <v>40</v>
      </c>
      <c r="N86">
        <v>5</v>
      </c>
      <c r="O86" t="s">
        <v>1036</v>
      </c>
      <c r="P86" s="17"/>
      <c r="Q86" s="17" t="str">
        <f>_xlfn.XLOOKUP(Table2[[#This Row],[buyFromVendorNo]],'Next Day Scheduled'!A:A,'Pending Returns'!O:O,"NOT_FOUND")</f>
        <v>Posted Credit Note</v>
      </c>
    </row>
    <row r="87" spans="1:17" x14ac:dyDescent="0.3">
      <c r="A87" s="1">
        <v>46131</v>
      </c>
      <c r="B87" t="s">
        <v>257</v>
      </c>
      <c r="C87" t="s">
        <v>122</v>
      </c>
      <c r="D87" t="s">
        <v>123</v>
      </c>
      <c r="E87" t="s">
        <v>8</v>
      </c>
      <c r="F87" t="s">
        <v>10</v>
      </c>
      <c r="G87" s="16">
        <v>1227.75</v>
      </c>
      <c r="H87" s="16">
        <v>1411.9124999999999</v>
      </c>
      <c r="I87" s="1">
        <v>46130</v>
      </c>
      <c r="J87">
        <v>128</v>
      </c>
      <c r="K87" t="s">
        <v>1245</v>
      </c>
      <c r="L87" t="s">
        <v>1246</v>
      </c>
      <c r="M87">
        <v>40</v>
      </c>
      <c r="N87">
        <v>1</v>
      </c>
      <c r="O87" t="s">
        <v>1036</v>
      </c>
      <c r="P87" s="17"/>
      <c r="Q87" s="17" t="str">
        <f>_xlfn.XLOOKUP(Table2[[#This Row],[buyFromVendorNo]],'Next Day Scheduled'!A:A,'Pending Returns'!O:O,"NOT_FOUND")</f>
        <v>NOT_FOUND</v>
      </c>
    </row>
    <row r="88" spans="1:17" x14ac:dyDescent="0.3">
      <c r="A88" s="1">
        <v>46131</v>
      </c>
      <c r="B88" t="s">
        <v>611</v>
      </c>
      <c r="C88" t="s">
        <v>373</v>
      </c>
      <c r="D88" t="s">
        <v>374</v>
      </c>
      <c r="E88" t="s">
        <v>8</v>
      </c>
      <c r="F88" t="s">
        <v>10</v>
      </c>
      <c r="G88" s="16">
        <v>5995.5</v>
      </c>
      <c r="H88" s="16">
        <v>6894.8249999999998</v>
      </c>
      <c r="I88" s="1">
        <v>46124</v>
      </c>
      <c r="J88">
        <v>128</v>
      </c>
      <c r="K88" t="s">
        <v>1247</v>
      </c>
      <c r="L88" t="s">
        <v>1248</v>
      </c>
      <c r="M88">
        <v>9</v>
      </c>
      <c r="N88">
        <v>12</v>
      </c>
      <c r="O88" t="s">
        <v>1036</v>
      </c>
      <c r="P88" s="17"/>
      <c r="Q88" s="17" t="str">
        <f>_xlfn.XLOOKUP(Table2[[#This Row],[buyFromVendorNo]],'Next Day Scheduled'!A:A,'Pending Returns'!O:O,"NOT_FOUND")</f>
        <v>NOT_FOUND</v>
      </c>
    </row>
    <row r="89" spans="1:17" x14ac:dyDescent="0.3">
      <c r="A89" s="1">
        <v>46131</v>
      </c>
      <c r="B89" t="s">
        <v>277</v>
      </c>
      <c r="C89" t="s">
        <v>65</v>
      </c>
      <c r="D89" t="s">
        <v>66</v>
      </c>
      <c r="E89" t="s">
        <v>8</v>
      </c>
      <c r="F89" t="s">
        <v>10</v>
      </c>
      <c r="G89" s="16">
        <v>1864.0334</v>
      </c>
      <c r="H89" s="16">
        <v>2143.6383999999998</v>
      </c>
      <c r="I89" s="1">
        <v>46130</v>
      </c>
      <c r="J89">
        <v>128</v>
      </c>
      <c r="K89" t="s">
        <v>1274</v>
      </c>
      <c r="L89" t="s">
        <v>1275</v>
      </c>
      <c r="M89">
        <v>40</v>
      </c>
      <c r="N89">
        <v>5</v>
      </c>
      <c r="O89" t="s">
        <v>1036</v>
      </c>
      <c r="P89" s="17"/>
      <c r="Q89" s="17" t="str">
        <f>_xlfn.XLOOKUP(Table2[[#This Row],[buyFromVendorNo]],'Next Day Scheduled'!A:A,'Pending Returns'!O:O,"NOT_FOUND")</f>
        <v>Posted Credit Note</v>
      </c>
    </row>
    <row r="90" spans="1:17" x14ac:dyDescent="0.3">
      <c r="A90" s="1">
        <v>46131</v>
      </c>
      <c r="B90" t="s">
        <v>397</v>
      </c>
      <c r="C90" t="s">
        <v>1279</v>
      </c>
      <c r="D90" t="s">
        <v>1280</v>
      </c>
      <c r="E90" t="s">
        <v>8</v>
      </c>
      <c r="F90" t="s">
        <v>10</v>
      </c>
      <c r="G90" s="16">
        <v>3570</v>
      </c>
      <c r="H90" s="16">
        <v>4105.5</v>
      </c>
      <c r="I90" s="1">
        <v>46131</v>
      </c>
      <c r="J90">
        <v>128</v>
      </c>
      <c r="K90" t="s">
        <v>1281</v>
      </c>
      <c r="L90" t="s">
        <v>1282</v>
      </c>
      <c r="M90">
        <v>18</v>
      </c>
      <c r="N90">
        <v>3</v>
      </c>
      <c r="O90" t="s">
        <v>1036</v>
      </c>
      <c r="P90" s="17"/>
      <c r="Q90" s="17" t="str">
        <f>_xlfn.XLOOKUP(Table2[[#This Row],[buyFromVendorNo]],'Next Day Scheduled'!A:A,'Pending Returns'!O:O,"NOT_FOUND")</f>
        <v>NOT_FOUND</v>
      </c>
    </row>
    <row r="91" spans="1:17" x14ac:dyDescent="0.3">
      <c r="A91" s="1">
        <v>46131</v>
      </c>
      <c r="B91" t="s">
        <v>1264</v>
      </c>
      <c r="C91" t="s">
        <v>65</v>
      </c>
      <c r="D91" t="s">
        <v>66</v>
      </c>
      <c r="E91" t="s">
        <v>8</v>
      </c>
      <c r="F91" t="s">
        <v>10</v>
      </c>
      <c r="G91" s="16">
        <v>3585.2048</v>
      </c>
      <c r="H91" s="16">
        <v>4122.9859999999999</v>
      </c>
      <c r="I91" s="1">
        <v>46130</v>
      </c>
      <c r="J91">
        <v>128</v>
      </c>
      <c r="K91" t="s">
        <v>1265</v>
      </c>
      <c r="L91" t="s">
        <v>1266</v>
      </c>
      <c r="M91">
        <v>40</v>
      </c>
      <c r="N91">
        <v>5</v>
      </c>
      <c r="O91" t="s">
        <v>1036</v>
      </c>
      <c r="P91" s="17"/>
      <c r="Q91" s="17" t="str">
        <f>_xlfn.XLOOKUP(Table2[[#This Row],[buyFromVendorNo]],'Next Day Scheduled'!A:A,'Pending Returns'!O:O,"NOT_FOUND")</f>
        <v>Posted Credit Note</v>
      </c>
    </row>
    <row r="92" spans="1:17" x14ac:dyDescent="0.3">
      <c r="A92" s="1">
        <v>46131</v>
      </c>
      <c r="B92" t="s">
        <v>517</v>
      </c>
      <c r="C92" t="s">
        <v>191</v>
      </c>
      <c r="D92" t="s">
        <v>192</v>
      </c>
      <c r="E92" t="s">
        <v>8</v>
      </c>
      <c r="F92" t="s">
        <v>10</v>
      </c>
      <c r="G92" s="16">
        <v>10906.031000000001</v>
      </c>
      <c r="H92" s="16">
        <v>12541.937</v>
      </c>
      <c r="I92" s="1">
        <v>46128</v>
      </c>
      <c r="J92">
        <v>128</v>
      </c>
      <c r="K92" t="s">
        <v>1241</v>
      </c>
      <c r="L92" t="s">
        <v>1242</v>
      </c>
      <c r="M92">
        <v>18</v>
      </c>
      <c r="N92">
        <v>3</v>
      </c>
      <c r="O92" t="s">
        <v>1036</v>
      </c>
      <c r="P92" s="17"/>
      <c r="Q92" s="17" t="str">
        <f>_xlfn.XLOOKUP(Table2[[#This Row],[buyFromVendorNo]],'Next Day Scheduled'!A:A,'Pending Returns'!O:O,"NOT_FOUND")</f>
        <v>NOT_FOUND</v>
      </c>
    </row>
    <row r="93" spans="1:17" x14ac:dyDescent="0.3">
      <c r="A93" s="1">
        <v>46131</v>
      </c>
      <c r="B93" t="s">
        <v>268</v>
      </c>
      <c r="C93" t="s">
        <v>191</v>
      </c>
      <c r="D93" t="s">
        <v>192</v>
      </c>
      <c r="E93" t="s">
        <v>8</v>
      </c>
      <c r="F93" t="s">
        <v>10</v>
      </c>
      <c r="G93" s="16">
        <v>8299.34</v>
      </c>
      <c r="H93" s="16">
        <v>9544.241</v>
      </c>
      <c r="I93" s="1">
        <v>46128</v>
      </c>
      <c r="J93">
        <v>128</v>
      </c>
      <c r="K93" t="s">
        <v>1243</v>
      </c>
      <c r="L93" t="s">
        <v>1244</v>
      </c>
      <c r="M93">
        <v>18</v>
      </c>
      <c r="N93">
        <v>3</v>
      </c>
      <c r="O93" t="s">
        <v>1036</v>
      </c>
      <c r="P93" s="17"/>
      <c r="Q93" s="17" t="str">
        <f>_xlfn.XLOOKUP(Table2[[#This Row],[buyFromVendorNo]],'Next Day Scheduled'!A:A,'Pending Returns'!O:O,"NOT_FOUND")</f>
        <v>NOT_FOUND</v>
      </c>
    </row>
    <row r="94" spans="1:17" x14ac:dyDescent="0.3">
      <c r="A94" s="1">
        <v>46131</v>
      </c>
      <c r="B94" t="s">
        <v>907</v>
      </c>
      <c r="C94" t="s">
        <v>65</v>
      </c>
      <c r="D94" t="s">
        <v>66</v>
      </c>
      <c r="E94" t="s">
        <v>8</v>
      </c>
      <c r="F94" t="s">
        <v>10</v>
      </c>
      <c r="G94" s="16">
        <v>3986.5576000000001</v>
      </c>
      <c r="H94" s="16">
        <v>4584.5415000000003</v>
      </c>
      <c r="I94" s="1">
        <v>46130</v>
      </c>
      <c r="J94">
        <v>128</v>
      </c>
      <c r="K94" t="s">
        <v>1272</v>
      </c>
      <c r="L94" t="s">
        <v>1273</v>
      </c>
      <c r="M94">
        <v>40</v>
      </c>
      <c r="N94">
        <v>5</v>
      </c>
      <c r="O94" t="s">
        <v>1036</v>
      </c>
      <c r="P94" s="17"/>
      <c r="Q94" s="17" t="str">
        <f>_xlfn.XLOOKUP(Table2[[#This Row],[buyFromVendorNo]],'Next Day Scheduled'!A:A,'Pending Returns'!O:O,"NOT_FOUND")</f>
        <v>Posted Credit Note</v>
      </c>
    </row>
    <row r="95" spans="1:17" x14ac:dyDescent="0.3">
      <c r="A95" s="1">
        <v>46131</v>
      </c>
      <c r="B95" t="s">
        <v>1249</v>
      </c>
      <c r="C95" t="s">
        <v>199</v>
      </c>
      <c r="D95" t="s">
        <v>200</v>
      </c>
      <c r="E95" t="s">
        <v>8</v>
      </c>
      <c r="F95" t="s">
        <v>10</v>
      </c>
      <c r="G95" s="16">
        <v>1258.8</v>
      </c>
      <c r="H95" s="16">
        <v>1447.62</v>
      </c>
      <c r="I95" s="1">
        <v>46125</v>
      </c>
      <c r="J95">
        <v>128</v>
      </c>
      <c r="K95" t="s">
        <v>1250</v>
      </c>
      <c r="L95" t="s">
        <v>1251</v>
      </c>
      <c r="M95">
        <v>18</v>
      </c>
      <c r="N95">
        <v>6</v>
      </c>
      <c r="O95" t="s">
        <v>1036</v>
      </c>
      <c r="P95" s="17"/>
      <c r="Q95" s="17" t="str">
        <f>_xlfn.XLOOKUP(Table2[[#This Row],[buyFromVendorNo]],'Next Day Scheduled'!A:A,'Pending Returns'!O:O,"NOT_FOUND")</f>
        <v>NOT_FOUND</v>
      </c>
    </row>
    <row r="96" spans="1:17" x14ac:dyDescent="0.3">
      <c r="A96" s="1">
        <v>46131</v>
      </c>
      <c r="B96" t="s">
        <v>606</v>
      </c>
      <c r="C96" t="s">
        <v>199</v>
      </c>
      <c r="D96" t="s">
        <v>200</v>
      </c>
      <c r="E96" t="s">
        <v>8</v>
      </c>
      <c r="F96" t="s">
        <v>10</v>
      </c>
      <c r="G96" s="16">
        <v>1204.5999999999999</v>
      </c>
      <c r="H96" s="16">
        <v>1385.29</v>
      </c>
      <c r="I96" s="1">
        <v>46125</v>
      </c>
      <c r="J96">
        <v>128</v>
      </c>
      <c r="K96" t="s">
        <v>1252</v>
      </c>
      <c r="L96" t="s">
        <v>1253</v>
      </c>
      <c r="M96">
        <v>18</v>
      </c>
      <c r="N96">
        <v>6</v>
      </c>
      <c r="O96" t="s">
        <v>1036</v>
      </c>
      <c r="P96" s="17"/>
      <c r="Q96" s="17" t="str">
        <f>_xlfn.XLOOKUP(Table2[[#This Row],[buyFromVendorNo]],'Next Day Scheduled'!A:A,'Pending Returns'!O:O,"NOT_FOUND")</f>
        <v>NOT_FOUND</v>
      </c>
    </row>
    <row r="97" spans="1:17" x14ac:dyDescent="0.3">
      <c r="A97" s="1">
        <v>46131</v>
      </c>
      <c r="B97" t="s">
        <v>909</v>
      </c>
      <c r="C97" t="s">
        <v>65</v>
      </c>
      <c r="D97" t="s">
        <v>66</v>
      </c>
      <c r="E97" t="s">
        <v>8</v>
      </c>
      <c r="F97" t="s">
        <v>10</v>
      </c>
      <c r="G97" s="16">
        <v>2881.8674000000001</v>
      </c>
      <c r="H97" s="16">
        <v>3314.1475</v>
      </c>
      <c r="I97" s="1">
        <v>46130</v>
      </c>
      <c r="J97">
        <v>128</v>
      </c>
      <c r="K97" t="s">
        <v>1270</v>
      </c>
      <c r="L97" t="s">
        <v>1271</v>
      </c>
      <c r="M97">
        <v>40</v>
      </c>
      <c r="N97">
        <v>5</v>
      </c>
      <c r="O97" t="s">
        <v>1036</v>
      </c>
      <c r="P97" s="17"/>
      <c r="Q97" s="17" t="str">
        <f>_xlfn.XLOOKUP(Table2[[#This Row],[buyFromVendorNo]],'Next Day Scheduled'!A:A,'Pending Returns'!O:O,"NOT_FOUND")</f>
        <v>Posted Credit Note</v>
      </c>
    </row>
    <row r="98" spans="1:17" x14ac:dyDescent="0.3">
      <c r="A98" s="1">
        <v>46131</v>
      </c>
      <c r="B98" t="s">
        <v>605</v>
      </c>
      <c r="C98" t="s">
        <v>1279</v>
      </c>
      <c r="D98" t="s">
        <v>1280</v>
      </c>
      <c r="E98" t="s">
        <v>8</v>
      </c>
      <c r="F98" t="s">
        <v>10</v>
      </c>
      <c r="G98" s="16">
        <v>4353</v>
      </c>
      <c r="H98" s="16">
        <v>5005.95</v>
      </c>
      <c r="I98" s="1">
        <v>46131</v>
      </c>
      <c r="J98">
        <v>128</v>
      </c>
      <c r="K98" t="s">
        <v>1287</v>
      </c>
      <c r="L98" t="s">
        <v>1288</v>
      </c>
      <c r="M98">
        <v>18</v>
      </c>
      <c r="N98">
        <v>3</v>
      </c>
      <c r="O98" t="s">
        <v>1036</v>
      </c>
      <c r="P98" s="17"/>
      <c r="Q98" s="17" t="str">
        <f>_xlfn.XLOOKUP(Table2[[#This Row],[buyFromVendorNo]],'Next Day Scheduled'!A:A,'Pending Returns'!O:O,"NOT_FOUND")</f>
        <v>NOT_FOUND</v>
      </c>
    </row>
    <row r="99" spans="1:17" x14ac:dyDescent="0.3">
      <c r="A99" s="1">
        <v>46131</v>
      </c>
      <c r="B99" t="s">
        <v>257</v>
      </c>
      <c r="C99" t="s">
        <v>373</v>
      </c>
      <c r="D99" t="s">
        <v>374</v>
      </c>
      <c r="E99" t="s">
        <v>8</v>
      </c>
      <c r="F99" t="s">
        <v>10</v>
      </c>
      <c r="G99" s="16">
        <v>1142.3900000000001</v>
      </c>
      <c r="H99" s="16">
        <v>1313.7484999999999</v>
      </c>
      <c r="I99" s="1">
        <v>46124</v>
      </c>
      <c r="J99">
        <v>128</v>
      </c>
      <c r="K99" t="s">
        <v>1256</v>
      </c>
      <c r="L99" t="s">
        <v>1257</v>
      </c>
      <c r="M99">
        <v>9</v>
      </c>
      <c r="N99">
        <v>12</v>
      </c>
      <c r="O99" t="s">
        <v>1036</v>
      </c>
      <c r="P99" s="17"/>
      <c r="Q99" s="17" t="str">
        <f>_xlfn.XLOOKUP(Table2[[#This Row],[buyFromVendorNo]],'Next Day Scheduled'!A:A,'Pending Returns'!O:O,"NOT_FOUND")</f>
        <v>NOT_FOUND</v>
      </c>
    </row>
    <row r="100" spans="1:17" x14ac:dyDescent="0.3">
      <c r="A100" s="1">
        <v>46131</v>
      </c>
      <c r="B100" t="s">
        <v>257</v>
      </c>
      <c r="C100" t="s">
        <v>122</v>
      </c>
      <c r="D100" t="s">
        <v>123</v>
      </c>
      <c r="E100" t="s">
        <v>8</v>
      </c>
      <c r="F100" t="s">
        <v>10</v>
      </c>
      <c r="G100" s="16">
        <v>1283</v>
      </c>
      <c r="H100" s="16">
        <v>1475.45</v>
      </c>
      <c r="I100" s="1">
        <v>46130</v>
      </c>
      <c r="J100">
        <v>128</v>
      </c>
      <c r="K100" t="s">
        <v>1258</v>
      </c>
      <c r="L100" t="s">
        <v>1259</v>
      </c>
      <c r="M100">
        <v>40</v>
      </c>
      <c r="N100">
        <v>1</v>
      </c>
      <c r="O100" t="s">
        <v>1036</v>
      </c>
      <c r="P100" s="17"/>
      <c r="Q100" s="17" t="str">
        <f>_xlfn.XLOOKUP(Table2[[#This Row],[buyFromVendorNo]],'Next Day Scheduled'!A:A,'Pending Returns'!O:O,"NOT_FOUND")</f>
        <v>NOT_FOUND</v>
      </c>
    </row>
    <row r="101" spans="1:17" x14ac:dyDescent="0.3">
      <c r="A101" s="1">
        <v>46131</v>
      </c>
      <c r="B101" t="s">
        <v>533</v>
      </c>
      <c r="C101" t="s">
        <v>65</v>
      </c>
      <c r="D101" t="s">
        <v>66</v>
      </c>
      <c r="E101" t="s">
        <v>8</v>
      </c>
      <c r="F101" t="s">
        <v>10</v>
      </c>
      <c r="G101" s="16">
        <v>3316.0014999999999</v>
      </c>
      <c r="H101" s="16">
        <v>3813.4018999999998</v>
      </c>
      <c r="I101" s="1">
        <v>46130</v>
      </c>
      <c r="J101">
        <v>128</v>
      </c>
      <c r="K101" t="s">
        <v>1262</v>
      </c>
      <c r="L101" t="s">
        <v>1263</v>
      </c>
      <c r="M101">
        <v>40</v>
      </c>
      <c r="N101">
        <v>5</v>
      </c>
      <c r="O101" t="s">
        <v>1036</v>
      </c>
      <c r="P101" s="17"/>
      <c r="Q101" s="17" t="str">
        <f>_xlfn.XLOOKUP(Table2[[#This Row],[buyFromVendorNo]],'Next Day Scheduled'!A:A,'Pending Returns'!O:O,"NOT_FOUND")</f>
        <v>Posted Credit Note</v>
      </c>
    </row>
    <row r="102" spans="1:17" x14ac:dyDescent="0.3">
      <c r="A102" s="1">
        <v>46131</v>
      </c>
      <c r="B102" t="s">
        <v>1276</v>
      </c>
      <c r="C102" t="s">
        <v>191</v>
      </c>
      <c r="D102" t="s">
        <v>192</v>
      </c>
      <c r="E102" t="s">
        <v>8</v>
      </c>
      <c r="F102" t="s">
        <v>10</v>
      </c>
      <c r="G102" s="16">
        <v>8493.34</v>
      </c>
      <c r="H102" s="16">
        <v>9767.3410000000003</v>
      </c>
      <c r="I102" s="1">
        <v>46128</v>
      </c>
      <c r="J102">
        <v>128</v>
      </c>
      <c r="K102" t="s">
        <v>1277</v>
      </c>
      <c r="L102" t="s">
        <v>1278</v>
      </c>
      <c r="M102">
        <v>18</v>
      </c>
      <c r="N102">
        <v>3</v>
      </c>
      <c r="O102" t="s">
        <v>1036</v>
      </c>
      <c r="P102" s="17"/>
      <c r="Q102" s="17" t="str">
        <f>_xlfn.XLOOKUP(Table2[[#This Row],[buyFromVendorNo]],'Next Day Scheduled'!A:A,'Pending Returns'!O:O,"NOT_FOUND")</f>
        <v>NOT_FOUND</v>
      </c>
    </row>
    <row r="103" spans="1:17" x14ac:dyDescent="0.3">
      <c r="A103" s="1">
        <v>46131</v>
      </c>
      <c r="B103" t="s">
        <v>1234</v>
      </c>
      <c r="C103" t="s">
        <v>199</v>
      </c>
      <c r="D103" t="s">
        <v>200</v>
      </c>
      <c r="E103" t="s">
        <v>8</v>
      </c>
      <c r="F103" t="s">
        <v>10</v>
      </c>
      <c r="G103" s="16">
        <v>1049.9000000000001</v>
      </c>
      <c r="H103" s="16">
        <v>1207.385</v>
      </c>
      <c r="I103" s="1">
        <v>46125</v>
      </c>
      <c r="J103">
        <v>128</v>
      </c>
      <c r="K103" t="s">
        <v>1235</v>
      </c>
      <c r="L103" t="s">
        <v>1236</v>
      </c>
      <c r="M103">
        <v>18</v>
      </c>
      <c r="N103">
        <v>6</v>
      </c>
      <c r="O103" t="s">
        <v>1036</v>
      </c>
      <c r="P103" s="17"/>
      <c r="Q103" s="17" t="str">
        <f>_xlfn.XLOOKUP(Table2[[#This Row],[buyFromVendorNo]],'Next Day Scheduled'!A:A,'Pending Returns'!O:O,"NOT_FOUND")</f>
        <v>NOT_FOUND</v>
      </c>
    </row>
    <row r="104" spans="1:17" x14ac:dyDescent="0.3">
      <c r="A104" s="1">
        <v>46131</v>
      </c>
      <c r="B104" t="s">
        <v>1267</v>
      </c>
      <c r="C104" t="s">
        <v>122</v>
      </c>
      <c r="D104" t="s">
        <v>123</v>
      </c>
      <c r="E104" t="s">
        <v>8</v>
      </c>
      <c r="F104" t="s">
        <v>10</v>
      </c>
      <c r="G104" s="16">
        <v>1334</v>
      </c>
      <c r="H104" s="16">
        <v>1534.1</v>
      </c>
      <c r="I104" s="1">
        <v>46130</v>
      </c>
      <c r="J104">
        <v>128</v>
      </c>
      <c r="K104" t="s">
        <v>1268</v>
      </c>
      <c r="L104" t="s">
        <v>1269</v>
      </c>
      <c r="M104">
        <v>40</v>
      </c>
      <c r="N104">
        <v>1</v>
      </c>
      <c r="O104" t="s">
        <v>1036</v>
      </c>
      <c r="P104" s="17"/>
      <c r="Q104" s="17" t="str">
        <f>_xlfn.XLOOKUP(Table2[[#This Row],[buyFromVendorNo]],'Next Day Scheduled'!A:A,'Pending Returns'!O:O,"NOT_FOUND")</f>
        <v>NOT_FOUND</v>
      </c>
    </row>
    <row r="105" spans="1:17" x14ac:dyDescent="0.3">
      <c r="A105" s="1">
        <v>46131</v>
      </c>
      <c r="B105" t="s">
        <v>220</v>
      </c>
      <c r="C105" t="s">
        <v>1283</v>
      </c>
      <c r="D105" t="s">
        <v>1284</v>
      </c>
      <c r="E105" t="s">
        <v>8</v>
      </c>
      <c r="F105" t="s">
        <v>10</v>
      </c>
      <c r="G105" s="16">
        <v>71478</v>
      </c>
      <c r="H105" s="16">
        <v>82199.7</v>
      </c>
      <c r="I105" s="1">
        <v>46120</v>
      </c>
      <c r="J105">
        <v>128</v>
      </c>
      <c r="K105" t="s">
        <v>1285</v>
      </c>
      <c r="L105" t="s">
        <v>1286</v>
      </c>
      <c r="M105">
        <v>0</v>
      </c>
      <c r="N105">
        <v>408</v>
      </c>
      <c r="O105" t="s">
        <v>1036</v>
      </c>
      <c r="P105" s="17"/>
      <c r="Q105" s="17" t="str">
        <f>_xlfn.XLOOKUP(Table2[[#This Row],[buyFromVendorNo]],'Next Day Scheduled'!A:A,'Pending Returns'!O:O,"NOT_FOUND")</f>
        <v>NOT_FOUND</v>
      </c>
    </row>
    <row r="106" spans="1:17" x14ac:dyDescent="0.3">
      <c r="A106" s="1">
        <v>46131</v>
      </c>
      <c r="B106" t="s">
        <v>257</v>
      </c>
      <c r="C106" t="s">
        <v>199</v>
      </c>
      <c r="D106" t="s">
        <v>200</v>
      </c>
      <c r="E106" t="s">
        <v>8</v>
      </c>
      <c r="F106" t="s">
        <v>10</v>
      </c>
      <c r="G106" s="16">
        <v>761.4</v>
      </c>
      <c r="H106" s="16">
        <v>875.61</v>
      </c>
      <c r="I106" s="1">
        <v>46125</v>
      </c>
      <c r="J106">
        <v>128</v>
      </c>
      <c r="K106" t="s">
        <v>1254</v>
      </c>
      <c r="L106" t="s">
        <v>1255</v>
      </c>
      <c r="M106">
        <v>18</v>
      </c>
      <c r="N106">
        <v>6</v>
      </c>
      <c r="O106" t="s">
        <v>1036</v>
      </c>
      <c r="P106" s="17"/>
      <c r="Q106" s="17" t="str">
        <f>_xlfn.XLOOKUP(Table2[[#This Row],[buyFromVendorNo]],'Next Day Scheduled'!A:A,'Pending Returns'!O:O,"NOT_FOUND")</f>
        <v>NOT_FOUND</v>
      </c>
    </row>
    <row r="107" spans="1:17" x14ac:dyDescent="0.3">
      <c r="A107" s="1">
        <v>46132</v>
      </c>
      <c r="B107" t="s">
        <v>220</v>
      </c>
      <c r="C107" t="s">
        <v>79</v>
      </c>
      <c r="D107" t="s">
        <v>80</v>
      </c>
      <c r="E107" t="s">
        <v>8</v>
      </c>
      <c r="F107" t="s">
        <v>10</v>
      </c>
      <c r="G107" s="16">
        <v>9419.4529999999995</v>
      </c>
      <c r="H107" s="16">
        <v>10832.370999999999</v>
      </c>
      <c r="I107" s="1">
        <v>46114</v>
      </c>
      <c r="J107">
        <v>127</v>
      </c>
      <c r="K107" t="s">
        <v>1296</v>
      </c>
      <c r="L107" t="s">
        <v>1297</v>
      </c>
      <c r="M107">
        <v>14</v>
      </c>
      <c r="N107">
        <v>2</v>
      </c>
      <c r="O107" t="s">
        <v>1036</v>
      </c>
      <c r="P107" s="17"/>
      <c r="Q107" s="17" t="str">
        <f>_xlfn.XLOOKUP(Table2[[#This Row],[buyFromVendorNo]],'Next Day Scheduled'!A:A,'Pending Returns'!O:O,"NOT_FOUND")</f>
        <v>NOT_FOUND</v>
      </c>
    </row>
    <row r="108" spans="1:17" x14ac:dyDescent="0.3">
      <c r="A108" s="1">
        <v>46132</v>
      </c>
      <c r="B108" t="s">
        <v>220</v>
      </c>
      <c r="C108" t="s">
        <v>75</v>
      </c>
      <c r="D108" t="s">
        <v>76</v>
      </c>
      <c r="E108" t="s">
        <v>8</v>
      </c>
      <c r="F108" t="s">
        <v>10</v>
      </c>
      <c r="G108" s="16">
        <v>1268.0554999999999</v>
      </c>
      <c r="H108" s="16">
        <v>1458.2638999999999</v>
      </c>
      <c r="I108" s="1">
        <v>46113</v>
      </c>
      <c r="J108">
        <v>127</v>
      </c>
      <c r="K108" t="s">
        <v>1292</v>
      </c>
      <c r="L108" t="s">
        <v>1293</v>
      </c>
      <c r="M108">
        <v>15</v>
      </c>
      <c r="N108">
        <v>5</v>
      </c>
      <c r="O108" t="s">
        <v>1036</v>
      </c>
      <c r="P108" s="17"/>
      <c r="Q108" s="17" t="str">
        <f>_xlfn.XLOOKUP(Table2[[#This Row],[buyFromVendorNo]],'Next Day Scheduled'!A:A,'Pending Returns'!O:O,"NOT_FOUND")</f>
        <v>Posted Credit Note</v>
      </c>
    </row>
    <row r="109" spans="1:17" x14ac:dyDescent="0.3">
      <c r="A109" s="1">
        <v>46132</v>
      </c>
      <c r="B109" t="s">
        <v>257</v>
      </c>
      <c r="C109" t="s">
        <v>566</v>
      </c>
      <c r="D109" t="s">
        <v>590</v>
      </c>
      <c r="E109" t="s">
        <v>8</v>
      </c>
      <c r="F109" t="s">
        <v>10</v>
      </c>
      <c r="G109" s="16">
        <v>1182.875</v>
      </c>
      <c r="H109" s="16">
        <v>1360.3063</v>
      </c>
      <c r="I109" s="1">
        <v>46128</v>
      </c>
      <c r="J109">
        <v>127</v>
      </c>
      <c r="K109" t="s">
        <v>1305</v>
      </c>
      <c r="L109" t="s">
        <v>1306</v>
      </c>
      <c r="M109">
        <v>17</v>
      </c>
      <c r="N109">
        <v>1</v>
      </c>
      <c r="O109" t="s">
        <v>1036</v>
      </c>
      <c r="P109" s="17"/>
      <c r="Q109" s="17" t="str">
        <f>_xlfn.XLOOKUP(Table2[[#This Row],[buyFromVendorNo]],'Next Day Scheduled'!A:A,'Pending Returns'!O:O,"NOT_FOUND")</f>
        <v>NOT_FOUND</v>
      </c>
    </row>
    <row r="110" spans="1:17" x14ac:dyDescent="0.3">
      <c r="A110" s="1">
        <v>46132</v>
      </c>
      <c r="B110" t="s">
        <v>442</v>
      </c>
      <c r="C110" t="s">
        <v>75</v>
      </c>
      <c r="D110" t="s">
        <v>76</v>
      </c>
      <c r="E110" t="s">
        <v>8</v>
      </c>
      <c r="F110" t="s">
        <v>38</v>
      </c>
      <c r="G110" s="16">
        <v>2519.9992999999999</v>
      </c>
      <c r="H110" s="16">
        <v>2897.9989999999998</v>
      </c>
      <c r="I110" s="1">
        <v>46113</v>
      </c>
      <c r="J110">
        <v>127</v>
      </c>
      <c r="K110" t="s">
        <v>1294</v>
      </c>
      <c r="L110" t="s">
        <v>1295</v>
      </c>
      <c r="M110">
        <v>16</v>
      </c>
      <c r="N110">
        <v>5</v>
      </c>
      <c r="O110" t="s">
        <v>1036</v>
      </c>
      <c r="P110" s="17"/>
      <c r="Q110" s="17" t="str">
        <f>_xlfn.XLOOKUP(Table2[[#This Row],[buyFromVendorNo]],'Next Day Scheduled'!A:A,'Pending Returns'!O:O,"NOT_FOUND")</f>
        <v>Posted Credit Note</v>
      </c>
    </row>
    <row r="111" spans="1:17" x14ac:dyDescent="0.3">
      <c r="A111" s="1">
        <v>46132</v>
      </c>
      <c r="B111" t="s">
        <v>220</v>
      </c>
      <c r="C111" t="s">
        <v>301</v>
      </c>
      <c r="D111" t="s">
        <v>370</v>
      </c>
      <c r="E111" t="s">
        <v>8</v>
      </c>
      <c r="F111" t="s">
        <v>10</v>
      </c>
      <c r="G111" s="16">
        <v>27</v>
      </c>
      <c r="H111" s="16">
        <v>31.05</v>
      </c>
      <c r="I111" s="1">
        <v>46132</v>
      </c>
      <c r="J111">
        <v>127</v>
      </c>
      <c r="K111" t="s">
        <v>1307</v>
      </c>
      <c r="L111" t="s">
        <v>1308</v>
      </c>
      <c r="M111">
        <v>38</v>
      </c>
      <c r="N111">
        <v>5</v>
      </c>
      <c r="O111" t="s">
        <v>1036</v>
      </c>
      <c r="P111" s="17"/>
      <c r="Q111" s="17" t="str">
        <f>_xlfn.XLOOKUP(Table2[[#This Row],[buyFromVendorNo]],'Next Day Scheduled'!A:A,'Pending Returns'!O:O,"NOT_FOUND")</f>
        <v>NOT_FOUND</v>
      </c>
    </row>
    <row r="112" spans="1:17" x14ac:dyDescent="0.3">
      <c r="A112" s="1">
        <v>46132</v>
      </c>
      <c r="B112" t="s">
        <v>1289</v>
      </c>
      <c r="C112" t="s">
        <v>43</v>
      </c>
      <c r="D112" t="s">
        <v>44</v>
      </c>
      <c r="E112" t="s">
        <v>8</v>
      </c>
      <c r="F112" t="s">
        <v>38</v>
      </c>
      <c r="G112" s="16">
        <v>5947.99</v>
      </c>
      <c r="H112" s="16">
        <v>6840.1885000000002</v>
      </c>
      <c r="I112" s="1">
        <v>46132</v>
      </c>
      <c r="J112">
        <v>127</v>
      </c>
      <c r="K112" t="s">
        <v>1290</v>
      </c>
      <c r="L112" t="s">
        <v>1291</v>
      </c>
      <c r="M112">
        <v>113</v>
      </c>
      <c r="N112">
        <v>1</v>
      </c>
      <c r="O112" t="s">
        <v>1036</v>
      </c>
      <c r="P112" s="17"/>
      <c r="Q112" s="17" t="str">
        <f>_xlfn.XLOOKUP(Table2[[#This Row],[buyFromVendorNo]],'Next Day Scheduled'!A:A,'Pending Returns'!O:O,"NOT_FOUND")</f>
        <v>Posted Credit Note</v>
      </c>
    </row>
    <row r="113" spans="1:17" x14ac:dyDescent="0.3">
      <c r="A113" s="1">
        <v>46132</v>
      </c>
      <c r="B113" t="s">
        <v>220</v>
      </c>
      <c r="C113" t="s">
        <v>75</v>
      </c>
      <c r="D113" t="s">
        <v>76</v>
      </c>
      <c r="E113" t="s">
        <v>8</v>
      </c>
      <c r="F113" t="s">
        <v>10</v>
      </c>
      <c r="G113" s="16">
        <v>1663.0953</v>
      </c>
      <c r="H113" s="16">
        <v>1912.5597</v>
      </c>
      <c r="I113" s="1">
        <v>46113</v>
      </c>
      <c r="J113">
        <v>127</v>
      </c>
      <c r="K113" t="s">
        <v>1301</v>
      </c>
      <c r="L113" t="s">
        <v>1302</v>
      </c>
      <c r="M113">
        <v>15</v>
      </c>
      <c r="N113">
        <v>5</v>
      </c>
      <c r="O113" t="s">
        <v>1036</v>
      </c>
      <c r="P113" s="17"/>
      <c r="Q113" s="17" t="str">
        <f>_xlfn.XLOOKUP(Table2[[#This Row],[buyFromVendorNo]],'Next Day Scheduled'!A:A,'Pending Returns'!O:O,"NOT_FOUND")</f>
        <v>Posted Credit Note</v>
      </c>
    </row>
    <row r="114" spans="1:17" x14ac:dyDescent="0.3">
      <c r="A114" s="1">
        <v>46132</v>
      </c>
      <c r="B114" t="s">
        <v>1298</v>
      </c>
      <c r="C114" t="s">
        <v>880</v>
      </c>
      <c r="D114" t="s">
        <v>881</v>
      </c>
      <c r="E114" t="s">
        <v>8</v>
      </c>
      <c r="F114" t="s">
        <v>10</v>
      </c>
      <c r="G114" s="16">
        <v>706.72</v>
      </c>
      <c r="H114" s="16">
        <v>812.72799999999995</v>
      </c>
      <c r="I114" s="1">
        <v>46132</v>
      </c>
      <c r="J114">
        <v>127</v>
      </c>
      <c r="K114" t="s">
        <v>1299</v>
      </c>
      <c r="L114" t="s">
        <v>1300</v>
      </c>
      <c r="M114">
        <v>9</v>
      </c>
      <c r="N114">
        <v>13</v>
      </c>
      <c r="O114" t="s">
        <v>1036</v>
      </c>
      <c r="P114" s="17"/>
      <c r="Q114" s="17" t="str">
        <f>_xlfn.XLOOKUP(Table2[[#This Row],[buyFromVendorNo]],'Next Day Scheduled'!A:A,'Pending Returns'!O:O,"NOT_FOUND")</f>
        <v>NOT_FOUND</v>
      </c>
    </row>
    <row r="115" spans="1:17" x14ac:dyDescent="0.3">
      <c r="A115" s="1">
        <v>46132</v>
      </c>
      <c r="B115" t="s">
        <v>273</v>
      </c>
      <c r="C115" t="s">
        <v>618</v>
      </c>
      <c r="D115" t="s">
        <v>619</v>
      </c>
      <c r="E115" t="s">
        <v>8</v>
      </c>
      <c r="F115" t="s">
        <v>38</v>
      </c>
      <c r="G115" s="16">
        <v>17.816739999999999</v>
      </c>
      <c r="H115" s="16">
        <v>17.816739999999999</v>
      </c>
      <c r="I115" s="1">
        <v>46127</v>
      </c>
      <c r="J115">
        <v>127</v>
      </c>
      <c r="K115" t="s">
        <v>1303</v>
      </c>
      <c r="L115" t="s">
        <v>1304</v>
      </c>
      <c r="M115">
        <v>127</v>
      </c>
      <c r="N115">
        <v>0</v>
      </c>
      <c r="O115" t="s">
        <v>1036</v>
      </c>
      <c r="P115" s="17"/>
      <c r="Q115" s="17" t="str">
        <f>_xlfn.XLOOKUP(Table2[[#This Row],[buyFromVendorNo]],'Next Day Scheduled'!A:A,'Pending Returns'!O:O,"NOT_FOUND")</f>
        <v>NOT_FOUND</v>
      </c>
    </row>
    <row r="116" spans="1:17" x14ac:dyDescent="0.3">
      <c r="A116" s="1">
        <v>46132</v>
      </c>
      <c r="B116" t="s">
        <v>442</v>
      </c>
      <c r="C116" t="s">
        <v>75</v>
      </c>
      <c r="D116" t="s">
        <v>76</v>
      </c>
      <c r="E116" t="s">
        <v>8</v>
      </c>
      <c r="F116" t="s">
        <v>38</v>
      </c>
      <c r="G116" s="16">
        <v>3489.9992999999999</v>
      </c>
      <c r="H116" s="16">
        <v>4013.4989999999998</v>
      </c>
      <c r="I116" s="1">
        <v>46113</v>
      </c>
      <c r="J116">
        <v>127</v>
      </c>
      <c r="K116" t="s">
        <v>1309</v>
      </c>
      <c r="L116" t="s">
        <v>1310</v>
      </c>
      <c r="M116">
        <v>16</v>
      </c>
      <c r="N116">
        <v>5</v>
      </c>
      <c r="O116" t="s">
        <v>1036</v>
      </c>
      <c r="P116" s="17"/>
      <c r="Q116" s="17" t="str">
        <f>_xlfn.XLOOKUP(Table2[[#This Row],[buyFromVendorNo]],'Next Day Scheduled'!A:A,'Pending Returns'!O:O,"NOT_FOUND")</f>
        <v>Posted Credit Note</v>
      </c>
    </row>
    <row r="117" spans="1:17" x14ac:dyDescent="0.3">
      <c r="A117" s="1">
        <v>46133</v>
      </c>
      <c r="B117" t="s">
        <v>1322</v>
      </c>
      <c r="C117" t="s">
        <v>79</v>
      </c>
      <c r="D117" t="s">
        <v>80</v>
      </c>
      <c r="E117" t="s">
        <v>8</v>
      </c>
      <c r="F117" t="s">
        <v>10</v>
      </c>
      <c r="G117" s="16">
        <v>7935.0550000000003</v>
      </c>
      <c r="H117" s="16">
        <v>9125.3130000000001</v>
      </c>
      <c r="I117" s="1">
        <v>46114</v>
      </c>
      <c r="J117">
        <v>126</v>
      </c>
      <c r="K117" t="s">
        <v>1323</v>
      </c>
      <c r="L117" t="s">
        <v>1324</v>
      </c>
      <c r="M117">
        <v>14</v>
      </c>
      <c r="N117">
        <v>2</v>
      </c>
      <c r="O117" t="s">
        <v>1036</v>
      </c>
      <c r="P117" s="17"/>
      <c r="Q117" s="17" t="str">
        <f>_xlfn.XLOOKUP(Table2[[#This Row],[buyFromVendorNo]],'Next Day Scheduled'!A:A,'Pending Returns'!O:O,"NOT_FOUND")</f>
        <v>NOT_FOUND</v>
      </c>
    </row>
    <row r="118" spans="1:17" x14ac:dyDescent="0.3">
      <c r="A118" s="1">
        <v>46133</v>
      </c>
      <c r="B118" t="s">
        <v>1319</v>
      </c>
      <c r="C118" t="s">
        <v>567</v>
      </c>
      <c r="D118" t="s">
        <v>568</v>
      </c>
      <c r="E118" t="s">
        <v>8</v>
      </c>
      <c r="F118" t="s">
        <v>10</v>
      </c>
      <c r="G118" s="16">
        <v>10451.532999999999</v>
      </c>
      <c r="H118" s="16">
        <v>12019.263000000001</v>
      </c>
      <c r="I118" s="1">
        <v>46131</v>
      </c>
      <c r="J118">
        <v>126</v>
      </c>
      <c r="K118" t="s">
        <v>1320</v>
      </c>
      <c r="L118" t="s">
        <v>1321</v>
      </c>
      <c r="M118">
        <v>19</v>
      </c>
      <c r="N118">
        <v>1</v>
      </c>
      <c r="O118" t="s">
        <v>1036</v>
      </c>
      <c r="P118" s="17"/>
      <c r="Q118" s="17" t="str">
        <f>_xlfn.XLOOKUP(Table2[[#This Row],[buyFromVendorNo]],'Next Day Scheduled'!A:A,'Pending Returns'!O:O,"NOT_FOUND")</f>
        <v>NOT_FOUND</v>
      </c>
    </row>
    <row r="119" spans="1:17" x14ac:dyDescent="0.3">
      <c r="A119" s="1">
        <v>46133</v>
      </c>
      <c r="B119" t="s">
        <v>257</v>
      </c>
      <c r="C119" t="s">
        <v>1161</v>
      </c>
      <c r="D119" t="s">
        <v>1162</v>
      </c>
      <c r="E119" t="s">
        <v>8</v>
      </c>
      <c r="F119" t="s">
        <v>10</v>
      </c>
      <c r="G119" s="16">
        <v>2103.15</v>
      </c>
      <c r="H119" s="16">
        <v>2418.6226000000001</v>
      </c>
      <c r="I119" s="1">
        <v>46131</v>
      </c>
      <c r="J119">
        <v>126</v>
      </c>
      <c r="K119" t="s">
        <v>1311</v>
      </c>
      <c r="L119" t="s">
        <v>1312</v>
      </c>
      <c r="M119">
        <v>14</v>
      </c>
      <c r="N119">
        <v>6</v>
      </c>
      <c r="O119" t="s">
        <v>1036</v>
      </c>
      <c r="P119" s="17"/>
      <c r="Q119" s="17" t="str">
        <f>_xlfn.XLOOKUP(Table2[[#This Row],[buyFromVendorNo]],'Next Day Scheduled'!A:A,'Pending Returns'!O:O,"NOT_FOUND")</f>
        <v>NOT_FOUND</v>
      </c>
    </row>
    <row r="120" spans="1:17" x14ac:dyDescent="0.3">
      <c r="A120" s="1">
        <v>46133</v>
      </c>
      <c r="B120" t="s">
        <v>220</v>
      </c>
      <c r="C120" t="s">
        <v>95</v>
      </c>
      <c r="D120" t="s">
        <v>96</v>
      </c>
      <c r="E120" t="s">
        <v>8</v>
      </c>
      <c r="F120" t="s">
        <v>10</v>
      </c>
      <c r="G120" s="16">
        <v>5777.97</v>
      </c>
      <c r="H120" s="16">
        <v>6644.6655000000001</v>
      </c>
      <c r="I120" s="1">
        <v>46117</v>
      </c>
      <c r="J120">
        <v>126</v>
      </c>
      <c r="K120" t="s">
        <v>1315</v>
      </c>
      <c r="L120" t="s">
        <v>1316</v>
      </c>
      <c r="M120">
        <v>20</v>
      </c>
      <c r="N120">
        <v>1</v>
      </c>
      <c r="O120" t="s">
        <v>1036</v>
      </c>
      <c r="P120" s="17"/>
      <c r="Q120" s="17" t="str">
        <f>_xlfn.XLOOKUP(Table2[[#This Row],[buyFromVendorNo]],'Next Day Scheduled'!A:A,'Pending Returns'!O:O,"NOT_FOUND")</f>
        <v>NOT_FOUND</v>
      </c>
    </row>
    <row r="121" spans="1:17" x14ac:dyDescent="0.3">
      <c r="A121" s="1">
        <v>46133</v>
      </c>
      <c r="B121" t="s">
        <v>545</v>
      </c>
      <c r="C121" t="s">
        <v>1161</v>
      </c>
      <c r="D121" t="s">
        <v>1162</v>
      </c>
      <c r="E121" t="s">
        <v>8</v>
      </c>
      <c r="F121" t="s">
        <v>10</v>
      </c>
      <c r="G121" s="16">
        <v>4061.84</v>
      </c>
      <c r="H121" s="16">
        <v>4671.116</v>
      </c>
      <c r="I121" s="1">
        <v>46131</v>
      </c>
      <c r="J121">
        <v>126</v>
      </c>
      <c r="K121" t="s">
        <v>1317</v>
      </c>
      <c r="L121" t="s">
        <v>1318</v>
      </c>
      <c r="M121">
        <v>14</v>
      </c>
      <c r="N121">
        <v>6</v>
      </c>
      <c r="O121" t="s">
        <v>1036</v>
      </c>
      <c r="P121" s="17"/>
      <c r="Q121" s="17" t="str">
        <f>_xlfn.XLOOKUP(Table2[[#This Row],[buyFromVendorNo]],'Next Day Scheduled'!A:A,'Pending Returns'!O:O,"NOT_FOUND")</f>
        <v>NOT_FOUND</v>
      </c>
    </row>
    <row r="122" spans="1:17" x14ac:dyDescent="0.3">
      <c r="A122" s="1">
        <v>46133</v>
      </c>
      <c r="B122" t="s">
        <v>273</v>
      </c>
      <c r="C122" t="s">
        <v>43</v>
      </c>
      <c r="D122" t="s">
        <v>44</v>
      </c>
      <c r="E122" t="s">
        <v>8</v>
      </c>
      <c r="F122" t="s">
        <v>38</v>
      </c>
      <c r="G122" s="16">
        <v>1393.42</v>
      </c>
      <c r="H122" s="16">
        <v>1602.433</v>
      </c>
      <c r="I122" s="1">
        <v>46133</v>
      </c>
      <c r="J122">
        <v>126</v>
      </c>
      <c r="K122" t="s">
        <v>1313</v>
      </c>
      <c r="L122" t="s">
        <v>1314</v>
      </c>
      <c r="M122">
        <v>112</v>
      </c>
      <c r="N122">
        <v>1</v>
      </c>
      <c r="O122" t="s">
        <v>1036</v>
      </c>
      <c r="P122" s="17"/>
      <c r="Q122" s="17" t="str">
        <f>_xlfn.XLOOKUP(Table2[[#This Row],[buyFromVendorNo]],'Next Day Scheduled'!A:A,'Pending Returns'!O:O,"NOT_FOUND")</f>
        <v>Posted Credit Note</v>
      </c>
    </row>
    <row r="123" spans="1:17" x14ac:dyDescent="0.3">
      <c r="A123" s="1">
        <v>46134</v>
      </c>
      <c r="B123" t="s">
        <v>515</v>
      </c>
      <c r="C123" t="s">
        <v>79</v>
      </c>
      <c r="D123" t="s">
        <v>80</v>
      </c>
      <c r="E123" t="s">
        <v>8</v>
      </c>
      <c r="F123" t="s">
        <v>10</v>
      </c>
      <c r="G123" s="16">
        <v>1057.5826</v>
      </c>
      <c r="H123" s="16">
        <v>1216.22</v>
      </c>
      <c r="I123" s="1">
        <v>46132</v>
      </c>
      <c r="J123">
        <v>125</v>
      </c>
      <c r="K123" t="s">
        <v>1344</v>
      </c>
      <c r="L123" t="s">
        <v>1345</v>
      </c>
      <c r="M123">
        <v>14</v>
      </c>
      <c r="N123">
        <v>2</v>
      </c>
      <c r="O123" t="s">
        <v>1036</v>
      </c>
      <c r="P123" s="17"/>
      <c r="Q123" s="17" t="str">
        <f>_xlfn.XLOOKUP(Table2[[#This Row],[buyFromVendorNo]],'Next Day Scheduled'!A:A,'Pending Returns'!O:O,"NOT_FOUND")</f>
        <v>NOT_FOUND</v>
      </c>
    </row>
    <row r="124" spans="1:17" x14ac:dyDescent="0.3">
      <c r="A124" s="1">
        <v>46134</v>
      </c>
      <c r="B124" t="s">
        <v>762</v>
      </c>
      <c r="C124" t="s">
        <v>79</v>
      </c>
      <c r="D124" t="s">
        <v>80</v>
      </c>
      <c r="E124" t="s">
        <v>8</v>
      </c>
      <c r="F124" t="s">
        <v>10</v>
      </c>
      <c r="G124" s="16">
        <v>7110.05</v>
      </c>
      <c r="H124" s="16">
        <v>8176.5569999999998</v>
      </c>
      <c r="I124" s="1">
        <v>46132</v>
      </c>
      <c r="J124">
        <v>125</v>
      </c>
      <c r="K124" t="s">
        <v>1360</v>
      </c>
      <c r="L124" t="s">
        <v>1361</v>
      </c>
      <c r="M124">
        <v>14</v>
      </c>
      <c r="N124">
        <v>2</v>
      </c>
      <c r="O124" t="s">
        <v>1036</v>
      </c>
      <c r="P124" s="17"/>
      <c r="Q124" s="17" t="str">
        <f>_xlfn.XLOOKUP(Table2[[#This Row],[buyFromVendorNo]],'Next Day Scheduled'!A:A,'Pending Returns'!O:O,"NOT_FOUND")</f>
        <v>NOT_FOUND</v>
      </c>
    </row>
    <row r="125" spans="1:17" x14ac:dyDescent="0.3">
      <c r="A125" s="1">
        <v>46134</v>
      </c>
      <c r="B125" t="s">
        <v>1325</v>
      </c>
      <c r="C125" t="s">
        <v>79</v>
      </c>
      <c r="D125" t="s">
        <v>80</v>
      </c>
      <c r="E125" t="s">
        <v>8</v>
      </c>
      <c r="F125" t="s">
        <v>10</v>
      </c>
      <c r="G125" s="16">
        <v>7071.9614000000001</v>
      </c>
      <c r="H125" s="16">
        <v>8132.7560000000003</v>
      </c>
      <c r="I125" s="1">
        <v>46132</v>
      </c>
      <c r="J125">
        <v>125</v>
      </c>
      <c r="K125" t="s">
        <v>1326</v>
      </c>
      <c r="L125" t="s">
        <v>1327</v>
      </c>
      <c r="M125">
        <v>14</v>
      </c>
      <c r="N125">
        <v>2</v>
      </c>
      <c r="O125" t="s">
        <v>1036</v>
      </c>
      <c r="P125" s="17"/>
      <c r="Q125" s="17" t="str">
        <f>_xlfn.XLOOKUP(Table2[[#This Row],[buyFromVendorNo]],'Next Day Scheduled'!A:A,'Pending Returns'!O:O,"NOT_FOUND")</f>
        <v>NOT_FOUND</v>
      </c>
    </row>
    <row r="126" spans="1:17" x14ac:dyDescent="0.3">
      <c r="A126" s="1">
        <v>46134</v>
      </c>
      <c r="B126" t="s">
        <v>1335</v>
      </c>
      <c r="C126" t="s">
        <v>95</v>
      </c>
      <c r="D126" t="s">
        <v>96</v>
      </c>
      <c r="E126" t="s">
        <v>8</v>
      </c>
      <c r="F126" t="s">
        <v>10</v>
      </c>
      <c r="G126" s="16">
        <v>16916.195</v>
      </c>
      <c r="H126" s="16">
        <v>19453.623</v>
      </c>
      <c r="I126" s="1">
        <v>46117</v>
      </c>
      <c r="J126">
        <v>125</v>
      </c>
      <c r="K126" t="s">
        <v>1336</v>
      </c>
      <c r="L126" t="s">
        <v>1337</v>
      </c>
      <c r="M126">
        <v>20</v>
      </c>
      <c r="N126">
        <v>1</v>
      </c>
      <c r="O126" t="s">
        <v>1036</v>
      </c>
      <c r="P126" s="17"/>
      <c r="Q126" s="17" t="str">
        <f>_xlfn.XLOOKUP(Table2[[#This Row],[buyFromVendorNo]],'Next Day Scheduled'!A:A,'Pending Returns'!O:O,"NOT_FOUND")</f>
        <v>NOT_FOUND</v>
      </c>
    </row>
    <row r="127" spans="1:17" x14ac:dyDescent="0.3">
      <c r="A127" s="1">
        <v>46134</v>
      </c>
      <c r="B127" t="s">
        <v>280</v>
      </c>
      <c r="C127" t="s">
        <v>79</v>
      </c>
      <c r="D127" t="s">
        <v>80</v>
      </c>
      <c r="E127" t="s">
        <v>8</v>
      </c>
      <c r="F127" t="s">
        <v>10</v>
      </c>
      <c r="G127" s="16">
        <v>13043.411</v>
      </c>
      <c r="H127" s="16">
        <v>14999.923000000001</v>
      </c>
      <c r="I127" s="1">
        <v>46132</v>
      </c>
      <c r="J127">
        <v>125</v>
      </c>
      <c r="K127" t="s">
        <v>1362</v>
      </c>
      <c r="L127" t="s">
        <v>1363</v>
      </c>
      <c r="M127">
        <v>14</v>
      </c>
      <c r="N127">
        <v>2</v>
      </c>
      <c r="O127" t="s">
        <v>1036</v>
      </c>
      <c r="P127" s="17"/>
      <c r="Q127" s="17" t="str">
        <f>_xlfn.XLOOKUP(Table2[[#This Row],[buyFromVendorNo]],'Next Day Scheduled'!A:A,'Pending Returns'!O:O,"NOT_FOUND")</f>
        <v>NOT_FOUND</v>
      </c>
    </row>
    <row r="128" spans="1:17" x14ac:dyDescent="0.3">
      <c r="A128" s="1">
        <v>46134</v>
      </c>
      <c r="B128" t="s">
        <v>1350</v>
      </c>
      <c r="C128" t="s">
        <v>798</v>
      </c>
      <c r="D128" t="s">
        <v>799</v>
      </c>
      <c r="E128" t="s">
        <v>8</v>
      </c>
      <c r="F128" t="s">
        <v>10</v>
      </c>
      <c r="G128" s="16">
        <v>1947</v>
      </c>
      <c r="H128" s="16">
        <v>2239.0500000000002</v>
      </c>
      <c r="I128" s="1">
        <v>46133</v>
      </c>
      <c r="J128">
        <v>125</v>
      </c>
      <c r="K128" t="s">
        <v>1351</v>
      </c>
      <c r="L128" t="s">
        <v>1352</v>
      </c>
      <c r="M128">
        <v>15</v>
      </c>
      <c r="N128">
        <v>9</v>
      </c>
      <c r="O128" t="s">
        <v>1036</v>
      </c>
      <c r="P128" s="17"/>
      <c r="Q128" s="17" t="str">
        <f>_xlfn.XLOOKUP(Table2[[#This Row],[buyFromVendorNo]],'Next Day Scheduled'!A:A,'Pending Returns'!O:O,"NOT_FOUND")</f>
        <v>NOT_FOUND</v>
      </c>
    </row>
    <row r="129" spans="1:17" x14ac:dyDescent="0.3">
      <c r="A129" s="1">
        <v>46134</v>
      </c>
      <c r="B129" t="s">
        <v>1341</v>
      </c>
      <c r="C129" t="s">
        <v>79</v>
      </c>
      <c r="D129" t="s">
        <v>80</v>
      </c>
      <c r="E129" t="s">
        <v>8</v>
      </c>
      <c r="F129" t="s">
        <v>10</v>
      </c>
      <c r="G129" s="16">
        <v>11209.165000000001</v>
      </c>
      <c r="H129" s="16">
        <v>12890.54</v>
      </c>
      <c r="I129" s="1">
        <v>46132</v>
      </c>
      <c r="J129">
        <v>125</v>
      </c>
      <c r="K129" t="s">
        <v>1342</v>
      </c>
      <c r="L129" t="s">
        <v>1343</v>
      </c>
      <c r="M129">
        <v>14</v>
      </c>
      <c r="N129">
        <v>2</v>
      </c>
      <c r="O129" t="s">
        <v>1036</v>
      </c>
      <c r="P129" s="17"/>
      <c r="Q129" s="17" t="str">
        <f>_xlfn.XLOOKUP(Table2[[#This Row],[buyFromVendorNo]],'Next Day Scheduled'!A:A,'Pending Returns'!O:O,"NOT_FOUND")</f>
        <v>NOT_FOUND</v>
      </c>
    </row>
    <row r="130" spans="1:17" x14ac:dyDescent="0.3">
      <c r="A130" s="1">
        <v>46134</v>
      </c>
      <c r="B130" t="s">
        <v>257</v>
      </c>
      <c r="C130" t="s">
        <v>141</v>
      </c>
      <c r="D130" t="s">
        <v>142</v>
      </c>
      <c r="E130" t="s">
        <v>8</v>
      </c>
      <c r="F130" t="s">
        <v>10</v>
      </c>
      <c r="G130" s="16">
        <v>10713.761</v>
      </c>
      <c r="H130" s="16">
        <v>12320.824000000001</v>
      </c>
      <c r="I130" s="1">
        <v>46127</v>
      </c>
      <c r="J130">
        <v>125</v>
      </c>
      <c r="K130" t="s">
        <v>1333</v>
      </c>
      <c r="L130" t="s">
        <v>1334</v>
      </c>
      <c r="M130">
        <v>16</v>
      </c>
      <c r="N130">
        <v>6</v>
      </c>
      <c r="O130" t="s">
        <v>1036</v>
      </c>
      <c r="P130" s="17"/>
      <c r="Q130" s="17" t="str">
        <f>_xlfn.XLOOKUP(Table2[[#This Row],[buyFromVendorNo]],'Next Day Scheduled'!A:A,'Pending Returns'!O:O,"NOT_FOUND")</f>
        <v>NOT_FOUND</v>
      </c>
    </row>
    <row r="131" spans="1:17" x14ac:dyDescent="0.3">
      <c r="A131" s="1">
        <v>46134</v>
      </c>
      <c r="B131" t="s">
        <v>1357</v>
      </c>
      <c r="C131" t="s">
        <v>798</v>
      </c>
      <c r="D131" t="s">
        <v>799</v>
      </c>
      <c r="E131" t="s">
        <v>8</v>
      </c>
      <c r="F131" t="s">
        <v>10</v>
      </c>
      <c r="G131" s="16">
        <v>1540</v>
      </c>
      <c r="H131" s="16">
        <v>1771</v>
      </c>
      <c r="I131" s="1">
        <v>46133</v>
      </c>
      <c r="J131">
        <v>125</v>
      </c>
      <c r="K131" t="s">
        <v>1358</v>
      </c>
      <c r="L131" t="s">
        <v>1359</v>
      </c>
      <c r="M131">
        <v>15</v>
      </c>
      <c r="N131">
        <v>9</v>
      </c>
      <c r="O131" t="s">
        <v>1036</v>
      </c>
      <c r="P131" s="17"/>
      <c r="Q131" s="17" t="str">
        <f>_xlfn.XLOOKUP(Table2[[#This Row],[buyFromVendorNo]],'Next Day Scheduled'!A:A,'Pending Returns'!O:O,"NOT_FOUND")</f>
        <v>NOT_FOUND</v>
      </c>
    </row>
    <row r="132" spans="1:17" x14ac:dyDescent="0.3">
      <c r="A132" s="1">
        <v>46134</v>
      </c>
      <c r="B132" t="s">
        <v>757</v>
      </c>
      <c r="C132" t="s">
        <v>65</v>
      </c>
      <c r="D132" t="s">
        <v>66</v>
      </c>
      <c r="E132" t="s">
        <v>8</v>
      </c>
      <c r="F132" t="s">
        <v>10</v>
      </c>
      <c r="G132" s="16">
        <v>2685.7579999999998</v>
      </c>
      <c r="H132" s="16">
        <v>3088.6217999999999</v>
      </c>
      <c r="I132" s="1">
        <v>46133</v>
      </c>
      <c r="J132">
        <v>125</v>
      </c>
      <c r="K132" t="s">
        <v>1331</v>
      </c>
      <c r="L132" t="s">
        <v>1332</v>
      </c>
      <c r="M132">
        <v>39</v>
      </c>
      <c r="N132">
        <v>5</v>
      </c>
      <c r="O132" t="s">
        <v>1036</v>
      </c>
      <c r="P132" s="17"/>
      <c r="Q132" s="17" t="str">
        <f>_xlfn.XLOOKUP(Table2[[#This Row],[buyFromVendorNo]],'Next Day Scheduled'!A:A,'Pending Returns'!O:O,"NOT_FOUND")</f>
        <v>Posted Credit Note</v>
      </c>
    </row>
    <row r="133" spans="1:17" x14ac:dyDescent="0.3">
      <c r="A133" s="1">
        <v>46134</v>
      </c>
      <c r="B133" t="s">
        <v>257</v>
      </c>
      <c r="C133" t="s">
        <v>1346</v>
      </c>
      <c r="D133" t="s">
        <v>1347</v>
      </c>
      <c r="E133" t="s">
        <v>8</v>
      </c>
      <c r="F133" t="s">
        <v>10</v>
      </c>
      <c r="G133" s="16">
        <v>2905.16</v>
      </c>
      <c r="H133" s="16">
        <v>3340.9340000000002</v>
      </c>
      <c r="I133" s="1">
        <v>46133</v>
      </c>
      <c r="J133">
        <v>125</v>
      </c>
      <c r="K133" t="s">
        <v>1348</v>
      </c>
      <c r="L133" t="s">
        <v>1349</v>
      </c>
      <c r="M133">
        <v>10</v>
      </c>
      <c r="N133">
        <v>9</v>
      </c>
      <c r="O133" t="s">
        <v>1036</v>
      </c>
      <c r="P133" s="17"/>
      <c r="Q133" s="17" t="str">
        <f>_xlfn.XLOOKUP(Table2[[#This Row],[buyFromVendorNo]],'Next Day Scheduled'!A:A,'Pending Returns'!O:O,"NOT_FOUND")</f>
        <v>NOT_FOUND</v>
      </c>
    </row>
    <row r="134" spans="1:17" x14ac:dyDescent="0.3">
      <c r="A134" s="1">
        <v>46134</v>
      </c>
      <c r="B134" t="s">
        <v>1328</v>
      </c>
      <c r="C134" t="s">
        <v>798</v>
      </c>
      <c r="D134" t="s">
        <v>799</v>
      </c>
      <c r="E134" t="s">
        <v>8</v>
      </c>
      <c r="F134" t="s">
        <v>10</v>
      </c>
      <c r="G134" s="16">
        <v>2438.5500000000002</v>
      </c>
      <c r="H134" s="16">
        <v>2804.3325</v>
      </c>
      <c r="I134" s="1">
        <v>46133</v>
      </c>
      <c r="J134">
        <v>125</v>
      </c>
      <c r="K134" t="s">
        <v>1329</v>
      </c>
      <c r="L134" t="s">
        <v>1330</v>
      </c>
      <c r="M134">
        <v>15</v>
      </c>
      <c r="N134">
        <v>9</v>
      </c>
      <c r="O134" t="s">
        <v>1036</v>
      </c>
      <c r="P134" s="17"/>
      <c r="Q134" s="17" t="str">
        <f>_xlfn.XLOOKUP(Table2[[#This Row],[buyFromVendorNo]],'Next Day Scheduled'!A:A,'Pending Returns'!O:O,"NOT_FOUND")</f>
        <v>NOT_FOUND</v>
      </c>
    </row>
    <row r="135" spans="1:17" x14ac:dyDescent="0.3">
      <c r="A135" s="1">
        <v>46134</v>
      </c>
      <c r="B135" t="s">
        <v>1338</v>
      </c>
      <c r="C135" t="s">
        <v>79</v>
      </c>
      <c r="D135" t="s">
        <v>80</v>
      </c>
      <c r="E135" t="s">
        <v>8</v>
      </c>
      <c r="F135" t="s">
        <v>10</v>
      </c>
      <c r="G135" s="16">
        <v>12858.263000000001</v>
      </c>
      <c r="H135" s="16">
        <v>14787.003000000001</v>
      </c>
      <c r="I135" s="1">
        <v>46132</v>
      </c>
      <c r="J135">
        <v>125</v>
      </c>
      <c r="K135" t="s">
        <v>1339</v>
      </c>
      <c r="L135" t="s">
        <v>1340</v>
      </c>
      <c r="M135">
        <v>14</v>
      </c>
      <c r="N135">
        <v>2</v>
      </c>
      <c r="O135" t="s">
        <v>1036</v>
      </c>
      <c r="P135" s="17"/>
      <c r="Q135" s="17" t="str">
        <f>_xlfn.XLOOKUP(Table2[[#This Row],[buyFromVendorNo]],'Next Day Scheduled'!A:A,'Pending Returns'!O:O,"NOT_FOUND")</f>
        <v>NOT_FOUND</v>
      </c>
    </row>
    <row r="136" spans="1:17" x14ac:dyDescent="0.3">
      <c r="A136" s="1">
        <v>46134</v>
      </c>
      <c r="B136" t="s">
        <v>1011</v>
      </c>
      <c r="C136" t="s">
        <v>1353</v>
      </c>
      <c r="D136" t="s">
        <v>1354</v>
      </c>
      <c r="E136" t="s">
        <v>8</v>
      </c>
      <c r="F136" t="s">
        <v>10</v>
      </c>
      <c r="G136" s="16">
        <v>6416.24</v>
      </c>
      <c r="H136" s="16">
        <v>7378.6760000000004</v>
      </c>
      <c r="I136" s="1">
        <v>46132</v>
      </c>
      <c r="J136">
        <v>125</v>
      </c>
      <c r="K136" t="s">
        <v>1355</v>
      </c>
      <c r="L136" t="s">
        <v>1356</v>
      </c>
      <c r="M136">
        <v>18</v>
      </c>
      <c r="N136">
        <v>5</v>
      </c>
      <c r="O136" t="s">
        <v>1036</v>
      </c>
      <c r="P136" s="17"/>
      <c r="Q136" s="17" t="str">
        <f>_xlfn.XLOOKUP(Table2[[#This Row],[buyFromVendorNo]],'Next Day Scheduled'!A:A,'Pending Returns'!O:O,"NOT_FOUND")</f>
        <v>NOT_FOUND</v>
      </c>
    </row>
    <row r="137" spans="1:17" x14ac:dyDescent="0.3">
      <c r="A137" s="1">
        <v>46134</v>
      </c>
      <c r="B137" t="s">
        <v>415</v>
      </c>
      <c r="C137" t="s">
        <v>341</v>
      </c>
      <c r="D137" t="s">
        <v>342</v>
      </c>
      <c r="E137" t="s">
        <v>8</v>
      </c>
      <c r="F137" t="s">
        <v>10</v>
      </c>
      <c r="G137" s="16">
        <v>5379.9565000000002</v>
      </c>
      <c r="H137" s="16">
        <v>6186.9497000000001</v>
      </c>
      <c r="J137">
        <v>125</v>
      </c>
      <c r="K137" t="s">
        <v>343</v>
      </c>
      <c r="M137">
        <v>0</v>
      </c>
      <c r="O137" t="s">
        <v>216</v>
      </c>
      <c r="P137" s="17"/>
      <c r="Q137" s="17" t="str">
        <f>_xlfn.XLOOKUP(Table2[[#This Row],[buyFromVendorNo]],'Next Day Scheduled'!A:A,'Pending Returns'!O:O,"NOT_FOUND")</f>
        <v>NOT_FOUND</v>
      </c>
    </row>
    <row r="138" spans="1:17" x14ac:dyDescent="0.3">
      <c r="A138" s="1">
        <v>46135</v>
      </c>
      <c r="B138" t="s">
        <v>224</v>
      </c>
      <c r="C138" t="s">
        <v>618</v>
      </c>
      <c r="D138" t="s">
        <v>619</v>
      </c>
      <c r="E138" t="s">
        <v>8</v>
      </c>
      <c r="F138" t="s">
        <v>38</v>
      </c>
      <c r="G138" s="16">
        <v>91.765450000000001</v>
      </c>
      <c r="H138" s="16">
        <v>91.765450000000001</v>
      </c>
      <c r="I138" s="1">
        <v>46132</v>
      </c>
      <c r="J138">
        <v>124</v>
      </c>
      <c r="K138" t="s">
        <v>1367</v>
      </c>
      <c r="L138" t="s">
        <v>1368</v>
      </c>
      <c r="M138">
        <v>124</v>
      </c>
      <c r="N138">
        <v>0</v>
      </c>
      <c r="O138" t="s">
        <v>1036</v>
      </c>
      <c r="P138" s="17"/>
      <c r="Q138" s="17" t="str">
        <f>_xlfn.XLOOKUP(Table2[[#This Row],[buyFromVendorNo]],'Next Day Scheduled'!A:A,'Pending Returns'!O:O,"NOT_FOUND")</f>
        <v>NOT_FOUND</v>
      </c>
    </row>
    <row r="139" spans="1:17" x14ac:dyDescent="0.3">
      <c r="A139" s="1">
        <v>46135</v>
      </c>
      <c r="B139" t="s">
        <v>1364</v>
      </c>
      <c r="C139" t="s">
        <v>79</v>
      </c>
      <c r="D139" t="s">
        <v>80</v>
      </c>
      <c r="E139" t="s">
        <v>8</v>
      </c>
      <c r="F139" t="s">
        <v>10</v>
      </c>
      <c r="G139" s="16">
        <v>8959.107</v>
      </c>
      <c r="H139" s="16">
        <v>10302.974</v>
      </c>
      <c r="I139" s="1">
        <v>46132</v>
      </c>
      <c r="J139">
        <v>124</v>
      </c>
      <c r="K139" t="s">
        <v>1365</v>
      </c>
      <c r="L139" t="s">
        <v>1366</v>
      </c>
      <c r="M139">
        <v>14</v>
      </c>
      <c r="N139">
        <v>2</v>
      </c>
      <c r="O139" t="s">
        <v>1036</v>
      </c>
      <c r="P139" s="17"/>
      <c r="Q139" s="17" t="str">
        <f>_xlfn.XLOOKUP(Table2[[#This Row],[buyFromVendorNo]],'Next Day Scheduled'!A:A,'Pending Returns'!O:O,"NOT_FOUND")</f>
        <v>NOT_FOUND</v>
      </c>
    </row>
    <row r="140" spans="1:17" x14ac:dyDescent="0.3">
      <c r="A140" s="1">
        <v>46135</v>
      </c>
      <c r="B140" t="s">
        <v>1371</v>
      </c>
      <c r="C140" t="s">
        <v>837</v>
      </c>
      <c r="D140" t="s">
        <v>838</v>
      </c>
      <c r="E140" t="s">
        <v>8</v>
      </c>
      <c r="F140" t="s">
        <v>10</v>
      </c>
      <c r="G140" s="16">
        <v>16305.333000000001</v>
      </c>
      <c r="H140" s="16">
        <v>18751.133000000002</v>
      </c>
      <c r="I140" s="1">
        <v>46124</v>
      </c>
      <c r="J140">
        <v>124</v>
      </c>
      <c r="K140" t="s">
        <v>1372</v>
      </c>
      <c r="L140" t="s">
        <v>1373</v>
      </c>
      <c r="M140">
        <v>14</v>
      </c>
      <c r="N140">
        <v>2</v>
      </c>
      <c r="O140" t="s">
        <v>1036</v>
      </c>
      <c r="P140" s="17"/>
      <c r="Q140" s="17" t="str">
        <f>_xlfn.XLOOKUP(Table2[[#This Row],[buyFromVendorNo]],'Next Day Scheduled'!A:A,'Pending Returns'!O:O,"NOT_FOUND")</f>
        <v>NOT_FOUND</v>
      </c>
    </row>
    <row r="141" spans="1:17" x14ac:dyDescent="0.3">
      <c r="A141" s="1">
        <v>46135</v>
      </c>
      <c r="B141" t="s">
        <v>917</v>
      </c>
      <c r="C141" t="s">
        <v>79</v>
      </c>
      <c r="D141" t="s">
        <v>80</v>
      </c>
      <c r="E141" t="s">
        <v>8</v>
      </c>
      <c r="F141" t="s">
        <v>10</v>
      </c>
      <c r="G141" s="16">
        <v>10064.275</v>
      </c>
      <c r="H141" s="16">
        <v>11573.915999999999</v>
      </c>
      <c r="I141" s="1">
        <v>46132</v>
      </c>
      <c r="J141">
        <v>124</v>
      </c>
      <c r="K141" t="s">
        <v>1369</v>
      </c>
      <c r="L141" t="s">
        <v>1370</v>
      </c>
      <c r="M141">
        <v>14</v>
      </c>
      <c r="N141">
        <v>2</v>
      </c>
      <c r="O141" t="s">
        <v>1036</v>
      </c>
      <c r="P141" s="17"/>
      <c r="Q141" s="17" t="str">
        <f>_xlfn.XLOOKUP(Table2[[#This Row],[buyFromVendorNo]],'Next Day Scheduled'!A:A,'Pending Returns'!O:O,"NOT_FOUND")</f>
        <v>NOT_FOUND</v>
      </c>
    </row>
    <row r="142" spans="1:17" x14ac:dyDescent="0.3">
      <c r="A142" s="1">
        <v>46135</v>
      </c>
      <c r="B142" t="s">
        <v>413</v>
      </c>
      <c r="C142" t="s">
        <v>367</v>
      </c>
      <c r="D142" t="s">
        <v>368</v>
      </c>
      <c r="E142" t="s">
        <v>8</v>
      </c>
      <c r="F142" t="s">
        <v>38</v>
      </c>
      <c r="G142" s="16">
        <v>2669.85</v>
      </c>
      <c r="H142" s="16">
        <v>3070.3274000000001</v>
      </c>
      <c r="J142">
        <v>124</v>
      </c>
      <c r="K142" t="s">
        <v>366</v>
      </c>
      <c r="M142">
        <v>0</v>
      </c>
      <c r="N142">
        <v>318</v>
      </c>
      <c r="O142" t="s">
        <v>216</v>
      </c>
      <c r="P142" s="17"/>
      <c r="Q142" s="17" t="str">
        <f>_xlfn.XLOOKUP(Table2[[#This Row],[buyFromVendorNo]],'Next Day Scheduled'!A:A,'Pending Returns'!O:O,"NOT_FOUND")</f>
        <v>NOT_FOUND</v>
      </c>
    </row>
    <row r="143" spans="1:17" x14ac:dyDescent="0.3">
      <c r="A143" s="1">
        <v>46136</v>
      </c>
      <c r="B143" t="s">
        <v>224</v>
      </c>
      <c r="C143" t="s">
        <v>618</v>
      </c>
      <c r="D143" t="s">
        <v>619</v>
      </c>
      <c r="E143" t="s">
        <v>8</v>
      </c>
      <c r="F143" t="s">
        <v>38</v>
      </c>
      <c r="G143" s="16">
        <v>2818.0752000000002</v>
      </c>
      <c r="H143" s="16">
        <v>2818.0752000000002</v>
      </c>
      <c r="I143" s="1">
        <v>46134</v>
      </c>
      <c r="J143">
        <v>123</v>
      </c>
      <c r="K143" t="s">
        <v>1374</v>
      </c>
      <c r="L143" t="s">
        <v>1375</v>
      </c>
      <c r="M143">
        <v>123</v>
      </c>
      <c r="N143">
        <v>0</v>
      </c>
      <c r="O143" t="s">
        <v>1036</v>
      </c>
      <c r="P143" s="17"/>
      <c r="Q143" s="17" t="str">
        <f>_xlfn.XLOOKUP(Table2[[#This Row],[buyFromVendorNo]],'Next Day Scheduled'!A:A,'Pending Returns'!O:O,"NOT_FOUND")</f>
        <v>NOT_FOUND</v>
      </c>
    </row>
    <row r="144" spans="1:17" x14ac:dyDescent="0.3">
      <c r="A144" s="1">
        <v>46137</v>
      </c>
      <c r="B144" t="s">
        <v>429</v>
      </c>
      <c r="C144" t="s">
        <v>430</v>
      </c>
      <c r="D144" t="s">
        <v>431</v>
      </c>
      <c r="E144" t="s">
        <v>8</v>
      </c>
      <c r="F144" t="s">
        <v>38</v>
      </c>
      <c r="G144" s="16">
        <v>2521.3200000000002</v>
      </c>
      <c r="H144" s="16">
        <v>2899.518</v>
      </c>
      <c r="J144">
        <v>122</v>
      </c>
      <c r="K144" t="s">
        <v>432</v>
      </c>
      <c r="M144">
        <v>0</v>
      </c>
      <c r="N144">
        <v>374</v>
      </c>
      <c r="O144" t="s">
        <v>216</v>
      </c>
      <c r="P144" s="17"/>
      <c r="Q144" s="17" t="str">
        <f>_xlfn.XLOOKUP(Table2[[#This Row],[buyFromVendorNo]],'Next Day Scheduled'!A:A,'Pending Returns'!O:O,"NOT_FOUND")</f>
        <v>NOT_FOUND</v>
      </c>
    </row>
    <row r="145" spans="1:17" x14ac:dyDescent="0.3">
      <c r="A145" s="1">
        <v>46137</v>
      </c>
      <c r="B145" t="s">
        <v>4069</v>
      </c>
      <c r="C145" t="s">
        <v>404</v>
      </c>
      <c r="D145" t="s">
        <v>405</v>
      </c>
      <c r="E145" t="s">
        <v>8</v>
      </c>
      <c r="F145" t="s">
        <v>38</v>
      </c>
      <c r="G145" s="16">
        <v>3014.24</v>
      </c>
      <c r="H145" s="16">
        <v>3466.3760000000002</v>
      </c>
      <c r="J145">
        <v>122</v>
      </c>
      <c r="K145" t="s">
        <v>403</v>
      </c>
      <c r="M145">
        <v>0</v>
      </c>
      <c r="N145">
        <v>292</v>
      </c>
      <c r="O145" t="s">
        <v>216</v>
      </c>
      <c r="P145" s="17"/>
      <c r="Q145" s="17" t="str">
        <f>_xlfn.XLOOKUP(Table2[[#This Row],[buyFromVendorNo]],'Next Day Scheduled'!A:A,'Pending Returns'!O:O,"NOT_FOUND")</f>
        <v>NOT_FOUND</v>
      </c>
    </row>
    <row r="146" spans="1:17" x14ac:dyDescent="0.3">
      <c r="A146" s="1">
        <v>46138</v>
      </c>
      <c r="B146" t="s">
        <v>332</v>
      </c>
      <c r="C146" t="s">
        <v>880</v>
      </c>
      <c r="D146" t="s">
        <v>881</v>
      </c>
      <c r="E146" t="s">
        <v>8</v>
      </c>
      <c r="F146" t="s">
        <v>10</v>
      </c>
      <c r="G146" s="16">
        <v>624.48</v>
      </c>
      <c r="H146" s="16">
        <v>718.15200000000004</v>
      </c>
      <c r="I146" s="1">
        <v>46138</v>
      </c>
      <c r="J146">
        <v>121</v>
      </c>
      <c r="K146" t="s">
        <v>1400</v>
      </c>
      <c r="L146" t="s">
        <v>1401</v>
      </c>
      <c r="M146">
        <v>9</v>
      </c>
      <c r="N146">
        <v>13</v>
      </c>
      <c r="O146" t="s">
        <v>1036</v>
      </c>
      <c r="P146" s="17"/>
      <c r="Q146" s="17" t="str">
        <f>_xlfn.XLOOKUP(Table2[[#This Row],[buyFromVendorNo]],'Next Day Scheduled'!A:A,'Pending Returns'!O:O,"NOT_FOUND")</f>
        <v>NOT_FOUND</v>
      </c>
    </row>
    <row r="147" spans="1:17" x14ac:dyDescent="0.3">
      <c r="A147" s="1">
        <v>46138</v>
      </c>
      <c r="B147" t="s">
        <v>1390</v>
      </c>
      <c r="C147" t="s">
        <v>576</v>
      </c>
      <c r="D147" t="s">
        <v>577</v>
      </c>
      <c r="E147" t="s">
        <v>8</v>
      </c>
      <c r="F147" t="s">
        <v>10</v>
      </c>
      <c r="G147" s="16">
        <v>9289.4470000000001</v>
      </c>
      <c r="H147" s="16">
        <v>10682.864</v>
      </c>
      <c r="I147" s="1">
        <v>46135</v>
      </c>
      <c r="J147">
        <v>121</v>
      </c>
      <c r="K147" t="s">
        <v>1391</v>
      </c>
      <c r="L147" t="s">
        <v>1392</v>
      </c>
      <c r="M147">
        <v>16</v>
      </c>
      <c r="N147">
        <v>3</v>
      </c>
      <c r="O147" t="s">
        <v>1036</v>
      </c>
      <c r="P147" s="17"/>
      <c r="Q147" s="17" t="str">
        <f>_xlfn.XLOOKUP(Table2[[#This Row],[buyFromVendorNo]],'Next Day Scheduled'!A:A,'Pending Returns'!O:O,"NOT_FOUND")</f>
        <v>NOT_FOUND</v>
      </c>
    </row>
    <row r="148" spans="1:17" x14ac:dyDescent="0.3">
      <c r="A148" s="1">
        <v>46138</v>
      </c>
      <c r="B148" t="s">
        <v>281</v>
      </c>
      <c r="C148" t="s">
        <v>146</v>
      </c>
      <c r="D148" t="s">
        <v>147</v>
      </c>
      <c r="E148" t="s">
        <v>8</v>
      </c>
      <c r="F148" t="s">
        <v>10</v>
      </c>
      <c r="G148" s="16">
        <v>9567.4599999999991</v>
      </c>
      <c r="H148" s="16">
        <v>11002.579</v>
      </c>
      <c r="I148" s="1">
        <v>46134</v>
      </c>
      <c r="J148">
        <v>121</v>
      </c>
      <c r="K148" t="s">
        <v>1384</v>
      </c>
      <c r="L148" t="s">
        <v>1385</v>
      </c>
      <c r="M148">
        <v>18</v>
      </c>
      <c r="N148">
        <v>2</v>
      </c>
      <c r="O148" t="s">
        <v>1036</v>
      </c>
      <c r="P148" s="17"/>
      <c r="Q148" s="17" t="str">
        <f>_xlfn.XLOOKUP(Table2[[#This Row],[buyFromVendorNo]],'Next Day Scheduled'!A:A,'Pending Returns'!O:O,"NOT_FOUND")</f>
        <v>NOT_FOUND</v>
      </c>
    </row>
    <row r="149" spans="1:17" x14ac:dyDescent="0.3">
      <c r="A149" s="1">
        <v>46138</v>
      </c>
      <c r="B149" t="s">
        <v>257</v>
      </c>
      <c r="C149" t="s">
        <v>576</v>
      </c>
      <c r="D149" t="s">
        <v>577</v>
      </c>
      <c r="E149" t="s">
        <v>8</v>
      </c>
      <c r="F149" t="s">
        <v>10</v>
      </c>
      <c r="G149" s="16">
        <v>4735.3149999999996</v>
      </c>
      <c r="H149" s="16">
        <v>5445.6122999999998</v>
      </c>
      <c r="I149" s="1">
        <v>46135</v>
      </c>
      <c r="J149">
        <v>121</v>
      </c>
      <c r="K149" t="s">
        <v>1386</v>
      </c>
      <c r="L149" t="s">
        <v>1387</v>
      </c>
      <c r="M149">
        <v>16</v>
      </c>
      <c r="N149">
        <v>3</v>
      </c>
      <c r="O149" t="s">
        <v>1036</v>
      </c>
      <c r="P149" s="17"/>
      <c r="Q149" s="17" t="str">
        <f>_xlfn.XLOOKUP(Table2[[#This Row],[buyFromVendorNo]],'Next Day Scheduled'!A:A,'Pending Returns'!O:O,"NOT_FOUND")</f>
        <v>NOT_FOUND</v>
      </c>
    </row>
    <row r="150" spans="1:17" x14ac:dyDescent="0.3">
      <c r="A150" s="1">
        <v>46138</v>
      </c>
      <c r="B150" t="s">
        <v>257</v>
      </c>
      <c r="C150" t="s">
        <v>122</v>
      </c>
      <c r="D150" t="s">
        <v>123</v>
      </c>
      <c r="E150" t="s">
        <v>8</v>
      </c>
      <c r="F150" t="s">
        <v>10</v>
      </c>
      <c r="G150" s="16">
        <v>1286.48</v>
      </c>
      <c r="H150" s="16">
        <v>1479.452</v>
      </c>
      <c r="I150" s="1">
        <v>46135</v>
      </c>
      <c r="J150">
        <v>121</v>
      </c>
      <c r="K150" t="s">
        <v>1398</v>
      </c>
      <c r="L150" t="s">
        <v>1399</v>
      </c>
      <c r="M150">
        <v>38</v>
      </c>
      <c r="N150">
        <v>1</v>
      </c>
      <c r="O150" t="s">
        <v>1036</v>
      </c>
      <c r="P150" s="17"/>
      <c r="Q150" s="17" t="str">
        <f>_xlfn.XLOOKUP(Table2[[#This Row],[buyFromVendorNo]],'Next Day Scheduled'!A:A,'Pending Returns'!O:O,"NOT_FOUND")</f>
        <v>NOT_FOUND</v>
      </c>
    </row>
    <row r="151" spans="1:17" x14ac:dyDescent="0.3">
      <c r="A151" s="1">
        <v>46138</v>
      </c>
      <c r="B151" t="s">
        <v>250</v>
      </c>
      <c r="C151" t="s">
        <v>146</v>
      </c>
      <c r="D151" t="s">
        <v>147</v>
      </c>
      <c r="E151" t="s">
        <v>8</v>
      </c>
      <c r="F151" t="s">
        <v>10</v>
      </c>
      <c r="G151" s="16">
        <v>11033.73</v>
      </c>
      <c r="H151" s="16">
        <v>12688.789000000001</v>
      </c>
      <c r="I151" s="1">
        <v>46134</v>
      </c>
      <c r="J151">
        <v>121</v>
      </c>
      <c r="K151" t="s">
        <v>1378</v>
      </c>
      <c r="L151" t="s">
        <v>1379</v>
      </c>
      <c r="M151">
        <v>18</v>
      </c>
      <c r="N151">
        <v>2</v>
      </c>
      <c r="O151" t="s">
        <v>1036</v>
      </c>
      <c r="P151" s="17"/>
      <c r="Q151" s="17" t="str">
        <f>_xlfn.XLOOKUP(Table2[[#This Row],[buyFromVendorNo]],'Next Day Scheduled'!A:A,'Pending Returns'!O:O,"NOT_FOUND")</f>
        <v>NOT_FOUND</v>
      </c>
    </row>
    <row r="152" spans="1:17" x14ac:dyDescent="0.3">
      <c r="A152" s="1">
        <v>46138</v>
      </c>
      <c r="B152" t="s">
        <v>1395</v>
      </c>
      <c r="C152" t="s">
        <v>1279</v>
      </c>
      <c r="D152" t="s">
        <v>1280</v>
      </c>
      <c r="E152" t="s">
        <v>8</v>
      </c>
      <c r="F152" t="s">
        <v>10</v>
      </c>
      <c r="G152" s="16">
        <v>3673</v>
      </c>
      <c r="H152" s="16">
        <v>4223.95</v>
      </c>
      <c r="I152" s="1">
        <v>46138</v>
      </c>
      <c r="J152">
        <v>121</v>
      </c>
      <c r="K152" t="s">
        <v>1396</v>
      </c>
      <c r="L152" t="s">
        <v>1397</v>
      </c>
      <c r="M152">
        <v>17</v>
      </c>
      <c r="N152">
        <v>3</v>
      </c>
      <c r="O152" t="s">
        <v>1036</v>
      </c>
      <c r="P152" s="17"/>
      <c r="Q152" s="17" t="str">
        <f>_xlfn.XLOOKUP(Table2[[#This Row],[buyFromVendorNo]],'Next Day Scheduled'!A:A,'Pending Returns'!O:O,"NOT_FOUND")</f>
        <v>NOT_FOUND</v>
      </c>
    </row>
    <row r="153" spans="1:17" x14ac:dyDescent="0.3">
      <c r="A153" s="1">
        <v>46138</v>
      </c>
      <c r="B153" t="s">
        <v>617</v>
      </c>
      <c r="C153" t="s">
        <v>183</v>
      </c>
      <c r="D153" t="s">
        <v>184</v>
      </c>
      <c r="E153" t="s">
        <v>8</v>
      </c>
      <c r="F153" t="s">
        <v>10</v>
      </c>
      <c r="G153" s="16">
        <v>10636</v>
      </c>
      <c r="H153" s="16">
        <v>12231.4</v>
      </c>
      <c r="I153" s="1">
        <v>46131</v>
      </c>
      <c r="J153">
        <v>121</v>
      </c>
      <c r="K153" t="s">
        <v>1376</v>
      </c>
      <c r="L153" t="s">
        <v>1377</v>
      </c>
      <c r="M153">
        <v>0</v>
      </c>
      <c r="N153">
        <v>195</v>
      </c>
      <c r="O153" t="s">
        <v>1036</v>
      </c>
      <c r="P153" s="17"/>
      <c r="Q153" s="17" t="str">
        <f>_xlfn.XLOOKUP(Table2[[#This Row],[buyFromVendorNo]],'Next Day Scheduled'!A:A,'Pending Returns'!O:O,"NOT_FOUND")</f>
        <v>NOT_FOUND</v>
      </c>
    </row>
    <row r="154" spans="1:17" x14ac:dyDescent="0.3">
      <c r="A154" s="1">
        <v>46138</v>
      </c>
      <c r="B154" t="s">
        <v>244</v>
      </c>
      <c r="C154" t="s">
        <v>118</v>
      </c>
      <c r="D154" t="s">
        <v>119</v>
      </c>
      <c r="E154" t="s">
        <v>8</v>
      </c>
      <c r="F154" t="s">
        <v>10</v>
      </c>
      <c r="G154" s="16">
        <v>876.15</v>
      </c>
      <c r="H154" s="16">
        <v>1007.5725</v>
      </c>
      <c r="I154" s="1">
        <v>46134</v>
      </c>
      <c r="J154">
        <v>121</v>
      </c>
      <c r="K154" t="s">
        <v>1380</v>
      </c>
      <c r="L154" t="s">
        <v>1381</v>
      </c>
      <c r="M154">
        <v>28</v>
      </c>
      <c r="N154">
        <v>5</v>
      </c>
      <c r="O154" t="s">
        <v>1036</v>
      </c>
      <c r="P154" s="17"/>
      <c r="Q154" s="17" t="str">
        <f>_xlfn.XLOOKUP(Table2[[#This Row],[buyFromVendorNo]],'Next Day Scheduled'!A:A,'Pending Returns'!O:O,"NOT_FOUND")</f>
        <v>Posted Credit Note</v>
      </c>
    </row>
    <row r="155" spans="1:17" x14ac:dyDescent="0.3">
      <c r="A155" s="1">
        <v>46138</v>
      </c>
      <c r="B155" t="s">
        <v>224</v>
      </c>
      <c r="C155" t="s">
        <v>193</v>
      </c>
      <c r="D155" t="s">
        <v>194</v>
      </c>
      <c r="E155" t="s">
        <v>8</v>
      </c>
      <c r="F155" t="s">
        <v>38</v>
      </c>
      <c r="G155" s="16">
        <v>4776.3900000000003</v>
      </c>
      <c r="H155" s="16">
        <v>5492.8486000000003</v>
      </c>
      <c r="I155" s="1">
        <v>46131</v>
      </c>
      <c r="J155">
        <v>121</v>
      </c>
      <c r="K155" t="s">
        <v>1388</v>
      </c>
      <c r="L155" t="s">
        <v>1389</v>
      </c>
      <c r="M155">
        <v>0</v>
      </c>
      <c r="N155">
        <v>276</v>
      </c>
      <c r="O155" t="s">
        <v>1036</v>
      </c>
      <c r="P155" s="17"/>
      <c r="Q155" s="17" t="str">
        <f>_xlfn.XLOOKUP(Table2[[#This Row],[buyFromVendorNo]],'Next Day Scheduled'!A:A,'Pending Returns'!O:O,"NOT_FOUND")</f>
        <v>NOT_FOUND</v>
      </c>
    </row>
    <row r="156" spans="1:17" x14ac:dyDescent="0.3">
      <c r="A156" s="1">
        <v>46138</v>
      </c>
      <c r="B156" t="s">
        <v>481</v>
      </c>
      <c r="C156" t="s">
        <v>179</v>
      </c>
      <c r="D156" t="s">
        <v>180</v>
      </c>
      <c r="E156" t="s">
        <v>8</v>
      </c>
      <c r="F156" t="s">
        <v>169</v>
      </c>
      <c r="G156" s="16">
        <v>3527.1260000000002</v>
      </c>
      <c r="H156" s="16">
        <v>4056.1948000000002</v>
      </c>
      <c r="J156">
        <v>121</v>
      </c>
      <c r="K156" t="s">
        <v>466</v>
      </c>
      <c r="M156">
        <v>0</v>
      </c>
      <c r="N156">
        <v>360</v>
      </c>
      <c r="O156" t="s">
        <v>216</v>
      </c>
      <c r="P156" s="17"/>
      <c r="Q156" s="17" t="str">
        <f>_xlfn.XLOOKUP(Table2[[#This Row],[buyFromVendorNo]],'Next Day Scheduled'!A:A,'Pending Returns'!O:O,"NOT_FOUND")</f>
        <v>NOT_FOUND</v>
      </c>
    </row>
    <row r="157" spans="1:17" x14ac:dyDescent="0.3">
      <c r="A157" s="1">
        <v>46138</v>
      </c>
      <c r="B157" t="s">
        <v>257</v>
      </c>
      <c r="C157" t="s">
        <v>122</v>
      </c>
      <c r="D157" t="s">
        <v>123</v>
      </c>
      <c r="E157" t="s">
        <v>8</v>
      </c>
      <c r="F157" t="s">
        <v>10</v>
      </c>
      <c r="G157" s="16">
        <v>1314</v>
      </c>
      <c r="H157" s="16">
        <v>1511.1</v>
      </c>
      <c r="I157" s="1">
        <v>46135</v>
      </c>
      <c r="J157">
        <v>121</v>
      </c>
      <c r="K157" t="s">
        <v>1382</v>
      </c>
      <c r="L157" t="s">
        <v>1383</v>
      </c>
      <c r="M157">
        <v>38</v>
      </c>
      <c r="N157">
        <v>1</v>
      </c>
      <c r="O157" t="s">
        <v>1036</v>
      </c>
      <c r="P157" s="17"/>
      <c r="Q157" s="17" t="str">
        <f>_xlfn.XLOOKUP(Table2[[#This Row],[buyFromVendorNo]],'Next Day Scheduled'!A:A,'Pending Returns'!O:O,"NOT_FOUND")</f>
        <v>NOT_FOUND</v>
      </c>
    </row>
    <row r="158" spans="1:17" x14ac:dyDescent="0.3">
      <c r="A158" s="1">
        <v>46138</v>
      </c>
      <c r="B158" t="s">
        <v>285</v>
      </c>
      <c r="C158" t="s">
        <v>122</v>
      </c>
      <c r="D158" t="s">
        <v>123</v>
      </c>
      <c r="E158" t="s">
        <v>8</v>
      </c>
      <c r="F158" t="s">
        <v>10</v>
      </c>
      <c r="G158" s="16">
        <v>661.29</v>
      </c>
      <c r="H158" s="16">
        <v>760.48350000000005</v>
      </c>
      <c r="I158" s="1">
        <v>46135</v>
      </c>
      <c r="J158">
        <v>121</v>
      </c>
      <c r="K158" t="s">
        <v>1393</v>
      </c>
      <c r="L158" t="s">
        <v>1394</v>
      </c>
      <c r="M158">
        <v>38</v>
      </c>
      <c r="N158">
        <v>1</v>
      </c>
      <c r="O158" t="s">
        <v>1036</v>
      </c>
      <c r="P158" s="17"/>
      <c r="Q158" s="17" t="str">
        <f>_xlfn.XLOOKUP(Table2[[#This Row],[buyFromVendorNo]],'Next Day Scheduled'!A:A,'Pending Returns'!O:O,"NOT_FOUND")</f>
        <v>NOT_FOUND</v>
      </c>
    </row>
    <row r="159" spans="1:17" x14ac:dyDescent="0.3">
      <c r="A159" s="1">
        <v>46138</v>
      </c>
      <c r="B159" t="s">
        <v>558</v>
      </c>
      <c r="C159" t="s">
        <v>576</v>
      </c>
      <c r="D159" t="s">
        <v>577</v>
      </c>
      <c r="E159" t="s">
        <v>8</v>
      </c>
      <c r="F159" t="s">
        <v>10</v>
      </c>
      <c r="G159" s="16">
        <v>7900.8687</v>
      </c>
      <c r="H159" s="16">
        <v>9085.9989999999998</v>
      </c>
      <c r="I159" s="1">
        <v>46135</v>
      </c>
      <c r="J159">
        <v>121</v>
      </c>
      <c r="K159" t="s">
        <v>1402</v>
      </c>
      <c r="L159" t="s">
        <v>1403</v>
      </c>
      <c r="M159">
        <v>16</v>
      </c>
      <c r="N159">
        <v>3</v>
      </c>
      <c r="O159" t="s">
        <v>1036</v>
      </c>
      <c r="P159" s="17"/>
      <c r="Q159" s="17" t="str">
        <f>_xlfn.XLOOKUP(Table2[[#This Row],[buyFromVendorNo]],'Next Day Scheduled'!A:A,'Pending Returns'!O:O,"NOT_FOUND")</f>
        <v>NOT_FOUND</v>
      </c>
    </row>
    <row r="160" spans="1:17" x14ac:dyDescent="0.3">
      <c r="A160" s="1">
        <v>46139</v>
      </c>
      <c r="B160" t="s">
        <v>1432</v>
      </c>
      <c r="C160" t="s">
        <v>177</v>
      </c>
      <c r="D160" t="s">
        <v>178</v>
      </c>
      <c r="E160" t="s">
        <v>8</v>
      </c>
      <c r="F160" t="s">
        <v>10</v>
      </c>
      <c r="G160" s="16">
        <v>2486.61</v>
      </c>
      <c r="H160" s="16">
        <v>2859.6016</v>
      </c>
      <c r="I160" s="1">
        <v>46131</v>
      </c>
      <c r="J160">
        <v>120</v>
      </c>
      <c r="K160" t="s">
        <v>1433</v>
      </c>
      <c r="L160" t="s">
        <v>1434</v>
      </c>
      <c r="M160">
        <v>23</v>
      </c>
      <c r="N160">
        <v>2</v>
      </c>
      <c r="O160" t="s">
        <v>1036</v>
      </c>
      <c r="P160" s="17"/>
      <c r="Q160" s="17" t="str">
        <f>_xlfn.XLOOKUP(Table2[[#This Row],[buyFromVendorNo]],'Next Day Scheduled'!A:A,'Pending Returns'!O:O,"NOT_FOUND")</f>
        <v>Posted Credit Note</v>
      </c>
    </row>
    <row r="161" spans="1:17" x14ac:dyDescent="0.3">
      <c r="A161" s="1">
        <v>46139</v>
      </c>
      <c r="B161" t="s">
        <v>340</v>
      </c>
      <c r="C161" t="s">
        <v>1411</v>
      </c>
      <c r="D161" t="s">
        <v>1412</v>
      </c>
      <c r="E161" t="s">
        <v>8</v>
      </c>
      <c r="F161" t="s">
        <v>10</v>
      </c>
      <c r="G161" s="16">
        <v>3999.73</v>
      </c>
      <c r="H161" s="16">
        <v>4599.6895000000004</v>
      </c>
      <c r="I161" s="1">
        <v>46135</v>
      </c>
      <c r="J161">
        <v>120</v>
      </c>
      <c r="K161" t="s">
        <v>1413</v>
      </c>
      <c r="L161" t="s">
        <v>1414</v>
      </c>
      <c r="M161">
        <v>15</v>
      </c>
      <c r="N161">
        <v>3</v>
      </c>
      <c r="O161" t="s">
        <v>1036</v>
      </c>
      <c r="P161" s="17"/>
      <c r="Q161" s="17" t="str">
        <f>_xlfn.XLOOKUP(Table2[[#This Row],[buyFromVendorNo]],'Next Day Scheduled'!A:A,'Pending Returns'!O:O,"NOT_FOUND")</f>
        <v>NOT_FOUND</v>
      </c>
    </row>
    <row r="162" spans="1:17" x14ac:dyDescent="0.3">
      <c r="A162" s="1">
        <v>46139</v>
      </c>
      <c r="B162" t="s">
        <v>1423</v>
      </c>
      <c r="C162" t="s">
        <v>1424</v>
      </c>
      <c r="D162" t="s">
        <v>1425</v>
      </c>
      <c r="E162" t="s">
        <v>8</v>
      </c>
      <c r="F162" t="s">
        <v>169</v>
      </c>
      <c r="G162" s="16">
        <v>2624</v>
      </c>
      <c r="H162" s="16">
        <v>3017.6</v>
      </c>
      <c r="I162" s="1">
        <v>46138</v>
      </c>
      <c r="J162">
        <v>120</v>
      </c>
      <c r="K162" t="s">
        <v>1426</v>
      </c>
      <c r="L162" t="s">
        <v>1427</v>
      </c>
      <c r="M162">
        <v>0</v>
      </c>
      <c r="N162">
        <v>241</v>
      </c>
      <c r="O162" t="s">
        <v>1036</v>
      </c>
      <c r="P162" s="17"/>
      <c r="Q162" s="17" t="str">
        <f>_xlfn.XLOOKUP(Table2[[#This Row],[buyFromVendorNo]],'Next Day Scheduled'!A:A,'Pending Returns'!O:O,"NOT_FOUND")</f>
        <v>Posted Credit Note</v>
      </c>
    </row>
    <row r="163" spans="1:17" x14ac:dyDescent="0.3">
      <c r="A163" s="1">
        <v>46139</v>
      </c>
      <c r="B163" t="s">
        <v>1406</v>
      </c>
      <c r="C163" t="s">
        <v>1407</v>
      </c>
      <c r="D163" t="s">
        <v>1408</v>
      </c>
      <c r="E163" t="s">
        <v>8</v>
      </c>
      <c r="F163" t="s">
        <v>10</v>
      </c>
      <c r="G163" s="16">
        <v>3320</v>
      </c>
      <c r="H163" s="16">
        <v>3818</v>
      </c>
      <c r="I163" s="1">
        <v>46135</v>
      </c>
      <c r="J163">
        <v>120</v>
      </c>
      <c r="K163" t="s">
        <v>1409</v>
      </c>
      <c r="L163" t="s">
        <v>1410</v>
      </c>
      <c r="M163">
        <v>12</v>
      </c>
      <c r="N163">
        <v>16</v>
      </c>
      <c r="O163" t="s">
        <v>1036</v>
      </c>
      <c r="P163" s="17"/>
      <c r="Q163" s="17" t="str">
        <f>_xlfn.XLOOKUP(Table2[[#This Row],[buyFromVendorNo]],'Next Day Scheduled'!A:A,'Pending Returns'!O:O,"NOT_FOUND")</f>
        <v>NOT_FOUND</v>
      </c>
    </row>
    <row r="164" spans="1:17" x14ac:dyDescent="0.3">
      <c r="A164" s="1">
        <v>46139</v>
      </c>
      <c r="B164" t="s">
        <v>533</v>
      </c>
      <c r="C164" t="s">
        <v>177</v>
      </c>
      <c r="D164" t="s">
        <v>178</v>
      </c>
      <c r="E164" t="s">
        <v>8</v>
      </c>
      <c r="F164" t="s">
        <v>10</v>
      </c>
      <c r="G164" s="16">
        <v>4085.5349999999999</v>
      </c>
      <c r="H164" s="16">
        <v>4698.3649999999998</v>
      </c>
      <c r="I164" s="1">
        <v>46131</v>
      </c>
      <c r="J164">
        <v>120</v>
      </c>
      <c r="K164" t="s">
        <v>1428</v>
      </c>
      <c r="L164" t="s">
        <v>1429</v>
      </c>
      <c r="M164">
        <v>23</v>
      </c>
      <c r="N164">
        <v>2</v>
      </c>
      <c r="O164" t="s">
        <v>1036</v>
      </c>
      <c r="P164" s="17"/>
      <c r="Q164" s="17" t="str">
        <f>_xlfn.XLOOKUP(Table2[[#This Row],[buyFromVendorNo]],'Next Day Scheduled'!A:A,'Pending Returns'!O:O,"NOT_FOUND")</f>
        <v>Posted Credit Note</v>
      </c>
    </row>
    <row r="165" spans="1:17" x14ac:dyDescent="0.3">
      <c r="A165" s="1">
        <v>46139</v>
      </c>
      <c r="B165" t="s">
        <v>257</v>
      </c>
      <c r="C165" t="s">
        <v>122</v>
      </c>
      <c r="D165" t="s">
        <v>123</v>
      </c>
      <c r="E165" t="s">
        <v>8</v>
      </c>
      <c r="F165" t="s">
        <v>10</v>
      </c>
      <c r="G165" s="16">
        <v>1405</v>
      </c>
      <c r="H165" s="16">
        <v>1615.75</v>
      </c>
      <c r="I165" s="1">
        <v>46135</v>
      </c>
      <c r="J165">
        <v>120</v>
      </c>
      <c r="K165" t="s">
        <v>1430</v>
      </c>
      <c r="L165" t="s">
        <v>1431</v>
      </c>
      <c r="M165">
        <v>38</v>
      </c>
      <c r="N165">
        <v>1</v>
      </c>
      <c r="O165" t="s">
        <v>1036</v>
      </c>
      <c r="P165" s="17"/>
      <c r="Q165" s="17" t="str">
        <f>_xlfn.XLOOKUP(Table2[[#This Row],[buyFromVendorNo]],'Next Day Scheduled'!A:A,'Pending Returns'!O:O,"NOT_FOUND")</f>
        <v>NOT_FOUND</v>
      </c>
    </row>
    <row r="166" spans="1:17" x14ac:dyDescent="0.3">
      <c r="A166" s="1">
        <v>46139</v>
      </c>
      <c r="B166" t="s">
        <v>282</v>
      </c>
      <c r="C166" t="s">
        <v>191</v>
      </c>
      <c r="D166" t="s">
        <v>192</v>
      </c>
      <c r="E166" t="s">
        <v>8</v>
      </c>
      <c r="F166" t="s">
        <v>10</v>
      </c>
      <c r="G166" s="16">
        <v>5989.5106999999998</v>
      </c>
      <c r="H166" s="16">
        <v>6887.9375</v>
      </c>
      <c r="I166" s="1">
        <v>46134</v>
      </c>
      <c r="J166">
        <v>120</v>
      </c>
      <c r="K166" t="s">
        <v>1404</v>
      </c>
      <c r="L166" t="s">
        <v>1405</v>
      </c>
      <c r="M166">
        <v>17</v>
      </c>
      <c r="N166">
        <v>3</v>
      </c>
      <c r="O166" t="s">
        <v>1036</v>
      </c>
      <c r="P166" s="17"/>
      <c r="Q166" s="17" t="str">
        <f>_xlfn.XLOOKUP(Table2[[#This Row],[buyFromVendorNo]],'Next Day Scheduled'!A:A,'Pending Returns'!O:O,"NOT_FOUND")</f>
        <v>NOT_FOUND</v>
      </c>
    </row>
    <row r="167" spans="1:17" x14ac:dyDescent="0.3">
      <c r="A167" s="1">
        <v>46139</v>
      </c>
      <c r="B167" t="s">
        <v>481</v>
      </c>
      <c r="C167" t="s">
        <v>179</v>
      </c>
      <c r="D167" t="s">
        <v>180</v>
      </c>
      <c r="E167" t="s">
        <v>8</v>
      </c>
      <c r="F167" t="s">
        <v>169</v>
      </c>
      <c r="G167" s="16">
        <v>1358.3679999999999</v>
      </c>
      <c r="H167" s="16">
        <v>1562.1232</v>
      </c>
      <c r="J167">
        <v>120</v>
      </c>
      <c r="K167" t="s">
        <v>480</v>
      </c>
      <c r="M167">
        <v>0</v>
      </c>
      <c r="N167">
        <v>360</v>
      </c>
      <c r="O167" t="s">
        <v>216</v>
      </c>
      <c r="P167" s="17"/>
      <c r="Q167" s="17" t="str">
        <f>_xlfn.XLOOKUP(Table2[[#This Row],[buyFromVendorNo]],'Next Day Scheduled'!A:A,'Pending Returns'!O:O,"NOT_FOUND")</f>
        <v>NOT_FOUND</v>
      </c>
    </row>
    <row r="168" spans="1:17" x14ac:dyDescent="0.3">
      <c r="A168" s="1">
        <v>46139</v>
      </c>
      <c r="B168" t="s">
        <v>332</v>
      </c>
      <c r="C168" t="s">
        <v>880</v>
      </c>
      <c r="D168" t="s">
        <v>881</v>
      </c>
      <c r="E168" t="s">
        <v>8</v>
      </c>
      <c r="F168" t="s">
        <v>10</v>
      </c>
      <c r="G168" s="16">
        <v>1161.92</v>
      </c>
      <c r="H168" s="16">
        <v>1336.2080000000001</v>
      </c>
      <c r="I168" s="1">
        <v>46139</v>
      </c>
      <c r="J168">
        <v>120</v>
      </c>
      <c r="K168" t="s">
        <v>1421</v>
      </c>
      <c r="L168" t="s">
        <v>1422</v>
      </c>
      <c r="M168">
        <v>9</v>
      </c>
      <c r="N168">
        <v>13</v>
      </c>
      <c r="O168" t="s">
        <v>1036</v>
      </c>
      <c r="P168" s="17"/>
      <c r="Q168" s="17" t="str">
        <f>_xlfn.XLOOKUP(Table2[[#This Row],[buyFromVendorNo]],'Next Day Scheduled'!A:A,'Pending Returns'!O:O,"NOT_FOUND")</f>
        <v>NOT_FOUND</v>
      </c>
    </row>
    <row r="169" spans="1:17" x14ac:dyDescent="0.3">
      <c r="A169" s="1">
        <v>46139</v>
      </c>
      <c r="B169" t="s">
        <v>1415</v>
      </c>
      <c r="C169" t="s">
        <v>122</v>
      </c>
      <c r="D169" t="s">
        <v>123</v>
      </c>
      <c r="E169" t="s">
        <v>8</v>
      </c>
      <c r="F169" t="s">
        <v>10</v>
      </c>
      <c r="G169" s="16">
        <v>1275.8499999999999</v>
      </c>
      <c r="H169" s="16">
        <v>1467.2275</v>
      </c>
      <c r="I169" s="1">
        <v>46135</v>
      </c>
      <c r="J169">
        <v>120</v>
      </c>
      <c r="K169" t="s">
        <v>1416</v>
      </c>
      <c r="L169" t="s">
        <v>1417</v>
      </c>
      <c r="M169">
        <v>38</v>
      </c>
      <c r="N169">
        <v>1</v>
      </c>
      <c r="O169" t="s">
        <v>1036</v>
      </c>
      <c r="P169" s="17"/>
      <c r="Q169" s="17" t="str">
        <f>_xlfn.XLOOKUP(Table2[[#This Row],[buyFromVendorNo]],'Next Day Scheduled'!A:A,'Pending Returns'!O:O,"NOT_FOUND")</f>
        <v>NOT_FOUND</v>
      </c>
    </row>
    <row r="170" spans="1:17" x14ac:dyDescent="0.3">
      <c r="A170" s="1">
        <v>46139</v>
      </c>
      <c r="B170" t="s">
        <v>1418</v>
      </c>
      <c r="C170" t="s">
        <v>177</v>
      </c>
      <c r="D170" t="s">
        <v>178</v>
      </c>
      <c r="E170" t="s">
        <v>8</v>
      </c>
      <c r="F170" t="s">
        <v>10</v>
      </c>
      <c r="G170" s="16">
        <v>2823.3049999999998</v>
      </c>
      <c r="H170" s="16">
        <v>3246.8008</v>
      </c>
      <c r="I170" s="1">
        <v>46131</v>
      </c>
      <c r="J170">
        <v>120</v>
      </c>
      <c r="K170" t="s">
        <v>1419</v>
      </c>
      <c r="L170" t="s">
        <v>1420</v>
      </c>
      <c r="M170">
        <v>23</v>
      </c>
      <c r="N170">
        <v>2</v>
      </c>
      <c r="O170" t="s">
        <v>1036</v>
      </c>
      <c r="P170" s="17"/>
      <c r="Q170" s="17" t="str">
        <f>_xlfn.XLOOKUP(Table2[[#This Row],[buyFromVendorNo]],'Next Day Scheduled'!A:A,'Pending Returns'!O:O,"NOT_FOUND")</f>
        <v>Posted Credit Note</v>
      </c>
    </row>
    <row r="171" spans="1:17" x14ac:dyDescent="0.3">
      <c r="A171" s="1">
        <v>46140</v>
      </c>
      <c r="B171" t="s">
        <v>1442</v>
      </c>
      <c r="C171" t="s">
        <v>598</v>
      </c>
      <c r="D171" t="s">
        <v>599</v>
      </c>
      <c r="E171" t="s">
        <v>8</v>
      </c>
      <c r="F171" t="s">
        <v>38</v>
      </c>
      <c r="G171" s="16">
        <v>25706.14</v>
      </c>
      <c r="H171" s="16">
        <v>29562.06</v>
      </c>
      <c r="I171" s="1">
        <v>46137</v>
      </c>
      <c r="J171">
        <v>119</v>
      </c>
      <c r="K171" t="s">
        <v>1443</v>
      </c>
      <c r="L171" t="s">
        <v>1444</v>
      </c>
      <c r="M171">
        <v>14</v>
      </c>
      <c r="N171">
        <v>6</v>
      </c>
      <c r="O171" t="s">
        <v>1036</v>
      </c>
      <c r="P171" s="17"/>
      <c r="Q171" s="17" t="str">
        <f>_xlfn.XLOOKUP(Table2[[#This Row],[buyFromVendorNo]],'Next Day Scheduled'!A:A,'Pending Returns'!O:O,"NOT_FOUND")</f>
        <v>NOT_FOUND</v>
      </c>
    </row>
    <row r="172" spans="1:17" x14ac:dyDescent="0.3">
      <c r="A172" s="1">
        <v>46140</v>
      </c>
      <c r="B172" t="s">
        <v>224</v>
      </c>
      <c r="C172" t="s">
        <v>60</v>
      </c>
      <c r="D172" t="s">
        <v>61</v>
      </c>
      <c r="E172" t="s">
        <v>8</v>
      </c>
      <c r="F172" t="s">
        <v>38</v>
      </c>
      <c r="G172" s="16">
        <v>24491</v>
      </c>
      <c r="H172" s="16">
        <v>28164.65</v>
      </c>
      <c r="I172" s="1">
        <v>46133</v>
      </c>
      <c r="J172">
        <v>119</v>
      </c>
      <c r="K172" t="s">
        <v>1452</v>
      </c>
      <c r="L172" t="s">
        <v>1453</v>
      </c>
      <c r="M172">
        <v>18</v>
      </c>
      <c r="N172">
        <v>7</v>
      </c>
      <c r="O172" t="s">
        <v>1036</v>
      </c>
      <c r="P172" s="17"/>
      <c r="Q172" s="17" t="str">
        <f>_xlfn.XLOOKUP(Table2[[#This Row],[buyFromVendorNo]],'Next Day Scheduled'!A:A,'Pending Returns'!O:O,"NOT_FOUND")</f>
        <v>NOT_FOUND</v>
      </c>
    </row>
    <row r="173" spans="1:17" x14ac:dyDescent="0.3">
      <c r="A173" s="1">
        <v>46140</v>
      </c>
      <c r="B173" t="s">
        <v>278</v>
      </c>
      <c r="C173" t="s">
        <v>878</v>
      </c>
      <c r="D173" t="s">
        <v>879</v>
      </c>
      <c r="E173" t="s">
        <v>8</v>
      </c>
      <c r="F173" t="s">
        <v>10</v>
      </c>
      <c r="G173" s="16">
        <v>2052.11</v>
      </c>
      <c r="H173" s="16">
        <v>2359.9265</v>
      </c>
      <c r="I173" s="1">
        <v>46135</v>
      </c>
      <c r="J173">
        <v>119</v>
      </c>
      <c r="K173" t="s">
        <v>1454</v>
      </c>
      <c r="L173" t="s">
        <v>1455</v>
      </c>
      <c r="M173">
        <v>22</v>
      </c>
      <c r="N173">
        <v>1</v>
      </c>
      <c r="O173" t="s">
        <v>1036</v>
      </c>
      <c r="P173" s="17"/>
      <c r="Q173" s="17" t="str">
        <f>_xlfn.XLOOKUP(Table2[[#This Row],[buyFromVendorNo]],'Next Day Scheduled'!A:A,'Pending Returns'!O:O,"NOT_FOUND")</f>
        <v>NOT_FOUND</v>
      </c>
    </row>
    <row r="174" spans="1:17" x14ac:dyDescent="0.3">
      <c r="A174" s="1">
        <v>46140</v>
      </c>
      <c r="B174" t="s">
        <v>238</v>
      </c>
      <c r="C174" t="s">
        <v>139</v>
      </c>
      <c r="D174" t="s">
        <v>140</v>
      </c>
      <c r="E174" t="s">
        <v>8</v>
      </c>
      <c r="F174" t="s">
        <v>10</v>
      </c>
      <c r="G174" s="16">
        <v>1492.7520999999999</v>
      </c>
      <c r="H174" s="16">
        <v>1716.6649</v>
      </c>
      <c r="I174" s="1">
        <v>46138</v>
      </c>
      <c r="J174">
        <v>119</v>
      </c>
      <c r="K174" t="s">
        <v>1440</v>
      </c>
      <c r="L174" t="s">
        <v>1441</v>
      </c>
      <c r="M174">
        <v>18</v>
      </c>
      <c r="N174">
        <v>7</v>
      </c>
      <c r="O174" t="s">
        <v>1036</v>
      </c>
      <c r="P174" s="17"/>
      <c r="Q174" s="17" t="str">
        <f>_xlfn.XLOOKUP(Table2[[#This Row],[buyFromVendorNo]],'Next Day Scheduled'!A:A,'Pending Returns'!O:O,"NOT_FOUND")</f>
        <v>NOT_FOUND</v>
      </c>
    </row>
    <row r="175" spans="1:17" x14ac:dyDescent="0.3">
      <c r="A175" s="1">
        <v>46140</v>
      </c>
      <c r="B175" t="s">
        <v>279</v>
      </c>
      <c r="C175" t="s">
        <v>562</v>
      </c>
      <c r="D175" t="s">
        <v>563</v>
      </c>
      <c r="E175" t="s">
        <v>8</v>
      </c>
      <c r="F175" t="s">
        <v>10</v>
      </c>
      <c r="G175" s="16">
        <v>7921.5889999999999</v>
      </c>
      <c r="H175" s="16">
        <v>9109.8269999999993</v>
      </c>
      <c r="I175" s="1">
        <v>46139</v>
      </c>
      <c r="J175">
        <v>119</v>
      </c>
      <c r="K175" t="s">
        <v>1445</v>
      </c>
      <c r="L175" t="s">
        <v>1446</v>
      </c>
      <c r="M175">
        <v>27</v>
      </c>
      <c r="N175">
        <v>1</v>
      </c>
      <c r="O175" t="s">
        <v>1036</v>
      </c>
      <c r="P175" s="17"/>
      <c r="Q175" s="17" t="str">
        <f>_xlfn.XLOOKUP(Table2[[#This Row],[buyFromVendorNo]],'Next Day Scheduled'!A:A,'Pending Returns'!O:O,"NOT_FOUND")</f>
        <v>NOT_FOUND</v>
      </c>
    </row>
    <row r="176" spans="1:17" x14ac:dyDescent="0.3">
      <c r="A176" s="1">
        <v>46140</v>
      </c>
      <c r="B176" t="s">
        <v>1435</v>
      </c>
      <c r="C176" t="s">
        <v>1099</v>
      </c>
      <c r="D176" t="s">
        <v>1100</v>
      </c>
      <c r="E176" t="s">
        <v>8</v>
      </c>
      <c r="F176" t="s">
        <v>38</v>
      </c>
      <c r="G176" s="16">
        <v>13961.972</v>
      </c>
      <c r="H176" s="16">
        <v>16056.268</v>
      </c>
      <c r="I176" s="1">
        <v>46135</v>
      </c>
      <c r="J176">
        <v>119</v>
      </c>
      <c r="K176" t="s">
        <v>1436</v>
      </c>
      <c r="L176" t="s">
        <v>1437</v>
      </c>
      <c r="M176">
        <v>13</v>
      </c>
      <c r="N176">
        <v>5</v>
      </c>
      <c r="O176" t="s">
        <v>1036</v>
      </c>
      <c r="P176" s="17"/>
      <c r="Q176" s="17" t="str">
        <f>_xlfn.XLOOKUP(Table2[[#This Row],[buyFromVendorNo]],'Next Day Scheduled'!A:A,'Pending Returns'!O:O,"NOT_FOUND")</f>
        <v>NOT_FOUND</v>
      </c>
    </row>
    <row r="177" spans="1:17" x14ac:dyDescent="0.3">
      <c r="A177" s="1">
        <v>46140</v>
      </c>
      <c r="B177" t="s">
        <v>314</v>
      </c>
      <c r="C177" t="s">
        <v>987</v>
      </c>
      <c r="D177" t="s">
        <v>988</v>
      </c>
      <c r="E177" t="s">
        <v>8</v>
      </c>
      <c r="F177" t="s">
        <v>10</v>
      </c>
      <c r="G177" s="16">
        <v>3528.8</v>
      </c>
      <c r="H177" s="16">
        <v>4058.12</v>
      </c>
      <c r="I177" s="1">
        <v>46139</v>
      </c>
      <c r="J177">
        <v>119</v>
      </c>
      <c r="K177" t="s">
        <v>1447</v>
      </c>
      <c r="L177" t="s">
        <v>1448</v>
      </c>
      <c r="M177">
        <v>0</v>
      </c>
      <c r="N177">
        <v>240</v>
      </c>
      <c r="O177" t="s">
        <v>1036</v>
      </c>
      <c r="P177" s="17"/>
      <c r="Q177" s="17" t="str">
        <f>_xlfn.XLOOKUP(Table2[[#This Row],[buyFromVendorNo]],'Next Day Scheduled'!A:A,'Pending Returns'!O:O,"NOT_FOUND")</f>
        <v>NOT_FOUND</v>
      </c>
    </row>
    <row r="178" spans="1:17" x14ac:dyDescent="0.3">
      <c r="A178" s="1">
        <v>46140</v>
      </c>
      <c r="B178" t="s">
        <v>1449</v>
      </c>
      <c r="C178" t="s">
        <v>1222</v>
      </c>
      <c r="D178" t="s">
        <v>1223</v>
      </c>
      <c r="E178" t="s">
        <v>8</v>
      </c>
      <c r="F178" t="s">
        <v>10</v>
      </c>
      <c r="G178" s="16">
        <v>2190</v>
      </c>
      <c r="H178" s="16">
        <v>2518.5</v>
      </c>
      <c r="I178" s="1">
        <v>46140</v>
      </c>
      <c r="J178">
        <v>119</v>
      </c>
      <c r="K178" t="s">
        <v>1450</v>
      </c>
      <c r="L178" t="s">
        <v>1451</v>
      </c>
      <c r="M178">
        <v>16</v>
      </c>
      <c r="N178">
        <v>3</v>
      </c>
      <c r="O178" t="s">
        <v>1036</v>
      </c>
      <c r="P178" s="17"/>
      <c r="Q178" s="17" t="str">
        <f>_xlfn.XLOOKUP(Table2[[#This Row],[buyFromVendorNo]],'Next Day Scheduled'!A:A,'Pending Returns'!O:O,"NOT_FOUND")</f>
        <v>NOT_FOUND</v>
      </c>
    </row>
    <row r="179" spans="1:17" x14ac:dyDescent="0.3">
      <c r="A179" s="1">
        <v>46140</v>
      </c>
      <c r="B179" t="s">
        <v>533</v>
      </c>
      <c r="C179" t="s">
        <v>139</v>
      </c>
      <c r="D179" t="s">
        <v>140</v>
      </c>
      <c r="E179" t="s">
        <v>8</v>
      </c>
      <c r="F179" t="s">
        <v>10</v>
      </c>
      <c r="G179" s="16">
        <v>2454.7563</v>
      </c>
      <c r="H179" s="16">
        <v>2822.9697000000001</v>
      </c>
      <c r="I179" s="1">
        <v>46138</v>
      </c>
      <c r="J179">
        <v>119</v>
      </c>
      <c r="K179" t="s">
        <v>1438</v>
      </c>
      <c r="L179" t="s">
        <v>1439</v>
      </c>
      <c r="M179">
        <v>18</v>
      </c>
      <c r="N179">
        <v>7</v>
      </c>
      <c r="O179" t="s">
        <v>1036</v>
      </c>
      <c r="P179" s="17"/>
      <c r="Q179" s="17" t="str">
        <f>_xlfn.XLOOKUP(Table2[[#This Row],[buyFromVendorNo]],'Next Day Scheduled'!A:A,'Pending Returns'!O:O,"NOT_FOUND")</f>
        <v>NOT_FOUND</v>
      </c>
    </row>
    <row r="180" spans="1:17" x14ac:dyDescent="0.3">
      <c r="A180" s="1">
        <v>46140</v>
      </c>
      <c r="B180" t="s">
        <v>1456</v>
      </c>
      <c r="C180" t="s">
        <v>139</v>
      </c>
      <c r="D180" t="s">
        <v>140</v>
      </c>
      <c r="E180" t="s">
        <v>8</v>
      </c>
      <c r="F180" t="s">
        <v>10</v>
      </c>
      <c r="G180" s="16">
        <v>2469.4167000000002</v>
      </c>
      <c r="H180" s="16">
        <v>2839.8292999999999</v>
      </c>
      <c r="I180" s="1">
        <v>46138</v>
      </c>
      <c r="J180">
        <v>119</v>
      </c>
      <c r="K180" t="s">
        <v>1457</v>
      </c>
      <c r="L180" t="s">
        <v>1458</v>
      </c>
      <c r="M180">
        <v>18</v>
      </c>
      <c r="N180">
        <v>7</v>
      </c>
      <c r="O180" t="s">
        <v>1036</v>
      </c>
      <c r="P180" s="17"/>
      <c r="Q180" s="17" t="str">
        <f>_xlfn.XLOOKUP(Table2[[#This Row],[buyFromVendorNo]],'Next Day Scheduled'!A:A,'Pending Returns'!O:O,"NOT_FOUND")</f>
        <v>NOT_FOUND</v>
      </c>
    </row>
    <row r="181" spans="1:17" x14ac:dyDescent="0.3">
      <c r="A181" s="1">
        <v>46141</v>
      </c>
      <c r="B181" t="s">
        <v>807</v>
      </c>
      <c r="C181" t="s">
        <v>73</v>
      </c>
      <c r="D181" t="s">
        <v>74</v>
      </c>
      <c r="E181" t="s">
        <v>8</v>
      </c>
      <c r="F181" t="s">
        <v>10</v>
      </c>
      <c r="G181" s="16">
        <v>1992.1945000000001</v>
      </c>
      <c r="H181" s="16">
        <v>2291.0237000000002</v>
      </c>
      <c r="I181" s="1">
        <v>46127</v>
      </c>
      <c r="J181">
        <v>118</v>
      </c>
      <c r="K181" t="s">
        <v>1483</v>
      </c>
      <c r="L181" t="s">
        <v>1484</v>
      </c>
      <c r="M181">
        <v>59</v>
      </c>
      <c r="N181">
        <v>1</v>
      </c>
      <c r="O181" t="s">
        <v>1036</v>
      </c>
      <c r="P181" s="17"/>
      <c r="Q181" s="17" t="str">
        <f>_xlfn.XLOOKUP(Table2[[#This Row],[buyFromVendorNo]],'Next Day Scheduled'!A:A,'Pending Returns'!O:O,"NOT_FOUND")</f>
        <v>NOT_FOUND</v>
      </c>
    </row>
    <row r="182" spans="1:17" x14ac:dyDescent="0.3">
      <c r="A182" s="1">
        <v>46141</v>
      </c>
      <c r="B182" t="s">
        <v>259</v>
      </c>
      <c r="C182" t="s">
        <v>73</v>
      </c>
      <c r="D182" t="s">
        <v>74</v>
      </c>
      <c r="E182" t="s">
        <v>8</v>
      </c>
      <c r="F182" t="s">
        <v>10</v>
      </c>
      <c r="G182" s="16">
        <v>2171.5273000000002</v>
      </c>
      <c r="H182" s="16">
        <v>2497.2563</v>
      </c>
      <c r="I182" s="1">
        <v>46127</v>
      </c>
      <c r="J182">
        <v>118</v>
      </c>
      <c r="K182" t="s">
        <v>1461</v>
      </c>
      <c r="L182" t="s">
        <v>1462</v>
      </c>
      <c r="M182">
        <v>59</v>
      </c>
      <c r="N182">
        <v>1</v>
      </c>
      <c r="O182" t="s">
        <v>1036</v>
      </c>
      <c r="P182" s="17"/>
      <c r="Q182" s="17" t="str">
        <f>_xlfn.XLOOKUP(Table2[[#This Row],[buyFromVendorNo]],'Next Day Scheduled'!A:A,'Pending Returns'!O:O,"NOT_FOUND")</f>
        <v>NOT_FOUND</v>
      </c>
    </row>
    <row r="183" spans="1:17" x14ac:dyDescent="0.3">
      <c r="A183" s="1">
        <v>46141</v>
      </c>
      <c r="B183" t="s">
        <v>539</v>
      </c>
      <c r="C183" t="s">
        <v>73</v>
      </c>
      <c r="D183" t="s">
        <v>74</v>
      </c>
      <c r="E183" t="s">
        <v>8</v>
      </c>
      <c r="F183" t="s">
        <v>10</v>
      </c>
      <c r="G183" s="16">
        <v>2122.4749999999999</v>
      </c>
      <c r="H183" s="16">
        <v>2440.8463999999999</v>
      </c>
      <c r="I183" s="1">
        <v>46127</v>
      </c>
      <c r="J183">
        <v>118</v>
      </c>
      <c r="K183" t="s">
        <v>1476</v>
      </c>
      <c r="L183" t="s">
        <v>1477</v>
      </c>
      <c r="M183">
        <v>59</v>
      </c>
      <c r="N183">
        <v>1</v>
      </c>
      <c r="O183" t="s">
        <v>1036</v>
      </c>
      <c r="P183" s="17"/>
      <c r="Q183" s="17" t="str">
        <f>_xlfn.XLOOKUP(Table2[[#This Row],[buyFromVendorNo]],'Next Day Scheduled'!A:A,'Pending Returns'!O:O,"NOT_FOUND")</f>
        <v>NOT_FOUND</v>
      </c>
    </row>
    <row r="184" spans="1:17" x14ac:dyDescent="0.3">
      <c r="A184" s="1">
        <v>46141</v>
      </c>
      <c r="B184" t="s">
        <v>1487</v>
      </c>
      <c r="C184" t="s">
        <v>358</v>
      </c>
      <c r="D184" t="s">
        <v>359</v>
      </c>
      <c r="E184" t="s">
        <v>8</v>
      </c>
      <c r="F184" t="s">
        <v>10</v>
      </c>
      <c r="G184" s="16">
        <v>3200</v>
      </c>
      <c r="H184" s="16">
        <v>3680</v>
      </c>
      <c r="I184" s="1">
        <v>46141</v>
      </c>
      <c r="J184">
        <v>118</v>
      </c>
      <c r="K184" t="s">
        <v>1488</v>
      </c>
      <c r="L184" t="s">
        <v>1489</v>
      </c>
      <c r="M184">
        <v>12</v>
      </c>
      <c r="N184">
        <v>1</v>
      </c>
      <c r="O184" t="s">
        <v>1036</v>
      </c>
      <c r="P184" s="17"/>
      <c r="Q184" s="17" t="str">
        <f>_xlfn.XLOOKUP(Table2[[#This Row],[buyFromVendorNo]],'Next Day Scheduled'!A:A,'Pending Returns'!O:O,"NOT_FOUND")</f>
        <v>NOT_FOUND</v>
      </c>
    </row>
    <row r="185" spans="1:17" x14ac:dyDescent="0.3">
      <c r="A185" s="1">
        <v>46141</v>
      </c>
      <c r="B185" t="s">
        <v>1480</v>
      </c>
      <c r="C185" t="s">
        <v>73</v>
      </c>
      <c r="D185" t="s">
        <v>74</v>
      </c>
      <c r="E185" t="s">
        <v>8</v>
      </c>
      <c r="F185" t="s">
        <v>10</v>
      </c>
      <c r="G185" s="16">
        <v>2926.7067999999999</v>
      </c>
      <c r="H185" s="16">
        <v>3365.7125999999998</v>
      </c>
      <c r="I185" s="1">
        <v>46127</v>
      </c>
      <c r="J185">
        <v>118</v>
      </c>
      <c r="K185" t="s">
        <v>1481</v>
      </c>
      <c r="L185" t="s">
        <v>1482</v>
      </c>
      <c r="M185">
        <v>59</v>
      </c>
      <c r="N185">
        <v>1</v>
      </c>
      <c r="O185" t="s">
        <v>1036</v>
      </c>
      <c r="P185" s="17"/>
      <c r="Q185" s="17" t="str">
        <f>_xlfn.XLOOKUP(Table2[[#This Row],[buyFromVendorNo]],'Next Day Scheduled'!A:A,'Pending Returns'!O:O,"NOT_FOUND")</f>
        <v>NOT_FOUND</v>
      </c>
    </row>
    <row r="186" spans="1:17" x14ac:dyDescent="0.3">
      <c r="A186" s="1">
        <v>46141</v>
      </c>
      <c r="B186" t="s">
        <v>551</v>
      </c>
      <c r="C186" t="s">
        <v>618</v>
      </c>
      <c r="D186" t="s">
        <v>619</v>
      </c>
      <c r="E186" t="s">
        <v>8</v>
      </c>
      <c r="F186" t="s">
        <v>38</v>
      </c>
      <c r="G186" s="16">
        <v>3005.1664999999998</v>
      </c>
      <c r="H186" s="16">
        <v>3005.1664999999998</v>
      </c>
      <c r="I186" s="1">
        <v>46139</v>
      </c>
      <c r="J186">
        <v>118</v>
      </c>
      <c r="K186" t="s">
        <v>1463</v>
      </c>
      <c r="L186" t="s">
        <v>1464</v>
      </c>
      <c r="M186">
        <v>118</v>
      </c>
      <c r="N186">
        <v>0</v>
      </c>
      <c r="O186" t="s">
        <v>1036</v>
      </c>
      <c r="P186" s="17"/>
      <c r="Q186" s="17" t="str">
        <f>_xlfn.XLOOKUP(Table2[[#This Row],[buyFromVendorNo]],'Next Day Scheduled'!A:A,'Pending Returns'!O:O,"NOT_FOUND")</f>
        <v>NOT_FOUND</v>
      </c>
    </row>
    <row r="187" spans="1:17" x14ac:dyDescent="0.3">
      <c r="A187" s="1">
        <v>46141</v>
      </c>
      <c r="B187" t="s">
        <v>273</v>
      </c>
      <c r="C187" t="s">
        <v>43</v>
      </c>
      <c r="D187" t="s">
        <v>44</v>
      </c>
      <c r="E187" t="s">
        <v>8</v>
      </c>
      <c r="F187" t="s">
        <v>38</v>
      </c>
      <c r="G187" s="16">
        <v>4854.0119999999997</v>
      </c>
      <c r="H187" s="16">
        <v>5582.1143000000002</v>
      </c>
      <c r="I187" s="1">
        <v>46141</v>
      </c>
      <c r="J187">
        <v>118</v>
      </c>
      <c r="K187" t="s">
        <v>1465</v>
      </c>
      <c r="L187" t="s">
        <v>1466</v>
      </c>
      <c r="M187">
        <v>104</v>
      </c>
      <c r="N187">
        <v>1</v>
      </c>
      <c r="O187" t="s">
        <v>1036</v>
      </c>
      <c r="P187" s="17"/>
      <c r="Q187" s="17" t="str">
        <f>_xlfn.XLOOKUP(Table2[[#This Row],[buyFromVendorNo]],'Next Day Scheduled'!A:A,'Pending Returns'!O:O,"NOT_FOUND")</f>
        <v>Posted Credit Note</v>
      </c>
    </row>
    <row r="188" spans="1:17" x14ac:dyDescent="0.3">
      <c r="A188" s="1">
        <v>46141</v>
      </c>
      <c r="B188" t="s">
        <v>442</v>
      </c>
      <c r="C188" t="s">
        <v>43</v>
      </c>
      <c r="D188" t="s">
        <v>44</v>
      </c>
      <c r="E188" t="s">
        <v>8</v>
      </c>
      <c r="F188" t="s">
        <v>38</v>
      </c>
      <c r="G188" s="16">
        <v>6183.4440000000004</v>
      </c>
      <c r="H188" s="16">
        <v>7110.96</v>
      </c>
      <c r="I188" s="1">
        <v>46138</v>
      </c>
      <c r="J188">
        <v>118</v>
      </c>
      <c r="K188" t="s">
        <v>1485</v>
      </c>
      <c r="L188" t="s">
        <v>1486</v>
      </c>
      <c r="M188">
        <v>104</v>
      </c>
      <c r="N188">
        <v>1</v>
      </c>
      <c r="O188" t="s">
        <v>1036</v>
      </c>
      <c r="P188" s="17"/>
      <c r="Q188" s="17" t="str">
        <f>_xlfn.XLOOKUP(Table2[[#This Row],[buyFromVendorNo]],'Next Day Scheduled'!A:A,'Pending Returns'!O:O,"NOT_FOUND")</f>
        <v>Posted Credit Note</v>
      </c>
    </row>
    <row r="189" spans="1:17" x14ac:dyDescent="0.3">
      <c r="A189" s="1">
        <v>46141</v>
      </c>
      <c r="B189" t="s">
        <v>1467</v>
      </c>
      <c r="C189" t="s">
        <v>875</v>
      </c>
      <c r="D189" t="s">
        <v>876</v>
      </c>
      <c r="E189" t="s">
        <v>8</v>
      </c>
      <c r="F189" t="s">
        <v>38</v>
      </c>
      <c r="G189" s="16">
        <v>6230.7539999999999</v>
      </c>
      <c r="H189" s="16">
        <v>7165.3670000000002</v>
      </c>
      <c r="I189" s="1">
        <v>46138</v>
      </c>
      <c r="J189">
        <v>118</v>
      </c>
      <c r="K189" t="s">
        <v>1468</v>
      </c>
      <c r="L189" t="s">
        <v>1469</v>
      </c>
      <c r="M189">
        <v>11</v>
      </c>
      <c r="N189">
        <v>14</v>
      </c>
      <c r="O189" t="s">
        <v>1036</v>
      </c>
      <c r="P189" s="17"/>
      <c r="Q189" s="17" t="str">
        <f>_xlfn.XLOOKUP(Table2[[#This Row],[buyFromVendorNo]],'Next Day Scheduled'!A:A,'Pending Returns'!O:O,"NOT_FOUND")</f>
        <v>NOT_FOUND</v>
      </c>
    </row>
    <row r="190" spans="1:17" x14ac:dyDescent="0.3">
      <c r="A190" s="1">
        <v>46141</v>
      </c>
      <c r="B190" t="s">
        <v>415</v>
      </c>
      <c r="C190" t="s">
        <v>71</v>
      </c>
      <c r="D190" t="s">
        <v>72</v>
      </c>
      <c r="E190" t="s">
        <v>8</v>
      </c>
      <c r="F190" t="s">
        <v>10</v>
      </c>
      <c r="G190" s="16">
        <v>23137.79</v>
      </c>
      <c r="H190" s="16">
        <v>26608.458999999999</v>
      </c>
      <c r="I190" s="1">
        <v>46137</v>
      </c>
      <c r="J190">
        <v>118</v>
      </c>
      <c r="K190" t="s">
        <v>1478</v>
      </c>
      <c r="L190" t="s">
        <v>1479</v>
      </c>
      <c r="M190">
        <v>16</v>
      </c>
      <c r="N190">
        <v>8</v>
      </c>
      <c r="O190" t="s">
        <v>1036</v>
      </c>
      <c r="P190" s="17"/>
      <c r="Q190" s="17" t="str">
        <f>_xlfn.XLOOKUP(Table2[[#This Row],[buyFromVendorNo]],'Next Day Scheduled'!A:A,'Pending Returns'!O:O,"NOT_FOUND")</f>
        <v>Posted Credit Note</v>
      </c>
    </row>
    <row r="191" spans="1:17" x14ac:dyDescent="0.3">
      <c r="A191" s="1">
        <v>46141</v>
      </c>
      <c r="B191" t="s">
        <v>1490</v>
      </c>
      <c r="C191" t="s">
        <v>358</v>
      </c>
      <c r="D191" t="s">
        <v>359</v>
      </c>
      <c r="E191" t="s">
        <v>8</v>
      </c>
      <c r="F191" t="s">
        <v>10</v>
      </c>
      <c r="G191" s="16">
        <v>3792</v>
      </c>
      <c r="H191" s="16">
        <v>4360.8</v>
      </c>
      <c r="I191" s="1">
        <v>46141</v>
      </c>
      <c r="J191">
        <v>118</v>
      </c>
      <c r="K191" t="s">
        <v>1491</v>
      </c>
      <c r="L191" t="s">
        <v>1492</v>
      </c>
      <c r="M191">
        <v>12</v>
      </c>
      <c r="N191">
        <v>1</v>
      </c>
      <c r="O191" t="s">
        <v>1036</v>
      </c>
      <c r="P191" s="17"/>
      <c r="Q191" s="17" t="str">
        <f>_xlfn.XLOOKUP(Table2[[#This Row],[buyFromVendorNo]],'Next Day Scheduled'!A:A,'Pending Returns'!O:O,"NOT_FOUND")</f>
        <v>NOT_FOUND</v>
      </c>
    </row>
    <row r="192" spans="1:17" x14ac:dyDescent="0.3">
      <c r="A192" s="1">
        <v>46141</v>
      </c>
      <c r="B192" t="s">
        <v>224</v>
      </c>
      <c r="C192" t="s">
        <v>43</v>
      </c>
      <c r="D192" t="s">
        <v>44</v>
      </c>
      <c r="E192" t="s">
        <v>8</v>
      </c>
      <c r="F192" t="s">
        <v>38</v>
      </c>
      <c r="G192" s="16">
        <v>3563.27</v>
      </c>
      <c r="H192" s="16">
        <v>4097.7606999999998</v>
      </c>
      <c r="I192" s="1">
        <v>46141</v>
      </c>
      <c r="J192">
        <v>118</v>
      </c>
      <c r="K192" t="s">
        <v>1459</v>
      </c>
      <c r="L192" t="s">
        <v>1460</v>
      </c>
      <c r="M192">
        <v>104</v>
      </c>
      <c r="N192">
        <v>1</v>
      </c>
      <c r="O192" t="s">
        <v>1036</v>
      </c>
      <c r="P192" s="17"/>
      <c r="Q192" s="17" t="str">
        <f>_xlfn.XLOOKUP(Table2[[#This Row],[buyFromVendorNo]],'Next Day Scheduled'!A:A,'Pending Returns'!O:O,"NOT_FOUND")</f>
        <v>Posted Credit Note</v>
      </c>
    </row>
    <row r="193" spans="1:17" x14ac:dyDescent="0.3">
      <c r="A193" s="1">
        <v>46141</v>
      </c>
      <c r="B193" t="s">
        <v>1493</v>
      </c>
      <c r="C193" t="s">
        <v>358</v>
      </c>
      <c r="D193" t="s">
        <v>359</v>
      </c>
      <c r="E193" t="s">
        <v>8</v>
      </c>
      <c r="F193" t="s">
        <v>10</v>
      </c>
      <c r="G193" s="16">
        <v>3528</v>
      </c>
      <c r="H193" s="16">
        <v>4057.2</v>
      </c>
      <c r="I193" s="1">
        <v>46141</v>
      </c>
      <c r="J193">
        <v>118</v>
      </c>
      <c r="K193" t="s">
        <v>1494</v>
      </c>
      <c r="L193" t="s">
        <v>1495</v>
      </c>
      <c r="M193">
        <v>12</v>
      </c>
      <c r="N193">
        <v>1</v>
      </c>
      <c r="O193" t="s">
        <v>1036</v>
      </c>
      <c r="P193" s="17"/>
      <c r="Q193" s="17" t="str">
        <f>_xlfn.XLOOKUP(Table2[[#This Row],[buyFromVendorNo]],'Next Day Scheduled'!A:A,'Pending Returns'!O:O,"NOT_FOUND")</f>
        <v>NOT_FOUND</v>
      </c>
    </row>
    <row r="194" spans="1:17" x14ac:dyDescent="0.3">
      <c r="A194" s="1">
        <v>46141</v>
      </c>
      <c r="B194" t="s">
        <v>481</v>
      </c>
      <c r="C194" t="s">
        <v>179</v>
      </c>
      <c r="D194" t="s">
        <v>180</v>
      </c>
      <c r="E194" t="s">
        <v>8</v>
      </c>
      <c r="F194" t="s">
        <v>169</v>
      </c>
      <c r="G194" s="16">
        <v>717.774</v>
      </c>
      <c r="H194" s="16">
        <v>825.44010000000003</v>
      </c>
      <c r="J194">
        <v>118</v>
      </c>
      <c r="K194" t="s">
        <v>499</v>
      </c>
      <c r="M194">
        <v>0</v>
      </c>
      <c r="N194">
        <v>360</v>
      </c>
      <c r="O194" t="s">
        <v>216</v>
      </c>
      <c r="P194" s="17"/>
      <c r="Q194" s="17" t="str">
        <f>_xlfn.XLOOKUP(Table2[[#This Row],[buyFromVendorNo]],'Next Day Scheduled'!A:A,'Pending Returns'!O:O,"NOT_FOUND")</f>
        <v>NOT_FOUND</v>
      </c>
    </row>
    <row r="195" spans="1:17" x14ac:dyDescent="0.3">
      <c r="A195" s="1">
        <v>46141</v>
      </c>
      <c r="B195" t="s">
        <v>257</v>
      </c>
      <c r="C195" t="s">
        <v>1472</v>
      </c>
      <c r="D195" t="s">
        <v>1473</v>
      </c>
      <c r="E195" t="s">
        <v>8</v>
      </c>
      <c r="F195" t="s">
        <v>10</v>
      </c>
      <c r="G195" s="16">
        <v>677.86980000000005</v>
      </c>
      <c r="H195" s="16">
        <v>779.55029999999999</v>
      </c>
      <c r="I195" s="1">
        <v>46140</v>
      </c>
      <c r="J195">
        <v>118</v>
      </c>
      <c r="K195" t="s">
        <v>1496</v>
      </c>
      <c r="L195" t="s">
        <v>1497</v>
      </c>
      <c r="M195">
        <v>3</v>
      </c>
      <c r="N195">
        <v>20</v>
      </c>
      <c r="O195" t="s">
        <v>1036</v>
      </c>
      <c r="P195" s="17"/>
      <c r="Q195" s="17" t="str">
        <f>_xlfn.XLOOKUP(Table2[[#This Row],[buyFromVendorNo]],'Next Day Scheduled'!A:A,'Pending Returns'!O:O,"NOT_FOUND")</f>
        <v>Posted Credit Note</v>
      </c>
    </row>
    <row r="196" spans="1:17" x14ac:dyDescent="0.3">
      <c r="A196" s="1">
        <v>46141</v>
      </c>
      <c r="B196" t="s">
        <v>703</v>
      </c>
      <c r="C196" t="s">
        <v>1472</v>
      </c>
      <c r="D196" t="s">
        <v>1473</v>
      </c>
      <c r="E196" t="s">
        <v>8</v>
      </c>
      <c r="F196" t="s">
        <v>10</v>
      </c>
      <c r="G196" s="16">
        <v>3827.0747000000001</v>
      </c>
      <c r="H196" s="16">
        <v>4401.1356999999998</v>
      </c>
      <c r="I196" s="1">
        <v>46140</v>
      </c>
      <c r="J196">
        <v>118</v>
      </c>
      <c r="K196" t="s">
        <v>1474</v>
      </c>
      <c r="L196" t="s">
        <v>1475</v>
      </c>
      <c r="M196">
        <v>3</v>
      </c>
      <c r="N196">
        <v>20</v>
      </c>
      <c r="O196" t="s">
        <v>1036</v>
      </c>
      <c r="P196" s="17"/>
      <c r="Q196" s="17" t="str">
        <f>_xlfn.XLOOKUP(Table2[[#This Row],[buyFromVendorNo]],'Next Day Scheduled'!A:A,'Pending Returns'!O:O,"NOT_FOUND")</f>
        <v>Posted Credit Note</v>
      </c>
    </row>
    <row r="197" spans="1:17" x14ac:dyDescent="0.3">
      <c r="A197" s="1">
        <v>46141</v>
      </c>
      <c r="B197" t="s">
        <v>257</v>
      </c>
      <c r="C197" t="s">
        <v>73</v>
      </c>
      <c r="D197" t="s">
        <v>74</v>
      </c>
      <c r="E197" t="s">
        <v>8</v>
      </c>
      <c r="F197" t="s">
        <v>10</v>
      </c>
      <c r="G197" s="16">
        <v>1332.7695000000001</v>
      </c>
      <c r="H197" s="16">
        <v>1532.6849</v>
      </c>
      <c r="I197" s="1">
        <v>46127</v>
      </c>
      <c r="J197">
        <v>118</v>
      </c>
      <c r="K197" t="s">
        <v>1470</v>
      </c>
      <c r="L197" t="s">
        <v>1471</v>
      </c>
      <c r="M197">
        <v>59</v>
      </c>
      <c r="N197">
        <v>1</v>
      </c>
      <c r="O197" t="s">
        <v>1036</v>
      </c>
      <c r="P197" s="17"/>
      <c r="Q197" s="17" t="str">
        <f>_xlfn.XLOOKUP(Table2[[#This Row],[buyFromVendorNo]],'Next Day Scheduled'!A:A,'Pending Returns'!O:O,"NOT_FOUND")</f>
        <v>NOT_FOUND</v>
      </c>
    </row>
    <row r="198" spans="1:17" x14ac:dyDescent="0.3">
      <c r="A198" s="1">
        <v>46142</v>
      </c>
      <c r="B198" t="s">
        <v>611</v>
      </c>
      <c r="C198" t="s">
        <v>943</v>
      </c>
      <c r="D198" t="s">
        <v>944</v>
      </c>
      <c r="E198" t="s">
        <v>8</v>
      </c>
      <c r="F198" t="s">
        <v>10</v>
      </c>
      <c r="G198" s="16">
        <v>1959.0730000000001</v>
      </c>
      <c r="H198" s="16">
        <v>2252.9337999999998</v>
      </c>
      <c r="I198" s="1">
        <v>46138</v>
      </c>
      <c r="J198">
        <v>117</v>
      </c>
      <c r="K198" t="s">
        <v>1515</v>
      </c>
      <c r="L198" t="s">
        <v>1516</v>
      </c>
      <c r="M198">
        <v>11</v>
      </c>
      <c r="N198">
        <v>23</v>
      </c>
      <c r="O198" t="s">
        <v>1036</v>
      </c>
      <c r="P198" s="17"/>
      <c r="Q198" s="17" t="str">
        <f>_xlfn.XLOOKUP(Table2[[#This Row],[buyFromVendorNo]],'Next Day Scheduled'!A:A,'Pending Returns'!O:O,"NOT_FOUND")</f>
        <v>NOT_FOUND</v>
      </c>
    </row>
    <row r="199" spans="1:17" x14ac:dyDescent="0.3">
      <c r="A199" s="1">
        <v>46142</v>
      </c>
      <c r="B199" t="s">
        <v>252</v>
      </c>
      <c r="C199" t="s">
        <v>36</v>
      </c>
      <c r="D199" t="s">
        <v>37</v>
      </c>
      <c r="E199" t="s">
        <v>8</v>
      </c>
      <c r="F199" t="s">
        <v>10</v>
      </c>
      <c r="G199" s="16">
        <v>6702.02</v>
      </c>
      <c r="H199" s="16">
        <v>7707.3230000000003</v>
      </c>
      <c r="I199" s="1">
        <v>46141</v>
      </c>
      <c r="J199">
        <v>117</v>
      </c>
      <c r="K199" t="s">
        <v>1517</v>
      </c>
      <c r="L199" t="s">
        <v>1518</v>
      </c>
      <c r="M199">
        <v>23</v>
      </c>
      <c r="N199">
        <v>3</v>
      </c>
      <c r="O199" t="s">
        <v>1036</v>
      </c>
      <c r="P199" s="17"/>
      <c r="Q199" s="17" t="str">
        <f>_xlfn.XLOOKUP(Table2[[#This Row],[buyFromVendorNo]],'Next Day Scheduled'!A:A,'Pending Returns'!O:O,"NOT_FOUND")</f>
        <v>NOT_FOUND</v>
      </c>
    </row>
    <row r="200" spans="1:17" x14ac:dyDescent="0.3">
      <c r="A200" s="1">
        <v>46142</v>
      </c>
      <c r="B200" t="s">
        <v>1504</v>
      </c>
      <c r="C200" t="s">
        <v>65</v>
      </c>
      <c r="D200" t="s">
        <v>66</v>
      </c>
      <c r="E200" t="s">
        <v>8</v>
      </c>
      <c r="F200" t="s">
        <v>10</v>
      </c>
      <c r="G200" s="16">
        <v>3091.3274000000001</v>
      </c>
      <c r="H200" s="16">
        <v>3555.0266000000001</v>
      </c>
      <c r="I200" s="1">
        <v>46140</v>
      </c>
      <c r="J200">
        <v>117</v>
      </c>
      <c r="K200" t="s">
        <v>1505</v>
      </c>
      <c r="L200" t="s">
        <v>1506</v>
      </c>
      <c r="M200">
        <v>37</v>
      </c>
      <c r="N200">
        <v>5</v>
      </c>
      <c r="O200" t="s">
        <v>1036</v>
      </c>
      <c r="P200" s="17"/>
      <c r="Q200" s="17" t="str">
        <f>_xlfn.XLOOKUP(Table2[[#This Row],[buyFromVendorNo]],'Next Day Scheduled'!A:A,'Pending Returns'!O:O,"NOT_FOUND")</f>
        <v>Posted Credit Note</v>
      </c>
    </row>
    <row r="201" spans="1:17" x14ac:dyDescent="0.3">
      <c r="A201" s="1">
        <v>46142</v>
      </c>
      <c r="B201" t="s">
        <v>1435</v>
      </c>
      <c r="C201" t="s">
        <v>1507</v>
      </c>
      <c r="D201" t="s">
        <v>1508</v>
      </c>
      <c r="E201" t="s">
        <v>8</v>
      </c>
      <c r="F201" t="s">
        <v>38</v>
      </c>
      <c r="G201" s="16">
        <v>4222.3999999999996</v>
      </c>
      <c r="H201" s="16">
        <v>4855.76</v>
      </c>
      <c r="I201" s="1">
        <v>46142</v>
      </c>
      <c r="J201">
        <v>117</v>
      </c>
      <c r="K201" t="s">
        <v>1509</v>
      </c>
      <c r="L201" t="s">
        <v>1510</v>
      </c>
      <c r="M201">
        <v>0</v>
      </c>
      <c r="N201">
        <v>161</v>
      </c>
      <c r="O201" t="s">
        <v>1036</v>
      </c>
      <c r="P201" s="17"/>
      <c r="Q201" s="17" t="str">
        <f>_xlfn.XLOOKUP(Table2[[#This Row],[buyFromVendorNo]],'Next Day Scheduled'!A:A,'Pending Returns'!O:O,"NOT_FOUND")</f>
        <v>NOT_FOUND</v>
      </c>
    </row>
    <row r="202" spans="1:17" x14ac:dyDescent="0.3">
      <c r="A202" s="1">
        <v>46142</v>
      </c>
      <c r="B202" t="s">
        <v>515</v>
      </c>
      <c r="C202" t="s">
        <v>697</v>
      </c>
      <c r="D202" t="s">
        <v>698</v>
      </c>
      <c r="E202" t="s">
        <v>8</v>
      </c>
      <c r="F202" t="s">
        <v>10</v>
      </c>
      <c r="G202" s="16">
        <v>7103.6875</v>
      </c>
      <c r="H202" s="16">
        <v>8169.24</v>
      </c>
      <c r="I202" s="1">
        <v>46142</v>
      </c>
      <c r="J202">
        <v>117</v>
      </c>
      <c r="K202" t="s">
        <v>1511</v>
      </c>
      <c r="L202" t="s">
        <v>1512</v>
      </c>
      <c r="M202">
        <v>19</v>
      </c>
      <c r="N202">
        <v>2</v>
      </c>
      <c r="O202" t="s">
        <v>1036</v>
      </c>
      <c r="P202" s="17"/>
      <c r="Q202" s="17" t="str">
        <f>_xlfn.XLOOKUP(Table2[[#This Row],[buyFromVendorNo]],'Next Day Scheduled'!A:A,'Pending Returns'!O:O,"NOT_FOUND")</f>
        <v>NOT_FOUND</v>
      </c>
    </row>
    <row r="203" spans="1:17" x14ac:dyDescent="0.3">
      <c r="A203" s="1">
        <v>46142</v>
      </c>
      <c r="B203" t="s">
        <v>551</v>
      </c>
      <c r="C203" t="s">
        <v>1507</v>
      </c>
      <c r="D203" t="s">
        <v>1508</v>
      </c>
      <c r="E203" t="s">
        <v>8</v>
      </c>
      <c r="F203" t="s">
        <v>38</v>
      </c>
      <c r="G203" s="16">
        <v>8437.7999999999993</v>
      </c>
      <c r="H203" s="16">
        <v>9703.4699999999993</v>
      </c>
      <c r="I203" s="1">
        <v>46142</v>
      </c>
      <c r="J203">
        <v>117</v>
      </c>
      <c r="K203" t="s">
        <v>1519</v>
      </c>
      <c r="L203" t="s">
        <v>1520</v>
      </c>
      <c r="M203">
        <v>0</v>
      </c>
      <c r="N203">
        <v>161</v>
      </c>
      <c r="O203" t="s">
        <v>1036</v>
      </c>
      <c r="P203" s="17"/>
      <c r="Q203" s="17" t="str">
        <f>_xlfn.XLOOKUP(Table2[[#This Row],[buyFromVendorNo]],'Next Day Scheduled'!A:A,'Pending Returns'!O:O,"NOT_FOUND")</f>
        <v>NOT_FOUND</v>
      </c>
    </row>
    <row r="204" spans="1:17" x14ac:dyDescent="0.3">
      <c r="A204" s="1">
        <v>46142</v>
      </c>
      <c r="B204" t="s">
        <v>607</v>
      </c>
      <c r="C204" t="s">
        <v>156</v>
      </c>
      <c r="D204" t="s">
        <v>157</v>
      </c>
      <c r="E204" t="s">
        <v>8</v>
      </c>
      <c r="F204" t="s">
        <v>10</v>
      </c>
      <c r="G204" s="16">
        <v>10139.156000000001</v>
      </c>
      <c r="H204" s="16">
        <v>11660.029</v>
      </c>
      <c r="I204" s="1">
        <v>46128</v>
      </c>
      <c r="J204">
        <v>117</v>
      </c>
      <c r="K204" t="s">
        <v>1500</v>
      </c>
      <c r="L204" t="s">
        <v>1501</v>
      </c>
      <c r="M204">
        <v>6</v>
      </c>
      <c r="N204">
        <v>12</v>
      </c>
      <c r="O204" t="s">
        <v>1036</v>
      </c>
      <c r="P204" s="17"/>
      <c r="Q204" s="17" t="str">
        <f>_xlfn.XLOOKUP(Table2[[#This Row],[buyFromVendorNo]],'Next Day Scheduled'!A:A,'Pending Returns'!O:O,"NOT_FOUND")</f>
        <v>NOT_FOUND</v>
      </c>
    </row>
    <row r="205" spans="1:17" x14ac:dyDescent="0.3">
      <c r="A205" s="1">
        <v>46142</v>
      </c>
      <c r="B205" t="s">
        <v>227</v>
      </c>
      <c r="C205" t="s">
        <v>36</v>
      </c>
      <c r="D205" t="s">
        <v>37</v>
      </c>
      <c r="E205" t="s">
        <v>8</v>
      </c>
      <c r="F205" t="s">
        <v>10</v>
      </c>
      <c r="G205" s="16">
        <v>3727.87</v>
      </c>
      <c r="H205" s="16">
        <v>4287.0502999999999</v>
      </c>
      <c r="I205" s="1">
        <v>46141</v>
      </c>
      <c r="J205">
        <v>117</v>
      </c>
      <c r="K205" t="s">
        <v>1502</v>
      </c>
      <c r="L205" t="s">
        <v>1503</v>
      </c>
      <c r="M205">
        <v>23</v>
      </c>
      <c r="N205">
        <v>3</v>
      </c>
      <c r="O205" t="s">
        <v>1036</v>
      </c>
      <c r="P205" s="17"/>
      <c r="Q205" s="17" t="str">
        <f>_xlfn.XLOOKUP(Table2[[#This Row],[buyFromVendorNo]],'Next Day Scheduled'!A:A,'Pending Returns'!O:O,"NOT_FOUND")</f>
        <v>NOT_FOUND</v>
      </c>
    </row>
    <row r="206" spans="1:17" x14ac:dyDescent="0.3">
      <c r="A206" s="1">
        <v>46142</v>
      </c>
      <c r="B206" t="s">
        <v>560</v>
      </c>
      <c r="C206" t="s">
        <v>36</v>
      </c>
      <c r="D206" t="s">
        <v>37</v>
      </c>
      <c r="E206" t="s">
        <v>8</v>
      </c>
      <c r="F206" t="s">
        <v>10</v>
      </c>
      <c r="G206" s="16">
        <v>6954.36</v>
      </c>
      <c r="H206" s="16">
        <v>7997.5140000000001</v>
      </c>
      <c r="I206" s="1">
        <v>46141</v>
      </c>
      <c r="J206">
        <v>117</v>
      </c>
      <c r="K206" t="s">
        <v>1513</v>
      </c>
      <c r="L206" t="s">
        <v>1514</v>
      </c>
      <c r="M206">
        <v>23</v>
      </c>
      <c r="N206">
        <v>3</v>
      </c>
      <c r="O206" t="s">
        <v>1036</v>
      </c>
      <c r="P206" s="17"/>
      <c r="Q206" s="17" t="str">
        <f>_xlfn.XLOOKUP(Table2[[#This Row],[buyFromVendorNo]],'Next Day Scheduled'!A:A,'Pending Returns'!O:O,"NOT_FOUND")</f>
        <v>NOT_FOUND</v>
      </c>
    </row>
    <row r="207" spans="1:17" x14ac:dyDescent="0.3">
      <c r="A207" s="1">
        <v>46142</v>
      </c>
      <c r="B207" t="s">
        <v>620</v>
      </c>
      <c r="C207" t="s">
        <v>36</v>
      </c>
      <c r="D207" t="s">
        <v>37</v>
      </c>
      <c r="E207" t="s">
        <v>8</v>
      </c>
      <c r="F207" t="s">
        <v>10</v>
      </c>
      <c r="G207" s="16">
        <v>8174.32</v>
      </c>
      <c r="H207" s="16">
        <v>9400.4680000000008</v>
      </c>
      <c r="I207" s="1">
        <v>46141</v>
      </c>
      <c r="J207">
        <v>117</v>
      </c>
      <c r="K207" t="s">
        <v>1498</v>
      </c>
      <c r="L207" t="s">
        <v>1499</v>
      </c>
      <c r="M207">
        <v>23</v>
      </c>
      <c r="N207">
        <v>3</v>
      </c>
      <c r="O207" t="s">
        <v>1036</v>
      </c>
      <c r="P207" s="17"/>
      <c r="Q207" s="17" t="str">
        <f>_xlfn.XLOOKUP(Table2[[#This Row],[buyFromVendorNo]],'Next Day Scheduled'!A:A,'Pending Returns'!O:O,"NOT_FOUND")</f>
        <v>NOT_FOUND</v>
      </c>
    </row>
    <row r="208" spans="1:17" x14ac:dyDescent="0.3">
      <c r="A208" s="1">
        <v>46144</v>
      </c>
      <c r="B208" t="s">
        <v>1535</v>
      </c>
      <c r="C208" t="s">
        <v>1536</v>
      </c>
      <c r="D208" t="s">
        <v>1537</v>
      </c>
      <c r="E208" t="s">
        <v>8</v>
      </c>
      <c r="F208" t="s">
        <v>38</v>
      </c>
      <c r="G208" s="16">
        <v>2256.5</v>
      </c>
      <c r="H208" s="16">
        <v>2594.9749999999999</v>
      </c>
      <c r="I208" s="1">
        <v>46142</v>
      </c>
      <c r="J208">
        <v>115</v>
      </c>
      <c r="K208" t="s">
        <v>1538</v>
      </c>
      <c r="L208" t="s">
        <v>1539</v>
      </c>
      <c r="M208">
        <v>4</v>
      </c>
      <c r="N208">
        <v>33</v>
      </c>
      <c r="O208" t="s">
        <v>1036</v>
      </c>
      <c r="P208" s="17"/>
      <c r="Q208" s="17" t="str">
        <f>_xlfn.XLOOKUP(Table2[[#This Row],[buyFromVendorNo]],'Next Day Scheduled'!A:A,'Pending Returns'!O:O,"NOT_FOUND")</f>
        <v>Posted Credit Note</v>
      </c>
    </row>
    <row r="209" spans="1:17" x14ac:dyDescent="0.3">
      <c r="A209" s="1">
        <v>46144</v>
      </c>
      <c r="B209" t="s">
        <v>1540</v>
      </c>
      <c r="C209" t="s">
        <v>95</v>
      </c>
      <c r="D209" t="s">
        <v>96</v>
      </c>
      <c r="E209" t="s">
        <v>8</v>
      </c>
      <c r="F209" t="s">
        <v>10</v>
      </c>
      <c r="G209" s="16">
        <v>6969.8065999999999</v>
      </c>
      <c r="H209" s="16">
        <v>8015.2772999999997</v>
      </c>
      <c r="I209" s="1">
        <v>46135</v>
      </c>
      <c r="J209">
        <v>115</v>
      </c>
      <c r="K209" t="s">
        <v>1541</v>
      </c>
      <c r="L209" t="s">
        <v>1542</v>
      </c>
      <c r="M209">
        <v>18</v>
      </c>
      <c r="N209">
        <v>1</v>
      </c>
      <c r="O209" t="s">
        <v>1036</v>
      </c>
      <c r="P209" s="17"/>
      <c r="Q209" s="17" t="str">
        <f>_xlfn.XLOOKUP(Table2[[#This Row],[buyFromVendorNo]],'Next Day Scheduled'!A:A,'Pending Returns'!O:O,"NOT_FOUND")</f>
        <v>NOT_FOUND</v>
      </c>
    </row>
    <row r="210" spans="1:17" x14ac:dyDescent="0.3">
      <c r="A210" s="1">
        <v>46144</v>
      </c>
      <c r="B210" t="s">
        <v>330</v>
      </c>
      <c r="C210" t="s">
        <v>304</v>
      </c>
      <c r="D210" t="s">
        <v>307</v>
      </c>
      <c r="E210" t="s">
        <v>8</v>
      </c>
      <c r="F210" t="s">
        <v>10</v>
      </c>
      <c r="G210" s="16">
        <v>13594.784</v>
      </c>
      <c r="H210" s="16">
        <v>15634.002</v>
      </c>
      <c r="I210" s="1">
        <v>46141</v>
      </c>
      <c r="J210">
        <v>115</v>
      </c>
      <c r="K210" t="s">
        <v>1547</v>
      </c>
      <c r="L210" t="s">
        <v>1548</v>
      </c>
      <c r="M210">
        <v>20</v>
      </c>
      <c r="N210">
        <v>6</v>
      </c>
      <c r="O210" t="s">
        <v>1036</v>
      </c>
      <c r="P210" s="17"/>
      <c r="Q210" s="17" t="str">
        <f>_xlfn.XLOOKUP(Table2[[#This Row],[buyFromVendorNo]],'Next Day Scheduled'!A:A,'Pending Returns'!O:O,"NOT_FOUND")</f>
        <v>NOT_FOUND</v>
      </c>
    </row>
    <row r="211" spans="1:17" x14ac:dyDescent="0.3">
      <c r="A211" s="1">
        <v>46144</v>
      </c>
      <c r="B211" t="s">
        <v>442</v>
      </c>
      <c r="C211" t="s">
        <v>75</v>
      </c>
      <c r="D211" t="s">
        <v>76</v>
      </c>
      <c r="E211" t="s">
        <v>8</v>
      </c>
      <c r="F211" t="s">
        <v>38</v>
      </c>
      <c r="G211" s="16">
        <v>62659.98</v>
      </c>
      <c r="H211" s="16">
        <v>72058.98</v>
      </c>
      <c r="J211">
        <v>115</v>
      </c>
      <c r="K211" t="s">
        <v>529</v>
      </c>
      <c r="M211">
        <v>14</v>
      </c>
      <c r="N211">
        <v>5</v>
      </c>
      <c r="O211" t="s">
        <v>216</v>
      </c>
      <c r="P211" s="17"/>
      <c r="Q211" s="17" t="str">
        <f>_xlfn.XLOOKUP(Table2[[#This Row],[buyFromVendorNo]],'Next Day Scheduled'!A:A,'Pending Returns'!O:O,"NOT_FOUND")</f>
        <v>Posted Credit Note</v>
      </c>
    </row>
    <row r="212" spans="1:17" x14ac:dyDescent="0.3">
      <c r="A212" s="1">
        <v>46144</v>
      </c>
      <c r="B212" t="s">
        <v>1530</v>
      </c>
      <c r="C212" t="s">
        <v>1031</v>
      </c>
      <c r="D212" t="s">
        <v>1032</v>
      </c>
      <c r="E212" t="s">
        <v>8</v>
      </c>
      <c r="F212" t="s">
        <v>38</v>
      </c>
      <c r="G212" s="16">
        <v>21658.3</v>
      </c>
      <c r="H212" s="16">
        <v>24907.044999999998</v>
      </c>
      <c r="I212" s="1">
        <v>46140</v>
      </c>
      <c r="J212">
        <v>115</v>
      </c>
      <c r="K212" t="s">
        <v>1531</v>
      </c>
      <c r="L212" t="s">
        <v>1532</v>
      </c>
      <c r="M212">
        <v>15</v>
      </c>
      <c r="N212">
        <v>7</v>
      </c>
      <c r="O212" t="s">
        <v>1036</v>
      </c>
      <c r="P212" s="17"/>
      <c r="Q212" s="17" t="str">
        <f>_xlfn.XLOOKUP(Table2[[#This Row],[buyFromVendorNo]],'Next Day Scheduled'!A:A,'Pending Returns'!O:O,"NOT_FOUND")</f>
        <v>Pending for Collection</v>
      </c>
    </row>
    <row r="213" spans="1:17" x14ac:dyDescent="0.3">
      <c r="A213" s="1">
        <v>46144</v>
      </c>
      <c r="B213" t="s">
        <v>1521</v>
      </c>
      <c r="C213" t="s">
        <v>16</v>
      </c>
      <c r="D213" t="s">
        <v>17</v>
      </c>
      <c r="E213" t="s">
        <v>8</v>
      </c>
      <c r="F213" t="s">
        <v>10</v>
      </c>
      <c r="G213" s="16">
        <v>6327.3149999999996</v>
      </c>
      <c r="H213" s="16">
        <v>7276.4125999999997</v>
      </c>
      <c r="I213" s="1">
        <v>46144</v>
      </c>
      <c r="J213">
        <v>115</v>
      </c>
      <c r="K213" t="s">
        <v>1522</v>
      </c>
      <c r="L213" t="s">
        <v>1523</v>
      </c>
      <c r="M213">
        <v>16</v>
      </c>
      <c r="N213">
        <v>3</v>
      </c>
      <c r="O213" t="s">
        <v>1036</v>
      </c>
      <c r="P213" s="17"/>
      <c r="Q213" s="17" t="str">
        <f>_xlfn.XLOOKUP(Table2[[#This Row],[buyFromVendorNo]],'Next Day Scheduled'!A:A,'Pending Returns'!O:O,"NOT_FOUND")</f>
        <v>Posted Credit Note</v>
      </c>
    </row>
    <row r="214" spans="1:17" x14ac:dyDescent="0.3">
      <c r="A214" s="1">
        <v>46144</v>
      </c>
      <c r="B214" t="s">
        <v>1527</v>
      </c>
      <c r="C214" t="s">
        <v>1031</v>
      </c>
      <c r="D214" t="s">
        <v>1032</v>
      </c>
      <c r="E214" t="s">
        <v>8</v>
      </c>
      <c r="F214" t="s">
        <v>38</v>
      </c>
      <c r="G214" s="16">
        <v>11525.49</v>
      </c>
      <c r="H214" s="16">
        <v>13254.313</v>
      </c>
      <c r="I214" s="1">
        <v>46140</v>
      </c>
      <c r="J214">
        <v>115</v>
      </c>
      <c r="K214" t="s">
        <v>1528</v>
      </c>
      <c r="L214" t="s">
        <v>1529</v>
      </c>
      <c r="M214">
        <v>15</v>
      </c>
      <c r="N214">
        <v>7</v>
      </c>
      <c r="O214" t="s">
        <v>1036</v>
      </c>
      <c r="P214" s="17"/>
      <c r="Q214" s="17" t="str">
        <f>_xlfn.XLOOKUP(Table2[[#This Row],[buyFromVendorNo]],'Next Day Scheduled'!A:A,'Pending Returns'!O:O,"NOT_FOUND")</f>
        <v>Pending for Collection</v>
      </c>
    </row>
    <row r="215" spans="1:17" x14ac:dyDescent="0.3">
      <c r="A215" s="1">
        <v>46144</v>
      </c>
      <c r="B215" t="s">
        <v>1524</v>
      </c>
      <c r="C215" t="s">
        <v>935</v>
      </c>
      <c r="D215" t="s">
        <v>936</v>
      </c>
      <c r="E215" t="s">
        <v>8</v>
      </c>
      <c r="F215" t="s">
        <v>10</v>
      </c>
      <c r="G215" s="16">
        <v>2998</v>
      </c>
      <c r="H215" s="16">
        <v>3447.7</v>
      </c>
      <c r="I215" s="1">
        <v>46141</v>
      </c>
      <c r="J215">
        <v>115</v>
      </c>
      <c r="K215" t="s">
        <v>1525</v>
      </c>
      <c r="L215" t="s">
        <v>1526</v>
      </c>
      <c r="M215">
        <v>17</v>
      </c>
      <c r="N215">
        <v>6</v>
      </c>
      <c r="O215" t="s">
        <v>1036</v>
      </c>
      <c r="P215" s="17"/>
      <c r="Q215" s="17" t="str">
        <f>_xlfn.XLOOKUP(Table2[[#This Row],[buyFromVendorNo]],'Next Day Scheduled'!A:A,'Pending Returns'!O:O,"NOT_FOUND")</f>
        <v>NOT_FOUND</v>
      </c>
    </row>
    <row r="216" spans="1:17" x14ac:dyDescent="0.3">
      <c r="A216" s="1">
        <v>46144</v>
      </c>
      <c r="B216" t="s">
        <v>273</v>
      </c>
      <c r="C216" t="s">
        <v>618</v>
      </c>
      <c r="D216" t="s">
        <v>619</v>
      </c>
      <c r="E216" t="s">
        <v>8</v>
      </c>
      <c r="F216" t="s">
        <v>38</v>
      </c>
      <c r="G216" s="16">
        <v>451.68445000000003</v>
      </c>
      <c r="H216" s="16">
        <v>451.68445000000003</v>
      </c>
      <c r="I216" s="1">
        <v>46142</v>
      </c>
      <c r="J216">
        <v>115</v>
      </c>
      <c r="K216" t="s">
        <v>1543</v>
      </c>
      <c r="L216" t="s">
        <v>1544</v>
      </c>
      <c r="M216">
        <v>115</v>
      </c>
      <c r="N216">
        <v>0</v>
      </c>
      <c r="O216" t="s">
        <v>1036</v>
      </c>
      <c r="P216" s="17"/>
      <c r="Q216" s="17" t="str">
        <f>_xlfn.XLOOKUP(Table2[[#This Row],[buyFromVendorNo]],'Next Day Scheduled'!A:A,'Pending Returns'!O:O,"NOT_FOUND")</f>
        <v>NOT_FOUND</v>
      </c>
    </row>
    <row r="217" spans="1:17" x14ac:dyDescent="0.3">
      <c r="A217" s="1">
        <v>46144</v>
      </c>
      <c r="B217" t="s">
        <v>262</v>
      </c>
      <c r="C217" t="s">
        <v>95</v>
      </c>
      <c r="D217" t="s">
        <v>96</v>
      </c>
      <c r="E217" t="s">
        <v>8</v>
      </c>
      <c r="F217" t="s">
        <v>10</v>
      </c>
      <c r="G217" s="16">
        <v>12825.62</v>
      </c>
      <c r="H217" s="16">
        <v>14749.463</v>
      </c>
      <c r="I217" s="1">
        <v>46135</v>
      </c>
      <c r="J217">
        <v>115</v>
      </c>
      <c r="K217" t="s">
        <v>1545</v>
      </c>
      <c r="L217" t="s">
        <v>1546</v>
      </c>
      <c r="M217">
        <v>18</v>
      </c>
      <c r="N217">
        <v>1</v>
      </c>
      <c r="O217" t="s">
        <v>1036</v>
      </c>
      <c r="P217" s="17"/>
      <c r="Q217" s="17" t="str">
        <f>_xlfn.XLOOKUP(Table2[[#This Row],[buyFromVendorNo]],'Next Day Scheduled'!A:A,'Pending Returns'!O:O,"NOT_FOUND")</f>
        <v>NOT_FOUND</v>
      </c>
    </row>
    <row r="218" spans="1:17" x14ac:dyDescent="0.3">
      <c r="A218" s="1">
        <v>46144</v>
      </c>
      <c r="B218" t="s">
        <v>674</v>
      </c>
      <c r="C218" t="s">
        <v>925</v>
      </c>
      <c r="D218" t="s">
        <v>926</v>
      </c>
      <c r="E218" t="s">
        <v>8</v>
      </c>
      <c r="F218" t="s">
        <v>10</v>
      </c>
      <c r="G218" s="16">
        <v>12242.1</v>
      </c>
      <c r="H218" s="16">
        <v>14078.415000000001</v>
      </c>
      <c r="I218" s="1">
        <v>46141</v>
      </c>
      <c r="J218">
        <v>115</v>
      </c>
      <c r="K218" t="s">
        <v>1533</v>
      </c>
      <c r="L218" t="s">
        <v>1534</v>
      </c>
      <c r="M218">
        <v>17</v>
      </c>
      <c r="N218">
        <v>2</v>
      </c>
      <c r="O218" t="s">
        <v>1036</v>
      </c>
      <c r="P218" s="17"/>
      <c r="Q218" s="17" t="str">
        <f>_xlfn.XLOOKUP(Table2[[#This Row],[buyFromVendorNo]],'Next Day Scheduled'!A:A,'Pending Returns'!O:O,"NOT_FOUND")</f>
        <v>NOT_FOUND</v>
      </c>
    </row>
    <row r="219" spans="1:17" x14ac:dyDescent="0.3">
      <c r="A219" s="1">
        <v>46145</v>
      </c>
      <c r="B219" t="s">
        <v>1558</v>
      </c>
      <c r="C219" t="s">
        <v>358</v>
      </c>
      <c r="D219" t="s">
        <v>359</v>
      </c>
      <c r="E219" t="s">
        <v>8</v>
      </c>
      <c r="F219" t="s">
        <v>10</v>
      </c>
      <c r="G219" s="16">
        <v>4000</v>
      </c>
      <c r="H219" s="16">
        <v>4600</v>
      </c>
      <c r="I219" s="1">
        <v>46145</v>
      </c>
      <c r="J219">
        <v>114</v>
      </c>
      <c r="K219" t="s">
        <v>1559</v>
      </c>
      <c r="L219" t="s">
        <v>1560</v>
      </c>
      <c r="M219">
        <v>11</v>
      </c>
      <c r="N219">
        <v>1</v>
      </c>
      <c r="O219" t="s">
        <v>1036</v>
      </c>
      <c r="P219" s="17"/>
      <c r="Q219" s="17" t="str">
        <f>_xlfn.XLOOKUP(Table2[[#This Row],[buyFromVendorNo]],'Next Day Scheduled'!A:A,'Pending Returns'!O:O,"NOT_FOUND")</f>
        <v>NOT_FOUND</v>
      </c>
    </row>
    <row r="220" spans="1:17" x14ac:dyDescent="0.3">
      <c r="A220" s="1">
        <v>46145</v>
      </c>
      <c r="B220" t="s">
        <v>255</v>
      </c>
      <c r="C220" t="s">
        <v>107</v>
      </c>
      <c r="D220" t="s">
        <v>108</v>
      </c>
      <c r="E220" t="s">
        <v>8</v>
      </c>
      <c r="F220" t="s">
        <v>10</v>
      </c>
      <c r="G220" s="16">
        <v>2348.3542000000002</v>
      </c>
      <c r="H220" s="16">
        <v>2700.6073999999999</v>
      </c>
      <c r="I220" s="1">
        <v>46141</v>
      </c>
      <c r="J220">
        <v>114</v>
      </c>
      <c r="K220" t="s">
        <v>1552</v>
      </c>
      <c r="L220" t="s">
        <v>1553</v>
      </c>
      <c r="M220">
        <v>19</v>
      </c>
      <c r="N220">
        <v>5</v>
      </c>
      <c r="O220" t="s">
        <v>1036</v>
      </c>
      <c r="P220" s="17"/>
      <c r="Q220" s="17" t="str">
        <f>_xlfn.XLOOKUP(Table2[[#This Row],[buyFromVendorNo]],'Next Day Scheduled'!A:A,'Pending Returns'!O:O,"NOT_FOUND")</f>
        <v>NOT_FOUND</v>
      </c>
    </row>
    <row r="221" spans="1:17" x14ac:dyDescent="0.3">
      <c r="A221" s="1">
        <v>46145</v>
      </c>
      <c r="B221" t="s">
        <v>481</v>
      </c>
      <c r="C221" t="s">
        <v>179</v>
      </c>
      <c r="D221" t="s">
        <v>180</v>
      </c>
      <c r="E221" t="s">
        <v>8</v>
      </c>
      <c r="F221" t="s">
        <v>169</v>
      </c>
      <c r="G221" s="16">
        <v>2230.502</v>
      </c>
      <c r="H221" s="16">
        <v>2565.0774000000001</v>
      </c>
      <c r="J221">
        <v>114</v>
      </c>
      <c r="K221" t="s">
        <v>557</v>
      </c>
      <c r="M221">
        <v>0</v>
      </c>
      <c r="N221">
        <v>360</v>
      </c>
      <c r="O221" t="s">
        <v>216</v>
      </c>
      <c r="P221" s="17"/>
      <c r="Q221" s="17" t="str">
        <f>_xlfn.XLOOKUP(Table2[[#This Row],[buyFromVendorNo]],'Next Day Scheduled'!A:A,'Pending Returns'!O:O,"NOT_FOUND")</f>
        <v>NOT_FOUND</v>
      </c>
    </row>
    <row r="222" spans="1:17" x14ac:dyDescent="0.3">
      <c r="A222" s="1">
        <v>46145</v>
      </c>
      <c r="B222" t="s">
        <v>1549</v>
      </c>
      <c r="C222" t="s">
        <v>107</v>
      </c>
      <c r="D222" t="s">
        <v>108</v>
      </c>
      <c r="E222" t="s">
        <v>8</v>
      </c>
      <c r="F222" t="s">
        <v>10</v>
      </c>
      <c r="G222" s="16">
        <v>2614.0158999999999</v>
      </c>
      <c r="H222" s="16">
        <v>3006.1181999999999</v>
      </c>
      <c r="I222" s="1">
        <v>46135</v>
      </c>
      <c r="J222">
        <v>114</v>
      </c>
      <c r="K222" t="s">
        <v>1550</v>
      </c>
      <c r="L222" t="s">
        <v>1551</v>
      </c>
      <c r="M222">
        <v>19</v>
      </c>
      <c r="N222">
        <v>5</v>
      </c>
      <c r="O222" t="s">
        <v>1036</v>
      </c>
      <c r="P222" s="17"/>
      <c r="Q222" s="17" t="str">
        <f>_xlfn.XLOOKUP(Table2[[#This Row],[buyFromVendorNo]],'Next Day Scheduled'!A:A,'Pending Returns'!O:O,"NOT_FOUND")</f>
        <v>NOT_FOUND</v>
      </c>
    </row>
    <row r="223" spans="1:17" x14ac:dyDescent="0.3">
      <c r="A223" s="1">
        <v>46145</v>
      </c>
      <c r="B223" t="s">
        <v>279</v>
      </c>
      <c r="C223" t="s">
        <v>107</v>
      </c>
      <c r="D223" t="s">
        <v>108</v>
      </c>
      <c r="E223" t="s">
        <v>8</v>
      </c>
      <c r="F223" t="s">
        <v>10</v>
      </c>
      <c r="G223" s="16">
        <v>2734.8083000000001</v>
      </c>
      <c r="H223" s="16">
        <v>3145.0297999999998</v>
      </c>
      <c r="I223" s="1">
        <v>46135</v>
      </c>
      <c r="J223">
        <v>114</v>
      </c>
      <c r="K223" t="s">
        <v>1554</v>
      </c>
      <c r="L223" t="s">
        <v>1555</v>
      </c>
      <c r="M223">
        <v>19</v>
      </c>
      <c r="N223">
        <v>5</v>
      </c>
      <c r="O223" t="s">
        <v>1036</v>
      </c>
      <c r="P223" s="17"/>
      <c r="Q223" s="17" t="str">
        <f>_xlfn.XLOOKUP(Table2[[#This Row],[buyFromVendorNo]],'Next Day Scheduled'!A:A,'Pending Returns'!O:O,"NOT_FOUND")</f>
        <v>NOT_FOUND</v>
      </c>
    </row>
    <row r="224" spans="1:17" x14ac:dyDescent="0.3">
      <c r="A224" s="1">
        <v>46145</v>
      </c>
      <c r="B224" t="s">
        <v>611</v>
      </c>
      <c r="C224" t="s">
        <v>107</v>
      </c>
      <c r="D224" t="s">
        <v>108</v>
      </c>
      <c r="E224" t="s">
        <v>8</v>
      </c>
      <c r="F224" t="s">
        <v>10</v>
      </c>
      <c r="G224" s="16">
        <v>2672.2979</v>
      </c>
      <c r="H224" s="16">
        <v>3073.1426000000001</v>
      </c>
      <c r="I224" s="1">
        <v>46135</v>
      </c>
      <c r="J224">
        <v>114</v>
      </c>
      <c r="K224" t="s">
        <v>1561</v>
      </c>
      <c r="L224" t="s">
        <v>1562</v>
      </c>
      <c r="M224">
        <v>19</v>
      </c>
      <c r="N224">
        <v>5</v>
      </c>
      <c r="O224" t="s">
        <v>1036</v>
      </c>
      <c r="P224" s="17"/>
      <c r="Q224" s="17" t="str">
        <f>_xlfn.XLOOKUP(Table2[[#This Row],[buyFromVendorNo]],'Next Day Scheduled'!A:A,'Pending Returns'!O:O,"NOT_FOUND")</f>
        <v>NOT_FOUND</v>
      </c>
    </row>
    <row r="225" spans="1:17" x14ac:dyDescent="0.3">
      <c r="A225" s="1">
        <v>46145</v>
      </c>
      <c r="B225" t="s">
        <v>243</v>
      </c>
      <c r="C225" t="s">
        <v>107</v>
      </c>
      <c r="D225" t="s">
        <v>108</v>
      </c>
      <c r="E225" t="s">
        <v>8</v>
      </c>
      <c r="F225" t="s">
        <v>10</v>
      </c>
      <c r="G225" s="16">
        <v>2454.5063</v>
      </c>
      <c r="H225" s="16">
        <v>2822.6824000000001</v>
      </c>
      <c r="I225" s="1">
        <v>46135</v>
      </c>
      <c r="J225">
        <v>114</v>
      </c>
      <c r="K225" t="s">
        <v>1556</v>
      </c>
      <c r="L225" t="s">
        <v>1557</v>
      </c>
      <c r="M225">
        <v>19</v>
      </c>
      <c r="N225">
        <v>5</v>
      </c>
      <c r="O225" t="s">
        <v>1036</v>
      </c>
      <c r="P225" s="17"/>
      <c r="Q225" s="17" t="str">
        <f>_xlfn.XLOOKUP(Table2[[#This Row],[buyFromVendorNo]],'Next Day Scheduled'!A:A,'Pending Returns'!O:O,"NOT_FOUND")</f>
        <v>NOT_FOUND</v>
      </c>
    </row>
    <row r="226" spans="1:17" x14ac:dyDescent="0.3">
      <c r="A226" s="1">
        <v>46146</v>
      </c>
      <c r="B226" t="s">
        <v>442</v>
      </c>
      <c r="C226" t="s">
        <v>43</v>
      </c>
      <c r="D226" t="s">
        <v>44</v>
      </c>
      <c r="E226" t="s">
        <v>8</v>
      </c>
      <c r="F226" t="s">
        <v>38</v>
      </c>
      <c r="G226" s="16">
        <v>6364.82</v>
      </c>
      <c r="H226" s="16">
        <v>7319.5429999999997</v>
      </c>
      <c r="I226" s="1">
        <v>46146</v>
      </c>
      <c r="J226">
        <v>113</v>
      </c>
      <c r="K226" t="s">
        <v>1563</v>
      </c>
      <c r="L226" t="s">
        <v>1564</v>
      </c>
      <c r="M226">
        <v>100</v>
      </c>
      <c r="N226">
        <v>1</v>
      </c>
      <c r="O226" t="s">
        <v>1036</v>
      </c>
      <c r="P226" s="17"/>
      <c r="Q226" s="17" t="str">
        <f>_xlfn.XLOOKUP(Table2[[#This Row],[buyFromVendorNo]],'Next Day Scheduled'!A:A,'Pending Returns'!O:O,"NOT_FOUND")</f>
        <v>Posted Credit Note</v>
      </c>
    </row>
    <row r="227" spans="1:17" x14ac:dyDescent="0.3">
      <c r="A227" s="1">
        <v>46147</v>
      </c>
      <c r="B227" t="s">
        <v>1575</v>
      </c>
      <c r="C227" t="s">
        <v>873</v>
      </c>
      <c r="D227" t="s">
        <v>874</v>
      </c>
      <c r="E227" t="s">
        <v>8</v>
      </c>
      <c r="F227" t="s">
        <v>38</v>
      </c>
      <c r="G227" s="16">
        <v>5341.5590000000002</v>
      </c>
      <c r="H227" s="16">
        <v>6142.7929999999997</v>
      </c>
      <c r="I227" s="1">
        <v>46142</v>
      </c>
      <c r="J227">
        <v>112</v>
      </c>
      <c r="K227" t="s">
        <v>1576</v>
      </c>
      <c r="L227" t="s">
        <v>1577</v>
      </c>
      <c r="M227">
        <v>5</v>
      </c>
      <c r="N227">
        <v>6</v>
      </c>
      <c r="O227" t="s">
        <v>1036</v>
      </c>
      <c r="P227" s="17"/>
      <c r="Q227" s="17" t="str">
        <f>_xlfn.XLOOKUP(Table2[[#This Row],[buyFromVendorNo]],'Next Day Scheduled'!A:A,'Pending Returns'!O:O,"NOT_FOUND")</f>
        <v>Posted Credit Note</v>
      </c>
    </row>
    <row r="228" spans="1:17" x14ac:dyDescent="0.3">
      <c r="A228" s="1">
        <v>46147</v>
      </c>
      <c r="B228" t="s">
        <v>515</v>
      </c>
      <c r="C228" t="s">
        <v>69</v>
      </c>
      <c r="D228" t="s">
        <v>70</v>
      </c>
      <c r="E228" t="s">
        <v>8</v>
      </c>
      <c r="F228" t="s">
        <v>10</v>
      </c>
      <c r="G228" s="16">
        <v>9009.5</v>
      </c>
      <c r="H228" s="16">
        <v>10360.924999999999</v>
      </c>
      <c r="I228" s="1">
        <v>46146</v>
      </c>
      <c r="J228">
        <v>112</v>
      </c>
      <c r="K228" t="s">
        <v>1589</v>
      </c>
      <c r="L228" t="s">
        <v>1590</v>
      </c>
      <c r="M228">
        <v>42</v>
      </c>
      <c r="N228">
        <v>1</v>
      </c>
      <c r="O228" t="s">
        <v>1036</v>
      </c>
      <c r="P228" s="17"/>
      <c r="Q228" s="17" t="str">
        <f>_xlfn.XLOOKUP(Table2[[#This Row],[buyFromVendorNo]],'Next Day Scheduled'!A:A,'Pending Returns'!O:O,"NOT_FOUND")</f>
        <v>Posted Credit Note</v>
      </c>
    </row>
    <row r="229" spans="1:17" x14ac:dyDescent="0.3">
      <c r="A229" s="1">
        <v>46147</v>
      </c>
      <c r="B229" t="s">
        <v>273</v>
      </c>
      <c r="C229" t="s">
        <v>36</v>
      </c>
      <c r="D229" t="s">
        <v>37</v>
      </c>
      <c r="E229" t="s">
        <v>8</v>
      </c>
      <c r="F229" t="s">
        <v>38</v>
      </c>
      <c r="G229" s="16">
        <v>51312.08</v>
      </c>
      <c r="H229" s="16">
        <v>59008.89</v>
      </c>
      <c r="I229" s="1">
        <v>46144</v>
      </c>
      <c r="J229">
        <v>112</v>
      </c>
      <c r="K229" t="s">
        <v>1580</v>
      </c>
      <c r="L229" t="s">
        <v>1581</v>
      </c>
      <c r="M229">
        <v>110</v>
      </c>
      <c r="N229">
        <v>1</v>
      </c>
      <c r="O229" t="s">
        <v>1036</v>
      </c>
      <c r="P229" s="17"/>
      <c r="Q229" s="17" t="str">
        <f>_xlfn.XLOOKUP(Table2[[#This Row],[buyFromVendorNo]],'Next Day Scheduled'!A:A,'Pending Returns'!O:O,"NOT_FOUND")</f>
        <v>NOT_FOUND</v>
      </c>
    </row>
    <row r="230" spans="1:17" x14ac:dyDescent="0.3">
      <c r="A230" s="1">
        <v>46147</v>
      </c>
      <c r="B230" t="s">
        <v>257</v>
      </c>
      <c r="C230" t="s">
        <v>69</v>
      </c>
      <c r="D230" t="s">
        <v>70</v>
      </c>
      <c r="E230" t="s">
        <v>8</v>
      </c>
      <c r="F230" t="s">
        <v>10</v>
      </c>
      <c r="G230" s="16">
        <v>4639.8100000000004</v>
      </c>
      <c r="H230" s="16">
        <v>5335.7816999999995</v>
      </c>
      <c r="I230" s="1">
        <v>46133</v>
      </c>
      <c r="J230">
        <v>112</v>
      </c>
      <c r="K230" t="s">
        <v>1582</v>
      </c>
      <c r="L230" t="s">
        <v>1583</v>
      </c>
      <c r="M230">
        <v>42</v>
      </c>
      <c r="N230">
        <v>1</v>
      </c>
      <c r="O230" t="s">
        <v>1036</v>
      </c>
      <c r="P230" s="17"/>
      <c r="Q230" s="17" t="str">
        <f>_xlfn.XLOOKUP(Table2[[#This Row],[buyFromVendorNo]],'Next Day Scheduled'!A:A,'Pending Returns'!O:O,"NOT_FOUND")</f>
        <v>Posted Credit Note</v>
      </c>
    </row>
    <row r="231" spans="1:17" x14ac:dyDescent="0.3">
      <c r="A231" s="1">
        <v>46147</v>
      </c>
      <c r="B231" t="s">
        <v>1567</v>
      </c>
      <c r="C231" t="s">
        <v>141</v>
      </c>
      <c r="D231" t="s">
        <v>142</v>
      </c>
      <c r="E231" t="s">
        <v>8</v>
      </c>
      <c r="F231" t="s">
        <v>10</v>
      </c>
      <c r="G231" s="16">
        <v>3778.7692999999999</v>
      </c>
      <c r="H231" s="16">
        <v>4345.5844999999999</v>
      </c>
      <c r="I231" s="1">
        <v>46142</v>
      </c>
      <c r="J231">
        <v>112</v>
      </c>
      <c r="K231" t="s">
        <v>1568</v>
      </c>
      <c r="L231" t="s">
        <v>1569</v>
      </c>
      <c r="M231">
        <v>15</v>
      </c>
      <c r="N231">
        <v>6</v>
      </c>
      <c r="O231" t="s">
        <v>1036</v>
      </c>
      <c r="P231" s="17"/>
      <c r="Q231" s="17" t="str">
        <f>_xlfn.XLOOKUP(Table2[[#This Row],[buyFromVendorNo]],'Next Day Scheduled'!A:A,'Pending Returns'!O:O,"NOT_FOUND")</f>
        <v>NOT_FOUND</v>
      </c>
    </row>
    <row r="232" spans="1:17" x14ac:dyDescent="0.3">
      <c r="A232" s="1">
        <v>46147</v>
      </c>
      <c r="B232" t="s">
        <v>221</v>
      </c>
      <c r="C232" t="s">
        <v>19</v>
      </c>
      <c r="D232" t="s">
        <v>20</v>
      </c>
      <c r="E232" t="s">
        <v>8</v>
      </c>
      <c r="F232" t="s">
        <v>10</v>
      </c>
      <c r="G232" s="16">
        <v>12743.34</v>
      </c>
      <c r="H232" s="16">
        <v>14654.841</v>
      </c>
      <c r="I232" s="1">
        <v>46138</v>
      </c>
      <c r="J232">
        <v>112</v>
      </c>
      <c r="K232" t="s">
        <v>1565</v>
      </c>
      <c r="L232" t="s">
        <v>1566</v>
      </c>
      <c r="M232">
        <v>8</v>
      </c>
      <c r="N232">
        <v>13</v>
      </c>
      <c r="O232" t="s">
        <v>1036</v>
      </c>
      <c r="P232" s="17"/>
      <c r="Q232" s="17" t="str">
        <f>_xlfn.XLOOKUP(Table2[[#This Row],[buyFromVendorNo]],'Next Day Scheduled'!A:A,'Pending Returns'!O:O,"NOT_FOUND")</f>
        <v>Posted Credit Note</v>
      </c>
    </row>
    <row r="233" spans="1:17" x14ac:dyDescent="0.3">
      <c r="A233" s="1">
        <v>46147</v>
      </c>
      <c r="B233" t="s">
        <v>257</v>
      </c>
      <c r="C233" t="s">
        <v>837</v>
      </c>
      <c r="D233" t="s">
        <v>838</v>
      </c>
      <c r="E233" t="s">
        <v>8</v>
      </c>
      <c r="F233" t="s">
        <v>10</v>
      </c>
      <c r="G233" s="16">
        <v>5051.4706999999999</v>
      </c>
      <c r="H233" s="16">
        <v>5809.1913999999997</v>
      </c>
      <c r="I233" s="1">
        <v>46142</v>
      </c>
      <c r="J233">
        <v>112</v>
      </c>
      <c r="K233" t="s">
        <v>1573</v>
      </c>
      <c r="L233" t="s">
        <v>1574</v>
      </c>
      <c r="M233">
        <v>13</v>
      </c>
      <c r="N233">
        <v>2</v>
      </c>
      <c r="O233" t="s">
        <v>1036</v>
      </c>
      <c r="P233" s="17"/>
      <c r="Q233" s="17" t="str">
        <f>_xlfn.XLOOKUP(Table2[[#This Row],[buyFromVendorNo]],'Next Day Scheduled'!A:A,'Pending Returns'!O:O,"NOT_FOUND")</f>
        <v>NOT_FOUND</v>
      </c>
    </row>
    <row r="234" spans="1:17" x14ac:dyDescent="0.3">
      <c r="A234" s="1">
        <v>46147</v>
      </c>
      <c r="B234" t="s">
        <v>1584</v>
      </c>
      <c r="C234" t="s">
        <v>423</v>
      </c>
      <c r="D234" t="s">
        <v>424</v>
      </c>
      <c r="E234" t="s">
        <v>8</v>
      </c>
      <c r="F234" t="s">
        <v>10</v>
      </c>
      <c r="G234" s="16">
        <v>3737.37</v>
      </c>
      <c r="H234" s="16">
        <v>4297.9755999999998</v>
      </c>
      <c r="I234" s="1">
        <v>46142</v>
      </c>
      <c r="J234">
        <v>112</v>
      </c>
      <c r="K234" t="s">
        <v>1585</v>
      </c>
      <c r="L234" t="s">
        <v>1586</v>
      </c>
      <c r="M234">
        <v>17</v>
      </c>
      <c r="N234">
        <v>3</v>
      </c>
      <c r="O234" t="s">
        <v>1036</v>
      </c>
      <c r="P234" s="17"/>
      <c r="Q234" s="17" t="str">
        <f>_xlfn.XLOOKUP(Table2[[#This Row],[buyFromVendorNo]],'Next Day Scheduled'!A:A,'Pending Returns'!O:O,"NOT_FOUND")</f>
        <v>NOT_FOUND</v>
      </c>
    </row>
    <row r="235" spans="1:17" x14ac:dyDescent="0.3">
      <c r="A235" s="1">
        <v>46147</v>
      </c>
      <c r="B235" t="s">
        <v>521</v>
      </c>
      <c r="C235" t="s">
        <v>137</v>
      </c>
      <c r="D235" t="s">
        <v>138</v>
      </c>
      <c r="E235" t="s">
        <v>8</v>
      </c>
      <c r="F235" t="s">
        <v>10</v>
      </c>
      <c r="G235" s="16">
        <v>13990.08</v>
      </c>
      <c r="H235" s="16">
        <v>16088.592000000001</v>
      </c>
      <c r="I235" s="1">
        <v>46147</v>
      </c>
      <c r="J235">
        <v>112</v>
      </c>
      <c r="K235" t="s">
        <v>1587</v>
      </c>
      <c r="L235" t="s">
        <v>1588</v>
      </c>
      <c r="M235">
        <v>20</v>
      </c>
      <c r="N235">
        <v>5</v>
      </c>
      <c r="O235" t="s">
        <v>1036</v>
      </c>
      <c r="P235" s="17"/>
      <c r="Q235" s="17" t="str">
        <f>_xlfn.XLOOKUP(Table2[[#This Row],[buyFromVendorNo]],'Next Day Scheduled'!A:A,'Pending Returns'!O:O,"NOT_FOUND")</f>
        <v>NOT_FOUND</v>
      </c>
    </row>
    <row r="236" spans="1:17" x14ac:dyDescent="0.3">
      <c r="A236" s="1">
        <v>46147</v>
      </c>
      <c r="B236" t="s">
        <v>515</v>
      </c>
      <c r="C236" t="s">
        <v>837</v>
      </c>
      <c r="D236" t="s">
        <v>838</v>
      </c>
      <c r="E236" t="s">
        <v>8</v>
      </c>
      <c r="F236" t="s">
        <v>10</v>
      </c>
      <c r="G236" s="16">
        <v>3579.4582999999998</v>
      </c>
      <c r="H236" s="16">
        <v>4116.3770000000004</v>
      </c>
      <c r="I236" s="1">
        <v>46142</v>
      </c>
      <c r="J236">
        <v>112</v>
      </c>
      <c r="K236" t="s">
        <v>1578</v>
      </c>
      <c r="L236" t="s">
        <v>1579</v>
      </c>
      <c r="M236">
        <v>13</v>
      </c>
      <c r="N236">
        <v>2</v>
      </c>
      <c r="O236" t="s">
        <v>1036</v>
      </c>
      <c r="P236" s="17"/>
      <c r="Q236" s="17" t="str">
        <f>_xlfn.XLOOKUP(Table2[[#This Row],[buyFromVendorNo]],'Next Day Scheduled'!A:A,'Pending Returns'!O:O,"NOT_FOUND")</f>
        <v>NOT_FOUND</v>
      </c>
    </row>
    <row r="237" spans="1:17" x14ac:dyDescent="0.3">
      <c r="A237" s="1">
        <v>46147</v>
      </c>
      <c r="B237" t="s">
        <v>1570</v>
      </c>
      <c r="C237" t="s">
        <v>873</v>
      </c>
      <c r="D237" t="s">
        <v>874</v>
      </c>
      <c r="E237" t="s">
        <v>8</v>
      </c>
      <c r="F237" t="s">
        <v>38</v>
      </c>
      <c r="G237" s="16">
        <v>19898.12</v>
      </c>
      <c r="H237" s="16">
        <v>22882.838</v>
      </c>
      <c r="I237" s="1">
        <v>46142</v>
      </c>
      <c r="J237">
        <v>112</v>
      </c>
      <c r="K237" t="s">
        <v>1571</v>
      </c>
      <c r="L237" t="s">
        <v>1572</v>
      </c>
      <c r="M237">
        <v>5</v>
      </c>
      <c r="N237">
        <v>6</v>
      </c>
      <c r="O237" t="s">
        <v>1036</v>
      </c>
      <c r="P237" s="17"/>
      <c r="Q237" s="17" t="str">
        <f>_xlfn.XLOOKUP(Table2[[#This Row],[buyFromVendorNo]],'Next Day Scheduled'!A:A,'Pending Returns'!O:O,"NOT_FOUND")</f>
        <v>Posted Credit Note</v>
      </c>
    </row>
    <row r="238" spans="1:17" x14ac:dyDescent="0.3">
      <c r="A238" s="1">
        <v>46148</v>
      </c>
      <c r="B238" t="s">
        <v>246</v>
      </c>
      <c r="C238" t="s">
        <v>158</v>
      </c>
      <c r="D238" t="s">
        <v>159</v>
      </c>
      <c r="E238" t="s">
        <v>8</v>
      </c>
      <c r="F238" t="s">
        <v>10</v>
      </c>
      <c r="G238" s="16">
        <v>6442.9070000000002</v>
      </c>
      <c r="H238" s="16">
        <v>7409.3433000000005</v>
      </c>
      <c r="I238" s="1">
        <v>46138</v>
      </c>
      <c r="J238">
        <v>111</v>
      </c>
      <c r="K238" t="s">
        <v>1606</v>
      </c>
      <c r="L238" t="s">
        <v>1607</v>
      </c>
      <c r="M238">
        <v>15</v>
      </c>
      <c r="N238">
        <v>6</v>
      </c>
      <c r="O238" t="s">
        <v>1036</v>
      </c>
      <c r="P238" s="17"/>
      <c r="Q238" s="17" t="str">
        <f>_xlfn.XLOOKUP(Table2[[#This Row],[buyFromVendorNo]],'Next Day Scheduled'!A:A,'Pending Returns'!O:O,"NOT_FOUND")</f>
        <v>Posted Credit Note</v>
      </c>
    </row>
    <row r="239" spans="1:17" x14ac:dyDescent="0.3">
      <c r="A239" s="1">
        <v>46148</v>
      </c>
      <c r="B239" t="s">
        <v>277</v>
      </c>
      <c r="C239" t="s">
        <v>158</v>
      </c>
      <c r="D239" t="s">
        <v>159</v>
      </c>
      <c r="E239" t="s">
        <v>8</v>
      </c>
      <c r="F239" t="s">
        <v>10</v>
      </c>
      <c r="G239" s="16">
        <v>7135.9053000000004</v>
      </c>
      <c r="H239" s="16">
        <v>8206.2909999999993</v>
      </c>
      <c r="I239" s="1">
        <v>46138</v>
      </c>
      <c r="J239">
        <v>111</v>
      </c>
      <c r="K239" t="s">
        <v>1595</v>
      </c>
      <c r="L239" t="s">
        <v>1596</v>
      </c>
      <c r="M239">
        <v>15</v>
      </c>
      <c r="N239">
        <v>6</v>
      </c>
      <c r="O239" t="s">
        <v>1036</v>
      </c>
      <c r="P239" s="17"/>
      <c r="Q239" s="17" t="str">
        <f>_xlfn.XLOOKUP(Table2[[#This Row],[buyFromVendorNo]],'Next Day Scheduled'!A:A,'Pending Returns'!O:O,"NOT_FOUND")</f>
        <v>Posted Credit Note</v>
      </c>
    </row>
    <row r="240" spans="1:17" x14ac:dyDescent="0.3">
      <c r="A240" s="1">
        <v>46148</v>
      </c>
      <c r="B240" t="s">
        <v>482</v>
      </c>
      <c r="C240" t="s">
        <v>778</v>
      </c>
      <c r="D240" t="s">
        <v>779</v>
      </c>
      <c r="E240" t="s">
        <v>8</v>
      </c>
      <c r="F240" t="s">
        <v>10</v>
      </c>
      <c r="G240" s="16">
        <v>9494.223</v>
      </c>
      <c r="H240" s="16">
        <v>10918.356</v>
      </c>
      <c r="I240" s="1">
        <v>46144</v>
      </c>
      <c r="J240">
        <v>111</v>
      </c>
      <c r="K240" t="s">
        <v>1597</v>
      </c>
      <c r="L240" t="s">
        <v>1598</v>
      </c>
      <c r="M240">
        <v>15</v>
      </c>
      <c r="N240">
        <v>7</v>
      </c>
      <c r="O240" t="s">
        <v>1036</v>
      </c>
      <c r="P240" s="17"/>
      <c r="Q240" s="17" t="str">
        <f>_xlfn.XLOOKUP(Table2[[#This Row],[buyFromVendorNo]],'Next Day Scheduled'!A:A,'Pending Returns'!O:O,"NOT_FOUND")</f>
        <v>Posted Credit Note</v>
      </c>
    </row>
    <row r="241" spans="1:17" x14ac:dyDescent="0.3">
      <c r="A241" s="1">
        <v>46148</v>
      </c>
      <c r="B241" t="s">
        <v>269</v>
      </c>
      <c r="C241" t="s">
        <v>158</v>
      </c>
      <c r="D241" t="s">
        <v>159</v>
      </c>
      <c r="E241" t="s">
        <v>8</v>
      </c>
      <c r="F241" t="s">
        <v>10</v>
      </c>
      <c r="G241" s="16">
        <v>7271.8429999999998</v>
      </c>
      <c r="H241" s="16">
        <v>8362.6190000000006</v>
      </c>
      <c r="I241" s="1">
        <v>46138</v>
      </c>
      <c r="J241">
        <v>111</v>
      </c>
      <c r="K241" t="s">
        <v>1602</v>
      </c>
      <c r="L241" t="s">
        <v>1603</v>
      </c>
      <c r="M241">
        <v>15</v>
      </c>
      <c r="N241">
        <v>6</v>
      </c>
      <c r="O241" t="s">
        <v>1036</v>
      </c>
      <c r="P241" s="17"/>
      <c r="Q241" s="17" t="str">
        <f>_xlfn.XLOOKUP(Table2[[#This Row],[buyFromVendorNo]],'Next Day Scheduled'!A:A,'Pending Returns'!O:O,"NOT_FOUND")</f>
        <v>Posted Credit Note</v>
      </c>
    </row>
    <row r="242" spans="1:17" x14ac:dyDescent="0.3">
      <c r="A242" s="1">
        <v>46148</v>
      </c>
      <c r="B242" t="s">
        <v>515</v>
      </c>
      <c r="C242" t="s">
        <v>79</v>
      </c>
      <c r="D242" t="s">
        <v>80</v>
      </c>
      <c r="E242" t="s">
        <v>8</v>
      </c>
      <c r="F242" t="s">
        <v>10</v>
      </c>
      <c r="G242" s="16">
        <v>7403.9594999999999</v>
      </c>
      <c r="H242" s="16">
        <v>8514.5540000000001</v>
      </c>
      <c r="I242" s="1">
        <v>46144</v>
      </c>
      <c r="J242">
        <v>111</v>
      </c>
      <c r="K242" t="s">
        <v>1604</v>
      </c>
      <c r="L242" t="s">
        <v>1605</v>
      </c>
      <c r="M242">
        <v>13</v>
      </c>
      <c r="N242">
        <v>2</v>
      </c>
      <c r="O242" t="s">
        <v>1036</v>
      </c>
      <c r="P242" s="17"/>
      <c r="Q242" s="17" t="str">
        <f>_xlfn.XLOOKUP(Table2[[#This Row],[buyFromVendorNo]],'Next Day Scheduled'!A:A,'Pending Returns'!O:O,"NOT_FOUND")</f>
        <v>NOT_FOUND</v>
      </c>
    </row>
    <row r="243" spans="1:17" x14ac:dyDescent="0.3">
      <c r="A243" s="1">
        <v>46148</v>
      </c>
      <c r="B243" t="s">
        <v>481</v>
      </c>
      <c r="C243" t="s">
        <v>179</v>
      </c>
      <c r="D243" t="s">
        <v>180</v>
      </c>
      <c r="E243" t="s">
        <v>8</v>
      </c>
      <c r="F243" t="s">
        <v>169</v>
      </c>
      <c r="G243" s="16">
        <v>1273.47</v>
      </c>
      <c r="H243" s="16">
        <v>1464.4905000000001</v>
      </c>
      <c r="J243">
        <v>111</v>
      </c>
      <c r="K243" t="s">
        <v>630</v>
      </c>
      <c r="M243">
        <v>0</v>
      </c>
      <c r="N243">
        <v>360</v>
      </c>
      <c r="O243" t="s">
        <v>216</v>
      </c>
      <c r="P243" s="17"/>
      <c r="Q243" s="17" t="str">
        <f>_xlfn.XLOOKUP(Table2[[#This Row],[buyFromVendorNo]],'Next Day Scheduled'!A:A,'Pending Returns'!O:O,"NOT_FOUND")</f>
        <v>NOT_FOUND</v>
      </c>
    </row>
    <row r="244" spans="1:17" x14ac:dyDescent="0.3">
      <c r="A244" s="1">
        <v>46148</v>
      </c>
      <c r="B244" t="s">
        <v>642</v>
      </c>
      <c r="C244" t="s">
        <v>648</v>
      </c>
      <c r="D244" t="s">
        <v>649</v>
      </c>
      <c r="E244" t="s">
        <v>8</v>
      </c>
      <c r="F244" t="s">
        <v>38</v>
      </c>
      <c r="G244" s="16">
        <v>2220</v>
      </c>
      <c r="H244" s="16">
        <v>2553</v>
      </c>
      <c r="J244">
        <v>111</v>
      </c>
      <c r="K244" t="s">
        <v>650</v>
      </c>
      <c r="M244">
        <v>0</v>
      </c>
      <c r="N244">
        <v>188</v>
      </c>
      <c r="O244" t="s">
        <v>216</v>
      </c>
      <c r="P244" s="17"/>
      <c r="Q244" s="17" t="str">
        <f>_xlfn.XLOOKUP(Table2[[#This Row],[buyFromVendorNo]],'Next Day Scheduled'!A:A,'Pending Returns'!O:O,"NOT_FOUND")</f>
        <v>NOT_FOUND</v>
      </c>
    </row>
    <row r="245" spans="1:17" x14ac:dyDescent="0.3">
      <c r="A245" s="1">
        <v>46148</v>
      </c>
      <c r="B245" t="s">
        <v>1599</v>
      </c>
      <c r="C245" t="s">
        <v>204</v>
      </c>
      <c r="D245" t="s">
        <v>205</v>
      </c>
      <c r="E245" t="s">
        <v>8</v>
      </c>
      <c r="F245" t="s">
        <v>38</v>
      </c>
      <c r="G245" s="16">
        <v>17586.129000000001</v>
      </c>
      <c r="H245" s="16">
        <v>20224.046999999999</v>
      </c>
      <c r="I245" s="1">
        <v>46145</v>
      </c>
      <c r="J245">
        <v>111</v>
      </c>
      <c r="K245" t="s">
        <v>1600</v>
      </c>
      <c r="L245" t="s">
        <v>1601</v>
      </c>
      <c r="M245">
        <v>17</v>
      </c>
      <c r="N245">
        <v>5</v>
      </c>
      <c r="O245" t="s">
        <v>1036</v>
      </c>
      <c r="P245" s="17"/>
      <c r="Q245" s="17" t="str">
        <f>_xlfn.XLOOKUP(Table2[[#This Row],[buyFromVendorNo]],'Next Day Scheduled'!A:A,'Pending Returns'!O:O,"NOT_FOUND")</f>
        <v>NOT_FOUND</v>
      </c>
    </row>
    <row r="246" spans="1:17" x14ac:dyDescent="0.3">
      <c r="A246" s="1">
        <v>46149</v>
      </c>
      <c r="B246" t="s">
        <v>275</v>
      </c>
      <c r="C246" t="s">
        <v>164</v>
      </c>
      <c r="D246" t="s">
        <v>165</v>
      </c>
      <c r="E246" t="s">
        <v>8</v>
      </c>
      <c r="F246" t="s">
        <v>10</v>
      </c>
      <c r="G246" s="16">
        <v>6768.43</v>
      </c>
      <c r="H246" s="16">
        <v>7783.6943000000001</v>
      </c>
      <c r="I246" s="1">
        <v>46142</v>
      </c>
      <c r="J246">
        <v>110</v>
      </c>
      <c r="K246" t="s">
        <v>1619</v>
      </c>
      <c r="L246" t="s">
        <v>1620</v>
      </c>
      <c r="M246">
        <v>16</v>
      </c>
      <c r="N246">
        <v>3</v>
      </c>
      <c r="O246" t="s">
        <v>1036</v>
      </c>
      <c r="P246" s="17"/>
      <c r="Q246" s="17" t="str">
        <f>_xlfn.XLOOKUP(Table2[[#This Row],[buyFromVendorNo]],'Next Day Scheduled'!A:A,'Pending Returns'!O:O,"NOT_FOUND")</f>
        <v>NOT_FOUND</v>
      </c>
    </row>
    <row r="247" spans="1:17" x14ac:dyDescent="0.3">
      <c r="A247" s="1">
        <v>46149</v>
      </c>
      <c r="B247" t="s">
        <v>273</v>
      </c>
      <c r="C247" t="s">
        <v>776</v>
      </c>
      <c r="D247" t="s">
        <v>777</v>
      </c>
      <c r="E247" t="s">
        <v>8</v>
      </c>
      <c r="F247" t="s">
        <v>38</v>
      </c>
      <c r="G247" s="16">
        <v>13620.59</v>
      </c>
      <c r="H247" s="16">
        <v>15663.679</v>
      </c>
      <c r="I247" s="1">
        <v>46147</v>
      </c>
      <c r="J247">
        <v>110</v>
      </c>
      <c r="K247" t="s">
        <v>1617</v>
      </c>
      <c r="L247" t="s">
        <v>1618</v>
      </c>
      <c r="M247">
        <v>18</v>
      </c>
      <c r="N247">
        <v>2</v>
      </c>
      <c r="O247" t="s">
        <v>1036</v>
      </c>
      <c r="P247" s="17"/>
      <c r="Q247" s="17" t="str">
        <f>_xlfn.XLOOKUP(Table2[[#This Row],[buyFromVendorNo]],'Next Day Scheduled'!A:A,'Pending Returns'!O:O,"NOT_FOUND")</f>
        <v>Posted Credit Note</v>
      </c>
    </row>
    <row r="248" spans="1:17" x14ac:dyDescent="0.3">
      <c r="A248" s="1">
        <v>46149</v>
      </c>
      <c r="B248" t="s">
        <v>1626</v>
      </c>
      <c r="C248" t="s">
        <v>321</v>
      </c>
      <c r="D248" t="s">
        <v>322</v>
      </c>
      <c r="E248" t="s">
        <v>8</v>
      </c>
      <c r="F248" t="s">
        <v>10</v>
      </c>
      <c r="G248" s="16">
        <v>9387.3880000000008</v>
      </c>
      <c r="H248" s="16">
        <v>10795.495000000001</v>
      </c>
      <c r="I248" s="1">
        <v>46144</v>
      </c>
      <c r="J248">
        <v>110</v>
      </c>
      <c r="K248" t="s">
        <v>1627</v>
      </c>
      <c r="L248" t="s">
        <v>1628</v>
      </c>
      <c r="M248">
        <v>15</v>
      </c>
      <c r="N248">
        <v>5</v>
      </c>
      <c r="O248" t="s">
        <v>1036</v>
      </c>
      <c r="P248" s="17"/>
      <c r="Q248" s="17" t="str">
        <f>_xlfn.XLOOKUP(Table2[[#This Row],[buyFromVendorNo]],'Next Day Scheduled'!A:A,'Pending Returns'!O:O,"NOT_FOUND")</f>
        <v>NOT_FOUND</v>
      </c>
    </row>
    <row r="249" spans="1:17" x14ac:dyDescent="0.3">
      <c r="A249" s="1">
        <v>46149</v>
      </c>
      <c r="B249" t="s">
        <v>524</v>
      </c>
      <c r="C249" t="s">
        <v>107</v>
      </c>
      <c r="D249" t="s">
        <v>108</v>
      </c>
      <c r="E249" t="s">
        <v>8</v>
      </c>
      <c r="F249" t="s">
        <v>10</v>
      </c>
      <c r="G249" s="16">
        <v>2320.8208</v>
      </c>
      <c r="H249" s="16">
        <v>2668.9438</v>
      </c>
      <c r="I249" s="1">
        <v>46145</v>
      </c>
      <c r="J249">
        <v>110</v>
      </c>
      <c r="K249" t="s">
        <v>1613</v>
      </c>
      <c r="L249" t="s">
        <v>1614</v>
      </c>
      <c r="M249">
        <v>18</v>
      </c>
      <c r="N249">
        <v>5</v>
      </c>
      <c r="O249" t="s">
        <v>1036</v>
      </c>
      <c r="P249" s="17"/>
      <c r="Q249" s="17" t="str">
        <f>_xlfn.XLOOKUP(Table2[[#This Row],[buyFromVendorNo]],'Next Day Scheduled'!A:A,'Pending Returns'!O:O,"NOT_FOUND")</f>
        <v>NOT_FOUND</v>
      </c>
    </row>
    <row r="250" spans="1:17" x14ac:dyDescent="0.3">
      <c r="A250" s="1">
        <v>46149</v>
      </c>
      <c r="B250" t="s">
        <v>1623</v>
      </c>
      <c r="C250" t="s">
        <v>941</v>
      </c>
      <c r="D250" t="s">
        <v>942</v>
      </c>
      <c r="E250" t="s">
        <v>8</v>
      </c>
      <c r="F250" t="s">
        <v>38</v>
      </c>
      <c r="G250" s="16">
        <v>2587.15</v>
      </c>
      <c r="H250" s="16">
        <v>2975.2224000000001</v>
      </c>
      <c r="I250" s="1">
        <v>46147</v>
      </c>
      <c r="J250">
        <v>110</v>
      </c>
      <c r="K250" t="s">
        <v>1624</v>
      </c>
      <c r="L250" t="s">
        <v>1625</v>
      </c>
      <c r="M250">
        <v>16</v>
      </c>
      <c r="N250">
        <v>1</v>
      </c>
      <c r="O250" t="s">
        <v>1036</v>
      </c>
      <c r="P250" s="17"/>
      <c r="Q250" s="17" t="str">
        <f>_xlfn.XLOOKUP(Table2[[#This Row],[buyFromVendorNo]],'Next Day Scheduled'!A:A,'Pending Returns'!O:O,"NOT_FOUND")</f>
        <v>NOT_FOUND</v>
      </c>
    </row>
    <row r="251" spans="1:17" x14ac:dyDescent="0.3">
      <c r="A251" s="1">
        <v>46149</v>
      </c>
      <c r="B251" t="s">
        <v>1406</v>
      </c>
      <c r="C251" t="s">
        <v>107</v>
      </c>
      <c r="D251" t="s">
        <v>108</v>
      </c>
      <c r="E251" t="s">
        <v>8</v>
      </c>
      <c r="F251" t="s">
        <v>10</v>
      </c>
      <c r="G251" s="16">
        <v>1330.9498000000001</v>
      </c>
      <c r="H251" s="16">
        <v>1530.5923</v>
      </c>
      <c r="I251" s="1">
        <v>46145</v>
      </c>
      <c r="J251">
        <v>110</v>
      </c>
      <c r="K251" t="s">
        <v>1608</v>
      </c>
      <c r="L251" t="s">
        <v>1609</v>
      </c>
      <c r="M251">
        <v>18</v>
      </c>
      <c r="N251">
        <v>5</v>
      </c>
      <c r="O251" t="s">
        <v>1036</v>
      </c>
      <c r="P251" s="17"/>
      <c r="Q251" s="17" t="str">
        <f>_xlfn.XLOOKUP(Table2[[#This Row],[buyFromVendorNo]],'Next Day Scheduled'!A:A,'Pending Returns'!O:O,"NOT_FOUND")</f>
        <v>NOT_FOUND</v>
      </c>
    </row>
    <row r="252" spans="1:17" x14ac:dyDescent="0.3">
      <c r="A252" s="1">
        <v>46149</v>
      </c>
      <c r="B252" t="s">
        <v>332</v>
      </c>
      <c r="C252" t="s">
        <v>817</v>
      </c>
      <c r="D252" t="s">
        <v>818</v>
      </c>
      <c r="E252" t="s">
        <v>8</v>
      </c>
      <c r="F252" t="s">
        <v>10</v>
      </c>
      <c r="G252" s="16">
        <v>8804.9240000000009</v>
      </c>
      <c r="H252" s="16">
        <v>10125.663</v>
      </c>
      <c r="I252" s="1">
        <v>46148</v>
      </c>
      <c r="J252">
        <v>110</v>
      </c>
      <c r="K252" t="s">
        <v>1610</v>
      </c>
      <c r="L252" t="s">
        <v>1611</v>
      </c>
      <c r="M252">
        <v>14</v>
      </c>
      <c r="N252">
        <v>5</v>
      </c>
      <c r="O252" t="s">
        <v>1036</v>
      </c>
      <c r="P252" s="17"/>
      <c r="Q252" s="17" t="str">
        <f>_xlfn.XLOOKUP(Table2[[#This Row],[buyFromVendorNo]],'Next Day Scheduled'!A:A,'Pending Returns'!O:O,"NOT_FOUND")</f>
        <v>NOT_FOUND</v>
      </c>
    </row>
    <row r="253" spans="1:17" x14ac:dyDescent="0.3">
      <c r="A253" s="1">
        <v>46150</v>
      </c>
      <c r="B253" t="s">
        <v>273</v>
      </c>
      <c r="C253" t="s">
        <v>618</v>
      </c>
      <c r="D253" t="s">
        <v>619</v>
      </c>
      <c r="E253" t="s">
        <v>8</v>
      </c>
      <c r="F253" t="s">
        <v>38</v>
      </c>
      <c r="G253" s="16">
        <v>597.81964000000005</v>
      </c>
      <c r="H253" s="16">
        <v>597.81964000000005</v>
      </c>
      <c r="I253" s="1">
        <v>46148</v>
      </c>
      <c r="J253">
        <v>109</v>
      </c>
      <c r="K253" t="s">
        <v>1629</v>
      </c>
      <c r="L253" t="s">
        <v>1630</v>
      </c>
      <c r="M253">
        <v>109</v>
      </c>
      <c r="N253">
        <v>0</v>
      </c>
      <c r="O253" t="s">
        <v>1036</v>
      </c>
      <c r="P253" s="17"/>
      <c r="Q253" s="17" t="str">
        <f>_xlfn.XLOOKUP(Table2[[#This Row],[buyFromVendorNo]],'Next Day Scheduled'!A:A,'Pending Returns'!O:O,"NOT_FOUND")</f>
        <v>NOT_FOUND</v>
      </c>
    </row>
    <row r="254" spans="1:17" x14ac:dyDescent="0.3">
      <c r="A254" s="1">
        <v>46151</v>
      </c>
      <c r="B254" t="s">
        <v>487</v>
      </c>
      <c r="C254" t="s">
        <v>69</v>
      </c>
      <c r="D254" t="s">
        <v>70</v>
      </c>
      <c r="E254" t="s">
        <v>8</v>
      </c>
      <c r="F254" t="s">
        <v>10</v>
      </c>
      <c r="G254" s="16">
        <v>3048.07</v>
      </c>
      <c r="H254" s="16">
        <v>3505.2804999999998</v>
      </c>
      <c r="I254" s="1">
        <v>46151</v>
      </c>
      <c r="J254">
        <v>108</v>
      </c>
      <c r="K254" t="s">
        <v>1637</v>
      </c>
      <c r="L254" t="s">
        <v>1638</v>
      </c>
      <c r="M254">
        <v>42</v>
      </c>
      <c r="N254">
        <v>1</v>
      </c>
      <c r="O254" t="s">
        <v>1036</v>
      </c>
      <c r="P254" s="17"/>
      <c r="Q254" s="17" t="str">
        <f>_xlfn.XLOOKUP(Table2[[#This Row],[buyFromVendorNo]],'Next Day Scheduled'!A:A,'Pending Returns'!O:O,"NOT_FOUND")</f>
        <v>Posted Credit Note</v>
      </c>
    </row>
    <row r="255" spans="1:17" x14ac:dyDescent="0.3">
      <c r="A255" s="1">
        <v>46151</v>
      </c>
      <c r="B255" t="s">
        <v>642</v>
      </c>
      <c r="C255" t="s">
        <v>901</v>
      </c>
      <c r="D255" t="s">
        <v>902</v>
      </c>
      <c r="E255" t="s">
        <v>8</v>
      </c>
      <c r="F255" t="s">
        <v>38</v>
      </c>
      <c r="G255" s="16">
        <v>490</v>
      </c>
      <c r="H255" s="16">
        <v>563.5</v>
      </c>
      <c r="I255" s="1">
        <v>46151</v>
      </c>
      <c r="J255">
        <v>108</v>
      </c>
      <c r="K255" t="s">
        <v>1631</v>
      </c>
      <c r="L255" t="s">
        <v>1632</v>
      </c>
      <c r="M255">
        <v>0</v>
      </c>
      <c r="O255" t="s">
        <v>1036</v>
      </c>
      <c r="P255" s="17"/>
      <c r="Q255" s="17" t="str">
        <f>_xlfn.XLOOKUP(Table2[[#This Row],[buyFromVendorNo]],'Next Day Scheduled'!A:A,'Pending Returns'!O:O,"NOT_FOUND")</f>
        <v>NOT_FOUND</v>
      </c>
    </row>
    <row r="256" spans="1:17" x14ac:dyDescent="0.3">
      <c r="A256" s="1">
        <v>46151</v>
      </c>
      <c r="B256" t="s">
        <v>515</v>
      </c>
      <c r="C256" t="s">
        <v>310</v>
      </c>
      <c r="D256" t="s">
        <v>311</v>
      </c>
      <c r="E256" t="s">
        <v>8</v>
      </c>
      <c r="F256" t="s">
        <v>10</v>
      </c>
      <c r="G256" s="16">
        <v>4329.7217000000001</v>
      </c>
      <c r="H256" s="16">
        <v>4979.18</v>
      </c>
      <c r="I256" s="1">
        <v>46145</v>
      </c>
      <c r="J256">
        <v>108</v>
      </c>
      <c r="K256" t="s">
        <v>1635</v>
      </c>
      <c r="L256" t="s">
        <v>1636</v>
      </c>
      <c r="M256">
        <v>14</v>
      </c>
      <c r="N256">
        <v>2</v>
      </c>
      <c r="O256" t="s">
        <v>1036</v>
      </c>
      <c r="P256" s="17"/>
      <c r="Q256" s="17" t="str">
        <f>_xlfn.XLOOKUP(Table2[[#This Row],[buyFromVendorNo]],'Next Day Scheduled'!A:A,'Pending Returns'!O:O,"NOT_FOUND")</f>
        <v>NOT_FOUND</v>
      </c>
    </row>
    <row r="257" spans="1:17" x14ac:dyDescent="0.3">
      <c r="A257" s="1">
        <v>46151</v>
      </c>
      <c r="B257" t="s">
        <v>344</v>
      </c>
      <c r="C257" t="s">
        <v>191</v>
      </c>
      <c r="D257" t="s">
        <v>192</v>
      </c>
      <c r="E257" t="s">
        <v>8</v>
      </c>
      <c r="F257" t="s">
        <v>10</v>
      </c>
      <c r="G257" s="16">
        <v>5236.83</v>
      </c>
      <c r="H257" s="16">
        <v>6022.3545000000004</v>
      </c>
      <c r="I257" s="1">
        <v>46148</v>
      </c>
      <c r="J257">
        <v>108</v>
      </c>
      <c r="K257" t="s">
        <v>1633</v>
      </c>
      <c r="L257" t="s">
        <v>1634</v>
      </c>
      <c r="M257">
        <v>15</v>
      </c>
      <c r="N257">
        <v>3</v>
      </c>
      <c r="O257" t="s">
        <v>1036</v>
      </c>
      <c r="P257" s="17"/>
      <c r="Q257" s="17" t="str">
        <f>_xlfn.XLOOKUP(Table2[[#This Row],[buyFromVendorNo]],'Next Day Scheduled'!A:A,'Pending Returns'!O:O,"NOT_FOUND")</f>
        <v>NOT_FOUND</v>
      </c>
    </row>
    <row r="258" spans="1:17" x14ac:dyDescent="0.3">
      <c r="A258" s="1">
        <v>46151</v>
      </c>
      <c r="B258" t="s">
        <v>834</v>
      </c>
      <c r="C258" t="s">
        <v>941</v>
      </c>
      <c r="D258" t="s">
        <v>942</v>
      </c>
      <c r="E258" t="s">
        <v>8</v>
      </c>
      <c r="F258" t="s">
        <v>38</v>
      </c>
      <c r="G258" s="16">
        <v>14371.84</v>
      </c>
      <c r="H258" s="16">
        <v>16527.615000000002</v>
      </c>
      <c r="I258" s="1">
        <v>46147</v>
      </c>
      <c r="J258">
        <v>108</v>
      </c>
      <c r="K258" t="s">
        <v>1641</v>
      </c>
      <c r="L258" t="s">
        <v>1642</v>
      </c>
      <c r="M258">
        <v>16</v>
      </c>
      <c r="N258">
        <v>1</v>
      </c>
      <c r="O258" t="s">
        <v>1036</v>
      </c>
      <c r="P258" s="17"/>
      <c r="Q258" s="17" t="str">
        <f>_xlfn.XLOOKUP(Table2[[#This Row],[buyFromVendorNo]],'Next Day Scheduled'!A:A,'Pending Returns'!O:O,"NOT_FOUND")</f>
        <v>NOT_FOUND</v>
      </c>
    </row>
    <row r="259" spans="1:17" x14ac:dyDescent="0.3">
      <c r="A259" s="1">
        <v>46152</v>
      </c>
      <c r="B259" t="s">
        <v>347</v>
      </c>
      <c r="C259" t="s">
        <v>16</v>
      </c>
      <c r="D259" t="s">
        <v>17</v>
      </c>
      <c r="E259" t="s">
        <v>8</v>
      </c>
      <c r="F259" t="s">
        <v>10</v>
      </c>
      <c r="G259" s="16">
        <v>5505.2704999999996</v>
      </c>
      <c r="H259" s="16">
        <v>6331.0609999999997</v>
      </c>
      <c r="I259" s="1">
        <v>46152</v>
      </c>
      <c r="J259">
        <v>107</v>
      </c>
      <c r="K259" t="s">
        <v>143</v>
      </c>
      <c r="L259" t="s">
        <v>1647</v>
      </c>
      <c r="M259">
        <v>15</v>
      </c>
      <c r="N259">
        <v>3</v>
      </c>
      <c r="O259" t="s">
        <v>1036</v>
      </c>
      <c r="P259" s="17"/>
      <c r="Q259" s="17" t="str">
        <f>_xlfn.XLOOKUP(Table2[[#This Row],[buyFromVendorNo]],'Next Day Scheduled'!A:A,'Pending Returns'!O:O,"NOT_FOUND")</f>
        <v>Posted Credit Note</v>
      </c>
    </row>
    <row r="260" spans="1:17" x14ac:dyDescent="0.3">
      <c r="A260" s="1">
        <v>46152</v>
      </c>
      <c r="B260" t="s">
        <v>1000</v>
      </c>
      <c r="C260" t="s">
        <v>880</v>
      </c>
      <c r="D260" t="s">
        <v>881</v>
      </c>
      <c r="E260" t="s">
        <v>8</v>
      </c>
      <c r="F260" t="s">
        <v>10</v>
      </c>
      <c r="G260" s="16">
        <v>1040.6400000000001</v>
      </c>
      <c r="H260" s="16">
        <v>1196.7360000000001</v>
      </c>
      <c r="I260" s="1">
        <v>46152</v>
      </c>
      <c r="J260">
        <v>107</v>
      </c>
      <c r="K260" t="s">
        <v>1648</v>
      </c>
      <c r="L260" t="s">
        <v>1649</v>
      </c>
      <c r="M260">
        <v>8</v>
      </c>
      <c r="N260">
        <v>13</v>
      </c>
      <c r="O260" t="s">
        <v>1036</v>
      </c>
      <c r="P260" s="17"/>
      <c r="Q260" s="17" t="str">
        <f>_xlfn.XLOOKUP(Table2[[#This Row],[buyFromVendorNo]],'Next Day Scheduled'!A:A,'Pending Returns'!O:O,"NOT_FOUND")</f>
        <v>NOT_FOUND</v>
      </c>
    </row>
    <row r="261" spans="1:17" x14ac:dyDescent="0.3">
      <c r="A261" s="1">
        <v>46152</v>
      </c>
      <c r="B261" t="s">
        <v>252</v>
      </c>
      <c r="C261" t="s">
        <v>199</v>
      </c>
      <c r="D261" t="s">
        <v>200</v>
      </c>
      <c r="E261" t="s">
        <v>8</v>
      </c>
      <c r="F261" t="s">
        <v>10</v>
      </c>
      <c r="G261" s="16">
        <v>665</v>
      </c>
      <c r="H261" s="16">
        <v>764.75</v>
      </c>
      <c r="I261" s="1">
        <v>46147</v>
      </c>
      <c r="J261">
        <v>107</v>
      </c>
      <c r="K261" t="s">
        <v>1668</v>
      </c>
      <c r="L261" t="s">
        <v>1669</v>
      </c>
      <c r="M261">
        <v>15</v>
      </c>
      <c r="N261">
        <v>6</v>
      </c>
      <c r="O261" t="s">
        <v>1036</v>
      </c>
      <c r="P261" s="17"/>
      <c r="Q261" s="17" t="str">
        <f>_xlfn.XLOOKUP(Table2[[#This Row],[buyFromVendorNo]],'Next Day Scheduled'!A:A,'Pending Returns'!O:O,"NOT_FOUND")</f>
        <v>NOT_FOUND</v>
      </c>
    </row>
    <row r="262" spans="1:17" x14ac:dyDescent="0.3">
      <c r="A262" s="1">
        <v>46152</v>
      </c>
      <c r="B262" t="s">
        <v>676</v>
      </c>
      <c r="C262" t="s">
        <v>65</v>
      </c>
      <c r="D262" t="s">
        <v>66</v>
      </c>
      <c r="E262" t="s">
        <v>8</v>
      </c>
      <c r="F262" t="s">
        <v>169</v>
      </c>
      <c r="G262" s="16">
        <v>1462.9975999999999</v>
      </c>
      <c r="H262" s="16">
        <v>1682.4471000000001</v>
      </c>
      <c r="I262" s="1">
        <v>46149</v>
      </c>
      <c r="J262">
        <v>107</v>
      </c>
      <c r="K262" t="s">
        <v>1654</v>
      </c>
      <c r="L262" t="s">
        <v>1655</v>
      </c>
      <c r="M262">
        <v>30</v>
      </c>
      <c r="N262">
        <v>5</v>
      </c>
      <c r="O262" t="s">
        <v>1036</v>
      </c>
      <c r="P262" s="17"/>
      <c r="Q262" s="17" t="str">
        <f>_xlfn.XLOOKUP(Table2[[#This Row],[buyFromVendorNo]],'Next Day Scheduled'!A:A,'Pending Returns'!O:O,"NOT_FOUND")</f>
        <v>Posted Credit Note</v>
      </c>
    </row>
    <row r="263" spans="1:17" x14ac:dyDescent="0.3">
      <c r="A263" s="1">
        <v>46152</v>
      </c>
      <c r="B263" t="s">
        <v>642</v>
      </c>
      <c r="C263" t="s">
        <v>788</v>
      </c>
      <c r="D263" t="s">
        <v>789</v>
      </c>
      <c r="E263" t="s">
        <v>8</v>
      </c>
      <c r="F263" t="s">
        <v>38</v>
      </c>
      <c r="G263" s="16">
        <v>212.84</v>
      </c>
      <c r="H263" s="16">
        <v>244.76599999999999</v>
      </c>
      <c r="J263">
        <v>107</v>
      </c>
      <c r="K263" t="s">
        <v>790</v>
      </c>
      <c r="M263">
        <v>0</v>
      </c>
      <c r="O263" t="s">
        <v>216</v>
      </c>
      <c r="P263" s="17"/>
      <c r="Q263" s="17" t="str">
        <f>_xlfn.XLOOKUP(Table2[[#This Row],[buyFromVendorNo]],'Next Day Scheduled'!A:A,'Pending Returns'!O:O,"NOT_FOUND")</f>
        <v>NOT_FOUND</v>
      </c>
    </row>
    <row r="264" spans="1:17" x14ac:dyDescent="0.3">
      <c r="A264" s="1">
        <v>46152</v>
      </c>
      <c r="B264" t="s">
        <v>485</v>
      </c>
      <c r="C264" t="s">
        <v>1018</v>
      </c>
      <c r="D264" t="s">
        <v>1019</v>
      </c>
      <c r="E264" t="s">
        <v>8</v>
      </c>
      <c r="F264" t="s">
        <v>10</v>
      </c>
      <c r="G264" s="16">
        <v>18051.442999999999</v>
      </c>
      <c r="H264" s="16">
        <v>20759.16</v>
      </c>
      <c r="I264" s="1">
        <v>46151</v>
      </c>
      <c r="J264">
        <v>107</v>
      </c>
      <c r="K264" t="s">
        <v>1652</v>
      </c>
      <c r="L264" t="s">
        <v>1653</v>
      </c>
      <c r="M264">
        <v>15</v>
      </c>
      <c r="N264">
        <v>3</v>
      </c>
      <c r="O264" t="s">
        <v>1036</v>
      </c>
      <c r="P264" s="17"/>
      <c r="Q264" s="17" t="str">
        <f>_xlfn.XLOOKUP(Table2[[#This Row],[buyFromVendorNo]],'Next Day Scheduled'!A:A,'Pending Returns'!O:O,"NOT_FOUND")</f>
        <v>NOT_FOUND</v>
      </c>
    </row>
    <row r="265" spans="1:17" x14ac:dyDescent="0.3">
      <c r="A265" s="1">
        <v>46152</v>
      </c>
      <c r="B265" t="s">
        <v>1661</v>
      </c>
      <c r="C265" t="s">
        <v>191</v>
      </c>
      <c r="D265" t="s">
        <v>192</v>
      </c>
      <c r="E265" t="s">
        <v>8</v>
      </c>
      <c r="F265" t="s">
        <v>10</v>
      </c>
      <c r="G265" s="16">
        <v>3044.8447000000001</v>
      </c>
      <c r="H265" s="16">
        <v>3501.5715</v>
      </c>
      <c r="I265" s="1">
        <v>46148</v>
      </c>
      <c r="J265">
        <v>107</v>
      </c>
      <c r="K265" t="s">
        <v>1662</v>
      </c>
      <c r="L265" t="s">
        <v>1663</v>
      </c>
      <c r="M265">
        <v>15</v>
      </c>
      <c r="N265">
        <v>3</v>
      </c>
      <c r="O265" t="s">
        <v>1036</v>
      </c>
      <c r="P265" s="17"/>
      <c r="Q265" s="17" t="str">
        <f>_xlfn.XLOOKUP(Table2[[#This Row],[buyFromVendorNo]],'Next Day Scheduled'!A:A,'Pending Returns'!O:O,"NOT_FOUND")</f>
        <v>NOT_FOUND</v>
      </c>
    </row>
    <row r="266" spans="1:17" x14ac:dyDescent="0.3">
      <c r="A266" s="1">
        <v>46152</v>
      </c>
      <c r="B266" t="s">
        <v>308</v>
      </c>
      <c r="C266" t="s">
        <v>199</v>
      </c>
      <c r="D266" t="s">
        <v>200</v>
      </c>
      <c r="E266" t="s">
        <v>8</v>
      </c>
      <c r="F266" t="s">
        <v>10</v>
      </c>
      <c r="G266" s="16">
        <v>920.9</v>
      </c>
      <c r="H266" s="16">
        <v>1059.0350000000001</v>
      </c>
      <c r="I266" s="1">
        <v>46147</v>
      </c>
      <c r="J266">
        <v>107</v>
      </c>
      <c r="K266" t="s">
        <v>1664</v>
      </c>
      <c r="L266" t="s">
        <v>1665</v>
      </c>
      <c r="M266">
        <v>15</v>
      </c>
      <c r="N266">
        <v>6</v>
      </c>
      <c r="O266" t="s">
        <v>1036</v>
      </c>
      <c r="P266" s="17"/>
      <c r="Q266" s="17" t="str">
        <f>_xlfn.XLOOKUP(Table2[[#This Row],[buyFromVendorNo]],'Next Day Scheduled'!A:A,'Pending Returns'!O:O,"NOT_FOUND")</f>
        <v>NOT_FOUND</v>
      </c>
    </row>
    <row r="267" spans="1:17" x14ac:dyDescent="0.3">
      <c r="A267" s="1">
        <v>46152</v>
      </c>
      <c r="B267" t="s">
        <v>1656</v>
      </c>
      <c r="C267" t="s">
        <v>832</v>
      </c>
      <c r="D267" t="s">
        <v>833</v>
      </c>
      <c r="E267" t="s">
        <v>8</v>
      </c>
      <c r="F267" t="s">
        <v>38</v>
      </c>
      <c r="G267" s="16">
        <v>11422.68</v>
      </c>
      <c r="H267" s="16">
        <v>13136.082</v>
      </c>
      <c r="I267" s="1">
        <v>46151</v>
      </c>
      <c r="J267">
        <v>107</v>
      </c>
      <c r="K267" t="s">
        <v>1657</v>
      </c>
      <c r="L267" t="s">
        <v>1658</v>
      </c>
      <c r="M267">
        <v>1</v>
      </c>
      <c r="N267">
        <v>76</v>
      </c>
      <c r="O267" t="s">
        <v>1036</v>
      </c>
      <c r="P267" s="17"/>
      <c r="Q267" s="17" t="str">
        <f>_xlfn.XLOOKUP(Table2[[#This Row],[buyFromVendorNo]],'Next Day Scheduled'!A:A,'Pending Returns'!O:O,"NOT_FOUND")</f>
        <v>NOT_FOUND</v>
      </c>
    </row>
    <row r="268" spans="1:17" x14ac:dyDescent="0.3">
      <c r="A268" s="1">
        <v>46152</v>
      </c>
      <c r="B268" t="s">
        <v>642</v>
      </c>
      <c r="C268" t="s">
        <v>905</v>
      </c>
      <c r="D268" t="s">
        <v>906</v>
      </c>
      <c r="E268" t="s">
        <v>8</v>
      </c>
      <c r="F268" t="s">
        <v>38</v>
      </c>
      <c r="G268" s="16">
        <v>1293</v>
      </c>
      <c r="H268" s="16">
        <v>1486.95</v>
      </c>
      <c r="I268" s="1">
        <v>46152</v>
      </c>
      <c r="J268">
        <v>107</v>
      </c>
      <c r="K268" t="s">
        <v>1659</v>
      </c>
      <c r="L268" t="s">
        <v>1660</v>
      </c>
      <c r="M268">
        <v>15</v>
      </c>
      <c r="N268">
        <v>5</v>
      </c>
      <c r="O268" t="s">
        <v>1036</v>
      </c>
      <c r="P268" s="17"/>
      <c r="Q268" s="17" t="str">
        <f>_xlfn.XLOOKUP(Table2[[#This Row],[buyFromVendorNo]],'Next Day Scheduled'!A:A,'Pending Returns'!O:O,"NOT_FOUND")</f>
        <v>NOT_FOUND</v>
      </c>
    </row>
    <row r="269" spans="1:17" x14ac:dyDescent="0.3">
      <c r="A269" s="1">
        <v>46152</v>
      </c>
      <c r="B269" t="s">
        <v>477</v>
      </c>
      <c r="C269" t="s">
        <v>1161</v>
      </c>
      <c r="D269" t="s">
        <v>1162</v>
      </c>
      <c r="E269" t="s">
        <v>8</v>
      </c>
      <c r="F269" t="s">
        <v>10</v>
      </c>
      <c r="G269" s="16">
        <v>3975.96</v>
      </c>
      <c r="H269" s="16">
        <v>4572.3540000000003</v>
      </c>
      <c r="I269" s="1">
        <v>46151</v>
      </c>
      <c r="J269">
        <v>107</v>
      </c>
      <c r="K269" t="s">
        <v>1650</v>
      </c>
      <c r="L269" t="s">
        <v>1651</v>
      </c>
      <c r="M269">
        <v>12</v>
      </c>
      <c r="N269">
        <v>6</v>
      </c>
      <c r="O269" t="s">
        <v>1036</v>
      </c>
      <c r="P269" s="17"/>
      <c r="Q269" s="17" t="str">
        <f>_xlfn.XLOOKUP(Table2[[#This Row],[buyFromVendorNo]],'Next Day Scheduled'!A:A,'Pending Returns'!O:O,"NOT_FOUND")</f>
        <v>NOT_FOUND</v>
      </c>
    </row>
    <row r="270" spans="1:17" x14ac:dyDescent="0.3">
      <c r="A270" s="1">
        <v>46152</v>
      </c>
      <c r="B270" t="s">
        <v>256</v>
      </c>
      <c r="C270" t="s">
        <v>98</v>
      </c>
      <c r="D270" t="s">
        <v>99</v>
      </c>
      <c r="E270" t="s">
        <v>8</v>
      </c>
      <c r="F270" t="s">
        <v>10</v>
      </c>
      <c r="G270" s="16">
        <v>6738.83</v>
      </c>
      <c r="H270" s="16">
        <v>7749.6543000000001</v>
      </c>
      <c r="I270" s="1">
        <v>46148</v>
      </c>
      <c r="J270">
        <v>107</v>
      </c>
      <c r="K270" t="s">
        <v>1645</v>
      </c>
      <c r="L270" t="s">
        <v>1646</v>
      </c>
      <c r="M270">
        <v>13</v>
      </c>
      <c r="N270">
        <v>6</v>
      </c>
      <c r="O270" t="s">
        <v>1036</v>
      </c>
      <c r="P270" s="17"/>
      <c r="Q270" s="17" t="str">
        <f>_xlfn.XLOOKUP(Table2[[#This Row],[buyFromVendorNo]],'Next Day Scheduled'!A:A,'Pending Returns'!O:O,"NOT_FOUND")</f>
        <v>NOT_FOUND</v>
      </c>
    </row>
    <row r="271" spans="1:17" x14ac:dyDescent="0.3">
      <c r="A271" s="1">
        <v>46152</v>
      </c>
      <c r="B271" t="s">
        <v>642</v>
      </c>
      <c r="C271" t="s">
        <v>358</v>
      </c>
      <c r="D271" t="s">
        <v>359</v>
      </c>
      <c r="E271" t="s">
        <v>8</v>
      </c>
      <c r="F271" t="s">
        <v>38</v>
      </c>
      <c r="G271" s="16">
        <v>136</v>
      </c>
      <c r="H271" s="16">
        <v>156.4</v>
      </c>
      <c r="I271" s="1">
        <v>46152</v>
      </c>
      <c r="J271">
        <v>107</v>
      </c>
      <c r="K271" t="s">
        <v>1666</v>
      </c>
      <c r="L271" t="s">
        <v>1667</v>
      </c>
      <c r="M271">
        <v>9</v>
      </c>
      <c r="N271">
        <v>1</v>
      </c>
      <c r="O271" t="s">
        <v>1036</v>
      </c>
      <c r="P271" s="17"/>
      <c r="Q271" s="17" t="str">
        <f>_xlfn.XLOOKUP(Table2[[#This Row],[buyFromVendorNo]],'Next Day Scheduled'!A:A,'Pending Returns'!O:O,"NOT_FOUND")</f>
        <v>NOT_FOUND</v>
      </c>
    </row>
    <row r="272" spans="1:17" x14ac:dyDescent="0.3">
      <c r="A272" s="1">
        <v>46152</v>
      </c>
      <c r="B272" t="s">
        <v>442</v>
      </c>
      <c r="C272" t="s">
        <v>618</v>
      </c>
      <c r="D272" t="s">
        <v>619</v>
      </c>
      <c r="E272" t="s">
        <v>8</v>
      </c>
      <c r="F272" t="s">
        <v>38</v>
      </c>
      <c r="G272" s="16">
        <v>1405.2162000000001</v>
      </c>
      <c r="H272" s="16">
        <v>1405.2162000000001</v>
      </c>
      <c r="I272" s="1">
        <v>46150</v>
      </c>
      <c r="J272">
        <v>107</v>
      </c>
      <c r="K272" t="s">
        <v>1670</v>
      </c>
      <c r="L272" t="s">
        <v>1671</v>
      </c>
      <c r="M272">
        <v>107</v>
      </c>
      <c r="N272">
        <v>0</v>
      </c>
      <c r="O272" t="s">
        <v>1036</v>
      </c>
      <c r="P272" s="17"/>
      <c r="Q272" s="17" t="str">
        <f>_xlfn.XLOOKUP(Table2[[#This Row],[buyFromVendorNo]],'Next Day Scheduled'!A:A,'Pending Returns'!O:O,"NOT_FOUND")</f>
        <v>NOT_FOUND</v>
      </c>
    </row>
    <row r="273" spans="1:17" x14ac:dyDescent="0.3">
      <c r="A273" s="1">
        <v>46153</v>
      </c>
      <c r="B273" t="s">
        <v>221</v>
      </c>
      <c r="C273" t="s">
        <v>71</v>
      </c>
      <c r="D273" t="s">
        <v>72</v>
      </c>
      <c r="E273" t="s">
        <v>8</v>
      </c>
      <c r="F273" t="s">
        <v>10</v>
      </c>
      <c r="G273" s="16">
        <v>17240.322</v>
      </c>
      <c r="H273" s="16">
        <v>19826.370999999999</v>
      </c>
      <c r="I273" s="1">
        <v>46149</v>
      </c>
      <c r="J273">
        <v>106</v>
      </c>
      <c r="K273" t="s">
        <v>589</v>
      </c>
      <c r="L273" t="s">
        <v>1677</v>
      </c>
      <c r="M273">
        <v>14</v>
      </c>
      <c r="N273">
        <v>8</v>
      </c>
      <c r="O273" t="s">
        <v>1036</v>
      </c>
      <c r="P273" s="17"/>
      <c r="Q273" s="17" t="str">
        <f>_xlfn.XLOOKUP(Table2[[#This Row],[buyFromVendorNo]],'Next Day Scheduled'!A:A,'Pending Returns'!O:O,"NOT_FOUND")</f>
        <v>Posted Credit Note</v>
      </c>
    </row>
    <row r="274" spans="1:17" x14ac:dyDescent="0.3">
      <c r="A274" s="1">
        <v>46153</v>
      </c>
      <c r="B274" t="s">
        <v>889</v>
      </c>
      <c r="C274" t="s">
        <v>179</v>
      </c>
      <c r="D274" t="s">
        <v>180</v>
      </c>
      <c r="E274" t="s">
        <v>8</v>
      </c>
      <c r="F274" t="s">
        <v>169</v>
      </c>
      <c r="G274" s="16">
        <v>2161.04</v>
      </c>
      <c r="H274" s="16">
        <v>2485.1959999999999</v>
      </c>
      <c r="J274">
        <v>106</v>
      </c>
      <c r="K274" t="s">
        <v>897</v>
      </c>
      <c r="M274">
        <v>0</v>
      </c>
      <c r="N274">
        <v>360</v>
      </c>
      <c r="O274" t="s">
        <v>216</v>
      </c>
      <c r="P274" s="17"/>
      <c r="Q274" s="17" t="str">
        <f>_xlfn.XLOOKUP(Table2[[#This Row],[buyFromVendorNo]],'Next Day Scheduled'!A:A,'Pending Returns'!O:O,"NOT_FOUND")</f>
        <v>NOT_FOUND</v>
      </c>
    </row>
    <row r="275" spans="1:17" x14ac:dyDescent="0.3">
      <c r="A275" s="1">
        <v>46153</v>
      </c>
      <c r="B275" t="s">
        <v>515</v>
      </c>
      <c r="C275" t="s">
        <v>548</v>
      </c>
      <c r="D275" t="s">
        <v>549</v>
      </c>
      <c r="E275" t="s">
        <v>8</v>
      </c>
      <c r="F275" t="s">
        <v>10</v>
      </c>
      <c r="G275" s="16">
        <v>7018.3680000000004</v>
      </c>
      <c r="H275" s="16">
        <v>8071.1234999999997</v>
      </c>
      <c r="I275" s="1">
        <v>46146</v>
      </c>
      <c r="J275">
        <v>106</v>
      </c>
      <c r="K275" t="s">
        <v>585</v>
      </c>
      <c r="L275" t="s">
        <v>1675</v>
      </c>
      <c r="M275">
        <v>14</v>
      </c>
      <c r="N275">
        <v>3</v>
      </c>
      <c r="O275" t="s">
        <v>1036</v>
      </c>
      <c r="P275" s="17"/>
      <c r="Q275" s="17" t="str">
        <f>_xlfn.XLOOKUP(Table2[[#This Row],[buyFromVendorNo]],'Next Day Scheduled'!A:A,'Pending Returns'!O:O,"NOT_FOUND")</f>
        <v>NOT_FOUND</v>
      </c>
    </row>
    <row r="276" spans="1:17" x14ac:dyDescent="0.3">
      <c r="A276" s="1">
        <v>46153</v>
      </c>
      <c r="B276" t="s">
        <v>551</v>
      </c>
      <c r="C276" t="s">
        <v>204</v>
      </c>
      <c r="D276" t="s">
        <v>205</v>
      </c>
      <c r="E276" t="s">
        <v>8</v>
      </c>
      <c r="F276" t="s">
        <v>38</v>
      </c>
      <c r="G276" s="16">
        <v>899.04</v>
      </c>
      <c r="H276" s="16">
        <v>1033.896</v>
      </c>
      <c r="I276" s="1">
        <v>46152</v>
      </c>
      <c r="J276">
        <v>106</v>
      </c>
      <c r="K276" t="s">
        <v>552</v>
      </c>
      <c r="L276" t="s">
        <v>1674</v>
      </c>
      <c r="M276">
        <v>16</v>
      </c>
      <c r="N276">
        <v>5</v>
      </c>
      <c r="O276" t="s">
        <v>1036</v>
      </c>
      <c r="P276" s="17"/>
      <c r="Q276" s="17" t="str">
        <f>_xlfn.XLOOKUP(Table2[[#This Row],[buyFromVendorNo]],'Next Day Scheduled'!A:A,'Pending Returns'!O:O,"NOT_FOUND")</f>
        <v>NOT_FOUND</v>
      </c>
    </row>
    <row r="277" spans="1:17" x14ac:dyDescent="0.3">
      <c r="A277" s="1">
        <v>46153</v>
      </c>
      <c r="B277" t="s">
        <v>442</v>
      </c>
      <c r="C277" t="s">
        <v>562</v>
      </c>
      <c r="D277" t="s">
        <v>563</v>
      </c>
      <c r="E277" t="s">
        <v>8</v>
      </c>
      <c r="F277" t="s">
        <v>38</v>
      </c>
      <c r="G277" s="16">
        <v>1763.694</v>
      </c>
      <c r="H277" s="16">
        <v>2028.248</v>
      </c>
      <c r="I277" s="1">
        <v>46151</v>
      </c>
      <c r="J277">
        <v>106</v>
      </c>
      <c r="K277" t="s">
        <v>1678</v>
      </c>
      <c r="L277" t="s">
        <v>1679</v>
      </c>
      <c r="M277">
        <v>47</v>
      </c>
      <c r="N277">
        <v>23</v>
      </c>
      <c r="O277" t="s">
        <v>1036</v>
      </c>
      <c r="P277" s="17"/>
      <c r="Q277" s="17" t="str">
        <f>_xlfn.XLOOKUP(Table2[[#This Row],[buyFromVendorNo]],'Next Day Scheduled'!A:A,'Pending Returns'!O:O,"NOT_FOUND")</f>
        <v>NOT_FOUND</v>
      </c>
    </row>
    <row r="278" spans="1:17" x14ac:dyDescent="0.3">
      <c r="A278" s="1">
        <v>46153</v>
      </c>
      <c r="B278" t="s">
        <v>235</v>
      </c>
      <c r="C278" t="s">
        <v>34</v>
      </c>
      <c r="D278" t="s">
        <v>35</v>
      </c>
      <c r="E278" t="s">
        <v>8</v>
      </c>
      <c r="F278" t="s">
        <v>10</v>
      </c>
      <c r="G278" s="16">
        <v>13157.257</v>
      </c>
      <c r="H278" s="16">
        <v>15130.846</v>
      </c>
      <c r="I278" s="1">
        <v>46149</v>
      </c>
      <c r="J278">
        <v>106</v>
      </c>
      <c r="K278" t="s">
        <v>100</v>
      </c>
      <c r="L278" t="s">
        <v>1673</v>
      </c>
      <c r="M278">
        <v>18</v>
      </c>
      <c r="N278">
        <v>8</v>
      </c>
      <c r="O278" t="s">
        <v>1036</v>
      </c>
      <c r="P278" s="17"/>
      <c r="Q278" s="17" t="str">
        <f>_xlfn.XLOOKUP(Table2[[#This Row],[buyFromVendorNo]],'Next Day Scheduled'!A:A,'Pending Returns'!O:O,"NOT_FOUND")</f>
        <v>Posted Credit Note</v>
      </c>
    </row>
    <row r="279" spans="1:17" x14ac:dyDescent="0.3">
      <c r="A279" s="1">
        <v>46153</v>
      </c>
      <c r="B279" t="s">
        <v>239</v>
      </c>
      <c r="C279" t="s">
        <v>785</v>
      </c>
      <c r="D279" t="s">
        <v>786</v>
      </c>
      <c r="E279" t="s">
        <v>8</v>
      </c>
      <c r="F279" t="s">
        <v>10</v>
      </c>
      <c r="G279" s="16">
        <v>8427</v>
      </c>
      <c r="H279" s="16">
        <v>9691.0499999999993</v>
      </c>
      <c r="I279" s="1">
        <v>46159</v>
      </c>
      <c r="J279">
        <v>106</v>
      </c>
      <c r="K279" t="s">
        <v>787</v>
      </c>
      <c r="L279" t="s">
        <v>888</v>
      </c>
      <c r="M279">
        <v>17</v>
      </c>
      <c r="N279">
        <v>5</v>
      </c>
      <c r="O279" t="s">
        <v>1036</v>
      </c>
      <c r="P279" s="17"/>
      <c r="Q279" s="17" t="str">
        <f>_xlfn.XLOOKUP(Table2[[#This Row],[buyFromVendorNo]],'Next Day Scheduled'!A:A,'Pending Returns'!O:O,"NOT_FOUND")</f>
        <v>NOT_FOUND</v>
      </c>
    </row>
    <row r="280" spans="1:17" x14ac:dyDescent="0.3">
      <c r="A280" s="1">
        <v>46153</v>
      </c>
      <c r="B280" t="s">
        <v>265</v>
      </c>
      <c r="C280" t="s">
        <v>34</v>
      </c>
      <c r="D280" t="s">
        <v>35</v>
      </c>
      <c r="E280" t="s">
        <v>8</v>
      </c>
      <c r="F280" t="s">
        <v>10</v>
      </c>
      <c r="G280" s="16">
        <v>10839.402</v>
      </c>
      <c r="H280" s="16">
        <v>12465.313</v>
      </c>
      <c r="I280" s="1">
        <v>46149</v>
      </c>
      <c r="J280">
        <v>106</v>
      </c>
      <c r="K280" t="s">
        <v>167</v>
      </c>
      <c r="L280" t="s">
        <v>1672</v>
      </c>
      <c r="M280">
        <v>18</v>
      </c>
      <c r="N280">
        <v>8</v>
      </c>
      <c r="O280" t="s">
        <v>1036</v>
      </c>
      <c r="P280" s="17"/>
      <c r="Q280" s="17" t="str">
        <f>_xlfn.XLOOKUP(Table2[[#This Row],[buyFromVendorNo]],'Next Day Scheduled'!A:A,'Pending Returns'!O:O,"NOT_FOUND")</f>
        <v>Posted Credit Note</v>
      </c>
    </row>
    <row r="281" spans="1:17" x14ac:dyDescent="0.3">
      <c r="A281" s="1">
        <v>46153</v>
      </c>
      <c r="B281" t="s">
        <v>517</v>
      </c>
      <c r="C281" t="s">
        <v>130</v>
      </c>
      <c r="D281" t="s">
        <v>131</v>
      </c>
      <c r="E281" t="s">
        <v>8</v>
      </c>
      <c r="F281" t="s">
        <v>10</v>
      </c>
      <c r="G281" s="16">
        <v>8972.49</v>
      </c>
      <c r="H281" s="16">
        <v>10318.362999999999</v>
      </c>
      <c r="I281" s="1">
        <v>46147</v>
      </c>
      <c r="J281">
        <v>106</v>
      </c>
      <c r="K281" t="s">
        <v>526</v>
      </c>
      <c r="L281" t="s">
        <v>1680</v>
      </c>
      <c r="M281">
        <v>15</v>
      </c>
      <c r="N281">
        <v>7</v>
      </c>
      <c r="O281" t="s">
        <v>1036</v>
      </c>
      <c r="P281" s="17"/>
      <c r="Q281" s="17" t="str">
        <f>_xlfn.XLOOKUP(Table2[[#This Row],[buyFromVendorNo]],'Next Day Scheduled'!A:A,'Pending Returns'!O:O,"NOT_FOUND")</f>
        <v>Posted Credit Note</v>
      </c>
    </row>
    <row r="282" spans="1:17" x14ac:dyDescent="0.3">
      <c r="A282" s="1">
        <v>46153</v>
      </c>
      <c r="B282" t="s">
        <v>487</v>
      </c>
      <c r="C282" t="s">
        <v>297</v>
      </c>
      <c r="D282" t="s">
        <v>298</v>
      </c>
      <c r="E282" t="s">
        <v>8</v>
      </c>
      <c r="F282" t="s">
        <v>10</v>
      </c>
      <c r="G282" s="16">
        <v>2787.2</v>
      </c>
      <c r="H282" s="16">
        <v>3205.28</v>
      </c>
      <c r="I282" s="1">
        <v>46147</v>
      </c>
      <c r="J282">
        <v>106</v>
      </c>
      <c r="K282" t="s">
        <v>516</v>
      </c>
      <c r="L282" t="s">
        <v>1676</v>
      </c>
      <c r="M282">
        <v>17</v>
      </c>
      <c r="N282">
        <v>7</v>
      </c>
      <c r="O282" t="s">
        <v>1036</v>
      </c>
      <c r="P282" s="17"/>
      <c r="Q282" s="17" t="str">
        <f>_xlfn.XLOOKUP(Table2[[#This Row],[buyFromVendorNo]],'Next Day Scheduled'!A:A,'Pending Returns'!O:O,"NOT_FOUND")</f>
        <v>NOT_FOUND</v>
      </c>
    </row>
    <row r="283" spans="1:17" x14ac:dyDescent="0.3">
      <c r="A283" s="1">
        <v>46154</v>
      </c>
      <c r="B283" t="s">
        <v>255</v>
      </c>
      <c r="C283" t="s">
        <v>122</v>
      </c>
      <c r="D283" t="s">
        <v>123</v>
      </c>
      <c r="E283" t="s">
        <v>8</v>
      </c>
      <c r="F283" t="s">
        <v>10</v>
      </c>
      <c r="G283" s="16">
        <v>996.6</v>
      </c>
      <c r="H283" s="16">
        <v>1146.0899999999999</v>
      </c>
      <c r="I283" s="1">
        <v>46153</v>
      </c>
      <c r="J283">
        <v>105</v>
      </c>
      <c r="K283" t="s">
        <v>609</v>
      </c>
      <c r="L283" t="s">
        <v>1681</v>
      </c>
      <c r="M283">
        <v>34</v>
      </c>
      <c r="N283">
        <v>1</v>
      </c>
      <c r="O283" t="s">
        <v>1036</v>
      </c>
      <c r="P283" s="17"/>
      <c r="Q283" s="17" t="str">
        <f>_xlfn.XLOOKUP(Table2[[#This Row],[buyFromVendorNo]],'Next Day Scheduled'!A:A,'Pending Returns'!O:O,"NOT_FOUND")</f>
        <v>NOT_FOUND</v>
      </c>
    </row>
    <row r="284" spans="1:17" x14ac:dyDescent="0.3">
      <c r="A284" s="1">
        <v>46154</v>
      </c>
      <c r="B284" t="s">
        <v>243</v>
      </c>
      <c r="C284" t="s">
        <v>304</v>
      </c>
      <c r="D284" t="s">
        <v>307</v>
      </c>
      <c r="E284" t="s">
        <v>8</v>
      </c>
      <c r="F284" t="s">
        <v>10</v>
      </c>
      <c r="G284" s="16">
        <v>16391.344000000001</v>
      </c>
      <c r="H284" s="16">
        <v>18850.044999999998</v>
      </c>
      <c r="I284" s="1">
        <v>46147</v>
      </c>
      <c r="J284">
        <v>105</v>
      </c>
      <c r="K284" t="s">
        <v>595</v>
      </c>
      <c r="L284" t="s">
        <v>1689</v>
      </c>
      <c r="M284">
        <v>18</v>
      </c>
      <c r="N284">
        <v>6</v>
      </c>
      <c r="O284" t="s">
        <v>1036</v>
      </c>
      <c r="P284" s="17"/>
      <c r="Q284" s="17" t="str">
        <f>_xlfn.XLOOKUP(Table2[[#This Row],[buyFromVendorNo]],'Next Day Scheduled'!A:A,'Pending Returns'!O:O,"NOT_FOUND")</f>
        <v>NOT_FOUND</v>
      </c>
    </row>
    <row r="285" spans="1:17" x14ac:dyDescent="0.3">
      <c r="A285" s="1">
        <v>46154</v>
      </c>
      <c r="B285" t="s">
        <v>247</v>
      </c>
      <c r="C285" t="s">
        <v>177</v>
      </c>
      <c r="D285" t="s">
        <v>178</v>
      </c>
      <c r="E285" t="s">
        <v>8</v>
      </c>
      <c r="F285" t="s">
        <v>10</v>
      </c>
      <c r="G285" s="16">
        <v>3176.33</v>
      </c>
      <c r="H285" s="16">
        <v>3652.7795000000001</v>
      </c>
      <c r="I285" s="1">
        <v>46148</v>
      </c>
      <c r="J285">
        <v>105</v>
      </c>
      <c r="K285" t="s">
        <v>610</v>
      </c>
      <c r="L285" t="s">
        <v>1682</v>
      </c>
      <c r="M285">
        <v>21</v>
      </c>
      <c r="N285">
        <v>2</v>
      </c>
      <c r="O285" t="s">
        <v>1036</v>
      </c>
      <c r="P285" s="17"/>
      <c r="Q285" s="17" t="str">
        <f>_xlfn.XLOOKUP(Table2[[#This Row],[buyFromVendorNo]],'Next Day Scheduled'!A:A,'Pending Returns'!O:O,"NOT_FOUND")</f>
        <v>Posted Credit Note</v>
      </c>
    </row>
    <row r="286" spans="1:17" x14ac:dyDescent="0.3">
      <c r="A286" s="1">
        <v>46154</v>
      </c>
      <c r="B286" t="s">
        <v>243</v>
      </c>
      <c r="C286" t="s">
        <v>542</v>
      </c>
      <c r="D286" t="s">
        <v>543</v>
      </c>
      <c r="E286" t="s">
        <v>8</v>
      </c>
      <c r="F286" t="s">
        <v>10</v>
      </c>
      <c r="G286" s="16">
        <v>12358.656000000001</v>
      </c>
      <c r="H286" s="16">
        <v>14212.454</v>
      </c>
      <c r="I286" s="1">
        <v>46154</v>
      </c>
      <c r="J286">
        <v>105</v>
      </c>
      <c r="K286" t="s">
        <v>544</v>
      </c>
      <c r="L286" t="s">
        <v>1683</v>
      </c>
      <c r="M286">
        <v>1</v>
      </c>
      <c r="N286">
        <v>103</v>
      </c>
      <c r="O286" t="s">
        <v>1036</v>
      </c>
      <c r="P286" s="17"/>
      <c r="Q286" s="17" t="str">
        <f>_xlfn.XLOOKUP(Table2[[#This Row],[buyFromVendorNo]],'Next Day Scheduled'!A:A,'Pending Returns'!O:O,"NOT_FOUND")</f>
        <v>NOT_FOUND</v>
      </c>
    </row>
    <row r="287" spans="1:17" x14ac:dyDescent="0.3">
      <c r="A287" s="1">
        <v>46154</v>
      </c>
      <c r="B287" t="s">
        <v>485</v>
      </c>
      <c r="C287" t="s">
        <v>177</v>
      </c>
      <c r="D287" t="s">
        <v>178</v>
      </c>
      <c r="E287" t="s">
        <v>8</v>
      </c>
      <c r="F287" t="s">
        <v>10</v>
      </c>
      <c r="G287" s="16">
        <v>2265.3923</v>
      </c>
      <c r="H287" s="16">
        <v>2605.2012</v>
      </c>
      <c r="I287" s="1">
        <v>46148</v>
      </c>
      <c r="J287">
        <v>105</v>
      </c>
      <c r="K287" t="s">
        <v>486</v>
      </c>
      <c r="L287" t="s">
        <v>1694</v>
      </c>
      <c r="M287">
        <v>21</v>
      </c>
      <c r="N287">
        <v>2</v>
      </c>
      <c r="O287" t="s">
        <v>1036</v>
      </c>
      <c r="P287" s="17"/>
      <c r="Q287" s="17" t="str">
        <f>_xlfn.XLOOKUP(Table2[[#This Row],[buyFromVendorNo]],'Next Day Scheduled'!A:A,'Pending Returns'!O:O,"NOT_FOUND")</f>
        <v>Posted Credit Note</v>
      </c>
    </row>
    <row r="288" spans="1:17" x14ac:dyDescent="0.3">
      <c r="A288" s="1">
        <v>46154</v>
      </c>
      <c r="B288" t="s">
        <v>277</v>
      </c>
      <c r="C288" t="s">
        <v>504</v>
      </c>
      <c r="D288" t="s">
        <v>505</v>
      </c>
      <c r="E288" t="s">
        <v>8</v>
      </c>
      <c r="F288" t="s">
        <v>10</v>
      </c>
      <c r="G288" s="16">
        <v>610.20000000000005</v>
      </c>
      <c r="H288" s="16">
        <v>701.73</v>
      </c>
      <c r="I288" s="1">
        <v>46154</v>
      </c>
      <c r="J288">
        <v>105</v>
      </c>
      <c r="K288" t="s">
        <v>528</v>
      </c>
      <c r="L288" t="s">
        <v>1700</v>
      </c>
      <c r="M288">
        <v>9</v>
      </c>
      <c r="N288">
        <v>13</v>
      </c>
      <c r="O288" t="s">
        <v>1036</v>
      </c>
      <c r="P288" s="17"/>
      <c r="Q288" s="17" t="str">
        <f>_xlfn.XLOOKUP(Table2[[#This Row],[buyFromVendorNo]],'Next Day Scheduled'!A:A,'Pending Returns'!O:O,"NOT_FOUND")</f>
        <v>NOT_FOUND</v>
      </c>
    </row>
    <row r="289" spans="1:17" x14ac:dyDescent="0.3">
      <c r="A289" s="1">
        <v>46154</v>
      </c>
      <c r="B289" t="s">
        <v>231</v>
      </c>
      <c r="C289" t="s">
        <v>502</v>
      </c>
      <c r="D289" t="s">
        <v>503</v>
      </c>
      <c r="E289" t="s">
        <v>8</v>
      </c>
      <c r="F289" t="s">
        <v>10</v>
      </c>
      <c r="G289" s="16">
        <v>2796.98</v>
      </c>
      <c r="H289" s="16">
        <v>3216.527</v>
      </c>
      <c r="I289" s="1">
        <v>46152</v>
      </c>
      <c r="J289">
        <v>105</v>
      </c>
      <c r="K289" t="s">
        <v>639</v>
      </c>
      <c r="L289" t="s">
        <v>1696</v>
      </c>
      <c r="M289">
        <v>5</v>
      </c>
      <c r="N289">
        <v>1</v>
      </c>
      <c r="O289" t="s">
        <v>1036</v>
      </c>
      <c r="P289" s="17"/>
      <c r="Q289" s="17" t="str">
        <f>_xlfn.XLOOKUP(Table2[[#This Row],[buyFromVendorNo]],'Next Day Scheduled'!A:A,'Pending Returns'!O:O,"NOT_FOUND")</f>
        <v>NOT_FOUND</v>
      </c>
    </row>
    <row r="290" spans="1:17" x14ac:dyDescent="0.3">
      <c r="A290" s="1">
        <v>46154</v>
      </c>
      <c r="B290" t="s">
        <v>890</v>
      </c>
      <c r="C290" t="s">
        <v>422</v>
      </c>
      <c r="D290" t="s">
        <v>490</v>
      </c>
      <c r="E290" t="s">
        <v>8</v>
      </c>
      <c r="F290" t="s">
        <v>169</v>
      </c>
      <c r="G290" s="16">
        <v>1609.2396000000001</v>
      </c>
      <c r="H290" s="16">
        <v>1850.6256000000001</v>
      </c>
      <c r="I290" s="1">
        <v>46154</v>
      </c>
      <c r="J290">
        <v>105</v>
      </c>
      <c r="K290" t="s">
        <v>898</v>
      </c>
      <c r="L290" t="s">
        <v>1702</v>
      </c>
      <c r="M290">
        <v>13</v>
      </c>
      <c r="N290">
        <v>3</v>
      </c>
      <c r="O290" t="s">
        <v>1036</v>
      </c>
      <c r="P290" s="17"/>
      <c r="Q290" s="17" t="str">
        <f>_xlfn.XLOOKUP(Table2[[#This Row],[buyFromVendorNo]],'Next Day Scheduled'!A:A,'Pending Returns'!O:O,"NOT_FOUND")</f>
        <v>NOT_FOUND</v>
      </c>
    </row>
    <row r="291" spans="1:17" x14ac:dyDescent="0.3">
      <c r="A291" s="1">
        <v>46154</v>
      </c>
      <c r="B291" t="s">
        <v>257</v>
      </c>
      <c r="C291" t="s">
        <v>69</v>
      </c>
      <c r="D291" t="s">
        <v>70</v>
      </c>
      <c r="E291" t="s">
        <v>8</v>
      </c>
      <c r="F291" t="s">
        <v>10</v>
      </c>
      <c r="G291" s="16">
        <v>1155.68</v>
      </c>
      <c r="H291" s="16">
        <v>1329.0319999999999</v>
      </c>
      <c r="I291" s="1">
        <v>46152</v>
      </c>
      <c r="J291">
        <v>105</v>
      </c>
      <c r="K291" t="s">
        <v>796</v>
      </c>
      <c r="L291" t="s">
        <v>1687</v>
      </c>
      <c r="M291">
        <v>41</v>
      </c>
      <c r="N291">
        <v>1</v>
      </c>
      <c r="O291" t="s">
        <v>1036</v>
      </c>
      <c r="P291" s="17"/>
      <c r="Q291" s="17" t="str">
        <f>_xlfn.XLOOKUP(Table2[[#This Row],[buyFromVendorNo]],'Next Day Scheduled'!A:A,'Pending Returns'!O:O,"NOT_FOUND")</f>
        <v>Posted Credit Note</v>
      </c>
    </row>
    <row r="292" spans="1:17" x14ac:dyDescent="0.3">
      <c r="A292" s="1">
        <v>46154</v>
      </c>
      <c r="B292" t="s">
        <v>688</v>
      </c>
      <c r="C292" t="s">
        <v>567</v>
      </c>
      <c r="D292" t="s">
        <v>568</v>
      </c>
      <c r="E292" t="s">
        <v>8</v>
      </c>
      <c r="F292" t="s">
        <v>10</v>
      </c>
      <c r="G292" s="16">
        <v>3217.7573000000002</v>
      </c>
      <c r="H292" s="16">
        <v>3700.4209999999998</v>
      </c>
      <c r="I292" s="1">
        <v>46153</v>
      </c>
      <c r="J292">
        <v>105</v>
      </c>
      <c r="K292" t="s">
        <v>689</v>
      </c>
      <c r="L292" t="s">
        <v>1688</v>
      </c>
      <c r="M292">
        <v>16</v>
      </c>
      <c r="N292">
        <v>1</v>
      </c>
      <c r="O292" t="s">
        <v>1036</v>
      </c>
      <c r="P292" s="17"/>
      <c r="Q292" s="17" t="str">
        <f>_xlfn.XLOOKUP(Table2[[#This Row],[buyFromVendorNo]],'Next Day Scheduled'!A:A,'Pending Returns'!O:O,"NOT_FOUND")</f>
        <v>NOT_FOUND</v>
      </c>
    </row>
    <row r="293" spans="1:17" x14ac:dyDescent="0.3">
      <c r="A293" s="1">
        <v>46154</v>
      </c>
      <c r="B293" t="s">
        <v>257</v>
      </c>
      <c r="C293" t="s">
        <v>665</v>
      </c>
      <c r="D293" t="s">
        <v>666</v>
      </c>
      <c r="E293" t="s">
        <v>8</v>
      </c>
      <c r="F293" t="s">
        <v>10</v>
      </c>
      <c r="G293" s="16">
        <v>2868.1604000000002</v>
      </c>
      <c r="H293" s="16">
        <v>3298.3843000000002</v>
      </c>
      <c r="I293" s="1">
        <v>46152</v>
      </c>
      <c r="J293">
        <v>105</v>
      </c>
      <c r="K293" t="s">
        <v>784</v>
      </c>
      <c r="L293" t="s">
        <v>1699</v>
      </c>
      <c r="M293">
        <v>0</v>
      </c>
      <c r="N293">
        <v>147</v>
      </c>
      <c r="O293" t="s">
        <v>1036</v>
      </c>
      <c r="P293" s="17"/>
      <c r="Q293" s="17" t="str">
        <f>_xlfn.XLOOKUP(Table2[[#This Row],[buyFromVendorNo]],'Next Day Scheduled'!A:A,'Pending Returns'!O:O,"NOT_FOUND")</f>
        <v>NOT_FOUND</v>
      </c>
    </row>
    <row r="294" spans="1:17" x14ac:dyDescent="0.3">
      <c r="A294" s="1">
        <v>46154</v>
      </c>
      <c r="B294" t="s">
        <v>800</v>
      </c>
      <c r="C294" t="s">
        <v>618</v>
      </c>
      <c r="D294" t="s">
        <v>619</v>
      </c>
      <c r="E294" t="s">
        <v>8</v>
      </c>
      <c r="F294" t="s">
        <v>38</v>
      </c>
      <c r="G294" s="16">
        <v>2730.5805999999998</v>
      </c>
      <c r="H294" s="16">
        <v>2730.5805999999998</v>
      </c>
      <c r="I294" s="1">
        <v>46152</v>
      </c>
      <c r="J294">
        <v>105</v>
      </c>
      <c r="K294" t="s">
        <v>801</v>
      </c>
      <c r="L294" t="s">
        <v>1684</v>
      </c>
      <c r="M294">
        <v>105</v>
      </c>
      <c r="N294">
        <v>0</v>
      </c>
      <c r="O294" t="s">
        <v>1036</v>
      </c>
      <c r="P294" s="17"/>
      <c r="Q294" s="17" t="str">
        <f>_xlfn.XLOOKUP(Table2[[#This Row],[buyFromVendorNo]],'Next Day Scheduled'!A:A,'Pending Returns'!O:O,"NOT_FOUND")</f>
        <v>NOT_FOUND</v>
      </c>
    </row>
    <row r="295" spans="1:17" x14ac:dyDescent="0.3">
      <c r="A295" s="1">
        <v>46154</v>
      </c>
      <c r="B295" t="s">
        <v>642</v>
      </c>
      <c r="C295" t="s">
        <v>562</v>
      </c>
      <c r="D295" t="s">
        <v>563</v>
      </c>
      <c r="E295" t="s">
        <v>8</v>
      </c>
      <c r="F295" t="s">
        <v>38</v>
      </c>
      <c r="G295" s="16">
        <v>1597.5</v>
      </c>
      <c r="H295" s="16">
        <v>1837.125</v>
      </c>
      <c r="I295" s="1">
        <v>46154</v>
      </c>
      <c r="J295">
        <v>105</v>
      </c>
      <c r="K295" t="s">
        <v>661</v>
      </c>
      <c r="L295" t="s">
        <v>1691</v>
      </c>
      <c r="M295">
        <v>46</v>
      </c>
      <c r="N295">
        <v>23</v>
      </c>
      <c r="O295" t="s">
        <v>1036</v>
      </c>
      <c r="P295" s="17"/>
      <c r="Q295" s="17" t="str">
        <f>_xlfn.XLOOKUP(Table2[[#This Row],[buyFromVendorNo]],'Next Day Scheduled'!A:A,'Pending Returns'!O:O,"NOT_FOUND")</f>
        <v>NOT_FOUND</v>
      </c>
    </row>
    <row r="296" spans="1:17" x14ac:dyDescent="0.3">
      <c r="A296" s="1">
        <v>46154</v>
      </c>
      <c r="B296" t="s">
        <v>308</v>
      </c>
      <c r="C296" t="s">
        <v>598</v>
      </c>
      <c r="D296" t="s">
        <v>599</v>
      </c>
      <c r="E296" t="s">
        <v>8</v>
      </c>
      <c r="F296" t="s">
        <v>10</v>
      </c>
      <c r="G296" s="16">
        <v>9163.4279999999999</v>
      </c>
      <c r="H296" s="16">
        <v>10537.941999999999</v>
      </c>
      <c r="I296" s="1">
        <v>46154</v>
      </c>
      <c r="J296">
        <v>105</v>
      </c>
      <c r="K296" t="s">
        <v>714</v>
      </c>
      <c r="L296" t="s">
        <v>995</v>
      </c>
      <c r="M296">
        <v>13</v>
      </c>
      <c r="N296">
        <v>6</v>
      </c>
      <c r="O296" t="s">
        <v>1036</v>
      </c>
      <c r="P296" s="17"/>
      <c r="Q296" s="17" t="str">
        <f>_xlfn.XLOOKUP(Table2[[#This Row],[buyFromVendorNo]],'Next Day Scheduled'!A:A,'Pending Returns'!O:O,"NOT_FOUND")</f>
        <v>NOT_FOUND</v>
      </c>
    </row>
    <row r="297" spans="1:17" x14ac:dyDescent="0.3">
      <c r="A297" s="1">
        <v>46154</v>
      </c>
      <c r="B297" t="s">
        <v>1887</v>
      </c>
      <c r="C297" t="s">
        <v>14</v>
      </c>
      <c r="D297" t="s">
        <v>15</v>
      </c>
      <c r="E297" t="s">
        <v>8</v>
      </c>
      <c r="F297" t="s">
        <v>10</v>
      </c>
      <c r="G297" s="16">
        <v>16985.5</v>
      </c>
      <c r="H297" s="16">
        <v>19533.324000000001</v>
      </c>
      <c r="J297">
        <v>105</v>
      </c>
      <c r="K297" t="s">
        <v>928</v>
      </c>
      <c r="M297">
        <v>0</v>
      </c>
      <c r="N297">
        <v>551</v>
      </c>
      <c r="O297" t="s">
        <v>216</v>
      </c>
      <c r="P297" s="17"/>
      <c r="Q297" s="17" t="str">
        <f>_xlfn.XLOOKUP(Table2[[#This Row],[buyFromVendorNo]],'Next Day Scheduled'!A:A,'Pending Returns'!O:O,"NOT_FOUND")</f>
        <v>NOT_FOUND</v>
      </c>
    </row>
    <row r="298" spans="1:17" x14ac:dyDescent="0.3">
      <c r="A298" s="1">
        <v>46154</v>
      </c>
      <c r="B298" t="s">
        <v>256</v>
      </c>
      <c r="C298" t="s">
        <v>632</v>
      </c>
      <c r="D298" t="s">
        <v>682</v>
      </c>
      <c r="E298" t="s">
        <v>8</v>
      </c>
      <c r="F298" t="s">
        <v>10</v>
      </c>
      <c r="G298" s="16">
        <v>3864.85</v>
      </c>
      <c r="H298" s="16">
        <v>4444.5775999999996</v>
      </c>
      <c r="I298" s="1">
        <v>46153</v>
      </c>
      <c r="J298">
        <v>105</v>
      </c>
      <c r="K298" t="s">
        <v>683</v>
      </c>
      <c r="L298" t="s">
        <v>1693</v>
      </c>
      <c r="M298">
        <v>14</v>
      </c>
      <c r="N298">
        <v>1</v>
      </c>
      <c r="O298" t="s">
        <v>1036</v>
      </c>
      <c r="P298" s="17"/>
      <c r="Q298" s="17" t="str">
        <f>_xlfn.XLOOKUP(Table2[[#This Row],[buyFromVendorNo]],'Next Day Scheduled'!A:A,'Pending Returns'!O:O,"NOT_FOUND")</f>
        <v>NOT_FOUND</v>
      </c>
    </row>
    <row r="299" spans="1:17" x14ac:dyDescent="0.3">
      <c r="A299" s="1">
        <v>46154</v>
      </c>
      <c r="B299" t="s">
        <v>257</v>
      </c>
      <c r="C299" t="s">
        <v>139</v>
      </c>
      <c r="D299" t="s">
        <v>140</v>
      </c>
      <c r="E299" t="s">
        <v>8</v>
      </c>
      <c r="F299" t="s">
        <v>10</v>
      </c>
      <c r="G299" s="16">
        <v>1890.248</v>
      </c>
      <c r="H299" s="16">
        <v>2173.7854000000002</v>
      </c>
      <c r="I299" s="1">
        <v>46153</v>
      </c>
      <c r="J299">
        <v>105</v>
      </c>
      <c r="K299" t="s">
        <v>896</v>
      </c>
      <c r="L299" t="s">
        <v>1690</v>
      </c>
      <c r="M299">
        <v>16</v>
      </c>
      <c r="N299">
        <v>7</v>
      </c>
      <c r="O299" t="s">
        <v>1036</v>
      </c>
      <c r="P299" s="17"/>
      <c r="Q299" s="17" t="str">
        <f>_xlfn.XLOOKUP(Table2[[#This Row],[buyFromVendorNo]],'Next Day Scheduled'!A:A,'Pending Returns'!O:O,"NOT_FOUND")</f>
        <v>NOT_FOUND</v>
      </c>
    </row>
    <row r="300" spans="1:17" x14ac:dyDescent="0.3">
      <c r="A300" s="1">
        <v>46154</v>
      </c>
      <c r="B300" t="s">
        <v>890</v>
      </c>
      <c r="C300" t="s">
        <v>901</v>
      </c>
      <c r="D300" t="s">
        <v>902</v>
      </c>
      <c r="E300" t="s">
        <v>8</v>
      </c>
      <c r="F300" t="s">
        <v>169</v>
      </c>
      <c r="G300" s="16">
        <v>117.35</v>
      </c>
      <c r="H300" s="16">
        <v>134.95249999999999</v>
      </c>
      <c r="I300" s="1">
        <v>46154</v>
      </c>
      <c r="J300">
        <v>105</v>
      </c>
      <c r="K300" t="s">
        <v>903</v>
      </c>
      <c r="L300" t="s">
        <v>1695</v>
      </c>
      <c r="M300">
        <v>2</v>
      </c>
      <c r="N300">
        <v>29</v>
      </c>
      <c r="O300" t="s">
        <v>1036</v>
      </c>
      <c r="P300" s="17"/>
      <c r="Q300" s="17" t="str">
        <f>_xlfn.XLOOKUP(Table2[[#This Row],[buyFromVendorNo]],'Next Day Scheduled'!A:A,'Pending Returns'!O:O,"NOT_FOUND")</f>
        <v>NOT_FOUND</v>
      </c>
    </row>
    <row r="301" spans="1:17" x14ac:dyDescent="0.3">
      <c r="A301" s="1">
        <v>46154</v>
      </c>
      <c r="B301" t="s">
        <v>478</v>
      </c>
      <c r="C301" t="s">
        <v>122</v>
      </c>
      <c r="D301" t="s">
        <v>123</v>
      </c>
      <c r="E301" t="s">
        <v>8</v>
      </c>
      <c r="F301" t="s">
        <v>10</v>
      </c>
      <c r="G301" s="16">
        <v>824.58</v>
      </c>
      <c r="H301" s="16">
        <v>948.26700000000005</v>
      </c>
      <c r="I301" s="1">
        <v>46153</v>
      </c>
      <c r="J301">
        <v>105</v>
      </c>
      <c r="K301" t="s">
        <v>479</v>
      </c>
      <c r="L301" t="s">
        <v>1701</v>
      </c>
      <c r="M301">
        <v>34</v>
      </c>
      <c r="N301">
        <v>1</v>
      </c>
      <c r="O301" t="s">
        <v>1036</v>
      </c>
      <c r="P301" s="17"/>
      <c r="Q301" s="17" t="str">
        <f>_xlfn.XLOOKUP(Table2[[#This Row],[buyFromVendorNo]],'Next Day Scheduled'!A:A,'Pending Returns'!O:O,"NOT_FOUND")</f>
        <v>NOT_FOUND</v>
      </c>
    </row>
    <row r="302" spans="1:17" x14ac:dyDescent="0.3">
      <c r="A302" s="1">
        <v>46155</v>
      </c>
      <c r="B302" t="s">
        <v>330</v>
      </c>
      <c r="C302" t="s">
        <v>133</v>
      </c>
      <c r="D302" t="s">
        <v>134</v>
      </c>
      <c r="E302" t="s">
        <v>8</v>
      </c>
      <c r="F302" t="s">
        <v>10</v>
      </c>
      <c r="G302" s="16">
        <v>9063.2970000000005</v>
      </c>
      <c r="H302" s="16">
        <v>10422.791999999999</v>
      </c>
      <c r="I302" s="1">
        <v>46152</v>
      </c>
      <c r="J302">
        <v>104</v>
      </c>
      <c r="K302" t="s">
        <v>132</v>
      </c>
      <c r="L302" t="s">
        <v>795</v>
      </c>
      <c r="M302">
        <v>13</v>
      </c>
      <c r="N302">
        <v>12</v>
      </c>
      <c r="O302" t="s">
        <v>1036</v>
      </c>
      <c r="P302" s="17"/>
      <c r="Q302" s="17" t="str">
        <f>_xlfn.XLOOKUP(Table2[[#This Row],[buyFromVendorNo]],'Next Day Scheduled'!A:A,'Pending Returns'!O:O,"NOT_FOUND")</f>
        <v>NOT_FOUND</v>
      </c>
    </row>
    <row r="303" spans="1:17" x14ac:dyDescent="0.3">
      <c r="A303" s="1">
        <v>46155</v>
      </c>
      <c r="B303" t="s">
        <v>676</v>
      </c>
      <c r="C303" t="s">
        <v>425</v>
      </c>
      <c r="D303" t="s">
        <v>426</v>
      </c>
      <c r="E303" t="s">
        <v>8</v>
      </c>
      <c r="F303" t="s">
        <v>169</v>
      </c>
      <c r="G303" s="16">
        <v>1116.03</v>
      </c>
      <c r="H303" s="16">
        <v>1283.4344000000001</v>
      </c>
      <c r="I303" s="1">
        <v>46147</v>
      </c>
      <c r="J303">
        <v>104</v>
      </c>
      <c r="K303" t="s">
        <v>623</v>
      </c>
      <c r="L303" t="s">
        <v>1703</v>
      </c>
      <c r="M303">
        <v>13</v>
      </c>
      <c r="N303">
        <v>10</v>
      </c>
      <c r="O303" t="s">
        <v>1036</v>
      </c>
      <c r="P303" s="17"/>
      <c r="Q303" s="17" t="str">
        <f>_xlfn.XLOOKUP(Table2[[#This Row],[buyFromVendorNo]],'Next Day Scheduled'!A:A,'Pending Returns'!O:O,"NOT_FOUND")</f>
        <v>Posted Credit Note</v>
      </c>
    </row>
    <row r="304" spans="1:17" x14ac:dyDescent="0.3">
      <c r="A304" s="1">
        <v>46155</v>
      </c>
      <c r="B304" t="s">
        <v>607</v>
      </c>
      <c r="C304" t="s">
        <v>79</v>
      </c>
      <c r="D304" t="s">
        <v>80</v>
      </c>
      <c r="E304" t="s">
        <v>8</v>
      </c>
      <c r="F304" t="s">
        <v>10</v>
      </c>
      <c r="G304" s="16">
        <v>6538.7885999999999</v>
      </c>
      <c r="H304" s="16">
        <v>7519.6063999999997</v>
      </c>
      <c r="I304" s="1">
        <v>46153</v>
      </c>
      <c r="J304">
        <v>104</v>
      </c>
      <c r="K304" t="s">
        <v>584</v>
      </c>
      <c r="L304" t="s">
        <v>1736</v>
      </c>
      <c r="M304">
        <v>12</v>
      </c>
      <c r="N304">
        <v>2</v>
      </c>
      <c r="O304" t="s">
        <v>1036</v>
      </c>
      <c r="P304" s="17"/>
      <c r="Q304" s="17" t="str">
        <f>_xlfn.XLOOKUP(Table2[[#This Row],[buyFromVendorNo]],'Next Day Scheduled'!A:A,'Pending Returns'!O:O,"NOT_FOUND")</f>
        <v>NOT_FOUND</v>
      </c>
    </row>
    <row r="305" spans="1:17" x14ac:dyDescent="0.3">
      <c r="A305" s="1">
        <v>46155</v>
      </c>
      <c r="B305" t="s">
        <v>676</v>
      </c>
      <c r="C305" t="s">
        <v>356</v>
      </c>
      <c r="D305" t="s">
        <v>357</v>
      </c>
      <c r="E305" t="s">
        <v>8</v>
      </c>
      <c r="F305" t="s">
        <v>169</v>
      </c>
      <c r="G305" s="16">
        <v>4266.6869999999999</v>
      </c>
      <c r="H305" s="16">
        <v>4906.6904000000004</v>
      </c>
      <c r="I305" s="1">
        <v>46149</v>
      </c>
      <c r="J305">
        <v>104</v>
      </c>
      <c r="K305" t="s">
        <v>692</v>
      </c>
      <c r="L305" t="s">
        <v>1737</v>
      </c>
      <c r="M305">
        <v>21</v>
      </c>
      <c r="N305">
        <v>2</v>
      </c>
      <c r="O305" t="s">
        <v>1036</v>
      </c>
      <c r="P305" s="17"/>
      <c r="Q305" s="17" t="str">
        <f>_xlfn.XLOOKUP(Table2[[#This Row],[buyFromVendorNo]],'Next Day Scheduled'!A:A,'Pending Returns'!O:O,"NOT_FOUND")</f>
        <v>NOT_FOUND</v>
      </c>
    </row>
    <row r="306" spans="1:17" x14ac:dyDescent="0.3">
      <c r="A306" s="1">
        <v>46155</v>
      </c>
      <c r="B306" t="s">
        <v>7462</v>
      </c>
      <c r="C306" t="s">
        <v>854</v>
      </c>
      <c r="D306" t="s">
        <v>855</v>
      </c>
      <c r="E306" t="s">
        <v>8</v>
      </c>
      <c r="F306" t="s">
        <v>10</v>
      </c>
      <c r="G306" s="16">
        <v>12873.745999999999</v>
      </c>
      <c r="H306" s="16">
        <v>14804.808000000001</v>
      </c>
      <c r="J306">
        <v>104</v>
      </c>
      <c r="K306" t="s">
        <v>1747</v>
      </c>
      <c r="M306">
        <v>20</v>
      </c>
      <c r="N306">
        <v>6</v>
      </c>
      <c r="O306" t="s">
        <v>216</v>
      </c>
      <c r="P306" s="17"/>
      <c r="Q306" s="17" t="str">
        <f>_xlfn.XLOOKUP(Table2[[#This Row],[buyFromVendorNo]],'Next Day Scheduled'!A:A,'Pending Returns'!O:O,"NOT_FOUND")</f>
        <v>Posted Credit Note</v>
      </c>
    </row>
    <row r="307" spans="1:17" x14ac:dyDescent="0.3">
      <c r="A307" s="1">
        <v>46155</v>
      </c>
      <c r="B307" t="s">
        <v>481</v>
      </c>
      <c r="C307" t="s">
        <v>327</v>
      </c>
      <c r="D307" t="s">
        <v>328</v>
      </c>
      <c r="E307" t="s">
        <v>8</v>
      </c>
      <c r="F307" t="s">
        <v>169</v>
      </c>
      <c r="G307" s="16">
        <v>431.17</v>
      </c>
      <c r="H307" s="16">
        <v>495.84550000000002</v>
      </c>
      <c r="I307" s="1">
        <v>46155</v>
      </c>
      <c r="J307">
        <v>104</v>
      </c>
      <c r="K307" t="s">
        <v>489</v>
      </c>
      <c r="L307" t="s">
        <v>1738</v>
      </c>
      <c r="M307">
        <v>7</v>
      </c>
      <c r="N307">
        <v>5</v>
      </c>
      <c r="O307" t="s">
        <v>1036</v>
      </c>
      <c r="P307" s="17"/>
      <c r="Q307" s="17" t="str">
        <f>_xlfn.XLOOKUP(Table2[[#This Row],[buyFromVendorNo]],'Next Day Scheduled'!A:A,'Pending Returns'!O:O,"NOT_FOUND")</f>
        <v>NOT_FOUND</v>
      </c>
    </row>
    <row r="308" spans="1:17" x14ac:dyDescent="0.3">
      <c r="A308" s="1">
        <v>46155</v>
      </c>
      <c r="B308" t="s">
        <v>245</v>
      </c>
      <c r="C308" t="s">
        <v>364</v>
      </c>
      <c r="D308" t="s">
        <v>375</v>
      </c>
      <c r="E308" t="s">
        <v>8</v>
      </c>
      <c r="F308" t="s">
        <v>10</v>
      </c>
      <c r="G308" s="16">
        <v>8953.2459999999992</v>
      </c>
      <c r="H308" s="16">
        <v>10215.209999999999</v>
      </c>
      <c r="I308" s="1">
        <v>46149</v>
      </c>
      <c r="J308">
        <v>104</v>
      </c>
      <c r="K308" t="s">
        <v>554</v>
      </c>
      <c r="L308" t="s">
        <v>1716</v>
      </c>
      <c r="M308">
        <v>15</v>
      </c>
      <c r="N308">
        <v>5</v>
      </c>
      <c r="O308" t="s">
        <v>1036</v>
      </c>
      <c r="P308" s="17"/>
      <c r="Q308" s="17" t="str">
        <f>_xlfn.XLOOKUP(Table2[[#This Row],[buyFromVendorNo]],'Next Day Scheduled'!A:A,'Pending Returns'!O:O,"NOT_FOUND")</f>
        <v>NOT_FOUND</v>
      </c>
    </row>
    <row r="309" spans="1:17" x14ac:dyDescent="0.3">
      <c r="A309" s="1">
        <v>46155</v>
      </c>
      <c r="B309" t="s">
        <v>483</v>
      </c>
      <c r="C309" t="s">
        <v>146</v>
      </c>
      <c r="D309" t="s">
        <v>147</v>
      </c>
      <c r="E309" t="s">
        <v>8</v>
      </c>
      <c r="F309" t="s">
        <v>10</v>
      </c>
      <c r="G309" s="16">
        <v>13508.46</v>
      </c>
      <c r="H309" s="16">
        <v>15534.728999999999</v>
      </c>
      <c r="I309" s="1">
        <v>46151</v>
      </c>
      <c r="J309">
        <v>104</v>
      </c>
      <c r="K309" t="s">
        <v>484</v>
      </c>
      <c r="L309" t="s">
        <v>1739</v>
      </c>
      <c r="M309">
        <v>15</v>
      </c>
      <c r="N309">
        <v>2</v>
      </c>
      <c r="O309" t="s">
        <v>1036</v>
      </c>
      <c r="P309" s="17"/>
      <c r="Q309" s="17" t="str">
        <f>_xlfn.XLOOKUP(Table2[[#This Row],[buyFromVendorNo]],'Next Day Scheduled'!A:A,'Pending Returns'!O:O,"NOT_FOUND")</f>
        <v>NOT_FOUND</v>
      </c>
    </row>
    <row r="310" spans="1:17" x14ac:dyDescent="0.3">
      <c r="A310" s="1">
        <v>46155</v>
      </c>
      <c r="B310" t="s">
        <v>461</v>
      </c>
      <c r="C310" t="s">
        <v>146</v>
      </c>
      <c r="D310" t="s">
        <v>147</v>
      </c>
      <c r="E310" t="s">
        <v>8</v>
      </c>
      <c r="F310" t="s">
        <v>10</v>
      </c>
      <c r="G310" s="16">
        <v>7476.67</v>
      </c>
      <c r="H310" s="16">
        <v>8598.1710000000003</v>
      </c>
      <c r="I310" s="1">
        <v>46151</v>
      </c>
      <c r="J310">
        <v>104</v>
      </c>
      <c r="K310" t="s">
        <v>667</v>
      </c>
      <c r="L310" t="s">
        <v>1740</v>
      </c>
      <c r="M310">
        <v>15</v>
      </c>
      <c r="N310">
        <v>2</v>
      </c>
      <c r="O310" t="s">
        <v>1036</v>
      </c>
      <c r="P310" s="17"/>
      <c r="Q310" s="17" t="str">
        <f>_xlfn.XLOOKUP(Table2[[#This Row],[buyFromVendorNo]],'Next Day Scheduled'!A:A,'Pending Returns'!O:O,"NOT_FOUND")</f>
        <v>NOT_FOUND</v>
      </c>
    </row>
    <row r="311" spans="1:17" x14ac:dyDescent="0.3">
      <c r="A311" s="1">
        <v>46155</v>
      </c>
      <c r="B311" t="s">
        <v>731</v>
      </c>
      <c r="C311" t="s">
        <v>746</v>
      </c>
      <c r="D311" t="s">
        <v>747</v>
      </c>
      <c r="E311" t="s">
        <v>8</v>
      </c>
      <c r="F311" t="s">
        <v>10</v>
      </c>
      <c r="G311" s="16">
        <v>4344.375</v>
      </c>
      <c r="H311" s="16">
        <v>4996.0312000000004</v>
      </c>
      <c r="I311" s="1">
        <v>46153</v>
      </c>
      <c r="J311">
        <v>104</v>
      </c>
      <c r="K311" t="s">
        <v>745</v>
      </c>
      <c r="L311" t="s">
        <v>1714</v>
      </c>
      <c r="M311">
        <v>21</v>
      </c>
      <c r="N311">
        <v>33</v>
      </c>
      <c r="O311" t="s">
        <v>1036</v>
      </c>
      <c r="P311" s="17"/>
      <c r="Q311" s="17" t="str">
        <f>_xlfn.XLOOKUP(Table2[[#This Row],[buyFromVendorNo]],'Next Day Scheduled'!A:A,'Pending Returns'!O:O,"NOT_FOUND")</f>
        <v>NOT_FOUND</v>
      </c>
    </row>
    <row r="312" spans="1:17" x14ac:dyDescent="0.3">
      <c r="A312" s="1">
        <v>46155</v>
      </c>
      <c r="B312" t="s">
        <v>282</v>
      </c>
      <c r="C312" t="s">
        <v>880</v>
      </c>
      <c r="D312" t="s">
        <v>881</v>
      </c>
      <c r="E312" t="s">
        <v>8</v>
      </c>
      <c r="F312" t="s">
        <v>10</v>
      </c>
      <c r="G312" s="16">
        <v>878.82</v>
      </c>
      <c r="H312" s="16">
        <v>1010.643</v>
      </c>
      <c r="I312" s="1">
        <v>46155</v>
      </c>
      <c r="J312">
        <v>104</v>
      </c>
      <c r="K312" t="s">
        <v>1004</v>
      </c>
      <c r="L312" t="s">
        <v>1727</v>
      </c>
      <c r="M312">
        <v>8</v>
      </c>
      <c r="N312">
        <v>13</v>
      </c>
      <c r="O312" t="s">
        <v>1036</v>
      </c>
      <c r="P312" s="17"/>
      <c r="Q312" s="17" t="str">
        <f>_xlfn.XLOOKUP(Table2[[#This Row],[buyFromVendorNo]],'Next Day Scheduled'!A:A,'Pending Returns'!O:O,"NOT_FOUND")</f>
        <v>NOT_FOUND</v>
      </c>
    </row>
    <row r="313" spans="1:17" x14ac:dyDescent="0.3">
      <c r="A313" s="1">
        <v>46155</v>
      </c>
      <c r="B313" t="s">
        <v>481</v>
      </c>
      <c r="C313" t="s">
        <v>600</v>
      </c>
      <c r="D313" t="s">
        <v>601</v>
      </c>
      <c r="E313" t="s">
        <v>8</v>
      </c>
      <c r="F313" t="s">
        <v>169</v>
      </c>
      <c r="G313" s="16">
        <v>550.89</v>
      </c>
      <c r="H313" s="16">
        <v>633.52350000000001</v>
      </c>
      <c r="I313" s="1">
        <v>46155</v>
      </c>
      <c r="J313">
        <v>104</v>
      </c>
      <c r="K313" t="s">
        <v>625</v>
      </c>
      <c r="L313" t="s">
        <v>1728</v>
      </c>
      <c r="M313">
        <v>14</v>
      </c>
      <c r="N313">
        <v>3</v>
      </c>
      <c r="O313" t="s">
        <v>1036</v>
      </c>
      <c r="P313" s="17"/>
      <c r="Q313" s="17" t="str">
        <f>_xlfn.XLOOKUP(Table2[[#This Row],[buyFromVendorNo]],'Next Day Scheduled'!A:A,'Pending Returns'!O:O,"NOT_FOUND")</f>
        <v>NOT_FOUND</v>
      </c>
    </row>
    <row r="314" spans="1:17" x14ac:dyDescent="0.3">
      <c r="A314" s="1">
        <v>46156</v>
      </c>
      <c r="B314" t="s">
        <v>472</v>
      </c>
      <c r="C314" t="s">
        <v>39</v>
      </c>
      <c r="D314" t="s">
        <v>40</v>
      </c>
      <c r="E314" t="s">
        <v>8</v>
      </c>
      <c r="F314" t="s">
        <v>10</v>
      </c>
      <c r="G314" s="16">
        <v>2180.87</v>
      </c>
      <c r="H314" s="16">
        <v>2508.0007000000001</v>
      </c>
      <c r="I314" s="1">
        <v>46154</v>
      </c>
      <c r="J314">
        <v>103</v>
      </c>
      <c r="K314" t="s">
        <v>473</v>
      </c>
      <c r="L314" t="s">
        <v>1803</v>
      </c>
      <c r="M314">
        <v>20</v>
      </c>
      <c r="N314">
        <v>1</v>
      </c>
      <c r="O314" t="s">
        <v>1036</v>
      </c>
      <c r="P314" s="17"/>
      <c r="Q314" s="17" t="str">
        <f>_xlfn.XLOOKUP(Table2[[#This Row],[buyFromVendorNo]],'Next Day Scheduled'!A:A,'Pending Returns'!O:O,"NOT_FOUND")</f>
        <v>Posted Credit Note</v>
      </c>
    </row>
    <row r="315" spans="1:17" x14ac:dyDescent="0.3">
      <c r="A315" s="1">
        <v>46156</v>
      </c>
      <c r="B315" t="s">
        <v>550</v>
      </c>
      <c r="C315" t="s">
        <v>34</v>
      </c>
      <c r="D315" t="s">
        <v>35</v>
      </c>
      <c r="E315" t="s">
        <v>8</v>
      </c>
      <c r="F315" t="s">
        <v>10</v>
      </c>
      <c r="G315" s="16">
        <v>10810.501</v>
      </c>
      <c r="H315" s="16">
        <v>12432.075999999999</v>
      </c>
      <c r="I315" s="1">
        <v>46149</v>
      </c>
      <c r="J315">
        <v>103</v>
      </c>
      <c r="K315" t="s">
        <v>587</v>
      </c>
      <c r="L315" t="s">
        <v>1786</v>
      </c>
      <c r="M315">
        <v>18</v>
      </c>
      <c r="N315">
        <v>8</v>
      </c>
      <c r="O315" t="s">
        <v>1036</v>
      </c>
      <c r="P315" s="17"/>
      <c r="Q315" s="17" t="str">
        <f>_xlfn.XLOOKUP(Table2[[#This Row],[buyFromVendorNo]],'Next Day Scheduled'!A:A,'Pending Returns'!O:O,"NOT_FOUND")</f>
        <v>Posted Credit Note</v>
      </c>
    </row>
    <row r="316" spans="1:17" x14ac:dyDescent="0.3">
      <c r="A316" s="1">
        <v>46156</v>
      </c>
      <c r="B316" t="s">
        <v>281</v>
      </c>
      <c r="C316" t="s">
        <v>65</v>
      </c>
      <c r="D316" t="s">
        <v>66</v>
      </c>
      <c r="E316" t="s">
        <v>8</v>
      </c>
      <c r="F316" t="s">
        <v>10</v>
      </c>
      <c r="G316" s="16">
        <v>3700.9834000000001</v>
      </c>
      <c r="H316" s="16">
        <v>4256.1310000000003</v>
      </c>
      <c r="I316" s="1">
        <v>46154</v>
      </c>
      <c r="J316">
        <v>103</v>
      </c>
      <c r="K316" t="s">
        <v>497</v>
      </c>
      <c r="L316" t="s">
        <v>1757</v>
      </c>
      <c r="M316">
        <v>31</v>
      </c>
      <c r="N316">
        <v>5</v>
      </c>
      <c r="O316" t="s">
        <v>1036</v>
      </c>
      <c r="P316" s="17"/>
      <c r="Q316" s="17" t="str">
        <f>_xlfn.XLOOKUP(Table2[[#This Row],[buyFromVendorNo]],'Next Day Scheduled'!A:A,'Pending Returns'!O:O,"NOT_FOUND")</f>
        <v>Posted Credit Note</v>
      </c>
    </row>
    <row r="317" spans="1:17" x14ac:dyDescent="0.3">
      <c r="A317" s="1">
        <v>46156</v>
      </c>
      <c r="B317" t="s">
        <v>909</v>
      </c>
      <c r="C317" t="s">
        <v>824</v>
      </c>
      <c r="D317" t="s">
        <v>825</v>
      </c>
      <c r="E317" t="s">
        <v>8</v>
      </c>
      <c r="F317" t="s">
        <v>10</v>
      </c>
      <c r="G317" s="16">
        <v>774.3</v>
      </c>
      <c r="H317" s="16">
        <v>890.44500000000005</v>
      </c>
      <c r="I317" s="1">
        <v>46154</v>
      </c>
      <c r="J317">
        <v>103</v>
      </c>
      <c r="K317" t="s">
        <v>910</v>
      </c>
      <c r="L317" t="s">
        <v>1798</v>
      </c>
      <c r="M317">
        <v>15</v>
      </c>
      <c r="N317">
        <v>6</v>
      </c>
      <c r="O317" t="s">
        <v>1036</v>
      </c>
      <c r="P317" s="17"/>
      <c r="Q317" s="17" t="str">
        <f>_xlfn.XLOOKUP(Table2[[#This Row],[buyFromVendorNo]],'Next Day Scheduled'!A:A,'Pending Returns'!O:O,"NOT_FOUND")</f>
        <v>NOT_FOUND</v>
      </c>
    </row>
    <row r="318" spans="1:17" x14ac:dyDescent="0.3">
      <c r="A318" s="1">
        <v>46156</v>
      </c>
      <c r="B318" t="s">
        <v>441</v>
      </c>
      <c r="C318" t="s">
        <v>401</v>
      </c>
      <c r="D318" t="s">
        <v>402</v>
      </c>
      <c r="E318" t="s">
        <v>8</v>
      </c>
      <c r="F318" t="s">
        <v>38</v>
      </c>
      <c r="G318" s="16">
        <v>2955.5</v>
      </c>
      <c r="H318" s="16">
        <v>3398.8249999999998</v>
      </c>
      <c r="I318" s="1">
        <v>46152</v>
      </c>
      <c r="J318">
        <v>103</v>
      </c>
      <c r="K318" t="s">
        <v>400</v>
      </c>
      <c r="L318" t="s">
        <v>1799</v>
      </c>
      <c r="M318">
        <v>16</v>
      </c>
      <c r="N318">
        <v>3</v>
      </c>
      <c r="O318" t="s">
        <v>1036</v>
      </c>
      <c r="P318" s="17"/>
      <c r="Q318" s="17" t="str">
        <f>_xlfn.XLOOKUP(Table2[[#This Row],[buyFromVendorNo]],'Next Day Scheduled'!A:A,'Pending Returns'!O:O,"NOT_FOUND")</f>
        <v>Posted Credit Note</v>
      </c>
    </row>
    <row r="319" spans="1:17" x14ac:dyDescent="0.3">
      <c r="A319" s="1">
        <v>46156</v>
      </c>
      <c r="B319" t="s">
        <v>1710</v>
      </c>
      <c r="C319" t="s">
        <v>886</v>
      </c>
      <c r="D319" t="s">
        <v>887</v>
      </c>
      <c r="E319" t="s">
        <v>8</v>
      </c>
      <c r="F319" t="s">
        <v>38</v>
      </c>
      <c r="G319" s="16">
        <v>1410.51</v>
      </c>
      <c r="H319" s="16">
        <v>1622.0864999999999</v>
      </c>
      <c r="I319" s="1">
        <v>46155</v>
      </c>
      <c r="J319">
        <v>103</v>
      </c>
      <c r="K319" t="s">
        <v>1711</v>
      </c>
      <c r="L319" t="s">
        <v>1791</v>
      </c>
      <c r="M319">
        <v>14</v>
      </c>
      <c r="N319">
        <v>6</v>
      </c>
      <c r="O319" t="s">
        <v>1036</v>
      </c>
      <c r="P319" s="17"/>
      <c r="Q319" s="17" t="str">
        <f>_xlfn.XLOOKUP(Table2[[#This Row],[buyFromVendorNo]],'Next Day Scheduled'!A:A,'Pending Returns'!O:O,"NOT_FOUND")</f>
        <v>NOT_FOUND</v>
      </c>
    </row>
    <row r="320" spans="1:17" x14ac:dyDescent="0.3">
      <c r="A320" s="1">
        <v>46156</v>
      </c>
      <c r="B320" t="s">
        <v>909</v>
      </c>
      <c r="C320" t="s">
        <v>824</v>
      </c>
      <c r="D320" t="s">
        <v>825</v>
      </c>
      <c r="E320" t="s">
        <v>8</v>
      </c>
      <c r="F320" t="s">
        <v>10</v>
      </c>
      <c r="G320" s="16">
        <v>2628.6565000000001</v>
      </c>
      <c r="H320" s="16">
        <v>3022.9549999999999</v>
      </c>
      <c r="I320" s="1">
        <v>46154</v>
      </c>
      <c r="J320">
        <v>103</v>
      </c>
      <c r="K320" t="s">
        <v>916</v>
      </c>
      <c r="L320" t="s">
        <v>1816</v>
      </c>
      <c r="M320">
        <v>15</v>
      </c>
      <c r="N320">
        <v>6</v>
      </c>
      <c r="O320" t="s">
        <v>1036</v>
      </c>
      <c r="P320" s="17"/>
      <c r="Q320" s="17" t="str">
        <f>_xlfn.XLOOKUP(Table2[[#This Row],[buyFromVendorNo]],'Next Day Scheduled'!A:A,'Pending Returns'!O:O,"NOT_FOUND")</f>
        <v>NOT_FOUND</v>
      </c>
    </row>
    <row r="321" spans="1:17" x14ac:dyDescent="0.3">
      <c r="A321" s="1">
        <v>46156</v>
      </c>
      <c r="B321" t="s">
        <v>340</v>
      </c>
      <c r="C321" t="s">
        <v>34</v>
      </c>
      <c r="D321" t="s">
        <v>35</v>
      </c>
      <c r="E321" t="s">
        <v>8</v>
      </c>
      <c r="F321" t="s">
        <v>10</v>
      </c>
      <c r="G321" s="16">
        <v>16053.441000000001</v>
      </c>
      <c r="H321" s="16">
        <v>18461.456999999999</v>
      </c>
      <c r="I321" s="1">
        <v>46149</v>
      </c>
      <c r="J321">
        <v>103</v>
      </c>
      <c r="K321" t="s">
        <v>346</v>
      </c>
      <c r="L321" t="s">
        <v>1805</v>
      </c>
      <c r="M321">
        <v>18</v>
      </c>
      <c r="N321">
        <v>8</v>
      </c>
      <c r="O321" t="s">
        <v>1036</v>
      </c>
      <c r="P321" s="17"/>
      <c r="Q321" s="17" t="str">
        <f>_xlfn.XLOOKUP(Table2[[#This Row],[buyFromVendorNo]],'Next Day Scheduled'!A:A,'Pending Returns'!O:O,"NOT_FOUND")</f>
        <v>Posted Credit Note</v>
      </c>
    </row>
    <row r="322" spans="1:17" x14ac:dyDescent="0.3">
      <c r="A322" s="1">
        <v>46156</v>
      </c>
      <c r="B322" t="s">
        <v>228</v>
      </c>
      <c r="C322" t="s">
        <v>34</v>
      </c>
      <c r="D322" t="s">
        <v>35</v>
      </c>
      <c r="E322" t="s">
        <v>8</v>
      </c>
      <c r="F322" t="s">
        <v>10</v>
      </c>
      <c r="G322" s="16">
        <v>14362.523999999999</v>
      </c>
      <c r="H322" s="16">
        <v>16516.903999999999</v>
      </c>
      <c r="I322" s="1">
        <v>46149</v>
      </c>
      <c r="J322">
        <v>103</v>
      </c>
      <c r="K322" t="s">
        <v>62</v>
      </c>
      <c r="L322" t="s">
        <v>1806</v>
      </c>
      <c r="M322">
        <v>18</v>
      </c>
      <c r="N322">
        <v>8</v>
      </c>
      <c r="O322" t="s">
        <v>1036</v>
      </c>
      <c r="P322" s="17"/>
      <c r="Q322" s="17" t="str">
        <f>_xlfn.XLOOKUP(Table2[[#This Row],[buyFromVendorNo]],'Next Day Scheduled'!A:A,'Pending Returns'!O:O,"NOT_FOUND")</f>
        <v>Posted Credit Note</v>
      </c>
    </row>
    <row r="323" spans="1:17" x14ac:dyDescent="0.3">
      <c r="A323" s="1">
        <v>46156</v>
      </c>
      <c r="B323" t="s">
        <v>720</v>
      </c>
      <c r="C323" t="s">
        <v>506</v>
      </c>
      <c r="D323" t="s">
        <v>507</v>
      </c>
      <c r="E323" t="s">
        <v>8</v>
      </c>
      <c r="F323" t="s">
        <v>10</v>
      </c>
      <c r="G323" s="16">
        <v>4262.22</v>
      </c>
      <c r="H323" s="16">
        <v>4857.87</v>
      </c>
      <c r="I323" s="1">
        <v>46154</v>
      </c>
      <c r="J323">
        <v>103</v>
      </c>
      <c r="K323" t="s">
        <v>721</v>
      </c>
      <c r="L323" t="s">
        <v>1808</v>
      </c>
      <c r="M323">
        <v>13</v>
      </c>
      <c r="N323">
        <v>5</v>
      </c>
      <c r="O323" t="s">
        <v>1036</v>
      </c>
      <c r="P323" s="17"/>
      <c r="Q323" s="17" t="str">
        <f>_xlfn.XLOOKUP(Table2[[#This Row],[buyFromVendorNo]],'Next Day Scheduled'!A:A,'Pending Returns'!O:O,"NOT_FOUND")</f>
        <v>Posted Credit Note</v>
      </c>
    </row>
    <row r="324" spans="1:17" x14ac:dyDescent="0.3">
      <c r="A324" s="1">
        <v>46156</v>
      </c>
      <c r="B324" t="s">
        <v>396</v>
      </c>
      <c r="C324" t="s">
        <v>633</v>
      </c>
      <c r="D324" t="s">
        <v>690</v>
      </c>
      <c r="E324" t="s">
        <v>8</v>
      </c>
      <c r="F324" t="s">
        <v>10</v>
      </c>
      <c r="G324" s="16">
        <v>10789.538</v>
      </c>
      <c r="H324" s="16">
        <v>12407.968999999999</v>
      </c>
      <c r="I324" s="1">
        <v>46151</v>
      </c>
      <c r="J324">
        <v>103</v>
      </c>
      <c r="K324" t="s">
        <v>691</v>
      </c>
      <c r="L324" t="s">
        <v>1787</v>
      </c>
      <c r="M324">
        <v>14</v>
      </c>
      <c r="N324">
        <v>6</v>
      </c>
      <c r="O324" t="s">
        <v>1036</v>
      </c>
      <c r="P324" s="17"/>
      <c r="Q324" s="17" t="str">
        <f>_xlfn.XLOOKUP(Table2[[#This Row],[buyFromVendorNo]],'Next Day Scheduled'!A:A,'Pending Returns'!O:O,"NOT_FOUND")</f>
        <v>NOT_FOUND</v>
      </c>
    </row>
    <row r="325" spans="1:17" x14ac:dyDescent="0.3">
      <c r="A325" s="1">
        <v>46156</v>
      </c>
      <c r="B325" t="s">
        <v>284</v>
      </c>
      <c r="C325" t="s">
        <v>39</v>
      </c>
      <c r="D325" t="s">
        <v>40</v>
      </c>
      <c r="E325" t="s">
        <v>8</v>
      </c>
      <c r="F325" t="s">
        <v>10</v>
      </c>
      <c r="G325" s="16">
        <v>2977.5309999999999</v>
      </c>
      <c r="H325" s="16">
        <v>3424.1606000000002</v>
      </c>
      <c r="I325" s="1">
        <v>46154</v>
      </c>
      <c r="J325">
        <v>103</v>
      </c>
      <c r="K325" t="s">
        <v>203</v>
      </c>
      <c r="L325" t="s">
        <v>1789</v>
      </c>
      <c r="M325">
        <v>20</v>
      </c>
      <c r="N325">
        <v>1</v>
      </c>
      <c r="O325" t="s">
        <v>1036</v>
      </c>
      <c r="P325" s="17"/>
      <c r="Q325" s="17" t="str">
        <f>_xlfn.XLOOKUP(Table2[[#This Row],[buyFromVendorNo]],'Next Day Scheduled'!A:A,'Pending Returns'!O:O,"NOT_FOUND")</f>
        <v>Posted Credit Note</v>
      </c>
    </row>
    <row r="326" spans="1:17" x14ac:dyDescent="0.3">
      <c r="A326" s="1">
        <v>46156</v>
      </c>
      <c r="B326" t="s">
        <v>487</v>
      </c>
      <c r="C326" t="s">
        <v>65</v>
      </c>
      <c r="D326" t="s">
        <v>66</v>
      </c>
      <c r="E326" t="s">
        <v>8</v>
      </c>
      <c r="F326" t="s">
        <v>10</v>
      </c>
      <c r="G326" s="16">
        <v>3114.44</v>
      </c>
      <c r="H326" s="16">
        <v>3581.6060000000002</v>
      </c>
      <c r="I326" s="1">
        <v>46154</v>
      </c>
      <c r="J326">
        <v>103</v>
      </c>
      <c r="K326" t="s">
        <v>647</v>
      </c>
      <c r="L326" t="s">
        <v>1763</v>
      </c>
      <c r="M326">
        <v>31</v>
      </c>
      <c r="N326">
        <v>5</v>
      </c>
      <c r="O326" t="s">
        <v>1036</v>
      </c>
      <c r="P326" s="17"/>
      <c r="Q326" s="17" t="str">
        <f>_xlfn.XLOOKUP(Table2[[#This Row],[buyFromVendorNo]],'Next Day Scheduled'!A:A,'Pending Returns'!O:O,"NOT_FOUND")</f>
        <v>Posted Credit Note</v>
      </c>
    </row>
    <row r="327" spans="1:17" x14ac:dyDescent="0.3">
      <c r="A327" s="1">
        <v>46156</v>
      </c>
      <c r="B327" t="s">
        <v>654</v>
      </c>
      <c r="C327" t="s">
        <v>39</v>
      </c>
      <c r="D327" t="s">
        <v>40</v>
      </c>
      <c r="E327" t="s">
        <v>8</v>
      </c>
      <c r="F327" t="s">
        <v>10</v>
      </c>
      <c r="G327" s="16">
        <v>2697.5729999999999</v>
      </c>
      <c r="H327" s="16">
        <v>3102.2089999999998</v>
      </c>
      <c r="I327" s="1">
        <v>46154</v>
      </c>
      <c r="J327">
        <v>103</v>
      </c>
      <c r="K327" t="s">
        <v>655</v>
      </c>
      <c r="L327" t="s">
        <v>1793</v>
      </c>
      <c r="M327">
        <v>20</v>
      </c>
      <c r="N327">
        <v>1</v>
      </c>
      <c r="O327" t="s">
        <v>1036</v>
      </c>
      <c r="P327" s="17"/>
      <c r="Q327" s="17" t="str">
        <f>_xlfn.XLOOKUP(Table2[[#This Row],[buyFromVendorNo]],'Next Day Scheduled'!A:A,'Pending Returns'!O:O,"NOT_FOUND")</f>
        <v>Posted Credit Note</v>
      </c>
    </row>
    <row r="328" spans="1:17" x14ac:dyDescent="0.3">
      <c r="A328" s="1">
        <v>46156</v>
      </c>
      <c r="B328" t="s">
        <v>442</v>
      </c>
      <c r="C328" t="s">
        <v>43</v>
      </c>
      <c r="D328" t="s">
        <v>44</v>
      </c>
      <c r="E328" t="s">
        <v>8</v>
      </c>
      <c r="F328" t="s">
        <v>38</v>
      </c>
      <c r="G328" s="16">
        <v>3447.6523000000002</v>
      </c>
      <c r="H328" s="16">
        <v>3964.8002999999999</v>
      </c>
      <c r="I328" s="1">
        <v>46156</v>
      </c>
      <c r="J328">
        <v>103</v>
      </c>
      <c r="K328" t="s">
        <v>1715</v>
      </c>
      <c r="L328" t="s">
        <v>1795</v>
      </c>
      <c r="M328">
        <v>91</v>
      </c>
      <c r="N328">
        <v>1</v>
      </c>
      <c r="O328" t="s">
        <v>1036</v>
      </c>
      <c r="P328" s="17"/>
      <c r="Q328" s="17" t="str">
        <f>_xlfn.XLOOKUP(Table2[[#This Row],[buyFromVendorNo]],'Next Day Scheduled'!A:A,'Pending Returns'!O:O,"NOT_FOUND")</f>
        <v>Posted Credit Note</v>
      </c>
    </row>
    <row r="329" spans="1:17" x14ac:dyDescent="0.3">
      <c r="A329" s="1">
        <v>46156</v>
      </c>
      <c r="B329" t="s">
        <v>890</v>
      </c>
      <c r="C329" t="s">
        <v>65</v>
      </c>
      <c r="D329" t="s">
        <v>66</v>
      </c>
      <c r="E329" t="s">
        <v>8</v>
      </c>
      <c r="F329" t="s">
        <v>169</v>
      </c>
      <c r="G329" s="16">
        <v>1191.4675</v>
      </c>
      <c r="H329" s="16">
        <v>1370.1876</v>
      </c>
      <c r="I329" s="1">
        <v>46155</v>
      </c>
      <c r="J329">
        <v>103</v>
      </c>
      <c r="K329" t="s">
        <v>1017</v>
      </c>
      <c r="L329" t="s">
        <v>1765</v>
      </c>
      <c r="M329">
        <v>29</v>
      </c>
      <c r="N329">
        <v>5</v>
      </c>
      <c r="O329" t="s">
        <v>1036</v>
      </c>
      <c r="P329" s="17"/>
      <c r="Q329" s="17" t="str">
        <f>_xlfn.XLOOKUP(Table2[[#This Row],[buyFromVendorNo]],'Next Day Scheduled'!A:A,'Pending Returns'!O:O,"NOT_FOUND")</f>
        <v>Posted Credit Note</v>
      </c>
    </row>
    <row r="330" spans="1:17" x14ac:dyDescent="0.3">
      <c r="A330" s="1">
        <v>46156</v>
      </c>
      <c r="B330" t="s">
        <v>282</v>
      </c>
      <c r="C330" t="s">
        <v>39</v>
      </c>
      <c r="D330" t="s">
        <v>40</v>
      </c>
      <c r="E330" t="s">
        <v>8</v>
      </c>
      <c r="F330" t="s">
        <v>10</v>
      </c>
      <c r="G330" s="16">
        <v>2416.1864999999998</v>
      </c>
      <c r="H330" s="16">
        <v>2778.6145000000001</v>
      </c>
      <c r="I330" s="1">
        <v>46154</v>
      </c>
      <c r="J330">
        <v>103</v>
      </c>
      <c r="K330" t="s">
        <v>336</v>
      </c>
      <c r="L330" t="s">
        <v>1788</v>
      </c>
      <c r="M330">
        <v>20</v>
      </c>
      <c r="N330">
        <v>1</v>
      </c>
      <c r="O330" t="s">
        <v>1036</v>
      </c>
      <c r="P330" s="17"/>
      <c r="Q330" s="17" t="str">
        <f>_xlfn.XLOOKUP(Table2[[#This Row],[buyFromVendorNo]],'Next Day Scheduled'!A:A,'Pending Returns'!O:O,"NOT_FOUND")</f>
        <v>Posted Credit Note</v>
      </c>
    </row>
    <row r="331" spans="1:17" x14ac:dyDescent="0.3">
      <c r="A331" s="1">
        <v>46156</v>
      </c>
      <c r="B331" t="s">
        <v>712</v>
      </c>
      <c r="C331" t="s">
        <v>362</v>
      </c>
      <c r="D331" t="s">
        <v>363</v>
      </c>
      <c r="E331" t="s">
        <v>8</v>
      </c>
      <c r="F331" t="s">
        <v>10</v>
      </c>
      <c r="G331" s="16">
        <v>5355.4</v>
      </c>
      <c r="H331" s="16">
        <v>6158.71</v>
      </c>
      <c r="I331" s="1">
        <v>46155</v>
      </c>
      <c r="J331">
        <v>103</v>
      </c>
      <c r="K331" t="s">
        <v>713</v>
      </c>
      <c r="L331" t="s">
        <v>1817</v>
      </c>
      <c r="M331">
        <v>16</v>
      </c>
      <c r="N331">
        <v>1</v>
      </c>
      <c r="O331" t="s">
        <v>1036</v>
      </c>
      <c r="P331" s="17"/>
      <c r="Q331" s="17" t="str">
        <f>_xlfn.XLOOKUP(Table2[[#This Row],[buyFromVendorNo]],'Next Day Scheduled'!A:A,'Pending Returns'!O:O,"NOT_FOUND")</f>
        <v>NOT_FOUND</v>
      </c>
    </row>
    <row r="332" spans="1:17" x14ac:dyDescent="0.3">
      <c r="A332" s="1">
        <v>46156</v>
      </c>
      <c r="B332" t="s">
        <v>222</v>
      </c>
      <c r="C332" t="s">
        <v>34</v>
      </c>
      <c r="D332" t="s">
        <v>35</v>
      </c>
      <c r="E332" t="s">
        <v>8</v>
      </c>
      <c r="F332" t="s">
        <v>10</v>
      </c>
      <c r="G332" s="16">
        <v>26768.73</v>
      </c>
      <c r="H332" s="16">
        <v>30784.04</v>
      </c>
      <c r="I332" s="1">
        <v>46149</v>
      </c>
      <c r="J332">
        <v>103</v>
      </c>
      <c r="K332" t="s">
        <v>33</v>
      </c>
      <c r="L332" t="s">
        <v>1801</v>
      </c>
      <c r="M332">
        <v>18</v>
      </c>
      <c r="N332">
        <v>8</v>
      </c>
      <c r="O332" t="s">
        <v>1036</v>
      </c>
      <c r="P332" s="17"/>
      <c r="Q332" s="17" t="str">
        <f>_xlfn.XLOOKUP(Table2[[#This Row],[buyFromVendorNo]],'Next Day Scheduled'!A:A,'Pending Returns'!O:O,"NOT_FOUND")</f>
        <v>Posted Credit Note</v>
      </c>
    </row>
    <row r="333" spans="1:17" x14ac:dyDescent="0.3">
      <c r="A333" s="1">
        <v>46156</v>
      </c>
      <c r="B333" t="s">
        <v>245</v>
      </c>
      <c r="C333" t="s">
        <v>160</v>
      </c>
      <c r="D333" t="s">
        <v>161</v>
      </c>
      <c r="E333" t="s">
        <v>8</v>
      </c>
      <c r="F333" t="s">
        <v>10</v>
      </c>
      <c r="G333" s="16">
        <v>10168.1</v>
      </c>
      <c r="H333" s="16">
        <v>11654.486999999999</v>
      </c>
      <c r="I333" s="1">
        <v>46154</v>
      </c>
      <c r="J333">
        <v>103</v>
      </c>
      <c r="K333" t="s">
        <v>753</v>
      </c>
      <c r="L333" t="s">
        <v>1802</v>
      </c>
      <c r="M333">
        <v>15</v>
      </c>
      <c r="N333">
        <v>5</v>
      </c>
      <c r="O333" t="s">
        <v>1036</v>
      </c>
      <c r="P333" s="17"/>
      <c r="Q333" s="17" t="str">
        <f>_xlfn.XLOOKUP(Table2[[#This Row],[buyFromVendorNo]],'Next Day Scheduled'!A:A,'Pending Returns'!O:O,"NOT_FOUND")</f>
        <v>NOT_FOUND</v>
      </c>
    </row>
    <row r="334" spans="1:17" x14ac:dyDescent="0.3">
      <c r="A334" s="1">
        <v>46156</v>
      </c>
      <c r="B334" t="s">
        <v>468</v>
      </c>
      <c r="C334" t="s">
        <v>39</v>
      </c>
      <c r="D334" t="s">
        <v>40</v>
      </c>
      <c r="E334" t="s">
        <v>8</v>
      </c>
      <c r="F334" t="s">
        <v>10</v>
      </c>
      <c r="G334" s="16">
        <v>2179.3674000000001</v>
      </c>
      <c r="H334" s="16">
        <v>2506.2725</v>
      </c>
      <c r="I334" s="1">
        <v>46154</v>
      </c>
      <c r="J334">
        <v>103</v>
      </c>
      <c r="K334" t="s">
        <v>458</v>
      </c>
      <c r="L334" t="s">
        <v>1812</v>
      </c>
      <c r="M334">
        <v>20</v>
      </c>
      <c r="N334">
        <v>1</v>
      </c>
      <c r="O334" t="s">
        <v>1036</v>
      </c>
      <c r="P334" s="17"/>
      <c r="Q334" s="17" t="str">
        <f>_xlfn.XLOOKUP(Table2[[#This Row],[buyFromVendorNo]],'Next Day Scheduled'!A:A,'Pending Returns'!O:O,"NOT_FOUND")</f>
        <v>Posted Credit Note</v>
      </c>
    </row>
    <row r="335" spans="1:17" x14ac:dyDescent="0.3">
      <c r="A335" s="1">
        <v>46156</v>
      </c>
      <c r="B335" t="s">
        <v>766</v>
      </c>
      <c r="C335" t="s">
        <v>43</v>
      </c>
      <c r="D335" t="s">
        <v>44</v>
      </c>
      <c r="E335" t="s">
        <v>8</v>
      </c>
      <c r="F335" t="s">
        <v>38</v>
      </c>
      <c r="G335" s="16">
        <v>1022.52124</v>
      </c>
      <c r="H335" s="16">
        <v>1175.8994</v>
      </c>
      <c r="I335" s="1">
        <v>46151</v>
      </c>
      <c r="J335">
        <v>103</v>
      </c>
      <c r="K335" t="s">
        <v>740</v>
      </c>
      <c r="L335" t="s">
        <v>1792</v>
      </c>
      <c r="M335">
        <v>91</v>
      </c>
      <c r="N335">
        <v>1</v>
      </c>
      <c r="O335" t="s">
        <v>1036</v>
      </c>
      <c r="P335" s="17"/>
      <c r="Q335" s="17" t="str">
        <f>_xlfn.XLOOKUP(Table2[[#This Row],[buyFromVendorNo]],'Next Day Scheduled'!A:A,'Pending Returns'!O:O,"NOT_FOUND")</f>
        <v>Posted Credit Note</v>
      </c>
    </row>
    <row r="336" spans="1:17" x14ac:dyDescent="0.3">
      <c r="A336" s="1">
        <v>46156</v>
      </c>
      <c r="B336" t="s">
        <v>417</v>
      </c>
      <c r="C336" t="s">
        <v>39</v>
      </c>
      <c r="D336" t="s">
        <v>40</v>
      </c>
      <c r="E336" t="s">
        <v>8</v>
      </c>
      <c r="F336" t="s">
        <v>10</v>
      </c>
      <c r="G336" s="16">
        <v>1808.3596</v>
      </c>
      <c r="H336" s="16">
        <v>2079.6134999999999</v>
      </c>
      <c r="I336" s="1">
        <v>46154</v>
      </c>
      <c r="J336">
        <v>103</v>
      </c>
      <c r="K336" t="s">
        <v>385</v>
      </c>
      <c r="L336" t="s">
        <v>1794</v>
      </c>
      <c r="M336">
        <v>20</v>
      </c>
      <c r="N336">
        <v>1</v>
      </c>
      <c r="O336" t="s">
        <v>1036</v>
      </c>
      <c r="P336" s="17"/>
      <c r="Q336" s="17" t="str">
        <f>_xlfn.XLOOKUP(Table2[[#This Row],[buyFromVendorNo]],'Next Day Scheduled'!A:A,'Pending Returns'!O:O,"NOT_FOUND")</f>
        <v>Posted Credit Note</v>
      </c>
    </row>
    <row r="337" spans="1:17" x14ac:dyDescent="0.3">
      <c r="A337" s="1">
        <v>46156</v>
      </c>
      <c r="B337" t="s">
        <v>309</v>
      </c>
      <c r="C337" t="s">
        <v>39</v>
      </c>
      <c r="D337" t="s">
        <v>40</v>
      </c>
      <c r="E337" t="s">
        <v>8</v>
      </c>
      <c r="F337" t="s">
        <v>10</v>
      </c>
      <c r="G337" s="16">
        <v>3356.4549999999999</v>
      </c>
      <c r="H337" s="16">
        <v>3859.9232999999999</v>
      </c>
      <c r="I337" s="1">
        <v>46154</v>
      </c>
      <c r="J337">
        <v>103</v>
      </c>
      <c r="K337" t="s">
        <v>196</v>
      </c>
      <c r="L337" t="s">
        <v>1807</v>
      </c>
      <c r="M337">
        <v>20</v>
      </c>
      <c r="N337">
        <v>1</v>
      </c>
      <c r="O337" t="s">
        <v>1036</v>
      </c>
      <c r="P337" s="17"/>
      <c r="Q337" s="17" t="str">
        <f>_xlfn.XLOOKUP(Table2[[#This Row],[buyFromVendorNo]],'Next Day Scheduled'!A:A,'Pending Returns'!O:O,"NOT_FOUND")</f>
        <v>Posted Credit Note</v>
      </c>
    </row>
    <row r="338" spans="1:17" x14ac:dyDescent="0.3">
      <c r="A338" s="1">
        <v>46156</v>
      </c>
      <c r="B338" t="s">
        <v>642</v>
      </c>
      <c r="C338" t="s">
        <v>43</v>
      </c>
      <c r="D338" t="s">
        <v>44</v>
      </c>
      <c r="E338" t="s">
        <v>8</v>
      </c>
      <c r="F338" t="s">
        <v>38</v>
      </c>
      <c r="G338" s="16">
        <v>5943.3325000000004</v>
      </c>
      <c r="H338" s="16">
        <v>6834.8325000000004</v>
      </c>
      <c r="I338" s="1">
        <v>46156</v>
      </c>
      <c r="J338">
        <v>103</v>
      </c>
      <c r="K338" t="s">
        <v>895</v>
      </c>
      <c r="L338" t="s">
        <v>1809</v>
      </c>
      <c r="M338">
        <v>91</v>
      </c>
      <c r="N338">
        <v>1</v>
      </c>
      <c r="O338" t="s">
        <v>1036</v>
      </c>
      <c r="P338" s="17"/>
      <c r="Q338" s="17" t="str">
        <f>_xlfn.XLOOKUP(Table2[[#This Row],[buyFromVendorNo]],'Next Day Scheduled'!A:A,'Pending Returns'!O:O,"NOT_FOUND")</f>
        <v>Posted Credit Note</v>
      </c>
    </row>
    <row r="339" spans="1:17" x14ac:dyDescent="0.3">
      <c r="A339" s="1">
        <v>46156</v>
      </c>
      <c r="B339" t="s">
        <v>522</v>
      </c>
      <c r="C339" t="s">
        <v>39</v>
      </c>
      <c r="D339" t="s">
        <v>40</v>
      </c>
      <c r="E339" t="s">
        <v>8</v>
      </c>
      <c r="F339" t="s">
        <v>10</v>
      </c>
      <c r="G339" s="16">
        <v>2246.5825</v>
      </c>
      <c r="H339" s="16">
        <v>2583.5700000000002</v>
      </c>
      <c r="I339" s="1">
        <v>46154</v>
      </c>
      <c r="J339">
        <v>103</v>
      </c>
      <c r="K339" t="s">
        <v>523</v>
      </c>
      <c r="L339" t="s">
        <v>1811</v>
      </c>
      <c r="M339">
        <v>20</v>
      </c>
      <c r="N339">
        <v>1</v>
      </c>
      <c r="O339" t="s">
        <v>1036</v>
      </c>
      <c r="P339" s="17"/>
      <c r="Q339" s="17" t="str">
        <f>_xlfn.XLOOKUP(Table2[[#This Row],[buyFromVendorNo]],'Next Day Scheduled'!A:A,'Pending Returns'!O:O,"NOT_FOUND")</f>
        <v>Posted Credit Note</v>
      </c>
    </row>
    <row r="340" spans="1:17" x14ac:dyDescent="0.3">
      <c r="A340" s="1">
        <v>46156</v>
      </c>
      <c r="B340" t="s">
        <v>474</v>
      </c>
      <c r="C340" t="s">
        <v>34</v>
      </c>
      <c r="D340" t="s">
        <v>35</v>
      </c>
      <c r="E340" t="s">
        <v>8</v>
      </c>
      <c r="F340" t="s">
        <v>10</v>
      </c>
      <c r="G340" s="16">
        <v>7296.8429999999998</v>
      </c>
      <c r="H340" s="16">
        <v>8391.3690000000006</v>
      </c>
      <c r="I340" s="1">
        <v>46149</v>
      </c>
      <c r="J340">
        <v>103</v>
      </c>
      <c r="K340" t="s">
        <v>475</v>
      </c>
      <c r="L340" t="s">
        <v>1818</v>
      </c>
      <c r="M340">
        <v>18</v>
      </c>
      <c r="N340">
        <v>8</v>
      </c>
      <c r="O340" t="s">
        <v>1036</v>
      </c>
      <c r="P340" s="17"/>
      <c r="Q340" s="17" t="str">
        <f>_xlfn.XLOOKUP(Table2[[#This Row],[buyFromVendorNo]],'Next Day Scheduled'!A:A,'Pending Returns'!O:O,"NOT_FOUND")</f>
        <v>Posted Credit Note</v>
      </c>
    </row>
    <row r="341" spans="1:17" x14ac:dyDescent="0.3">
      <c r="A341" s="1">
        <v>46157</v>
      </c>
      <c r="B341" t="s">
        <v>775</v>
      </c>
      <c r="C341" t="s">
        <v>1830</v>
      </c>
      <c r="D341" t="s">
        <v>1831</v>
      </c>
      <c r="E341" t="s">
        <v>8</v>
      </c>
      <c r="F341" t="s">
        <v>10</v>
      </c>
      <c r="G341" s="16">
        <v>8639.9969999999994</v>
      </c>
      <c r="H341" s="16">
        <v>9935.9969999999994</v>
      </c>
      <c r="J341">
        <v>102</v>
      </c>
      <c r="K341" t="s">
        <v>1832</v>
      </c>
      <c r="M341">
        <v>0</v>
      </c>
      <c r="O341" t="s">
        <v>216</v>
      </c>
      <c r="P341" s="17"/>
      <c r="Q341" s="17" t="str">
        <f>_xlfn.XLOOKUP(Table2[[#This Row],[buyFromVendorNo]],'Next Day Scheduled'!A:A,'Pending Returns'!O:O,"NOT_FOUND")</f>
        <v>NOT_FOUND</v>
      </c>
    </row>
    <row r="342" spans="1:17" x14ac:dyDescent="0.3">
      <c r="A342" s="1">
        <v>46157</v>
      </c>
      <c r="B342" t="s">
        <v>347</v>
      </c>
      <c r="C342" t="s">
        <v>1860</v>
      </c>
      <c r="D342" t="s">
        <v>1861</v>
      </c>
      <c r="E342" t="s">
        <v>8</v>
      </c>
      <c r="F342" t="s">
        <v>10</v>
      </c>
      <c r="G342" s="16">
        <v>386</v>
      </c>
      <c r="H342" s="16">
        <v>443.9</v>
      </c>
      <c r="J342">
        <v>102</v>
      </c>
      <c r="K342" t="s">
        <v>1862</v>
      </c>
      <c r="M342">
        <v>0</v>
      </c>
      <c r="N342">
        <v>638</v>
      </c>
      <c r="O342" t="s">
        <v>216</v>
      </c>
      <c r="P342" s="17"/>
      <c r="Q342" s="17" t="str">
        <f>_xlfn.XLOOKUP(Table2[[#This Row],[buyFromVendorNo]],'Next Day Scheduled'!A:A,'Pending Returns'!O:O,"NOT_FOUND")</f>
        <v>NOT_FOUND</v>
      </c>
    </row>
    <row r="343" spans="1:17" x14ac:dyDescent="0.3">
      <c r="A343" s="1">
        <v>46157</v>
      </c>
      <c r="B343" t="s">
        <v>720</v>
      </c>
      <c r="C343" t="s">
        <v>1866</v>
      </c>
      <c r="D343" t="s">
        <v>1867</v>
      </c>
      <c r="E343" t="s">
        <v>8</v>
      </c>
      <c r="F343" t="s">
        <v>10</v>
      </c>
      <c r="G343" s="16">
        <v>1580.46</v>
      </c>
      <c r="H343" s="16">
        <v>1817.529</v>
      </c>
      <c r="J343">
        <v>102</v>
      </c>
      <c r="K343" t="s">
        <v>1868</v>
      </c>
      <c r="M343">
        <v>0</v>
      </c>
      <c r="N343">
        <v>391</v>
      </c>
      <c r="O343" t="s">
        <v>216</v>
      </c>
      <c r="P343" s="17"/>
      <c r="Q343" s="17" t="str">
        <f>_xlfn.XLOOKUP(Table2[[#This Row],[buyFromVendorNo]],'Next Day Scheduled'!A:A,'Pending Returns'!O:O,"NOT_FOUND")</f>
        <v>NOT_FOUND</v>
      </c>
    </row>
    <row r="344" spans="1:17" x14ac:dyDescent="0.3">
      <c r="A344" s="1">
        <v>46158</v>
      </c>
      <c r="B344" t="s">
        <v>2760</v>
      </c>
      <c r="C344" t="s">
        <v>854</v>
      </c>
      <c r="D344" t="s">
        <v>855</v>
      </c>
      <c r="E344" t="s">
        <v>8</v>
      </c>
      <c r="F344" t="s">
        <v>10</v>
      </c>
      <c r="G344" s="16">
        <v>26587.898000000001</v>
      </c>
      <c r="H344" s="16">
        <v>30351.083999999999</v>
      </c>
      <c r="J344">
        <v>101</v>
      </c>
      <c r="K344" t="s">
        <v>1904</v>
      </c>
      <c r="M344">
        <v>19</v>
      </c>
      <c r="N344">
        <v>6</v>
      </c>
      <c r="O344" t="s">
        <v>216</v>
      </c>
      <c r="P344" s="17"/>
      <c r="Q344" s="17" t="str">
        <f>_xlfn.XLOOKUP(Table2[[#This Row],[buyFromVendorNo]],'Next Day Scheduled'!A:A,'Pending Returns'!O:O,"NOT_FOUND")</f>
        <v>Posted Credit Note</v>
      </c>
    </row>
    <row r="345" spans="1:17" x14ac:dyDescent="0.3">
      <c r="A345" s="1">
        <v>46158</v>
      </c>
      <c r="B345" t="s">
        <v>662</v>
      </c>
      <c r="C345" t="s">
        <v>494</v>
      </c>
      <c r="D345" t="s">
        <v>495</v>
      </c>
      <c r="E345" t="s">
        <v>8</v>
      </c>
      <c r="F345" t="s">
        <v>10</v>
      </c>
      <c r="G345" s="16">
        <v>6225.5</v>
      </c>
      <c r="H345" s="16">
        <v>7159.3249999999998</v>
      </c>
      <c r="I345" s="1">
        <v>46151</v>
      </c>
      <c r="J345">
        <v>101</v>
      </c>
      <c r="K345" t="s">
        <v>663</v>
      </c>
      <c r="L345" t="s">
        <v>1892</v>
      </c>
      <c r="M345">
        <v>11</v>
      </c>
      <c r="N345">
        <v>7</v>
      </c>
      <c r="O345" t="s">
        <v>1036</v>
      </c>
      <c r="P345" s="17"/>
      <c r="Q345" s="17" t="str">
        <f>_xlfn.XLOOKUP(Table2[[#This Row],[buyFromVendorNo]],'Next Day Scheduled'!A:A,'Pending Returns'!O:O,"NOT_FOUND")</f>
        <v>Posted Credit Note</v>
      </c>
    </row>
    <row r="346" spans="1:17" x14ac:dyDescent="0.3">
      <c r="A346" s="1">
        <v>46158</v>
      </c>
      <c r="B346" t="s">
        <v>617</v>
      </c>
      <c r="C346" t="s">
        <v>148</v>
      </c>
      <c r="D346" t="s">
        <v>149</v>
      </c>
      <c r="E346" t="s">
        <v>8</v>
      </c>
      <c r="F346" t="s">
        <v>10</v>
      </c>
      <c r="G346" s="16">
        <v>1377.6</v>
      </c>
      <c r="H346" s="16">
        <v>1584.24</v>
      </c>
      <c r="J346">
        <v>101</v>
      </c>
      <c r="K346" t="s">
        <v>1890</v>
      </c>
      <c r="M346">
        <v>37</v>
      </c>
      <c r="N346">
        <v>1</v>
      </c>
      <c r="O346" t="s">
        <v>216</v>
      </c>
      <c r="P346" s="17"/>
      <c r="Q346" s="17" t="str">
        <f>_xlfn.XLOOKUP(Table2[[#This Row],[buyFromVendorNo]],'Next Day Scheduled'!A:A,'Pending Returns'!O:O,"NOT_FOUND")</f>
        <v>NOT_FOUND</v>
      </c>
    </row>
    <row r="347" spans="1:17" x14ac:dyDescent="0.3">
      <c r="A347" s="1">
        <v>46158</v>
      </c>
      <c r="B347" t="s">
        <v>676</v>
      </c>
      <c r="C347" t="s">
        <v>75</v>
      </c>
      <c r="D347" t="s">
        <v>76</v>
      </c>
      <c r="E347" t="s">
        <v>8</v>
      </c>
      <c r="F347" t="s">
        <v>169</v>
      </c>
      <c r="G347" s="16">
        <v>3376.9666000000002</v>
      </c>
      <c r="H347" s="16">
        <v>3883.5117</v>
      </c>
      <c r="I347" s="1">
        <v>46145</v>
      </c>
      <c r="J347">
        <v>101</v>
      </c>
      <c r="K347" t="s">
        <v>575</v>
      </c>
      <c r="L347" t="s">
        <v>1895</v>
      </c>
      <c r="M347">
        <v>13</v>
      </c>
      <c r="N347">
        <v>3</v>
      </c>
      <c r="O347" t="s">
        <v>1036</v>
      </c>
      <c r="P347" s="17"/>
      <c r="Q347" s="17" t="str">
        <f>_xlfn.XLOOKUP(Table2[[#This Row],[buyFromVendorNo]],'Next Day Scheduled'!A:A,'Pending Returns'!O:O,"NOT_FOUND")</f>
        <v>Posted Credit Note</v>
      </c>
    </row>
    <row r="348" spans="1:17" x14ac:dyDescent="0.3">
      <c r="A348" s="1">
        <v>46158</v>
      </c>
      <c r="B348" t="s">
        <v>764</v>
      </c>
      <c r="C348" t="s">
        <v>804</v>
      </c>
      <c r="D348" t="s">
        <v>805</v>
      </c>
      <c r="E348" t="s">
        <v>8</v>
      </c>
      <c r="F348" t="s">
        <v>10</v>
      </c>
      <c r="G348" s="16">
        <v>5933.44</v>
      </c>
      <c r="H348" s="16">
        <v>6823.4560000000001</v>
      </c>
      <c r="I348" s="1">
        <v>46156</v>
      </c>
      <c r="J348">
        <v>101</v>
      </c>
      <c r="K348" t="s">
        <v>806</v>
      </c>
      <c r="L348" t="s">
        <v>1878</v>
      </c>
      <c r="M348">
        <v>0</v>
      </c>
      <c r="N348">
        <v>206</v>
      </c>
      <c r="O348" t="s">
        <v>1036</v>
      </c>
      <c r="P348" s="17"/>
      <c r="Q348" s="17" t="str">
        <f>_xlfn.XLOOKUP(Table2[[#This Row],[buyFromVendorNo]],'Next Day Scheduled'!A:A,'Pending Returns'!O:O,"NOT_FOUND")</f>
        <v>NOT_FOUND</v>
      </c>
    </row>
    <row r="349" spans="1:17" x14ac:dyDescent="0.3">
      <c r="A349" s="1">
        <v>46158</v>
      </c>
      <c r="B349" t="s">
        <v>637</v>
      </c>
      <c r="C349" t="s">
        <v>562</v>
      </c>
      <c r="D349" t="s">
        <v>563</v>
      </c>
      <c r="E349" t="s">
        <v>8</v>
      </c>
      <c r="F349" t="s">
        <v>38</v>
      </c>
      <c r="G349" s="16">
        <v>476.28399999999999</v>
      </c>
      <c r="H349" s="16">
        <v>547.72659999999996</v>
      </c>
      <c r="I349" s="1">
        <v>46158</v>
      </c>
      <c r="J349">
        <v>101</v>
      </c>
      <c r="K349" t="s">
        <v>629</v>
      </c>
      <c r="L349" t="s">
        <v>1876</v>
      </c>
      <c r="M349">
        <v>45</v>
      </c>
      <c r="N349">
        <v>23</v>
      </c>
      <c r="O349" t="s">
        <v>1036</v>
      </c>
      <c r="P349" s="17"/>
      <c r="Q349" s="17" t="str">
        <f>_xlfn.XLOOKUP(Table2[[#This Row],[buyFromVendorNo]],'Next Day Scheduled'!A:A,'Pending Returns'!O:O,"NOT_FOUND")</f>
        <v>NOT_FOUND</v>
      </c>
    </row>
    <row r="350" spans="1:17" x14ac:dyDescent="0.3">
      <c r="A350" s="1">
        <v>46158</v>
      </c>
      <c r="B350" t="s">
        <v>686</v>
      </c>
      <c r="C350" t="s">
        <v>578</v>
      </c>
      <c r="D350" t="s">
        <v>579</v>
      </c>
      <c r="E350" t="s">
        <v>8</v>
      </c>
      <c r="F350" t="s">
        <v>10</v>
      </c>
      <c r="G350" s="16">
        <v>5137.55</v>
      </c>
      <c r="H350" s="16">
        <v>5908.1826000000001</v>
      </c>
      <c r="I350" s="1">
        <v>46151</v>
      </c>
      <c r="J350">
        <v>101</v>
      </c>
      <c r="K350" t="s">
        <v>687</v>
      </c>
      <c r="L350" t="s">
        <v>1870</v>
      </c>
      <c r="M350">
        <v>15</v>
      </c>
      <c r="N350">
        <v>2</v>
      </c>
      <c r="O350" t="s">
        <v>1036</v>
      </c>
      <c r="P350" s="17"/>
      <c r="Q350" s="17" t="str">
        <f>_xlfn.XLOOKUP(Table2[[#This Row],[buyFromVendorNo]],'Next Day Scheduled'!A:A,'Pending Returns'!O:O,"NOT_FOUND")</f>
        <v>NOT_FOUND</v>
      </c>
    </row>
    <row r="351" spans="1:17" x14ac:dyDescent="0.3">
      <c r="A351" s="1">
        <v>46158</v>
      </c>
      <c r="B351" t="s">
        <v>671</v>
      </c>
      <c r="C351" t="s">
        <v>715</v>
      </c>
      <c r="D351" t="s">
        <v>716</v>
      </c>
      <c r="E351" t="s">
        <v>8</v>
      </c>
      <c r="F351" t="s">
        <v>10</v>
      </c>
      <c r="G351" s="16">
        <v>6166.78</v>
      </c>
      <c r="H351" s="16">
        <v>7091.7969999999996</v>
      </c>
      <c r="I351" s="1">
        <v>46158</v>
      </c>
      <c r="J351">
        <v>101</v>
      </c>
      <c r="K351" t="s">
        <v>717</v>
      </c>
      <c r="L351" t="s">
        <v>1871</v>
      </c>
      <c r="M351">
        <v>2</v>
      </c>
      <c r="N351">
        <v>93</v>
      </c>
      <c r="O351" t="s">
        <v>1036</v>
      </c>
      <c r="P351" s="17"/>
      <c r="Q351" s="17" t="str">
        <f>_xlfn.XLOOKUP(Table2[[#This Row],[buyFromVendorNo]],'Next Day Scheduled'!A:A,'Pending Returns'!O:O,"NOT_FOUND")</f>
        <v>NOT_FOUND</v>
      </c>
    </row>
    <row r="352" spans="1:17" x14ac:dyDescent="0.3">
      <c r="A352" s="1">
        <v>46158</v>
      </c>
      <c r="B352" t="s">
        <v>412</v>
      </c>
      <c r="C352" t="s">
        <v>494</v>
      </c>
      <c r="D352" t="s">
        <v>495</v>
      </c>
      <c r="E352" t="s">
        <v>8</v>
      </c>
      <c r="F352" t="s">
        <v>10</v>
      </c>
      <c r="G352" s="16">
        <v>4911.6000000000004</v>
      </c>
      <c r="H352" s="16">
        <v>5648.34</v>
      </c>
      <c r="I352" s="1">
        <v>46158</v>
      </c>
      <c r="J352">
        <v>101</v>
      </c>
      <c r="K352" t="s">
        <v>1846</v>
      </c>
      <c r="L352" t="s">
        <v>1898</v>
      </c>
      <c r="M352">
        <v>11</v>
      </c>
      <c r="N352">
        <v>7</v>
      </c>
      <c r="O352" t="s">
        <v>1036</v>
      </c>
      <c r="P352" s="17"/>
      <c r="Q352" s="17" t="str">
        <f>_xlfn.XLOOKUP(Table2[[#This Row],[buyFromVendorNo]],'Next Day Scheduled'!A:A,'Pending Returns'!O:O,"NOT_FOUND")</f>
        <v>Posted Credit Note</v>
      </c>
    </row>
    <row r="353" spans="1:17" x14ac:dyDescent="0.3">
      <c r="A353" s="1">
        <v>46158</v>
      </c>
      <c r="B353" t="s">
        <v>762</v>
      </c>
      <c r="C353" t="s">
        <v>321</v>
      </c>
      <c r="D353" t="s">
        <v>322</v>
      </c>
      <c r="E353" t="s">
        <v>8</v>
      </c>
      <c r="F353" t="s">
        <v>10</v>
      </c>
      <c r="G353" s="16">
        <v>7911.7515000000003</v>
      </c>
      <c r="H353" s="16">
        <v>9098.5139999999992</v>
      </c>
      <c r="I353" s="1">
        <v>46154</v>
      </c>
      <c r="J353">
        <v>101</v>
      </c>
      <c r="K353" t="s">
        <v>728</v>
      </c>
      <c r="L353" t="s">
        <v>1872</v>
      </c>
      <c r="M353">
        <v>14</v>
      </c>
      <c r="N353">
        <v>5</v>
      </c>
      <c r="O353" t="s">
        <v>1036</v>
      </c>
      <c r="P353" s="17"/>
      <c r="Q353" s="17" t="str">
        <f>_xlfn.XLOOKUP(Table2[[#This Row],[buyFromVendorNo]],'Next Day Scheduled'!A:A,'Pending Returns'!O:O,"NOT_FOUND")</f>
        <v>NOT_FOUND</v>
      </c>
    </row>
    <row r="354" spans="1:17" x14ac:dyDescent="0.3">
      <c r="A354" s="1">
        <v>46159</v>
      </c>
      <c r="B354" t="s">
        <v>792</v>
      </c>
      <c r="C354" t="s">
        <v>773</v>
      </c>
      <c r="D354" t="s">
        <v>774</v>
      </c>
      <c r="E354" t="s">
        <v>8</v>
      </c>
      <c r="F354" t="s">
        <v>10</v>
      </c>
      <c r="G354" s="16">
        <v>9534.9</v>
      </c>
      <c r="H354" s="16">
        <v>10965.135</v>
      </c>
      <c r="I354" s="1">
        <v>46158</v>
      </c>
      <c r="J354">
        <v>100</v>
      </c>
      <c r="K354" t="s">
        <v>793</v>
      </c>
      <c r="L354" t="s">
        <v>1941</v>
      </c>
      <c r="M354">
        <v>3</v>
      </c>
      <c r="N354">
        <v>13</v>
      </c>
      <c r="O354" t="s">
        <v>1036</v>
      </c>
      <c r="P354" s="17"/>
      <c r="Q354" s="17" t="str">
        <f>_xlfn.XLOOKUP(Table2[[#This Row],[buyFromVendorNo]],'Next Day Scheduled'!A:A,'Pending Returns'!O:O,"NOT_FOUND")</f>
        <v>NOT_FOUND</v>
      </c>
    </row>
    <row r="355" spans="1:17" x14ac:dyDescent="0.3">
      <c r="A355" s="1">
        <v>46159</v>
      </c>
      <c r="B355" t="s">
        <v>2004</v>
      </c>
      <c r="C355" t="s">
        <v>1707</v>
      </c>
      <c r="D355" t="s">
        <v>1708</v>
      </c>
      <c r="E355" t="s">
        <v>8</v>
      </c>
      <c r="F355" t="s">
        <v>10</v>
      </c>
      <c r="G355" s="16">
        <v>7741.44</v>
      </c>
      <c r="H355" s="16">
        <v>8902.6560000000009</v>
      </c>
      <c r="J355">
        <v>100</v>
      </c>
      <c r="K355" t="s">
        <v>1935</v>
      </c>
      <c r="M355">
        <v>0</v>
      </c>
      <c r="N355">
        <v>561</v>
      </c>
      <c r="O355" t="s">
        <v>216</v>
      </c>
      <c r="P355" s="17"/>
      <c r="Q355" s="17" t="str">
        <f>_xlfn.XLOOKUP(Table2[[#This Row],[buyFromVendorNo]],'Next Day Scheduled'!A:A,'Pending Returns'!O:O,"NOT_FOUND")</f>
        <v>NOT_FOUND</v>
      </c>
    </row>
    <row r="356" spans="1:17" x14ac:dyDescent="0.3">
      <c r="A356" s="1">
        <v>46159</v>
      </c>
      <c r="B356" t="s">
        <v>394</v>
      </c>
      <c r="C356" t="s">
        <v>318</v>
      </c>
      <c r="D356" t="s">
        <v>319</v>
      </c>
      <c r="E356" t="s">
        <v>8</v>
      </c>
      <c r="F356" t="s">
        <v>10</v>
      </c>
      <c r="G356" s="16">
        <v>9432.2350000000006</v>
      </c>
      <c r="H356" s="16">
        <v>10847.07</v>
      </c>
      <c r="I356" s="1">
        <v>46148</v>
      </c>
      <c r="J356">
        <v>100</v>
      </c>
      <c r="K356" t="s">
        <v>369</v>
      </c>
      <c r="L356" t="s">
        <v>1924</v>
      </c>
      <c r="M356">
        <v>15</v>
      </c>
      <c r="N356">
        <v>2</v>
      </c>
      <c r="O356" t="s">
        <v>1036</v>
      </c>
      <c r="P356" s="17"/>
      <c r="Q356" s="17" t="str">
        <f>_xlfn.XLOOKUP(Table2[[#This Row],[buyFromVendorNo]],'Next Day Scheduled'!A:A,'Pending Returns'!O:O,"NOT_FOUND")</f>
        <v>NOT_FOUND</v>
      </c>
    </row>
    <row r="357" spans="1:17" x14ac:dyDescent="0.3">
      <c r="A357" s="1">
        <v>46159</v>
      </c>
      <c r="B357" t="s">
        <v>250</v>
      </c>
      <c r="C357" t="s">
        <v>118</v>
      </c>
      <c r="D357" t="s">
        <v>119</v>
      </c>
      <c r="E357" t="s">
        <v>8</v>
      </c>
      <c r="F357" t="s">
        <v>10</v>
      </c>
      <c r="G357" s="16">
        <v>682.05</v>
      </c>
      <c r="H357" s="16">
        <v>784.35749999999996</v>
      </c>
      <c r="I357" s="1">
        <v>46149</v>
      </c>
      <c r="J357">
        <v>100</v>
      </c>
      <c r="K357" t="s">
        <v>195</v>
      </c>
      <c r="L357" t="s">
        <v>1943</v>
      </c>
      <c r="M357">
        <v>23</v>
      </c>
      <c r="N357">
        <v>5</v>
      </c>
      <c r="O357" t="s">
        <v>1036</v>
      </c>
      <c r="P357" s="17"/>
      <c r="Q357" s="17" t="str">
        <f>_xlfn.XLOOKUP(Table2[[#This Row],[buyFromVendorNo]],'Next Day Scheduled'!A:A,'Pending Returns'!O:O,"NOT_FOUND")</f>
        <v>Posted Credit Note</v>
      </c>
    </row>
    <row r="358" spans="1:17" x14ac:dyDescent="0.3">
      <c r="A358" s="1">
        <v>46159</v>
      </c>
      <c r="B358" t="s">
        <v>477</v>
      </c>
      <c r="C358" t="s">
        <v>947</v>
      </c>
      <c r="D358" t="s">
        <v>948</v>
      </c>
      <c r="E358" t="s">
        <v>8</v>
      </c>
      <c r="F358" t="s">
        <v>10</v>
      </c>
      <c r="G358" s="16">
        <v>12361.25</v>
      </c>
      <c r="H358" s="16">
        <v>12361.25</v>
      </c>
      <c r="I358" s="1">
        <v>46158</v>
      </c>
      <c r="J358">
        <v>100</v>
      </c>
      <c r="K358" t="s">
        <v>994</v>
      </c>
      <c r="L358" t="s">
        <v>1928</v>
      </c>
      <c r="M358">
        <v>10</v>
      </c>
      <c r="N358">
        <v>1</v>
      </c>
      <c r="O358" t="s">
        <v>1036</v>
      </c>
      <c r="P358" s="17"/>
      <c r="Q358" s="17" t="str">
        <f>_xlfn.XLOOKUP(Table2[[#This Row],[buyFromVendorNo]],'Next Day Scheduled'!A:A,'Pending Returns'!O:O,"NOT_FOUND")</f>
        <v>NOT_FOUND</v>
      </c>
    </row>
    <row r="359" spans="1:17" x14ac:dyDescent="0.3">
      <c r="A359" s="1">
        <v>46159</v>
      </c>
      <c r="B359" t="s">
        <v>550</v>
      </c>
      <c r="C359" t="s">
        <v>635</v>
      </c>
      <c r="D359" t="s">
        <v>636</v>
      </c>
      <c r="E359" t="s">
        <v>8</v>
      </c>
      <c r="F359" t="s">
        <v>10</v>
      </c>
      <c r="G359" s="16">
        <v>1761.1034</v>
      </c>
      <c r="H359" s="16">
        <v>2025.2688000000001</v>
      </c>
      <c r="I359" s="1">
        <v>46154</v>
      </c>
      <c r="J359">
        <v>100</v>
      </c>
      <c r="K359" t="s">
        <v>726</v>
      </c>
      <c r="L359" t="s">
        <v>1937</v>
      </c>
      <c r="M359">
        <v>13</v>
      </c>
      <c r="N359">
        <v>2</v>
      </c>
      <c r="O359" t="s">
        <v>1036</v>
      </c>
      <c r="P359" s="17"/>
      <c r="Q359" s="17" t="str">
        <f>_xlfn.XLOOKUP(Table2[[#This Row],[buyFromVendorNo]],'Next Day Scheduled'!A:A,'Pending Returns'!O:O,"NOT_FOUND")</f>
        <v>NOT_FOUND</v>
      </c>
    </row>
    <row r="360" spans="1:17" x14ac:dyDescent="0.3">
      <c r="A360" s="1">
        <v>46160</v>
      </c>
      <c r="B360" t="s">
        <v>283</v>
      </c>
      <c r="C360" t="s">
        <v>49</v>
      </c>
      <c r="D360" t="s">
        <v>50</v>
      </c>
      <c r="E360" t="s">
        <v>8</v>
      </c>
      <c r="F360" t="s">
        <v>10</v>
      </c>
      <c r="G360" s="16">
        <v>17168.383000000002</v>
      </c>
      <c r="H360" s="16">
        <v>19743.64</v>
      </c>
      <c r="I360" s="1">
        <v>46158</v>
      </c>
      <c r="J360">
        <v>99</v>
      </c>
      <c r="K360" t="s">
        <v>190</v>
      </c>
      <c r="L360" t="s">
        <v>1966</v>
      </c>
      <c r="M360">
        <v>10</v>
      </c>
      <c r="N360">
        <v>15</v>
      </c>
      <c r="O360" t="s">
        <v>1036</v>
      </c>
      <c r="P360" s="17"/>
      <c r="Q360" s="17" t="str">
        <f>_xlfn.XLOOKUP(Table2[[#This Row],[buyFromVendorNo]],'Next Day Scheduled'!A:A,'Pending Returns'!O:O,"NOT_FOUND")</f>
        <v>NOT_FOUND</v>
      </c>
    </row>
    <row r="361" spans="1:17" x14ac:dyDescent="0.3">
      <c r="A361" s="1">
        <v>46160</v>
      </c>
      <c r="B361" t="s">
        <v>278</v>
      </c>
      <c r="C361" t="s">
        <v>49</v>
      </c>
      <c r="D361" t="s">
        <v>50</v>
      </c>
      <c r="E361" t="s">
        <v>8</v>
      </c>
      <c r="F361" t="s">
        <v>10</v>
      </c>
      <c r="G361" s="16">
        <v>9304.0969999999998</v>
      </c>
      <c r="H361" s="16">
        <v>10699.710999999999</v>
      </c>
      <c r="I361" s="1">
        <v>46158</v>
      </c>
      <c r="J361">
        <v>99</v>
      </c>
      <c r="K361" t="s">
        <v>384</v>
      </c>
      <c r="L361" t="s">
        <v>1959</v>
      </c>
      <c r="M361">
        <v>10</v>
      </c>
      <c r="N361">
        <v>15</v>
      </c>
      <c r="O361" t="s">
        <v>1036</v>
      </c>
      <c r="P361" s="17"/>
      <c r="Q361" s="17" t="str">
        <f>_xlfn.XLOOKUP(Table2[[#This Row],[buyFromVendorNo]],'Next Day Scheduled'!A:A,'Pending Returns'!O:O,"NOT_FOUND")</f>
        <v>NOT_FOUND</v>
      </c>
    </row>
    <row r="362" spans="1:17" x14ac:dyDescent="0.3">
      <c r="A362" s="1">
        <v>46160</v>
      </c>
      <c r="B362" t="s">
        <v>2920</v>
      </c>
      <c r="C362" t="s">
        <v>843</v>
      </c>
      <c r="D362" t="s">
        <v>844</v>
      </c>
      <c r="E362" t="s">
        <v>8</v>
      </c>
      <c r="F362" t="s">
        <v>10</v>
      </c>
      <c r="G362" s="16">
        <v>17973.740000000002</v>
      </c>
      <c r="H362" s="16">
        <v>20669.8</v>
      </c>
      <c r="J362">
        <v>99</v>
      </c>
      <c r="K362" t="s">
        <v>1957</v>
      </c>
      <c r="M362">
        <v>0</v>
      </c>
      <c r="N362">
        <v>310</v>
      </c>
      <c r="O362" t="s">
        <v>216</v>
      </c>
      <c r="P362" s="17"/>
      <c r="Q362" s="17" t="str">
        <f>_xlfn.XLOOKUP(Table2[[#This Row],[buyFromVendorNo]],'Next Day Scheduled'!A:A,'Pending Returns'!O:O,"NOT_FOUND")</f>
        <v>NOT_FOUND</v>
      </c>
    </row>
    <row r="363" spans="1:17" x14ac:dyDescent="0.3">
      <c r="A363" s="1">
        <v>46160</v>
      </c>
      <c r="B363" t="s">
        <v>1875</v>
      </c>
      <c r="C363" t="s">
        <v>562</v>
      </c>
      <c r="D363" t="s">
        <v>563</v>
      </c>
      <c r="E363" t="s">
        <v>8</v>
      </c>
      <c r="F363" t="s">
        <v>38</v>
      </c>
      <c r="G363" s="16">
        <v>220.363</v>
      </c>
      <c r="H363" s="16">
        <v>253.41745</v>
      </c>
      <c r="I363" s="1">
        <v>46158</v>
      </c>
      <c r="J363">
        <v>99</v>
      </c>
      <c r="K363" t="s">
        <v>1874</v>
      </c>
      <c r="L363" t="s">
        <v>1976</v>
      </c>
      <c r="M363">
        <v>43</v>
      </c>
      <c r="N363">
        <v>23</v>
      </c>
      <c r="O363" t="s">
        <v>1036</v>
      </c>
      <c r="P363" s="17"/>
      <c r="Q363" s="17" t="str">
        <f>_xlfn.XLOOKUP(Table2[[#This Row],[buyFromVendorNo]],'Next Day Scheduled'!A:A,'Pending Returns'!O:O,"NOT_FOUND")</f>
        <v>NOT_FOUND</v>
      </c>
    </row>
    <row r="364" spans="1:17" x14ac:dyDescent="0.3">
      <c r="A364" s="1">
        <v>46160</v>
      </c>
      <c r="B364" t="s">
        <v>257</v>
      </c>
      <c r="C364" t="s">
        <v>848</v>
      </c>
      <c r="D364" t="s">
        <v>849</v>
      </c>
      <c r="E364" t="s">
        <v>8</v>
      </c>
      <c r="F364" t="s">
        <v>10</v>
      </c>
      <c r="G364" s="16">
        <v>2648.6849999999999</v>
      </c>
      <c r="H364" s="16">
        <v>3045.9877999999999</v>
      </c>
      <c r="I364" s="1">
        <v>46158</v>
      </c>
      <c r="J364">
        <v>99</v>
      </c>
      <c r="K364" t="s">
        <v>1877</v>
      </c>
      <c r="L364" t="s">
        <v>1958</v>
      </c>
      <c r="M364">
        <v>4</v>
      </c>
      <c r="N364">
        <v>3</v>
      </c>
      <c r="O364" t="s">
        <v>1036</v>
      </c>
      <c r="P364" s="17"/>
      <c r="Q364" s="17" t="str">
        <f>_xlfn.XLOOKUP(Table2[[#This Row],[buyFromVendorNo]],'Next Day Scheduled'!A:A,'Pending Returns'!O:O,"NOT_FOUND")</f>
        <v>NOT_FOUND</v>
      </c>
    </row>
    <row r="365" spans="1:17" x14ac:dyDescent="0.3">
      <c r="A365" s="1">
        <v>46160</v>
      </c>
      <c r="B365" t="s">
        <v>241</v>
      </c>
      <c r="C365" t="s">
        <v>49</v>
      </c>
      <c r="D365" t="s">
        <v>50</v>
      </c>
      <c r="E365" t="s">
        <v>8</v>
      </c>
      <c r="F365" t="s">
        <v>10</v>
      </c>
      <c r="G365" s="16">
        <v>12887.78</v>
      </c>
      <c r="H365" s="16">
        <v>14820.947</v>
      </c>
      <c r="I365" s="1">
        <v>46158</v>
      </c>
      <c r="J365">
        <v>99</v>
      </c>
      <c r="K365" t="s">
        <v>113</v>
      </c>
      <c r="L365" t="s">
        <v>1973</v>
      </c>
      <c r="M365">
        <v>10</v>
      </c>
      <c r="N365">
        <v>15</v>
      </c>
      <c r="O365" t="s">
        <v>1036</v>
      </c>
      <c r="P365" s="17"/>
      <c r="Q365" s="17" t="str">
        <f>_xlfn.XLOOKUP(Table2[[#This Row],[buyFromVendorNo]],'Next Day Scheduled'!A:A,'Pending Returns'!O:O,"NOT_FOUND")</f>
        <v>NOT_FOUND</v>
      </c>
    </row>
    <row r="366" spans="1:17" x14ac:dyDescent="0.3">
      <c r="A366" s="1">
        <v>46160</v>
      </c>
      <c r="B366" t="s">
        <v>890</v>
      </c>
      <c r="C366" t="s">
        <v>69</v>
      </c>
      <c r="D366" t="s">
        <v>70</v>
      </c>
      <c r="E366" t="s">
        <v>8</v>
      </c>
      <c r="F366" t="s">
        <v>169</v>
      </c>
      <c r="G366" s="16">
        <v>387.26</v>
      </c>
      <c r="H366" s="16">
        <v>445.34899999999999</v>
      </c>
      <c r="I366" s="1">
        <v>46155</v>
      </c>
      <c r="J366">
        <v>99</v>
      </c>
      <c r="K366" t="s">
        <v>1713</v>
      </c>
      <c r="L366" t="s">
        <v>1975</v>
      </c>
      <c r="M366">
        <v>10</v>
      </c>
      <c r="N366">
        <v>5</v>
      </c>
      <c r="O366" t="s">
        <v>1036</v>
      </c>
      <c r="P366" s="17"/>
      <c r="Q366" s="17" t="str">
        <f>_xlfn.XLOOKUP(Table2[[#This Row],[buyFromVendorNo]],'Next Day Scheduled'!A:A,'Pending Returns'!O:O,"NOT_FOUND")</f>
        <v>Posted Credit Note</v>
      </c>
    </row>
    <row r="367" spans="1:17" x14ac:dyDescent="0.3">
      <c r="A367" s="1">
        <v>46160</v>
      </c>
      <c r="B367" t="s">
        <v>642</v>
      </c>
      <c r="C367" t="s">
        <v>508</v>
      </c>
      <c r="D367" t="s">
        <v>509</v>
      </c>
      <c r="E367" t="s">
        <v>8</v>
      </c>
      <c r="F367" t="s">
        <v>38</v>
      </c>
      <c r="G367" s="16">
        <v>11175.76</v>
      </c>
      <c r="H367" s="16">
        <v>12852.124</v>
      </c>
      <c r="I367" s="1">
        <v>46160</v>
      </c>
      <c r="J367">
        <v>99</v>
      </c>
      <c r="K367" t="s">
        <v>660</v>
      </c>
      <c r="L367" t="s">
        <v>1969</v>
      </c>
      <c r="M367">
        <v>15</v>
      </c>
      <c r="N367">
        <v>9</v>
      </c>
      <c r="O367" t="s">
        <v>1036</v>
      </c>
      <c r="P367" s="17"/>
      <c r="Q367" s="17" t="str">
        <f>_xlfn.XLOOKUP(Table2[[#This Row],[buyFromVendorNo]],'Next Day Scheduled'!A:A,'Pending Returns'!O:O,"NOT_FOUND")</f>
        <v>Posted Credit Note</v>
      </c>
    </row>
    <row r="368" spans="1:17" x14ac:dyDescent="0.3">
      <c r="A368" s="1">
        <v>46160</v>
      </c>
      <c r="B368" t="s">
        <v>1979</v>
      </c>
      <c r="C368" t="s">
        <v>1866</v>
      </c>
      <c r="D368" t="s">
        <v>1867</v>
      </c>
      <c r="E368" t="s">
        <v>8</v>
      </c>
      <c r="F368" t="s">
        <v>10</v>
      </c>
      <c r="G368" s="16">
        <v>1375.98</v>
      </c>
      <c r="H368" s="16">
        <v>1582.377</v>
      </c>
      <c r="J368">
        <v>99</v>
      </c>
      <c r="K368" t="s">
        <v>1980</v>
      </c>
      <c r="M368">
        <v>0</v>
      </c>
      <c r="N368">
        <v>391</v>
      </c>
      <c r="O368" t="s">
        <v>216</v>
      </c>
      <c r="P368" s="17"/>
      <c r="Q368" s="17" t="str">
        <f>_xlfn.XLOOKUP(Table2[[#This Row],[buyFromVendorNo]],'Next Day Scheduled'!A:A,'Pending Returns'!O:O,"NOT_FOUND")</f>
        <v>NOT_FOUND</v>
      </c>
    </row>
    <row r="369" spans="1:17" x14ac:dyDescent="0.3">
      <c r="A369" s="1">
        <v>46160</v>
      </c>
      <c r="B369" t="s">
        <v>233</v>
      </c>
      <c r="C369" t="s">
        <v>49</v>
      </c>
      <c r="D369" t="s">
        <v>50</v>
      </c>
      <c r="E369" t="s">
        <v>8</v>
      </c>
      <c r="F369" t="s">
        <v>10</v>
      </c>
      <c r="G369" s="16">
        <v>22516.666000000001</v>
      </c>
      <c r="H369" s="16">
        <v>25894.166000000001</v>
      </c>
      <c r="I369" s="1">
        <v>46158</v>
      </c>
      <c r="J369">
        <v>99</v>
      </c>
      <c r="K369" t="s">
        <v>83</v>
      </c>
      <c r="L369" t="s">
        <v>1978</v>
      </c>
      <c r="M369">
        <v>10</v>
      </c>
      <c r="N369">
        <v>15</v>
      </c>
      <c r="O369" t="s">
        <v>1036</v>
      </c>
      <c r="P369" s="17"/>
      <c r="Q369" s="17" t="str">
        <f>_xlfn.XLOOKUP(Table2[[#This Row],[buyFromVendorNo]],'Next Day Scheduled'!A:A,'Pending Returns'!O:O,"NOT_FOUND")</f>
        <v>NOT_FOUND</v>
      </c>
    </row>
    <row r="370" spans="1:17" x14ac:dyDescent="0.3">
      <c r="A370" s="1">
        <v>46160</v>
      </c>
      <c r="B370" t="s">
        <v>637</v>
      </c>
      <c r="C370" t="s">
        <v>377</v>
      </c>
      <c r="D370" t="s">
        <v>378</v>
      </c>
      <c r="E370" t="s">
        <v>8</v>
      </c>
      <c r="F370" t="s">
        <v>38</v>
      </c>
      <c r="G370" s="16">
        <v>598.12609999999995</v>
      </c>
      <c r="H370" s="16">
        <v>687.84500000000003</v>
      </c>
      <c r="I370" s="1">
        <v>46160</v>
      </c>
      <c r="J370">
        <v>99</v>
      </c>
      <c r="K370" t="s">
        <v>624</v>
      </c>
      <c r="L370" t="s">
        <v>1965</v>
      </c>
      <c r="M370">
        <v>15</v>
      </c>
      <c r="N370">
        <v>3</v>
      </c>
      <c r="O370" t="s">
        <v>1036</v>
      </c>
      <c r="P370" s="17"/>
      <c r="Q370" s="17" t="str">
        <f>_xlfn.XLOOKUP(Table2[[#This Row],[buyFromVendorNo]],'Next Day Scheduled'!A:A,'Pending Returns'!O:O,"NOT_FOUND")</f>
        <v>NOT_FOUND</v>
      </c>
    </row>
    <row r="371" spans="1:17" x14ac:dyDescent="0.3">
      <c r="A371" s="1">
        <v>46160</v>
      </c>
      <c r="B371" t="s">
        <v>243</v>
      </c>
      <c r="C371" t="s">
        <v>49</v>
      </c>
      <c r="D371" t="s">
        <v>50</v>
      </c>
      <c r="E371" t="s">
        <v>8</v>
      </c>
      <c r="F371" t="s">
        <v>10</v>
      </c>
      <c r="G371" s="16">
        <v>31352.62</v>
      </c>
      <c r="H371" s="16">
        <v>36055.51</v>
      </c>
      <c r="I371" s="1">
        <v>46158</v>
      </c>
      <c r="J371">
        <v>99</v>
      </c>
      <c r="K371" t="s">
        <v>153</v>
      </c>
      <c r="L371" t="s">
        <v>1967</v>
      </c>
      <c r="M371">
        <v>10</v>
      </c>
      <c r="N371">
        <v>15</v>
      </c>
      <c r="O371" t="s">
        <v>1036</v>
      </c>
      <c r="P371" s="17"/>
      <c r="Q371" s="17" t="str">
        <f>_xlfn.XLOOKUP(Table2[[#This Row],[buyFromVendorNo]],'Next Day Scheduled'!A:A,'Pending Returns'!O:O,"NOT_FOUND")</f>
        <v>NOT_FOUND</v>
      </c>
    </row>
    <row r="372" spans="1:17" x14ac:dyDescent="0.3">
      <c r="A372" s="1">
        <v>46160</v>
      </c>
      <c r="B372" t="s">
        <v>248</v>
      </c>
      <c r="C372" t="s">
        <v>49</v>
      </c>
      <c r="D372" t="s">
        <v>50</v>
      </c>
      <c r="E372" t="s">
        <v>8</v>
      </c>
      <c r="F372" t="s">
        <v>10</v>
      </c>
      <c r="G372" s="16">
        <v>5962.027</v>
      </c>
      <c r="H372" s="16">
        <v>6856.3306000000002</v>
      </c>
      <c r="I372" s="1">
        <v>46158</v>
      </c>
      <c r="J372">
        <v>99</v>
      </c>
      <c r="K372" t="s">
        <v>125</v>
      </c>
      <c r="L372" t="s">
        <v>1977</v>
      </c>
      <c r="M372">
        <v>10</v>
      </c>
      <c r="N372">
        <v>15</v>
      </c>
      <c r="O372" t="s">
        <v>1036</v>
      </c>
      <c r="P372" s="17"/>
      <c r="Q372" s="17" t="str">
        <f>_xlfn.XLOOKUP(Table2[[#This Row],[buyFromVendorNo]],'Next Day Scheduled'!A:A,'Pending Returns'!O:O,"NOT_FOUND")</f>
        <v>NOT_FOUND</v>
      </c>
    </row>
    <row r="373" spans="1:17" x14ac:dyDescent="0.3">
      <c r="A373" s="1">
        <v>46160</v>
      </c>
      <c r="B373" t="s">
        <v>1686</v>
      </c>
      <c r="C373" t="s">
        <v>364</v>
      </c>
      <c r="D373" t="s">
        <v>375</v>
      </c>
      <c r="E373" t="s">
        <v>8</v>
      </c>
      <c r="F373" t="s">
        <v>10</v>
      </c>
      <c r="G373" s="16">
        <v>3143.1372000000001</v>
      </c>
      <c r="H373" s="16">
        <v>3574.1062000000002</v>
      </c>
      <c r="I373" s="1">
        <v>46159</v>
      </c>
      <c r="J373">
        <v>99</v>
      </c>
      <c r="K373" t="s">
        <v>908</v>
      </c>
      <c r="L373" t="s">
        <v>1964</v>
      </c>
      <c r="M373">
        <v>14</v>
      </c>
      <c r="N373">
        <v>5</v>
      </c>
      <c r="O373" t="s">
        <v>1036</v>
      </c>
      <c r="P373" s="17"/>
      <c r="Q373" s="17" t="str">
        <f>_xlfn.XLOOKUP(Table2[[#This Row],[buyFromVendorNo]],'Next Day Scheduled'!A:A,'Pending Returns'!O:O,"NOT_FOUND")</f>
        <v>NOT_FOUND</v>
      </c>
    </row>
    <row r="374" spans="1:17" x14ac:dyDescent="0.3">
      <c r="A374" s="1">
        <v>46160</v>
      </c>
      <c r="B374" t="s">
        <v>274</v>
      </c>
      <c r="C374" t="s">
        <v>49</v>
      </c>
      <c r="D374" t="s">
        <v>50</v>
      </c>
      <c r="E374" t="s">
        <v>8</v>
      </c>
      <c r="F374" t="s">
        <v>10</v>
      </c>
      <c r="G374" s="16">
        <v>35645.815999999999</v>
      </c>
      <c r="H374" s="16">
        <v>40992.688000000002</v>
      </c>
      <c r="I374" s="1">
        <v>46158</v>
      </c>
      <c r="J374">
        <v>99</v>
      </c>
      <c r="K374" t="s">
        <v>171</v>
      </c>
      <c r="L374" t="s">
        <v>1986</v>
      </c>
      <c r="M374">
        <v>10</v>
      </c>
      <c r="N374">
        <v>15</v>
      </c>
      <c r="O374" t="s">
        <v>1036</v>
      </c>
      <c r="P374" s="17"/>
      <c r="Q374" s="17" t="str">
        <f>_xlfn.XLOOKUP(Table2[[#This Row],[buyFromVendorNo]],'Next Day Scheduled'!A:A,'Pending Returns'!O:O,"NOT_FOUND")</f>
        <v>NOT_FOUND</v>
      </c>
    </row>
    <row r="375" spans="1:17" x14ac:dyDescent="0.3">
      <c r="A375" s="1">
        <v>46161</v>
      </c>
      <c r="B375" t="s">
        <v>794</v>
      </c>
      <c r="C375" t="s">
        <v>1020</v>
      </c>
      <c r="D375" t="s">
        <v>1021</v>
      </c>
      <c r="E375" t="s">
        <v>8</v>
      </c>
      <c r="F375" t="s">
        <v>10</v>
      </c>
      <c r="G375" s="16">
        <v>8094.674</v>
      </c>
      <c r="H375" s="16">
        <v>9308.875</v>
      </c>
      <c r="I375" s="1">
        <v>46160</v>
      </c>
      <c r="J375">
        <v>98</v>
      </c>
      <c r="K375" t="s">
        <v>1819</v>
      </c>
      <c r="L375" t="s">
        <v>2007</v>
      </c>
      <c r="M375">
        <v>15</v>
      </c>
      <c r="N375">
        <v>2</v>
      </c>
      <c r="O375" t="s">
        <v>1036</v>
      </c>
      <c r="P375" s="17"/>
      <c r="Q375" s="17" t="str">
        <f>_xlfn.XLOOKUP(Table2[[#This Row],[buyFromVendorNo]],'Next Day Scheduled'!A:A,'Pending Returns'!O:O,"NOT_FOUND")</f>
        <v>NOT_FOUND</v>
      </c>
    </row>
    <row r="376" spans="1:17" x14ac:dyDescent="0.3">
      <c r="A376" s="1">
        <v>46161</v>
      </c>
      <c r="B376" t="s">
        <v>1685</v>
      </c>
      <c r="C376" t="s">
        <v>991</v>
      </c>
      <c r="D376" t="s">
        <v>992</v>
      </c>
      <c r="E376" t="s">
        <v>8</v>
      </c>
      <c r="F376" t="s">
        <v>10</v>
      </c>
      <c r="G376" s="16">
        <v>233.85</v>
      </c>
      <c r="H376" s="16">
        <v>268.92750000000001</v>
      </c>
      <c r="I376" s="1">
        <v>46159</v>
      </c>
      <c r="J376">
        <v>98</v>
      </c>
      <c r="K376" t="s">
        <v>993</v>
      </c>
      <c r="L376" t="s">
        <v>1988</v>
      </c>
      <c r="M376">
        <v>13</v>
      </c>
      <c r="N376">
        <v>1</v>
      </c>
      <c r="O376" t="s">
        <v>1036</v>
      </c>
      <c r="P376" s="17"/>
      <c r="Q376" s="17" t="str">
        <f>_xlfn.XLOOKUP(Table2[[#This Row],[buyFromVendorNo]],'Next Day Scheduled'!A:A,'Pending Returns'!O:O,"NOT_FOUND")</f>
        <v>NOT_FOUND</v>
      </c>
    </row>
    <row r="377" spans="1:17" x14ac:dyDescent="0.3">
      <c r="A377" s="1">
        <v>46161</v>
      </c>
      <c r="B377" t="s">
        <v>1742</v>
      </c>
      <c r="C377" t="s">
        <v>776</v>
      </c>
      <c r="D377" t="s">
        <v>777</v>
      </c>
      <c r="E377" t="s">
        <v>8</v>
      </c>
      <c r="F377" t="s">
        <v>10</v>
      </c>
      <c r="G377" s="16">
        <v>1303.75</v>
      </c>
      <c r="H377" s="16">
        <v>1499.3125</v>
      </c>
      <c r="I377" s="1">
        <v>46159</v>
      </c>
      <c r="J377">
        <v>98</v>
      </c>
      <c r="K377" t="s">
        <v>1766</v>
      </c>
      <c r="L377" t="s">
        <v>2031</v>
      </c>
      <c r="M377">
        <v>36</v>
      </c>
      <c r="N377">
        <v>2</v>
      </c>
      <c r="O377" t="s">
        <v>1036</v>
      </c>
      <c r="P377" s="17"/>
      <c r="Q377" s="17" t="str">
        <f>_xlfn.XLOOKUP(Table2[[#This Row],[buyFromVendorNo]],'Next Day Scheduled'!A:A,'Pending Returns'!O:O,"NOT_FOUND")</f>
        <v>Posted Credit Note</v>
      </c>
    </row>
    <row r="378" spans="1:17" x14ac:dyDescent="0.3">
      <c r="A378" s="1">
        <v>46161</v>
      </c>
      <c r="B378" t="s">
        <v>252</v>
      </c>
      <c r="C378" t="s">
        <v>98</v>
      </c>
      <c r="D378" t="s">
        <v>99</v>
      </c>
      <c r="E378" t="s">
        <v>8</v>
      </c>
      <c r="F378" t="s">
        <v>10</v>
      </c>
      <c r="G378" s="16">
        <v>3064.67</v>
      </c>
      <c r="H378" s="16">
        <v>3524.3706000000002</v>
      </c>
      <c r="I378" s="1">
        <v>46155</v>
      </c>
      <c r="J378">
        <v>98</v>
      </c>
      <c r="K378" t="s">
        <v>754</v>
      </c>
      <c r="L378" t="s">
        <v>2032</v>
      </c>
      <c r="M378">
        <v>13</v>
      </c>
      <c r="N378">
        <v>6</v>
      </c>
      <c r="O378" t="s">
        <v>1036</v>
      </c>
      <c r="P378" s="17"/>
      <c r="Q378" s="17" t="str">
        <f>_xlfn.XLOOKUP(Table2[[#This Row],[buyFromVendorNo]],'Next Day Scheduled'!A:A,'Pending Returns'!O:O,"NOT_FOUND")</f>
        <v>NOT_FOUND</v>
      </c>
    </row>
    <row r="379" spans="1:17" x14ac:dyDescent="0.3">
      <c r="A379" s="1">
        <v>46161</v>
      </c>
      <c r="B379" t="s">
        <v>224</v>
      </c>
      <c r="C379" t="s">
        <v>377</v>
      </c>
      <c r="D379" t="s">
        <v>378</v>
      </c>
      <c r="E379" t="s">
        <v>8</v>
      </c>
      <c r="F379" t="s">
        <v>38</v>
      </c>
      <c r="G379" s="16">
        <v>5616.1</v>
      </c>
      <c r="H379" s="16">
        <v>6458.5150000000003</v>
      </c>
      <c r="I379" s="1">
        <v>46160</v>
      </c>
      <c r="J379">
        <v>98</v>
      </c>
      <c r="K379" t="s">
        <v>376</v>
      </c>
      <c r="L379" t="s">
        <v>2020</v>
      </c>
      <c r="M379">
        <v>14</v>
      </c>
      <c r="N379">
        <v>3</v>
      </c>
      <c r="O379" t="s">
        <v>1036</v>
      </c>
      <c r="P379" s="17"/>
      <c r="Q379" s="17" t="str">
        <f>_xlfn.XLOOKUP(Table2[[#This Row],[buyFromVendorNo]],'Next Day Scheduled'!A:A,'Pending Returns'!O:O,"NOT_FOUND")</f>
        <v>NOT_FOUND</v>
      </c>
    </row>
    <row r="380" spans="1:17" x14ac:dyDescent="0.3">
      <c r="A380" s="1">
        <v>46161</v>
      </c>
      <c r="B380" t="s">
        <v>438</v>
      </c>
      <c r="C380" t="s">
        <v>377</v>
      </c>
      <c r="D380" t="s">
        <v>378</v>
      </c>
      <c r="E380" t="s">
        <v>8</v>
      </c>
      <c r="F380" t="s">
        <v>38</v>
      </c>
      <c r="G380" s="16">
        <v>4113.2</v>
      </c>
      <c r="H380" s="16">
        <v>4730.18</v>
      </c>
      <c r="I380" s="1">
        <v>46160</v>
      </c>
      <c r="J380">
        <v>98</v>
      </c>
      <c r="K380" t="s">
        <v>453</v>
      </c>
      <c r="L380" t="s">
        <v>2021</v>
      </c>
      <c r="M380">
        <v>14</v>
      </c>
      <c r="N380">
        <v>3</v>
      </c>
      <c r="O380" t="s">
        <v>1036</v>
      </c>
      <c r="P380" s="17"/>
      <c r="Q380" s="17" t="str">
        <f>_xlfn.XLOOKUP(Table2[[#This Row],[buyFromVendorNo]],'Next Day Scheduled'!A:A,'Pending Returns'!O:O,"NOT_FOUND")</f>
        <v>NOT_FOUND</v>
      </c>
    </row>
    <row r="381" spans="1:17" x14ac:dyDescent="0.3">
      <c r="A381" s="1">
        <v>46161</v>
      </c>
      <c r="B381" t="s">
        <v>1837</v>
      </c>
      <c r="C381" t="s">
        <v>781</v>
      </c>
      <c r="D381" t="s">
        <v>782</v>
      </c>
      <c r="E381" t="s">
        <v>8</v>
      </c>
      <c r="F381" t="s">
        <v>10</v>
      </c>
      <c r="G381" s="16">
        <v>19050.5</v>
      </c>
      <c r="H381" s="16">
        <v>21908.074000000001</v>
      </c>
      <c r="I381" s="1">
        <v>46159</v>
      </c>
      <c r="J381">
        <v>98</v>
      </c>
      <c r="K381" t="s">
        <v>1838</v>
      </c>
      <c r="L381" t="s">
        <v>2011</v>
      </c>
      <c r="M381">
        <v>17</v>
      </c>
      <c r="N381">
        <v>2</v>
      </c>
      <c r="O381" t="s">
        <v>1036</v>
      </c>
      <c r="P381" s="17"/>
      <c r="Q381" s="17" t="str">
        <f>_xlfn.XLOOKUP(Table2[[#This Row],[buyFromVendorNo]],'Next Day Scheduled'!A:A,'Pending Returns'!O:O,"NOT_FOUND")</f>
        <v>NOT_FOUND</v>
      </c>
    </row>
    <row r="382" spans="1:17" x14ac:dyDescent="0.3">
      <c r="A382" s="1">
        <v>46161</v>
      </c>
      <c r="B382" t="s">
        <v>1782</v>
      </c>
      <c r="C382" t="s">
        <v>781</v>
      </c>
      <c r="D382" t="s">
        <v>782</v>
      </c>
      <c r="E382" t="s">
        <v>8</v>
      </c>
      <c r="F382" t="s">
        <v>10</v>
      </c>
      <c r="G382" s="16">
        <v>583.75</v>
      </c>
      <c r="H382" s="16">
        <v>671.3125</v>
      </c>
      <c r="I382" s="1">
        <v>46159</v>
      </c>
      <c r="J382">
        <v>98</v>
      </c>
      <c r="K382" t="s">
        <v>1752</v>
      </c>
      <c r="L382" t="s">
        <v>2041</v>
      </c>
      <c r="M382">
        <v>17</v>
      </c>
      <c r="N382">
        <v>2</v>
      </c>
      <c r="O382" t="s">
        <v>1036</v>
      </c>
      <c r="P382" s="17"/>
      <c r="Q382" s="17" t="str">
        <f>_xlfn.XLOOKUP(Table2[[#This Row],[buyFromVendorNo]],'Next Day Scheduled'!A:A,'Pending Returns'!O:O,"NOT_FOUND")</f>
        <v>NOT_FOUND</v>
      </c>
    </row>
    <row r="383" spans="1:17" x14ac:dyDescent="0.3">
      <c r="A383" s="1">
        <v>46161</v>
      </c>
      <c r="B383" t="s">
        <v>917</v>
      </c>
      <c r="C383" t="s">
        <v>301</v>
      </c>
      <c r="D383" t="s">
        <v>370</v>
      </c>
      <c r="E383" t="s">
        <v>8</v>
      </c>
      <c r="F383" t="s">
        <v>10</v>
      </c>
      <c r="G383" s="16">
        <v>958.70749999999998</v>
      </c>
      <c r="H383" s="16">
        <v>1102.5137</v>
      </c>
      <c r="I383" s="1">
        <v>46155</v>
      </c>
      <c r="J383">
        <v>98</v>
      </c>
      <c r="K383" t="s">
        <v>1735</v>
      </c>
      <c r="L383" t="s">
        <v>2014</v>
      </c>
      <c r="M383">
        <v>29</v>
      </c>
      <c r="N383">
        <v>5</v>
      </c>
      <c r="O383" t="s">
        <v>1036</v>
      </c>
      <c r="P383" s="17"/>
      <c r="Q383" s="17" t="str">
        <f>_xlfn.XLOOKUP(Table2[[#This Row],[buyFromVendorNo]],'Next Day Scheduled'!A:A,'Pending Returns'!O:O,"NOT_FOUND")</f>
        <v>NOT_FOUND</v>
      </c>
    </row>
    <row r="384" spans="1:17" x14ac:dyDescent="0.3">
      <c r="A384" s="1">
        <v>46161</v>
      </c>
      <c r="B384" t="s">
        <v>246</v>
      </c>
      <c r="C384" t="s">
        <v>536</v>
      </c>
      <c r="D384" t="s">
        <v>537</v>
      </c>
      <c r="E384" t="s">
        <v>8</v>
      </c>
      <c r="F384" t="s">
        <v>10</v>
      </c>
      <c r="G384" s="16">
        <v>9336.0159999999996</v>
      </c>
      <c r="H384" s="16">
        <v>10736.418</v>
      </c>
      <c r="I384" s="1">
        <v>46159</v>
      </c>
      <c r="J384">
        <v>98</v>
      </c>
      <c r="K384" t="s">
        <v>538</v>
      </c>
      <c r="L384" t="s">
        <v>2015</v>
      </c>
      <c r="M384">
        <v>14</v>
      </c>
      <c r="N384">
        <v>2</v>
      </c>
      <c r="O384" t="s">
        <v>1036</v>
      </c>
      <c r="P384" s="17"/>
      <c r="Q384" s="17" t="str">
        <f>_xlfn.XLOOKUP(Table2[[#This Row],[buyFromVendorNo]],'Next Day Scheduled'!A:A,'Pending Returns'!O:O,"NOT_FOUND")</f>
        <v>NOT_FOUND</v>
      </c>
    </row>
    <row r="385" spans="1:17" x14ac:dyDescent="0.3">
      <c r="A385" s="1">
        <v>46161</v>
      </c>
      <c r="B385" t="s">
        <v>279</v>
      </c>
      <c r="C385" t="s">
        <v>79</v>
      </c>
      <c r="D385" t="s">
        <v>80</v>
      </c>
      <c r="E385" t="s">
        <v>8</v>
      </c>
      <c r="F385" t="s">
        <v>10</v>
      </c>
      <c r="G385" s="16">
        <v>8248.9639999999999</v>
      </c>
      <c r="H385" s="16">
        <v>9486.3080000000009</v>
      </c>
      <c r="I385" s="1">
        <v>46158</v>
      </c>
      <c r="J385">
        <v>98</v>
      </c>
      <c r="K385" t="s">
        <v>1815</v>
      </c>
      <c r="L385" t="s">
        <v>1987</v>
      </c>
      <c r="M385">
        <v>11</v>
      </c>
      <c r="N385">
        <v>2</v>
      </c>
      <c r="O385" t="s">
        <v>1036</v>
      </c>
      <c r="P385" s="17"/>
      <c r="Q385" s="17" t="str">
        <f>_xlfn.XLOOKUP(Table2[[#This Row],[buyFromVendorNo]],'Next Day Scheduled'!A:A,'Pending Returns'!O:O,"NOT_FOUND")</f>
        <v>NOT_FOUND</v>
      </c>
    </row>
    <row r="386" spans="1:17" x14ac:dyDescent="0.3">
      <c r="A386" s="1">
        <v>46161</v>
      </c>
      <c r="B386" t="s">
        <v>676</v>
      </c>
      <c r="C386" t="s">
        <v>75</v>
      </c>
      <c r="D386" t="s">
        <v>76</v>
      </c>
      <c r="E386" t="s">
        <v>8</v>
      </c>
      <c r="F386" t="s">
        <v>169</v>
      </c>
      <c r="G386" s="16">
        <v>4523.0110000000004</v>
      </c>
      <c r="H386" s="16">
        <v>5201.4629999999997</v>
      </c>
      <c r="I386" s="1">
        <v>46151</v>
      </c>
      <c r="J386">
        <v>98</v>
      </c>
      <c r="K386" t="s">
        <v>741</v>
      </c>
      <c r="L386" t="s">
        <v>2026</v>
      </c>
      <c r="M386">
        <v>12</v>
      </c>
      <c r="N386">
        <v>3</v>
      </c>
      <c r="O386" t="s">
        <v>1036</v>
      </c>
      <c r="P386" s="17"/>
      <c r="Q386" s="17" t="str">
        <f>_xlfn.XLOOKUP(Table2[[#This Row],[buyFromVendorNo]],'Next Day Scheduled'!A:A,'Pending Returns'!O:O,"NOT_FOUND")</f>
        <v>Posted Credit Note</v>
      </c>
    </row>
    <row r="387" spans="1:17" x14ac:dyDescent="0.3">
      <c r="A387" s="1">
        <v>46161</v>
      </c>
      <c r="B387" t="s">
        <v>642</v>
      </c>
      <c r="C387" t="s">
        <v>562</v>
      </c>
      <c r="D387" t="s">
        <v>563</v>
      </c>
      <c r="E387" t="s">
        <v>8</v>
      </c>
      <c r="F387" t="s">
        <v>38</v>
      </c>
      <c r="G387" s="16">
        <v>2325.3670000000002</v>
      </c>
      <c r="H387" s="16">
        <v>2674.172</v>
      </c>
      <c r="I387" s="1">
        <v>46161</v>
      </c>
      <c r="J387">
        <v>98</v>
      </c>
      <c r="K387" t="s">
        <v>1940</v>
      </c>
      <c r="L387" t="s">
        <v>2018</v>
      </c>
      <c r="M387">
        <v>43</v>
      </c>
      <c r="N387">
        <v>23</v>
      </c>
      <c r="O387" t="s">
        <v>1036</v>
      </c>
      <c r="P387" s="17"/>
      <c r="Q387" s="17" t="str">
        <f>_xlfn.XLOOKUP(Table2[[#This Row],[buyFromVendorNo]],'Next Day Scheduled'!A:A,'Pending Returns'!O:O,"NOT_FOUND")</f>
        <v>NOT_FOUND</v>
      </c>
    </row>
    <row r="388" spans="1:17" x14ac:dyDescent="0.3">
      <c r="A388" s="1">
        <v>46161</v>
      </c>
      <c r="B388" t="s">
        <v>467</v>
      </c>
      <c r="C388" t="s">
        <v>98</v>
      </c>
      <c r="D388" t="s">
        <v>99</v>
      </c>
      <c r="E388" t="s">
        <v>8</v>
      </c>
      <c r="F388" t="s">
        <v>10</v>
      </c>
      <c r="G388" s="16">
        <v>4373.96</v>
      </c>
      <c r="H388" s="16">
        <v>5030.0540000000001</v>
      </c>
      <c r="I388" s="1">
        <v>46155</v>
      </c>
      <c r="J388">
        <v>98</v>
      </c>
      <c r="K388" t="s">
        <v>459</v>
      </c>
      <c r="L388" t="s">
        <v>2019</v>
      </c>
      <c r="M388">
        <v>13</v>
      </c>
      <c r="N388">
        <v>6</v>
      </c>
      <c r="O388" t="s">
        <v>1036</v>
      </c>
      <c r="P388" s="17"/>
      <c r="Q388" s="17" t="str">
        <f>_xlfn.XLOOKUP(Table2[[#This Row],[buyFromVendorNo]],'Next Day Scheduled'!A:A,'Pending Returns'!O:O,"NOT_FOUND")</f>
        <v>NOT_FOUND</v>
      </c>
    </row>
    <row r="389" spans="1:17" x14ac:dyDescent="0.3">
      <c r="A389" s="1">
        <v>46161</v>
      </c>
      <c r="B389" t="s">
        <v>964</v>
      </c>
      <c r="C389" t="s">
        <v>957</v>
      </c>
      <c r="D389" t="s">
        <v>958</v>
      </c>
      <c r="E389" t="s">
        <v>8</v>
      </c>
      <c r="F389" t="s">
        <v>10</v>
      </c>
      <c r="G389" s="16">
        <v>6664.0039999999999</v>
      </c>
      <c r="H389" s="16">
        <v>7663.6045000000004</v>
      </c>
      <c r="I389" s="1">
        <v>46156</v>
      </c>
      <c r="J389">
        <v>98</v>
      </c>
      <c r="K389" t="s">
        <v>965</v>
      </c>
      <c r="L389" t="s">
        <v>2010</v>
      </c>
      <c r="M389">
        <v>12</v>
      </c>
      <c r="N389">
        <v>3</v>
      </c>
      <c r="O389" t="s">
        <v>1036</v>
      </c>
      <c r="P389" s="17"/>
      <c r="Q389" s="17" t="str">
        <f>_xlfn.XLOOKUP(Table2[[#This Row],[buyFromVendorNo]],'Next Day Scheduled'!A:A,'Pending Returns'!O:O,"NOT_FOUND")</f>
        <v>NOT_FOUND</v>
      </c>
    </row>
    <row r="390" spans="1:17" x14ac:dyDescent="0.3">
      <c r="A390" s="1">
        <v>46161</v>
      </c>
      <c r="B390" t="s">
        <v>451</v>
      </c>
      <c r="C390" t="s">
        <v>60</v>
      </c>
      <c r="D390" t="s">
        <v>61</v>
      </c>
      <c r="E390" t="s">
        <v>8</v>
      </c>
      <c r="F390" t="s">
        <v>38</v>
      </c>
      <c r="G390" s="16">
        <v>3939.81</v>
      </c>
      <c r="H390" s="16">
        <v>4530.7816999999995</v>
      </c>
      <c r="I390" s="1">
        <v>46153</v>
      </c>
      <c r="J390">
        <v>98</v>
      </c>
      <c r="K390" t="s">
        <v>452</v>
      </c>
      <c r="L390" t="s">
        <v>2042</v>
      </c>
      <c r="M390">
        <v>14</v>
      </c>
      <c r="N390">
        <v>7</v>
      </c>
      <c r="O390" t="s">
        <v>1036</v>
      </c>
      <c r="P390" s="17"/>
      <c r="Q390" s="17" t="str">
        <f>_xlfn.XLOOKUP(Table2[[#This Row],[buyFromVendorNo]],'Next Day Scheduled'!A:A,'Pending Returns'!O:O,"NOT_FOUND")</f>
        <v>NOT_FOUND</v>
      </c>
    </row>
    <row r="391" spans="1:17" x14ac:dyDescent="0.3">
      <c r="A391" s="1">
        <v>46161</v>
      </c>
      <c r="B391" t="s">
        <v>257</v>
      </c>
      <c r="C391" t="s">
        <v>1743</v>
      </c>
      <c r="D391" t="s">
        <v>1744</v>
      </c>
      <c r="E391" t="s">
        <v>8</v>
      </c>
      <c r="F391" t="s">
        <v>10</v>
      </c>
      <c r="G391" s="16">
        <v>2085.94</v>
      </c>
      <c r="H391" s="16">
        <v>2398.8310000000001</v>
      </c>
      <c r="I391" s="1">
        <v>46160</v>
      </c>
      <c r="J391">
        <v>98</v>
      </c>
      <c r="K391" t="s">
        <v>1961</v>
      </c>
      <c r="L391" t="s">
        <v>2045</v>
      </c>
      <c r="M391">
        <v>8</v>
      </c>
      <c r="N391">
        <v>19</v>
      </c>
      <c r="O391" t="s">
        <v>1036</v>
      </c>
      <c r="P391" s="17"/>
      <c r="Q391" s="17" t="str">
        <f>_xlfn.XLOOKUP(Table2[[#This Row],[buyFromVendorNo]],'Next Day Scheduled'!A:A,'Pending Returns'!O:O,"NOT_FOUND")</f>
        <v>NOT_FOUND</v>
      </c>
    </row>
    <row r="392" spans="1:17" x14ac:dyDescent="0.3">
      <c r="A392" s="1">
        <v>46161</v>
      </c>
      <c r="B392" t="s">
        <v>980</v>
      </c>
      <c r="C392" t="s">
        <v>957</v>
      </c>
      <c r="D392" t="s">
        <v>958</v>
      </c>
      <c r="E392" t="s">
        <v>8</v>
      </c>
      <c r="F392" t="s">
        <v>10</v>
      </c>
      <c r="G392" s="16">
        <v>6664.0039999999999</v>
      </c>
      <c r="H392" s="16">
        <v>7663.6045000000004</v>
      </c>
      <c r="I392" s="1">
        <v>46156</v>
      </c>
      <c r="J392">
        <v>98</v>
      </c>
      <c r="K392" t="s">
        <v>981</v>
      </c>
      <c r="L392" t="s">
        <v>2046</v>
      </c>
      <c r="M392">
        <v>12</v>
      </c>
      <c r="N392">
        <v>3</v>
      </c>
      <c r="O392" t="s">
        <v>1036</v>
      </c>
      <c r="P392" s="17"/>
      <c r="Q392" s="17" t="str">
        <f>_xlfn.XLOOKUP(Table2[[#This Row],[buyFromVendorNo]],'Next Day Scheduled'!A:A,'Pending Returns'!O:O,"NOT_FOUND")</f>
        <v>NOT_FOUND</v>
      </c>
    </row>
    <row r="393" spans="1:17" x14ac:dyDescent="0.3">
      <c r="A393" s="1">
        <v>46161</v>
      </c>
      <c r="B393" t="s">
        <v>783</v>
      </c>
      <c r="C393" t="s">
        <v>423</v>
      </c>
      <c r="D393" t="s">
        <v>424</v>
      </c>
      <c r="E393" t="s">
        <v>8</v>
      </c>
      <c r="F393" t="s">
        <v>10</v>
      </c>
      <c r="G393" s="16">
        <v>2852.93</v>
      </c>
      <c r="H393" s="16">
        <v>3280.8694</v>
      </c>
      <c r="I393" s="1">
        <v>46153</v>
      </c>
      <c r="J393">
        <v>98</v>
      </c>
      <c r="K393" t="s">
        <v>755</v>
      </c>
      <c r="L393" t="s">
        <v>2047</v>
      </c>
      <c r="M393">
        <v>15</v>
      </c>
      <c r="N393">
        <v>3</v>
      </c>
      <c r="O393" t="s">
        <v>1036</v>
      </c>
      <c r="P393" s="17"/>
      <c r="Q393" s="17" t="str">
        <f>_xlfn.XLOOKUP(Table2[[#This Row],[buyFromVendorNo]],'Next Day Scheduled'!A:A,'Pending Returns'!O:O,"NOT_FOUND")</f>
        <v>NOT_FOUND</v>
      </c>
    </row>
    <row r="394" spans="1:17" x14ac:dyDescent="0.3">
      <c r="A394" s="1">
        <v>46161</v>
      </c>
      <c r="B394" t="s">
        <v>962</v>
      </c>
      <c r="C394" t="s">
        <v>957</v>
      </c>
      <c r="D394" t="s">
        <v>958</v>
      </c>
      <c r="E394" t="s">
        <v>8</v>
      </c>
      <c r="F394" t="s">
        <v>10</v>
      </c>
      <c r="G394" s="16">
        <v>4216.0024000000003</v>
      </c>
      <c r="H394" s="16">
        <v>4848.4030000000002</v>
      </c>
      <c r="I394" s="1">
        <v>46156</v>
      </c>
      <c r="J394">
        <v>98</v>
      </c>
      <c r="K394" t="s">
        <v>963</v>
      </c>
      <c r="L394" t="s">
        <v>2023</v>
      </c>
      <c r="M394">
        <v>12</v>
      </c>
      <c r="N394">
        <v>3</v>
      </c>
      <c r="O394" t="s">
        <v>1036</v>
      </c>
      <c r="P394" s="17"/>
      <c r="Q394" s="17" t="str">
        <f>_xlfn.XLOOKUP(Table2[[#This Row],[buyFromVendorNo]],'Next Day Scheduled'!A:A,'Pending Returns'!O:O,"NOT_FOUND")</f>
        <v>NOT_FOUND</v>
      </c>
    </row>
    <row r="395" spans="1:17" x14ac:dyDescent="0.3">
      <c r="A395" s="1">
        <v>46161</v>
      </c>
      <c r="B395" t="s">
        <v>442</v>
      </c>
      <c r="C395" t="s">
        <v>562</v>
      </c>
      <c r="D395" t="s">
        <v>563</v>
      </c>
      <c r="E395" t="s">
        <v>8</v>
      </c>
      <c r="F395" t="s">
        <v>38</v>
      </c>
      <c r="G395" s="16">
        <v>1218.325</v>
      </c>
      <c r="H395" s="16">
        <v>1401.0736999999999</v>
      </c>
      <c r="I395" s="1">
        <v>46161</v>
      </c>
      <c r="J395">
        <v>98</v>
      </c>
      <c r="K395" t="s">
        <v>1968</v>
      </c>
      <c r="L395" t="s">
        <v>2035</v>
      </c>
      <c r="M395">
        <v>43</v>
      </c>
      <c r="N395">
        <v>23</v>
      </c>
      <c r="O395" t="s">
        <v>1036</v>
      </c>
      <c r="P395" s="17"/>
      <c r="Q395" s="17" t="str">
        <f>_xlfn.XLOOKUP(Table2[[#This Row],[buyFromVendorNo]],'Next Day Scheduled'!A:A,'Pending Returns'!O:O,"NOT_FOUND")</f>
        <v>NOT_FOUND</v>
      </c>
    </row>
    <row r="396" spans="1:17" x14ac:dyDescent="0.3">
      <c r="A396" s="1">
        <v>46161</v>
      </c>
      <c r="B396" t="s">
        <v>960</v>
      </c>
      <c r="C396" t="s">
        <v>957</v>
      </c>
      <c r="D396" t="s">
        <v>958</v>
      </c>
      <c r="E396" t="s">
        <v>8</v>
      </c>
      <c r="F396" t="s">
        <v>10</v>
      </c>
      <c r="G396" s="16">
        <v>13530</v>
      </c>
      <c r="H396" s="16">
        <v>15559.5</v>
      </c>
      <c r="I396" s="1">
        <v>46156</v>
      </c>
      <c r="J396">
        <v>98</v>
      </c>
      <c r="K396" t="s">
        <v>961</v>
      </c>
      <c r="L396" t="s">
        <v>2008</v>
      </c>
      <c r="M396">
        <v>12</v>
      </c>
      <c r="N396">
        <v>3</v>
      </c>
      <c r="O396" t="s">
        <v>1036</v>
      </c>
      <c r="P396" s="17"/>
      <c r="Q396" s="17" t="str">
        <f>_xlfn.XLOOKUP(Table2[[#This Row],[buyFromVendorNo]],'Next Day Scheduled'!A:A,'Pending Returns'!O:O,"NOT_FOUND")</f>
        <v>NOT_FOUND</v>
      </c>
    </row>
    <row r="397" spans="1:17" x14ac:dyDescent="0.3">
      <c r="A397" s="1">
        <v>46161</v>
      </c>
      <c r="B397" t="s">
        <v>438</v>
      </c>
      <c r="C397" t="s">
        <v>377</v>
      </c>
      <c r="D397" t="s">
        <v>378</v>
      </c>
      <c r="E397" t="s">
        <v>8</v>
      </c>
      <c r="F397" t="s">
        <v>38</v>
      </c>
      <c r="G397" s="16">
        <v>4926.8</v>
      </c>
      <c r="H397" s="16">
        <v>5665.82</v>
      </c>
      <c r="I397" s="1">
        <v>46160</v>
      </c>
      <c r="J397">
        <v>98</v>
      </c>
      <c r="K397" t="s">
        <v>439</v>
      </c>
      <c r="L397" t="s">
        <v>2028</v>
      </c>
      <c r="M397">
        <v>14</v>
      </c>
      <c r="N397">
        <v>3</v>
      </c>
      <c r="O397" t="s">
        <v>1036</v>
      </c>
      <c r="P397" s="17"/>
      <c r="Q397" s="17" t="str">
        <f>_xlfn.XLOOKUP(Table2[[#This Row],[buyFromVendorNo]],'Next Day Scheduled'!A:A,'Pending Returns'!O:O,"NOT_FOUND")</f>
        <v>NOT_FOUND</v>
      </c>
    </row>
    <row r="398" spans="1:17" x14ac:dyDescent="0.3">
      <c r="A398" s="1">
        <v>46161</v>
      </c>
      <c r="B398" t="s">
        <v>239</v>
      </c>
      <c r="C398" t="s">
        <v>181</v>
      </c>
      <c r="D398" t="s">
        <v>182</v>
      </c>
      <c r="E398" t="s">
        <v>8</v>
      </c>
      <c r="F398" t="s">
        <v>10</v>
      </c>
      <c r="G398" s="16">
        <v>2741.52</v>
      </c>
      <c r="H398" s="16">
        <v>3152.748</v>
      </c>
      <c r="I398" s="1">
        <v>46151</v>
      </c>
      <c r="J398">
        <v>98</v>
      </c>
      <c r="K398" t="s">
        <v>514</v>
      </c>
      <c r="L398" t="s">
        <v>2029</v>
      </c>
      <c r="M398">
        <v>20</v>
      </c>
      <c r="N398">
        <v>2</v>
      </c>
      <c r="O398" t="s">
        <v>1036</v>
      </c>
      <c r="P398" s="17"/>
      <c r="Q398" s="17" t="str">
        <f>_xlfn.XLOOKUP(Table2[[#This Row],[buyFromVendorNo]],'Next Day Scheduled'!A:A,'Pending Returns'!O:O,"NOT_FOUND")</f>
        <v>NOT_FOUND</v>
      </c>
    </row>
    <row r="399" spans="1:17" x14ac:dyDescent="0.3">
      <c r="A399" s="1">
        <v>46161</v>
      </c>
      <c r="B399" t="s">
        <v>970</v>
      </c>
      <c r="C399" t="s">
        <v>957</v>
      </c>
      <c r="D399" t="s">
        <v>958</v>
      </c>
      <c r="E399" t="s">
        <v>8</v>
      </c>
      <c r="F399" t="s">
        <v>10</v>
      </c>
      <c r="G399" s="16">
        <v>18150</v>
      </c>
      <c r="H399" s="16">
        <v>20872.5</v>
      </c>
      <c r="I399" s="1">
        <v>46156</v>
      </c>
      <c r="J399">
        <v>98</v>
      </c>
      <c r="K399" t="s">
        <v>971</v>
      </c>
      <c r="L399" t="s">
        <v>2030</v>
      </c>
      <c r="M399">
        <v>12</v>
      </c>
      <c r="N399">
        <v>3</v>
      </c>
      <c r="O399" t="s">
        <v>1036</v>
      </c>
      <c r="P399" s="17"/>
      <c r="Q399" s="17" t="str">
        <f>_xlfn.XLOOKUP(Table2[[#This Row],[buyFromVendorNo]],'Next Day Scheduled'!A:A,'Pending Returns'!O:O,"NOT_FOUND")</f>
        <v>NOT_FOUND</v>
      </c>
    </row>
    <row r="400" spans="1:17" x14ac:dyDescent="0.3">
      <c r="A400" s="1">
        <v>46161</v>
      </c>
      <c r="B400" t="s">
        <v>968</v>
      </c>
      <c r="C400" t="s">
        <v>957</v>
      </c>
      <c r="D400" t="s">
        <v>958</v>
      </c>
      <c r="E400" t="s">
        <v>8</v>
      </c>
      <c r="F400" t="s">
        <v>10</v>
      </c>
      <c r="G400" s="16">
        <v>25410</v>
      </c>
      <c r="H400" s="16">
        <v>29221.5</v>
      </c>
      <c r="I400" s="1">
        <v>46156</v>
      </c>
      <c r="J400">
        <v>98</v>
      </c>
      <c r="K400" t="s">
        <v>969</v>
      </c>
      <c r="L400" t="s">
        <v>2039</v>
      </c>
      <c r="M400">
        <v>12</v>
      </c>
      <c r="N400">
        <v>3</v>
      </c>
      <c r="O400" t="s">
        <v>1036</v>
      </c>
      <c r="P400" s="17"/>
      <c r="Q400" s="17" t="str">
        <f>_xlfn.XLOOKUP(Table2[[#This Row],[buyFromVendorNo]],'Next Day Scheduled'!A:A,'Pending Returns'!O:O,"NOT_FOUND")</f>
        <v>NOT_FOUND</v>
      </c>
    </row>
    <row r="401" spans="1:17" x14ac:dyDescent="0.3">
      <c r="A401" s="1">
        <v>46161</v>
      </c>
      <c r="B401" t="s">
        <v>996</v>
      </c>
      <c r="C401" t="s">
        <v>957</v>
      </c>
      <c r="D401" t="s">
        <v>958</v>
      </c>
      <c r="E401" t="s">
        <v>8</v>
      </c>
      <c r="F401" t="s">
        <v>10</v>
      </c>
      <c r="G401" s="16">
        <v>23199.984</v>
      </c>
      <c r="H401" s="16">
        <v>26679.982</v>
      </c>
      <c r="I401" s="1">
        <v>46156</v>
      </c>
      <c r="J401">
        <v>98</v>
      </c>
      <c r="K401" t="s">
        <v>997</v>
      </c>
      <c r="L401" t="s">
        <v>2033</v>
      </c>
      <c r="M401">
        <v>12</v>
      </c>
      <c r="N401">
        <v>3</v>
      </c>
      <c r="O401" t="s">
        <v>1036</v>
      </c>
      <c r="P401" s="17"/>
      <c r="Q401" s="17" t="str">
        <f>_xlfn.XLOOKUP(Table2[[#This Row],[buyFromVendorNo]],'Next Day Scheduled'!A:A,'Pending Returns'!O:O,"NOT_FOUND")</f>
        <v>NOT_FOUND</v>
      </c>
    </row>
    <row r="402" spans="1:17" x14ac:dyDescent="0.3">
      <c r="A402" s="1">
        <v>46161</v>
      </c>
      <c r="B402" t="s">
        <v>1888</v>
      </c>
      <c r="C402" t="s">
        <v>972</v>
      </c>
      <c r="D402" t="s">
        <v>973</v>
      </c>
      <c r="E402" t="s">
        <v>8</v>
      </c>
      <c r="F402" t="s">
        <v>10</v>
      </c>
      <c r="G402" s="16">
        <v>3017.6875</v>
      </c>
      <c r="H402" s="16">
        <v>3470.3406</v>
      </c>
      <c r="I402" s="1">
        <v>46159</v>
      </c>
      <c r="J402">
        <v>98</v>
      </c>
      <c r="K402" t="s">
        <v>974</v>
      </c>
      <c r="L402" t="s">
        <v>2022</v>
      </c>
      <c r="M402">
        <v>14</v>
      </c>
      <c r="N402">
        <v>5</v>
      </c>
      <c r="O402" t="s">
        <v>1036</v>
      </c>
      <c r="P402" s="17"/>
      <c r="Q402" s="17" t="str">
        <f>_xlfn.XLOOKUP(Table2[[#This Row],[buyFromVendorNo]],'Next Day Scheduled'!A:A,'Pending Returns'!O:O,"NOT_FOUND")</f>
        <v>Posted Credit Note</v>
      </c>
    </row>
    <row r="403" spans="1:17" x14ac:dyDescent="0.3">
      <c r="A403" s="1">
        <v>46161</v>
      </c>
      <c r="B403" t="s">
        <v>640</v>
      </c>
      <c r="C403" t="s">
        <v>199</v>
      </c>
      <c r="D403" t="s">
        <v>200</v>
      </c>
      <c r="E403" t="s">
        <v>8</v>
      </c>
      <c r="F403" t="s">
        <v>10</v>
      </c>
      <c r="G403" s="16">
        <v>773</v>
      </c>
      <c r="H403" s="16">
        <v>888.95</v>
      </c>
      <c r="I403" s="1">
        <v>46154</v>
      </c>
      <c r="J403">
        <v>98</v>
      </c>
      <c r="K403" t="s">
        <v>641</v>
      </c>
      <c r="L403" t="s">
        <v>2043</v>
      </c>
      <c r="M403">
        <v>14</v>
      </c>
      <c r="N403">
        <v>6</v>
      </c>
      <c r="O403" t="s">
        <v>1036</v>
      </c>
      <c r="P403" s="17"/>
      <c r="Q403" s="17" t="str">
        <f>_xlfn.XLOOKUP(Table2[[#This Row],[buyFromVendorNo]],'Next Day Scheduled'!A:A,'Pending Returns'!O:O,"NOT_FOUND")</f>
        <v>NOT_FOUND</v>
      </c>
    </row>
    <row r="404" spans="1:17" x14ac:dyDescent="0.3">
      <c r="A404" s="1">
        <v>46161</v>
      </c>
      <c r="B404" t="s">
        <v>237</v>
      </c>
      <c r="C404" t="s">
        <v>98</v>
      </c>
      <c r="D404" t="s">
        <v>99</v>
      </c>
      <c r="E404" t="s">
        <v>8</v>
      </c>
      <c r="F404" t="s">
        <v>10</v>
      </c>
      <c r="G404" s="16">
        <v>4658.63</v>
      </c>
      <c r="H404" s="16">
        <v>5357.4242999999997</v>
      </c>
      <c r="I404" s="1">
        <v>46155</v>
      </c>
      <c r="J404">
        <v>98</v>
      </c>
      <c r="K404" t="s">
        <v>97</v>
      </c>
      <c r="L404" t="s">
        <v>2044</v>
      </c>
      <c r="M404">
        <v>13</v>
      </c>
      <c r="N404">
        <v>6</v>
      </c>
      <c r="O404" t="s">
        <v>1036</v>
      </c>
      <c r="P404" s="17"/>
      <c r="Q404" s="17" t="str">
        <f>_xlfn.XLOOKUP(Table2[[#This Row],[buyFromVendorNo]],'Next Day Scheduled'!A:A,'Pending Returns'!O:O,"NOT_FOUND")</f>
        <v>NOT_FOUND</v>
      </c>
    </row>
    <row r="405" spans="1:17" x14ac:dyDescent="0.3">
      <c r="A405" s="1">
        <v>46161</v>
      </c>
      <c r="B405" t="s">
        <v>729</v>
      </c>
      <c r="C405" t="s">
        <v>569</v>
      </c>
      <c r="D405" t="s">
        <v>570</v>
      </c>
      <c r="E405" t="s">
        <v>8</v>
      </c>
      <c r="F405" t="s">
        <v>10</v>
      </c>
      <c r="G405" s="16">
        <v>13640.275</v>
      </c>
      <c r="H405" s="16">
        <v>15686.316000000001</v>
      </c>
      <c r="I405" s="1">
        <v>46153</v>
      </c>
      <c r="J405">
        <v>98</v>
      </c>
      <c r="K405" t="s">
        <v>730</v>
      </c>
      <c r="L405" t="s">
        <v>2016</v>
      </c>
      <c r="M405">
        <v>15</v>
      </c>
      <c r="N405">
        <v>1</v>
      </c>
      <c r="O405" t="s">
        <v>1036</v>
      </c>
      <c r="P405" s="17"/>
      <c r="Q405" s="17" t="str">
        <f>_xlfn.XLOOKUP(Table2[[#This Row],[buyFromVendorNo]],'Next Day Scheduled'!A:A,'Pending Returns'!O:O,"NOT_FOUND")</f>
        <v>NOT_FOUND</v>
      </c>
    </row>
    <row r="406" spans="1:17" x14ac:dyDescent="0.3">
      <c r="A406" s="1">
        <v>46161</v>
      </c>
      <c r="B406" t="s">
        <v>245</v>
      </c>
      <c r="C406" t="s">
        <v>181</v>
      </c>
      <c r="D406" t="s">
        <v>182</v>
      </c>
      <c r="E406" t="s">
        <v>8</v>
      </c>
      <c r="F406" t="s">
        <v>10</v>
      </c>
      <c r="G406" s="16">
        <v>4345.3580000000002</v>
      </c>
      <c r="H406" s="16">
        <v>4997.1616000000004</v>
      </c>
      <c r="I406" s="1">
        <v>46151</v>
      </c>
      <c r="J406">
        <v>98</v>
      </c>
      <c r="K406" t="s">
        <v>738</v>
      </c>
      <c r="L406" t="s">
        <v>2036</v>
      </c>
      <c r="M406">
        <v>20</v>
      </c>
      <c r="N406">
        <v>2</v>
      </c>
      <c r="O406" t="s">
        <v>1036</v>
      </c>
      <c r="P406" s="17"/>
      <c r="Q406" s="17" t="str">
        <f>_xlfn.XLOOKUP(Table2[[#This Row],[buyFromVendorNo]],'Next Day Scheduled'!A:A,'Pending Returns'!O:O,"NOT_FOUND")</f>
        <v>NOT_FOUND</v>
      </c>
    </row>
    <row r="407" spans="1:17" x14ac:dyDescent="0.3">
      <c r="A407" s="1">
        <v>46161</v>
      </c>
      <c r="B407" t="s">
        <v>956</v>
      </c>
      <c r="C407" t="s">
        <v>957</v>
      </c>
      <c r="D407" t="s">
        <v>958</v>
      </c>
      <c r="E407" t="s">
        <v>8</v>
      </c>
      <c r="F407" t="s">
        <v>10</v>
      </c>
      <c r="G407" s="16">
        <v>6664.0039999999999</v>
      </c>
      <c r="H407" s="16">
        <v>7663.6045000000004</v>
      </c>
      <c r="I407" s="1">
        <v>46156</v>
      </c>
      <c r="J407">
        <v>98</v>
      </c>
      <c r="K407" t="s">
        <v>959</v>
      </c>
      <c r="L407" t="s">
        <v>2038</v>
      </c>
      <c r="M407">
        <v>12</v>
      </c>
      <c r="N407">
        <v>3</v>
      </c>
      <c r="O407" t="s">
        <v>1036</v>
      </c>
      <c r="P407" s="17"/>
      <c r="Q407" s="17" t="str">
        <f>_xlfn.XLOOKUP(Table2[[#This Row],[buyFromVendorNo]],'Next Day Scheduled'!A:A,'Pending Returns'!O:O,"NOT_FOUND")</f>
        <v>NOT_FOUND</v>
      </c>
    </row>
    <row r="408" spans="1:17" x14ac:dyDescent="0.3">
      <c r="A408" s="1">
        <v>46161</v>
      </c>
      <c r="B408" t="s">
        <v>257</v>
      </c>
      <c r="C408" t="s">
        <v>310</v>
      </c>
      <c r="D408" t="s">
        <v>311</v>
      </c>
      <c r="E408" t="s">
        <v>8</v>
      </c>
      <c r="F408" t="s">
        <v>10</v>
      </c>
      <c r="G408" s="16">
        <v>8617.6</v>
      </c>
      <c r="H408" s="16">
        <v>9910.2389999999996</v>
      </c>
      <c r="I408" s="1">
        <v>46156</v>
      </c>
      <c r="J408">
        <v>98</v>
      </c>
      <c r="K408" t="s">
        <v>1810</v>
      </c>
      <c r="L408" t="s">
        <v>2037</v>
      </c>
      <c r="M408">
        <v>12</v>
      </c>
      <c r="N408">
        <v>2</v>
      </c>
      <c r="O408" t="s">
        <v>1036</v>
      </c>
      <c r="P408" s="17"/>
      <c r="Q408" s="17" t="str">
        <f>_xlfn.XLOOKUP(Table2[[#This Row],[buyFromVendorNo]],'Next Day Scheduled'!A:A,'Pending Returns'!O:O,"NOT_FOUND")</f>
        <v>NOT_FOUND</v>
      </c>
    </row>
    <row r="409" spans="1:17" x14ac:dyDescent="0.3">
      <c r="A409" s="1">
        <v>46161</v>
      </c>
      <c r="B409" t="s">
        <v>982</v>
      </c>
      <c r="C409" t="s">
        <v>957</v>
      </c>
      <c r="D409" t="s">
        <v>958</v>
      </c>
      <c r="E409" t="s">
        <v>8</v>
      </c>
      <c r="F409" t="s">
        <v>10</v>
      </c>
      <c r="G409" s="16">
        <v>6664.0039999999999</v>
      </c>
      <c r="H409" s="16">
        <v>7663.6045000000004</v>
      </c>
      <c r="I409" s="1">
        <v>46156</v>
      </c>
      <c r="J409">
        <v>98</v>
      </c>
      <c r="K409" t="s">
        <v>983</v>
      </c>
      <c r="L409" t="s">
        <v>2027</v>
      </c>
      <c r="M409">
        <v>12</v>
      </c>
      <c r="N409">
        <v>3</v>
      </c>
      <c r="O409" t="s">
        <v>1036</v>
      </c>
      <c r="P409" s="17"/>
      <c r="Q409" s="17" t="str">
        <f>_xlfn.XLOOKUP(Table2[[#This Row],[buyFromVendorNo]],'Next Day Scheduled'!A:A,'Pending Returns'!O:O,"NOT_FOUND")</f>
        <v>NOT_FOUND</v>
      </c>
    </row>
    <row r="410" spans="1:17" x14ac:dyDescent="0.3">
      <c r="A410" s="1">
        <v>46161</v>
      </c>
      <c r="B410" t="s">
        <v>772</v>
      </c>
      <c r="C410" t="s">
        <v>464</v>
      </c>
      <c r="D410" t="s">
        <v>465</v>
      </c>
      <c r="E410" t="s">
        <v>8</v>
      </c>
      <c r="F410" t="s">
        <v>10</v>
      </c>
      <c r="G410" s="16">
        <v>7658.0860000000002</v>
      </c>
      <c r="H410" s="16">
        <v>8806.7990000000009</v>
      </c>
      <c r="I410" s="1">
        <v>46159</v>
      </c>
      <c r="J410">
        <v>98</v>
      </c>
      <c r="K410" t="s">
        <v>678</v>
      </c>
      <c r="L410" t="s">
        <v>2009</v>
      </c>
      <c r="M410">
        <v>14</v>
      </c>
      <c r="N410">
        <v>6</v>
      </c>
      <c r="O410" t="s">
        <v>1036</v>
      </c>
      <c r="P410" s="17"/>
      <c r="Q410" s="17" t="str">
        <f>_xlfn.XLOOKUP(Table2[[#This Row],[buyFromVendorNo]],'Next Day Scheduled'!A:A,'Pending Returns'!O:O,"NOT_FOUND")</f>
        <v>NOT_FOUND</v>
      </c>
    </row>
    <row r="411" spans="1:17" x14ac:dyDescent="0.3">
      <c r="A411" s="1">
        <v>46161</v>
      </c>
      <c r="B411" t="s">
        <v>978</v>
      </c>
      <c r="C411" t="s">
        <v>957</v>
      </c>
      <c r="D411" t="s">
        <v>958</v>
      </c>
      <c r="E411" t="s">
        <v>8</v>
      </c>
      <c r="F411" t="s">
        <v>10</v>
      </c>
      <c r="G411" s="16">
        <v>6664.0039999999999</v>
      </c>
      <c r="H411" s="16">
        <v>7663.6045000000004</v>
      </c>
      <c r="I411" s="1">
        <v>46156</v>
      </c>
      <c r="J411">
        <v>98</v>
      </c>
      <c r="K411" t="s">
        <v>979</v>
      </c>
      <c r="L411" t="s">
        <v>2034</v>
      </c>
      <c r="M411">
        <v>12</v>
      </c>
      <c r="N411">
        <v>3</v>
      </c>
      <c r="O411" t="s">
        <v>1036</v>
      </c>
      <c r="P411" s="17"/>
      <c r="Q411" s="17" t="str">
        <f>_xlfn.XLOOKUP(Table2[[#This Row],[buyFromVendorNo]],'Next Day Scheduled'!A:A,'Pending Returns'!O:O,"NOT_FOUND")</f>
        <v>NOT_FOUND</v>
      </c>
    </row>
    <row r="412" spans="1:17" x14ac:dyDescent="0.3">
      <c r="A412" s="1">
        <v>46161</v>
      </c>
      <c r="B412" t="s">
        <v>1686</v>
      </c>
      <c r="C412" t="s">
        <v>824</v>
      </c>
      <c r="D412" t="s">
        <v>825</v>
      </c>
      <c r="E412" t="s">
        <v>8</v>
      </c>
      <c r="F412" t="s">
        <v>10</v>
      </c>
      <c r="G412" s="16">
        <v>4257.5780000000004</v>
      </c>
      <c r="H412" s="16">
        <v>4896.2150000000001</v>
      </c>
      <c r="I412" s="1">
        <v>46160</v>
      </c>
      <c r="J412">
        <v>98</v>
      </c>
      <c r="K412" t="s">
        <v>1944</v>
      </c>
      <c r="L412" t="s">
        <v>2017</v>
      </c>
      <c r="M412">
        <v>13</v>
      </c>
      <c r="N412">
        <v>6</v>
      </c>
      <c r="O412" t="s">
        <v>1036</v>
      </c>
      <c r="P412" s="17"/>
      <c r="Q412" s="17" t="str">
        <f>_xlfn.XLOOKUP(Table2[[#This Row],[buyFromVendorNo]],'Next Day Scheduled'!A:A,'Pending Returns'!O:O,"NOT_FOUND")</f>
        <v>NOT_FOUND</v>
      </c>
    </row>
    <row r="413" spans="1:17" x14ac:dyDescent="0.3">
      <c r="A413" s="1">
        <v>46161</v>
      </c>
      <c r="B413" t="s">
        <v>315</v>
      </c>
      <c r="C413" t="s">
        <v>158</v>
      </c>
      <c r="D413" t="s">
        <v>159</v>
      </c>
      <c r="E413" t="s">
        <v>8</v>
      </c>
      <c r="F413" t="s">
        <v>10</v>
      </c>
      <c r="G413" s="16">
        <v>5728.0249999999996</v>
      </c>
      <c r="H413" s="16">
        <v>6587.2285000000002</v>
      </c>
      <c r="I413" s="1">
        <v>46155</v>
      </c>
      <c r="J413">
        <v>98</v>
      </c>
      <c r="K413" t="s">
        <v>736</v>
      </c>
      <c r="L413" t="s">
        <v>2024</v>
      </c>
      <c r="M413">
        <v>13</v>
      </c>
      <c r="N413">
        <v>6</v>
      </c>
      <c r="O413" t="s">
        <v>1036</v>
      </c>
      <c r="P413" s="17"/>
      <c r="Q413" s="17" t="str">
        <f>_xlfn.XLOOKUP(Table2[[#This Row],[buyFromVendorNo]],'Next Day Scheduled'!A:A,'Pending Returns'!O:O,"NOT_FOUND")</f>
        <v>Posted Credit Note</v>
      </c>
    </row>
    <row r="414" spans="1:17" x14ac:dyDescent="0.3">
      <c r="A414" s="1">
        <v>46161</v>
      </c>
      <c r="B414" t="s">
        <v>555</v>
      </c>
      <c r="C414" t="s">
        <v>88</v>
      </c>
      <c r="D414" t="s">
        <v>89</v>
      </c>
      <c r="E414" t="s">
        <v>8</v>
      </c>
      <c r="F414" t="s">
        <v>38</v>
      </c>
      <c r="G414" s="16">
        <v>46435.56</v>
      </c>
      <c r="H414" s="16">
        <v>53400.894999999997</v>
      </c>
      <c r="I414" s="1">
        <v>46145</v>
      </c>
      <c r="J414">
        <v>98</v>
      </c>
      <c r="K414" t="s">
        <v>556</v>
      </c>
      <c r="L414" t="s">
        <v>2025</v>
      </c>
      <c r="M414">
        <v>6</v>
      </c>
      <c r="N414">
        <v>12</v>
      </c>
      <c r="O414" t="s">
        <v>1036</v>
      </c>
      <c r="P414" s="17"/>
      <c r="Q414" s="17" t="str">
        <f>_xlfn.XLOOKUP(Table2[[#This Row],[buyFromVendorNo]],'Next Day Scheduled'!A:A,'Pending Returns'!O:O,"NOT_FOUND")</f>
        <v>NOT_FOUND</v>
      </c>
    </row>
    <row r="415" spans="1:17" x14ac:dyDescent="0.3">
      <c r="A415" s="1">
        <v>46162</v>
      </c>
      <c r="B415" t="s">
        <v>1992</v>
      </c>
      <c r="C415" t="s">
        <v>199</v>
      </c>
      <c r="D415" t="s">
        <v>200</v>
      </c>
      <c r="E415" t="s">
        <v>8</v>
      </c>
      <c r="F415" t="s">
        <v>10</v>
      </c>
      <c r="G415" s="16">
        <v>905.4</v>
      </c>
      <c r="H415" s="16">
        <v>1041.21</v>
      </c>
      <c r="I415" s="1">
        <v>46161</v>
      </c>
      <c r="J415">
        <v>97</v>
      </c>
      <c r="K415" t="s">
        <v>1938</v>
      </c>
      <c r="L415" t="s">
        <v>2060</v>
      </c>
      <c r="M415">
        <v>13</v>
      </c>
      <c r="N415">
        <v>6</v>
      </c>
      <c r="O415" t="s">
        <v>1036</v>
      </c>
      <c r="P415" s="17"/>
      <c r="Q415" s="17" t="str">
        <f>_xlfn.XLOOKUP(Table2[[#This Row],[buyFromVendorNo]],'Next Day Scheduled'!A:A,'Pending Returns'!O:O,"NOT_FOUND")</f>
        <v>NOT_FOUND</v>
      </c>
    </row>
    <row r="416" spans="1:17" x14ac:dyDescent="0.3">
      <c r="A416" s="1">
        <v>46162</v>
      </c>
      <c r="B416" t="s">
        <v>1863</v>
      </c>
      <c r="C416" t="s">
        <v>880</v>
      </c>
      <c r="D416" t="s">
        <v>881</v>
      </c>
      <c r="E416" t="s">
        <v>8</v>
      </c>
      <c r="F416" t="s">
        <v>10</v>
      </c>
      <c r="G416" s="16">
        <v>810.46</v>
      </c>
      <c r="H416" s="16">
        <v>932.029</v>
      </c>
      <c r="I416" s="1">
        <v>46162</v>
      </c>
      <c r="J416">
        <v>97</v>
      </c>
      <c r="K416" t="s">
        <v>1929</v>
      </c>
      <c r="L416" t="s">
        <v>2054</v>
      </c>
      <c r="M416">
        <v>7</v>
      </c>
      <c r="N416">
        <v>13</v>
      </c>
      <c r="O416" t="s">
        <v>1036</v>
      </c>
      <c r="P416" s="17"/>
      <c r="Q416" s="17" t="str">
        <f>_xlfn.XLOOKUP(Table2[[#This Row],[buyFromVendorNo]],'Next Day Scheduled'!A:A,'Pending Returns'!O:O,"NOT_FOUND")</f>
        <v>NOT_FOUND</v>
      </c>
    </row>
    <row r="417" spans="1:17" x14ac:dyDescent="0.3">
      <c r="A417" s="1">
        <v>46162</v>
      </c>
      <c r="B417" t="s">
        <v>1955</v>
      </c>
      <c r="C417" t="s">
        <v>191</v>
      </c>
      <c r="D417" t="s">
        <v>192</v>
      </c>
      <c r="E417" t="s">
        <v>8</v>
      </c>
      <c r="F417" t="s">
        <v>10</v>
      </c>
      <c r="G417" s="16">
        <v>3936.2597999999998</v>
      </c>
      <c r="H417" s="16">
        <v>4526.6986999999999</v>
      </c>
      <c r="I417" s="1">
        <v>46161</v>
      </c>
      <c r="J417">
        <v>97</v>
      </c>
      <c r="K417" t="s">
        <v>1930</v>
      </c>
      <c r="L417" t="s">
        <v>2057</v>
      </c>
      <c r="M417">
        <v>13</v>
      </c>
      <c r="N417">
        <v>3</v>
      </c>
      <c r="O417" t="s">
        <v>1036</v>
      </c>
      <c r="P417" s="17"/>
      <c r="Q417" s="17" t="str">
        <f>_xlfn.XLOOKUP(Table2[[#This Row],[buyFromVendorNo]],'Next Day Scheduled'!A:A,'Pending Returns'!O:O,"NOT_FOUND")</f>
        <v>NOT_FOUND</v>
      </c>
    </row>
    <row r="418" spans="1:17" x14ac:dyDescent="0.3">
      <c r="A418" s="1">
        <v>46162</v>
      </c>
      <c r="B418" t="s">
        <v>1785</v>
      </c>
      <c r="C418" t="s">
        <v>871</v>
      </c>
      <c r="D418" t="s">
        <v>872</v>
      </c>
      <c r="E418" t="s">
        <v>8</v>
      </c>
      <c r="F418" t="s">
        <v>10</v>
      </c>
      <c r="G418" s="16">
        <v>1502.99</v>
      </c>
      <c r="H418" s="16">
        <v>1728.4385</v>
      </c>
      <c r="I418" s="1">
        <v>46156</v>
      </c>
      <c r="J418">
        <v>97</v>
      </c>
      <c r="K418" t="s">
        <v>1762</v>
      </c>
      <c r="L418" t="s">
        <v>2056</v>
      </c>
      <c r="M418">
        <v>12</v>
      </c>
      <c r="N418">
        <v>6</v>
      </c>
      <c r="O418" t="s">
        <v>1036</v>
      </c>
      <c r="P418" s="17"/>
      <c r="Q418" s="17" t="str">
        <f>_xlfn.XLOOKUP(Table2[[#This Row],[buyFromVendorNo]],'Next Day Scheduled'!A:A,'Pending Returns'!O:O,"NOT_FOUND")</f>
        <v>Posted Credit Note</v>
      </c>
    </row>
    <row r="419" spans="1:17" x14ac:dyDescent="0.3">
      <c r="A419" s="1">
        <v>46162</v>
      </c>
      <c r="B419" t="s">
        <v>975</v>
      </c>
      <c r="C419" t="s">
        <v>957</v>
      </c>
      <c r="D419" t="s">
        <v>958</v>
      </c>
      <c r="E419" t="s">
        <v>8</v>
      </c>
      <c r="F419" t="s">
        <v>10</v>
      </c>
      <c r="G419" s="16">
        <v>25410</v>
      </c>
      <c r="H419" s="16">
        <v>29221.5</v>
      </c>
      <c r="I419" s="1">
        <v>46156</v>
      </c>
      <c r="J419">
        <v>97</v>
      </c>
      <c r="K419" t="s">
        <v>976</v>
      </c>
      <c r="L419" t="s">
        <v>2063</v>
      </c>
      <c r="M419">
        <v>12</v>
      </c>
      <c r="N419">
        <v>3</v>
      </c>
      <c r="O419" t="s">
        <v>1036</v>
      </c>
      <c r="P419" s="17"/>
      <c r="Q419" s="17" t="str">
        <f>_xlfn.XLOOKUP(Table2[[#This Row],[buyFromVendorNo]],'Next Day Scheduled'!A:A,'Pending Returns'!O:O,"NOT_FOUND")</f>
        <v>NOT_FOUND</v>
      </c>
    </row>
    <row r="420" spans="1:17" x14ac:dyDescent="0.3">
      <c r="A420" s="1">
        <v>46162</v>
      </c>
      <c r="B420" t="s">
        <v>1390</v>
      </c>
      <c r="C420" t="s">
        <v>199</v>
      </c>
      <c r="D420" t="s">
        <v>200</v>
      </c>
      <c r="E420" t="s">
        <v>8</v>
      </c>
      <c r="F420" t="s">
        <v>10</v>
      </c>
      <c r="G420" s="16">
        <v>958.7</v>
      </c>
      <c r="H420" s="16">
        <v>1102.5050000000001</v>
      </c>
      <c r="I420" s="1">
        <v>46161</v>
      </c>
      <c r="J420">
        <v>97</v>
      </c>
      <c r="K420" t="s">
        <v>998</v>
      </c>
      <c r="L420" t="s">
        <v>2053</v>
      </c>
      <c r="M420">
        <v>13</v>
      </c>
      <c r="N420">
        <v>6</v>
      </c>
      <c r="O420" t="s">
        <v>1036</v>
      </c>
      <c r="P420" s="17"/>
      <c r="Q420" s="17" t="str">
        <f>_xlfn.XLOOKUP(Table2[[#This Row],[buyFromVendorNo]],'Next Day Scheduled'!A:A,'Pending Returns'!O:O,"NOT_FOUND")</f>
        <v>NOT_FOUND</v>
      </c>
    </row>
    <row r="421" spans="1:17" x14ac:dyDescent="0.3">
      <c r="A421" s="1">
        <v>46162</v>
      </c>
      <c r="B421" t="s">
        <v>413</v>
      </c>
      <c r="C421" t="s">
        <v>63</v>
      </c>
      <c r="D421" t="s">
        <v>64</v>
      </c>
      <c r="E421" t="s">
        <v>8</v>
      </c>
      <c r="F421" t="s">
        <v>38</v>
      </c>
      <c r="G421" s="16">
        <v>6754.1229999999996</v>
      </c>
      <c r="H421" s="16">
        <v>7767.241</v>
      </c>
      <c r="I421" s="1">
        <v>46149</v>
      </c>
      <c r="J421">
        <v>97</v>
      </c>
      <c r="K421" t="s">
        <v>379</v>
      </c>
      <c r="L421" t="s">
        <v>2065</v>
      </c>
      <c r="M421">
        <v>13</v>
      </c>
      <c r="N421">
        <v>3</v>
      </c>
      <c r="O421" t="s">
        <v>1036</v>
      </c>
      <c r="P421" s="17"/>
      <c r="Q421" s="17" t="str">
        <f>_xlfn.XLOOKUP(Table2[[#This Row],[buyFromVendorNo]],'Next Day Scheduled'!A:A,'Pending Returns'!O:O,"NOT_FOUND")</f>
        <v>NOT_FOUND</v>
      </c>
    </row>
    <row r="422" spans="1:17" x14ac:dyDescent="0.3">
      <c r="A422" s="1">
        <v>46162</v>
      </c>
      <c r="B422" t="s">
        <v>989</v>
      </c>
      <c r="C422" t="s">
        <v>957</v>
      </c>
      <c r="D422" t="s">
        <v>958</v>
      </c>
      <c r="E422" t="s">
        <v>8</v>
      </c>
      <c r="F422" t="s">
        <v>10</v>
      </c>
      <c r="G422" s="16">
        <v>6664.0039999999999</v>
      </c>
      <c r="H422" s="16">
        <v>7663.6045000000004</v>
      </c>
      <c r="I422" s="1">
        <v>46156</v>
      </c>
      <c r="J422">
        <v>97</v>
      </c>
      <c r="K422" t="s">
        <v>990</v>
      </c>
      <c r="L422" t="s">
        <v>2059</v>
      </c>
      <c r="M422">
        <v>12</v>
      </c>
      <c r="N422">
        <v>3</v>
      </c>
      <c r="O422" t="s">
        <v>1036</v>
      </c>
      <c r="P422" s="17"/>
      <c r="Q422" s="17" t="str">
        <f>_xlfn.XLOOKUP(Table2[[#This Row],[buyFromVendorNo]],'Next Day Scheduled'!A:A,'Pending Returns'!O:O,"NOT_FOUND")</f>
        <v>NOT_FOUND</v>
      </c>
    </row>
    <row r="423" spans="1:17" x14ac:dyDescent="0.3">
      <c r="A423" s="1">
        <v>46162</v>
      </c>
      <c r="B423" t="s">
        <v>257</v>
      </c>
      <c r="C423" t="s">
        <v>536</v>
      </c>
      <c r="D423" t="s">
        <v>537</v>
      </c>
      <c r="E423" t="s">
        <v>8</v>
      </c>
      <c r="F423" t="s">
        <v>10</v>
      </c>
      <c r="G423" s="16">
        <v>7795.6244999999999</v>
      </c>
      <c r="H423" s="16">
        <v>8964.9680000000008</v>
      </c>
      <c r="I423" s="1">
        <v>46159</v>
      </c>
      <c r="J423">
        <v>97</v>
      </c>
      <c r="K423" t="s">
        <v>1922</v>
      </c>
      <c r="L423" t="s">
        <v>2070</v>
      </c>
      <c r="M423">
        <v>14</v>
      </c>
      <c r="N423">
        <v>2</v>
      </c>
      <c r="O423" t="s">
        <v>1036</v>
      </c>
      <c r="P423" s="17"/>
      <c r="Q423" s="17" t="str">
        <f>_xlfn.XLOOKUP(Table2[[#This Row],[buyFromVendorNo]],'Next Day Scheduled'!A:A,'Pending Returns'!O:O,"NOT_FOUND")</f>
        <v>NOT_FOUND</v>
      </c>
    </row>
    <row r="424" spans="1:17" x14ac:dyDescent="0.3">
      <c r="A424" s="1">
        <v>46162</v>
      </c>
      <c r="B424" t="s">
        <v>1951</v>
      </c>
      <c r="C424" t="s">
        <v>715</v>
      </c>
      <c r="D424" t="s">
        <v>716</v>
      </c>
      <c r="E424" t="s">
        <v>8</v>
      </c>
      <c r="F424" t="s">
        <v>10</v>
      </c>
      <c r="G424" s="16">
        <v>5013.38</v>
      </c>
      <c r="H424" s="16">
        <v>5765.3869999999997</v>
      </c>
      <c r="I424" s="1">
        <v>46162</v>
      </c>
      <c r="J424">
        <v>97</v>
      </c>
      <c r="K424" t="s">
        <v>1910</v>
      </c>
      <c r="L424" t="s">
        <v>2049</v>
      </c>
      <c r="M424">
        <v>2</v>
      </c>
      <c r="N424">
        <v>93</v>
      </c>
      <c r="O424" t="s">
        <v>1036</v>
      </c>
      <c r="P424" s="17"/>
      <c r="Q424" s="17" t="str">
        <f>_xlfn.XLOOKUP(Table2[[#This Row],[buyFromVendorNo]],'Next Day Scheduled'!A:A,'Pending Returns'!O:O,"NOT_FOUND")</f>
        <v>NOT_FOUND</v>
      </c>
    </row>
    <row r="425" spans="1:17" x14ac:dyDescent="0.3">
      <c r="A425" s="1">
        <v>46162</v>
      </c>
      <c r="B425" t="s">
        <v>442</v>
      </c>
      <c r="C425" t="s">
        <v>43</v>
      </c>
      <c r="D425" t="s">
        <v>44</v>
      </c>
      <c r="E425" t="s">
        <v>8</v>
      </c>
      <c r="F425" t="s">
        <v>38</v>
      </c>
      <c r="G425" s="16">
        <v>5538.5186000000003</v>
      </c>
      <c r="H425" s="16">
        <v>6369.2964000000002</v>
      </c>
      <c r="I425" s="1">
        <v>46159</v>
      </c>
      <c r="J425">
        <v>97</v>
      </c>
      <c r="K425" t="s">
        <v>1921</v>
      </c>
      <c r="L425" t="s">
        <v>2058</v>
      </c>
      <c r="M425">
        <v>85</v>
      </c>
      <c r="N425">
        <v>1</v>
      </c>
      <c r="O425" t="s">
        <v>1036</v>
      </c>
      <c r="P425" s="17"/>
      <c r="Q425" s="17" t="str">
        <f>_xlfn.XLOOKUP(Table2[[#This Row],[buyFromVendorNo]],'Next Day Scheduled'!A:A,'Pending Returns'!O:O,"NOT_FOUND")</f>
        <v>Posted Credit Note</v>
      </c>
    </row>
    <row r="426" spans="1:17" x14ac:dyDescent="0.3">
      <c r="A426" s="1">
        <v>46162</v>
      </c>
      <c r="B426" t="s">
        <v>1820</v>
      </c>
      <c r="C426" t="s">
        <v>1615</v>
      </c>
      <c r="D426" t="s">
        <v>1616</v>
      </c>
      <c r="E426" t="s">
        <v>8</v>
      </c>
      <c r="F426" t="s">
        <v>10</v>
      </c>
      <c r="G426" s="16">
        <v>7348.41</v>
      </c>
      <c r="H426" s="16">
        <v>8450.6720000000005</v>
      </c>
      <c r="I426" s="1">
        <v>46160</v>
      </c>
      <c r="J426">
        <v>97</v>
      </c>
      <c r="K426" t="s">
        <v>1821</v>
      </c>
      <c r="L426" t="s">
        <v>2048</v>
      </c>
      <c r="M426">
        <v>14</v>
      </c>
      <c r="N426">
        <v>5</v>
      </c>
      <c r="O426" t="s">
        <v>1036</v>
      </c>
      <c r="P426" s="17"/>
      <c r="Q426" s="17" t="str">
        <f>_xlfn.XLOOKUP(Table2[[#This Row],[buyFromVendorNo]],'Next Day Scheduled'!A:A,'Pending Returns'!O:O,"NOT_FOUND")</f>
        <v>NOT_FOUND</v>
      </c>
    </row>
    <row r="427" spans="1:17" x14ac:dyDescent="0.3">
      <c r="A427" s="1">
        <v>46162</v>
      </c>
      <c r="B427" t="s">
        <v>1005</v>
      </c>
      <c r="C427" t="s">
        <v>146</v>
      </c>
      <c r="D427" t="s">
        <v>147</v>
      </c>
      <c r="E427" t="s">
        <v>8</v>
      </c>
      <c r="F427" t="s">
        <v>10</v>
      </c>
      <c r="G427" s="16">
        <v>8637.31</v>
      </c>
      <c r="H427" s="16">
        <v>9932.9060000000009</v>
      </c>
      <c r="I427" s="1">
        <v>46159</v>
      </c>
      <c r="J427">
        <v>97</v>
      </c>
      <c r="K427" t="s">
        <v>1865</v>
      </c>
      <c r="L427" t="s">
        <v>2071</v>
      </c>
      <c r="M427">
        <v>14</v>
      </c>
      <c r="N427">
        <v>2</v>
      </c>
      <c r="O427" t="s">
        <v>1036</v>
      </c>
      <c r="P427" s="17"/>
      <c r="Q427" s="17" t="str">
        <f>_xlfn.XLOOKUP(Table2[[#This Row],[buyFromVendorNo]],'Next Day Scheduled'!A:A,'Pending Returns'!O:O,"NOT_FOUND")</f>
        <v>NOT_FOUND</v>
      </c>
    </row>
    <row r="428" spans="1:17" x14ac:dyDescent="0.3">
      <c r="A428" s="1">
        <v>46162</v>
      </c>
      <c r="B428" t="s">
        <v>394</v>
      </c>
      <c r="C428" t="s">
        <v>462</v>
      </c>
      <c r="D428" t="s">
        <v>463</v>
      </c>
      <c r="E428" t="s">
        <v>8</v>
      </c>
      <c r="F428" t="s">
        <v>10</v>
      </c>
      <c r="G428" s="16">
        <v>2120.2514999999999</v>
      </c>
      <c r="H428" s="16">
        <v>2438.2892999999999</v>
      </c>
      <c r="I428" s="1">
        <v>46161</v>
      </c>
      <c r="J428">
        <v>97</v>
      </c>
      <c r="K428" t="s">
        <v>1748</v>
      </c>
      <c r="L428" t="s">
        <v>2066</v>
      </c>
      <c r="M428">
        <v>11</v>
      </c>
      <c r="N428">
        <v>1</v>
      </c>
      <c r="O428" t="s">
        <v>1036</v>
      </c>
      <c r="P428" s="17"/>
      <c r="Q428" s="17" t="str">
        <f>_xlfn.XLOOKUP(Table2[[#This Row],[buyFromVendorNo]],'Next Day Scheduled'!A:A,'Pending Returns'!O:O,"NOT_FOUND")</f>
        <v>NOT_FOUND</v>
      </c>
    </row>
    <row r="429" spans="1:17" x14ac:dyDescent="0.3">
      <c r="A429" s="1">
        <v>46162</v>
      </c>
      <c r="B429" t="s">
        <v>235</v>
      </c>
      <c r="C429" t="s">
        <v>749</v>
      </c>
      <c r="D429" t="s">
        <v>750</v>
      </c>
      <c r="E429" t="s">
        <v>8</v>
      </c>
      <c r="F429" t="s">
        <v>10</v>
      </c>
      <c r="G429" s="16">
        <v>5660.8643000000002</v>
      </c>
      <c r="H429" s="16">
        <v>6509.9937</v>
      </c>
      <c r="I429" s="1">
        <v>46159</v>
      </c>
      <c r="J429">
        <v>97</v>
      </c>
      <c r="K429" t="s">
        <v>748</v>
      </c>
      <c r="L429" t="s">
        <v>2061</v>
      </c>
      <c r="M429">
        <v>6</v>
      </c>
      <c r="N429">
        <v>10</v>
      </c>
      <c r="O429" t="s">
        <v>1036</v>
      </c>
      <c r="P429" s="17"/>
      <c r="Q429" s="17" t="str">
        <f>_xlfn.XLOOKUP(Table2[[#This Row],[buyFromVendorNo]],'Next Day Scheduled'!A:A,'Pending Returns'!O:O,"NOT_FOUND")</f>
        <v>NOT_FOUND</v>
      </c>
    </row>
    <row r="430" spans="1:17" x14ac:dyDescent="0.3">
      <c r="A430" s="1">
        <v>46163</v>
      </c>
      <c r="B430" t="s">
        <v>6389</v>
      </c>
      <c r="C430" t="s">
        <v>854</v>
      </c>
      <c r="D430" t="s">
        <v>855</v>
      </c>
      <c r="E430" t="s">
        <v>8</v>
      </c>
      <c r="F430" t="s">
        <v>10</v>
      </c>
      <c r="G430" s="16">
        <v>18363.7</v>
      </c>
      <c r="H430" s="16">
        <v>18363.7</v>
      </c>
      <c r="J430">
        <v>96</v>
      </c>
      <c r="K430" t="s">
        <v>2182</v>
      </c>
      <c r="M430">
        <v>18</v>
      </c>
      <c r="N430">
        <v>6</v>
      </c>
      <c r="O430" t="s">
        <v>216</v>
      </c>
      <c r="P430" s="17"/>
      <c r="Q430" s="17" t="str">
        <f>_xlfn.XLOOKUP(Table2[[#This Row],[buyFromVendorNo]],'Next Day Scheduled'!A:A,'Pending Returns'!O:O,"NOT_FOUND")</f>
        <v>Posted Credit Note</v>
      </c>
    </row>
    <row r="431" spans="1:17" x14ac:dyDescent="0.3">
      <c r="A431" s="1">
        <v>46163</v>
      </c>
      <c r="B431" t="s">
        <v>1705</v>
      </c>
      <c r="C431" t="s">
        <v>1001</v>
      </c>
      <c r="D431" t="s">
        <v>1002</v>
      </c>
      <c r="E431" t="s">
        <v>8</v>
      </c>
      <c r="F431" t="s">
        <v>10</v>
      </c>
      <c r="G431" s="16">
        <v>681</v>
      </c>
      <c r="H431" s="16">
        <v>783.15</v>
      </c>
      <c r="I431" s="1">
        <v>46161</v>
      </c>
      <c r="J431">
        <v>96</v>
      </c>
      <c r="K431" t="s">
        <v>1003</v>
      </c>
      <c r="L431" t="s">
        <v>2078</v>
      </c>
      <c r="M431">
        <v>5</v>
      </c>
      <c r="N431">
        <v>30</v>
      </c>
      <c r="O431" t="s">
        <v>1036</v>
      </c>
      <c r="P431" s="17"/>
      <c r="Q431" s="17" t="str">
        <f>_xlfn.XLOOKUP(Table2[[#This Row],[buyFromVendorNo]],'Next Day Scheduled'!A:A,'Pending Returns'!O:O,"NOT_FOUND")</f>
        <v>NOT_FOUND</v>
      </c>
    </row>
    <row r="432" spans="1:17" x14ac:dyDescent="0.3">
      <c r="A432" s="1">
        <v>46163</v>
      </c>
      <c r="B432" t="s">
        <v>1949</v>
      </c>
      <c r="C432" t="s">
        <v>422</v>
      </c>
      <c r="D432" t="s">
        <v>490</v>
      </c>
      <c r="E432" t="s">
        <v>8</v>
      </c>
      <c r="F432" t="s">
        <v>169</v>
      </c>
      <c r="G432" s="16">
        <v>756.46669999999995</v>
      </c>
      <c r="H432" s="16">
        <v>869.93669999999997</v>
      </c>
      <c r="I432" s="1">
        <v>46160</v>
      </c>
      <c r="J432">
        <v>96</v>
      </c>
      <c r="K432" t="s">
        <v>1960</v>
      </c>
      <c r="L432" t="s">
        <v>2072</v>
      </c>
      <c r="M432">
        <v>12</v>
      </c>
      <c r="N432">
        <v>3</v>
      </c>
      <c r="O432" t="s">
        <v>1036</v>
      </c>
      <c r="P432" s="17"/>
      <c r="Q432" s="17" t="str">
        <f>_xlfn.XLOOKUP(Table2[[#This Row],[buyFromVendorNo]],'Next Day Scheduled'!A:A,'Pending Returns'!O:O,"NOT_FOUND")</f>
        <v>NOT_FOUND</v>
      </c>
    </row>
    <row r="433" spans="1:17" x14ac:dyDescent="0.3">
      <c r="A433" s="1">
        <v>46163</v>
      </c>
      <c r="B433" t="s">
        <v>442</v>
      </c>
      <c r="C433" t="s">
        <v>618</v>
      </c>
      <c r="D433" t="s">
        <v>619</v>
      </c>
      <c r="E433" t="s">
        <v>8</v>
      </c>
      <c r="F433" t="s">
        <v>38</v>
      </c>
      <c r="G433" s="16">
        <v>3328.0142000000001</v>
      </c>
      <c r="H433" s="16">
        <v>3328.0142000000001</v>
      </c>
      <c r="I433" s="1">
        <v>46161</v>
      </c>
      <c r="J433">
        <v>96</v>
      </c>
      <c r="K433" t="s">
        <v>2012</v>
      </c>
      <c r="L433" t="s">
        <v>2114</v>
      </c>
      <c r="M433">
        <v>96</v>
      </c>
      <c r="N433">
        <v>0</v>
      </c>
      <c r="O433" t="s">
        <v>1036</v>
      </c>
      <c r="P433" s="17"/>
      <c r="Q433" s="17" t="str">
        <f>_xlfn.XLOOKUP(Table2[[#This Row],[buyFromVendorNo]],'Next Day Scheduled'!A:A,'Pending Returns'!O:O,"NOT_FOUND")</f>
        <v>NOT_FOUND</v>
      </c>
    </row>
    <row r="434" spans="1:17" x14ac:dyDescent="0.3">
      <c r="A434" s="1">
        <v>46163</v>
      </c>
      <c r="B434" t="s">
        <v>257</v>
      </c>
      <c r="C434" t="s">
        <v>69</v>
      </c>
      <c r="D434" t="s">
        <v>70</v>
      </c>
      <c r="E434" t="s">
        <v>8</v>
      </c>
      <c r="F434" t="s">
        <v>10</v>
      </c>
      <c r="G434" s="16">
        <v>1188.08</v>
      </c>
      <c r="H434" s="16">
        <v>1366.2919999999999</v>
      </c>
      <c r="I434" s="1">
        <v>46163</v>
      </c>
      <c r="J434">
        <v>96</v>
      </c>
      <c r="K434" t="s">
        <v>2133</v>
      </c>
      <c r="L434" t="s">
        <v>2134</v>
      </c>
      <c r="M434">
        <v>40</v>
      </c>
      <c r="N434">
        <v>1</v>
      </c>
      <c r="O434" t="s">
        <v>1036</v>
      </c>
      <c r="P434" s="17"/>
      <c r="Q434" s="17" t="str">
        <f>_xlfn.XLOOKUP(Table2[[#This Row],[buyFromVendorNo]],'Next Day Scheduled'!A:A,'Pending Returns'!O:O,"NOT_FOUND")</f>
        <v>Posted Credit Note</v>
      </c>
    </row>
    <row r="435" spans="1:17" x14ac:dyDescent="0.3">
      <c r="A435" s="1">
        <v>46163</v>
      </c>
      <c r="B435" t="s">
        <v>1841</v>
      </c>
      <c r="C435" t="s">
        <v>1725</v>
      </c>
      <c r="D435" t="s">
        <v>1726</v>
      </c>
      <c r="E435" t="s">
        <v>8</v>
      </c>
      <c r="F435" t="s">
        <v>10</v>
      </c>
      <c r="G435" s="16">
        <v>3096.5430000000001</v>
      </c>
      <c r="H435" s="16">
        <v>3561.0243999999998</v>
      </c>
      <c r="I435" s="1">
        <v>46162</v>
      </c>
      <c r="J435">
        <v>96</v>
      </c>
      <c r="K435" t="s">
        <v>1842</v>
      </c>
      <c r="L435" t="s">
        <v>2135</v>
      </c>
      <c r="M435">
        <v>5</v>
      </c>
      <c r="N435">
        <v>28</v>
      </c>
      <c r="O435" t="s">
        <v>1036</v>
      </c>
      <c r="P435" s="17"/>
      <c r="Q435" s="17" t="str">
        <f>_xlfn.XLOOKUP(Table2[[#This Row],[buyFromVendorNo]],'Next Day Scheduled'!A:A,'Pending Returns'!O:O,"NOT_FOUND")</f>
        <v>Posted Credit Note</v>
      </c>
    </row>
    <row r="436" spans="1:17" x14ac:dyDescent="0.3">
      <c r="A436" s="1">
        <v>46163</v>
      </c>
      <c r="B436" t="s">
        <v>257</v>
      </c>
      <c r="C436" t="s">
        <v>133</v>
      </c>
      <c r="D436" t="s">
        <v>134</v>
      </c>
      <c r="E436" t="s">
        <v>8</v>
      </c>
      <c r="F436" t="s">
        <v>10</v>
      </c>
      <c r="G436" s="16">
        <v>1929.5989</v>
      </c>
      <c r="H436" s="16">
        <v>2219.0387999999998</v>
      </c>
      <c r="I436" s="1">
        <v>46155</v>
      </c>
      <c r="J436">
        <v>96</v>
      </c>
      <c r="K436" t="s">
        <v>1721</v>
      </c>
      <c r="L436" t="s">
        <v>2108</v>
      </c>
      <c r="M436">
        <v>11</v>
      </c>
      <c r="N436">
        <v>12</v>
      </c>
      <c r="O436" t="s">
        <v>1036</v>
      </c>
      <c r="P436" s="17"/>
      <c r="Q436" s="17" t="str">
        <f>_xlfn.XLOOKUP(Table2[[#This Row],[buyFromVendorNo]],'Next Day Scheduled'!A:A,'Pending Returns'!O:O,"NOT_FOUND")</f>
        <v>NOT_FOUND</v>
      </c>
    </row>
    <row r="437" spans="1:17" x14ac:dyDescent="0.3">
      <c r="A437" s="1">
        <v>46163</v>
      </c>
      <c r="B437" t="s">
        <v>229</v>
      </c>
      <c r="C437" t="s">
        <v>854</v>
      </c>
      <c r="D437" t="s">
        <v>855</v>
      </c>
      <c r="E437" t="s">
        <v>8</v>
      </c>
      <c r="F437" t="s">
        <v>10</v>
      </c>
      <c r="G437" s="16">
        <v>4967.2259999999997</v>
      </c>
      <c r="H437" s="16">
        <v>5098.8950000000004</v>
      </c>
      <c r="J437">
        <v>96</v>
      </c>
      <c r="K437" t="s">
        <v>2155</v>
      </c>
      <c r="M437">
        <v>18</v>
      </c>
      <c r="N437">
        <v>6</v>
      </c>
      <c r="O437" t="s">
        <v>216</v>
      </c>
      <c r="P437" s="17"/>
      <c r="Q437" s="17" t="str">
        <f>_xlfn.XLOOKUP(Table2[[#This Row],[buyFromVendorNo]],'Next Day Scheduled'!A:A,'Pending Returns'!O:O,"NOT_FOUND")</f>
        <v>Posted Credit Note</v>
      </c>
    </row>
    <row r="438" spans="1:17" x14ac:dyDescent="0.3">
      <c r="A438" s="1">
        <v>46163</v>
      </c>
      <c r="B438" t="s">
        <v>676</v>
      </c>
      <c r="C438" t="s">
        <v>65</v>
      </c>
      <c r="D438" t="s">
        <v>66</v>
      </c>
      <c r="E438" t="s">
        <v>8</v>
      </c>
      <c r="F438" t="s">
        <v>169</v>
      </c>
      <c r="G438" s="16">
        <v>950.1825</v>
      </c>
      <c r="H438" s="16">
        <v>1092.7098000000001</v>
      </c>
      <c r="I438" s="1">
        <v>46161</v>
      </c>
      <c r="J438">
        <v>96</v>
      </c>
      <c r="K438" t="s">
        <v>2013</v>
      </c>
      <c r="L438" t="s">
        <v>2075</v>
      </c>
      <c r="M438">
        <v>27</v>
      </c>
      <c r="N438">
        <v>5</v>
      </c>
      <c r="O438" t="s">
        <v>1036</v>
      </c>
      <c r="P438" s="17"/>
      <c r="Q438" s="17" t="str">
        <f>_xlfn.XLOOKUP(Table2[[#This Row],[buyFromVendorNo]],'Next Day Scheduled'!A:A,'Pending Returns'!O:O,"NOT_FOUND")</f>
        <v>Posted Credit Note</v>
      </c>
    </row>
    <row r="439" spans="1:17" x14ac:dyDescent="0.3">
      <c r="A439" s="1">
        <v>46163</v>
      </c>
      <c r="B439" t="s">
        <v>2003</v>
      </c>
      <c r="C439" t="s">
        <v>504</v>
      </c>
      <c r="D439" t="s">
        <v>505</v>
      </c>
      <c r="E439" t="s">
        <v>8</v>
      </c>
      <c r="F439" t="s">
        <v>10</v>
      </c>
      <c r="G439" s="16">
        <v>583.02</v>
      </c>
      <c r="H439" s="16">
        <v>670.47299999999996</v>
      </c>
      <c r="I439" s="1">
        <v>46163</v>
      </c>
      <c r="J439">
        <v>96</v>
      </c>
      <c r="K439" t="s">
        <v>1942</v>
      </c>
      <c r="L439" t="s">
        <v>2074</v>
      </c>
      <c r="M439">
        <v>8</v>
      </c>
      <c r="N439">
        <v>13</v>
      </c>
      <c r="O439" t="s">
        <v>1036</v>
      </c>
      <c r="P439" s="17"/>
      <c r="Q439" s="17" t="str">
        <f>_xlfn.XLOOKUP(Table2[[#This Row],[buyFromVendorNo]],'Next Day Scheduled'!A:A,'Pending Returns'!O:O,"NOT_FOUND")</f>
        <v>NOT_FOUND</v>
      </c>
    </row>
    <row r="440" spans="1:17" x14ac:dyDescent="0.3">
      <c r="A440" s="1">
        <v>46163</v>
      </c>
      <c r="B440" t="s">
        <v>1783</v>
      </c>
      <c r="C440" t="s">
        <v>1718</v>
      </c>
      <c r="D440" t="s">
        <v>1719</v>
      </c>
      <c r="E440" t="s">
        <v>8</v>
      </c>
      <c r="F440" t="s">
        <v>10</v>
      </c>
      <c r="G440" s="16">
        <v>12397.5</v>
      </c>
      <c r="H440" s="16">
        <v>14257.125</v>
      </c>
      <c r="I440" s="1">
        <v>46160</v>
      </c>
      <c r="J440">
        <v>96</v>
      </c>
      <c r="K440" t="s">
        <v>1720</v>
      </c>
      <c r="L440" t="s">
        <v>2123</v>
      </c>
      <c r="M440">
        <v>13</v>
      </c>
      <c r="N440">
        <v>1</v>
      </c>
      <c r="O440" t="s">
        <v>1036</v>
      </c>
      <c r="P440" s="17"/>
      <c r="Q440" s="17" t="str">
        <f>_xlfn.XLOOKUP(Table2[[#This Row],[buyFromVendorNo]],'Next Day Scheduled'!A:A,'Pending Returns'!O:O,"NOT_FOUND")</f>
        <v>NOT_FOUND</v>
      </c>
    </row>
    <row r="441" spans="1:17" x14ac:dyDescent="0.3">
      <c r="A441" s="1">
        <v>46163</v>
      </c>
      <c r="B441" t="s">
        <v>433</v>
      </c>
      <c r="C441" t="s">
        <v>410</v>
      </c>
      <c r="D441" t="s">
        <v>411</v>
      </c>
      <c r="E441" t="s">
        <v>8</v>
      </c>
      <c r="F441" t="s">
        <v>38</v>
      </c>
      <c r="G441" s="16">
        <v>4371</v>
      </c>
      <c r="H441" s="16">
        <v>5026.6499999999996</v>
      </c>
      <c r="I441" s="1">
        <v>46163</v>
      </c>
      <c r="J441">
        <v>96</v>
      </c>
      <c r="K441" t="s">
        <v>409</v>
      </c>
      <c r="L441" t="s">
        <v>2151</v>
      </c>
      <c r="M441">
        <v>0</v>
      </c>
      <c r="N441">
        <v>355</v>
      </c>
      <c r="O441" t="s">
        <v>1036</v>
      </c>
      <c r="P441" s="17"/>
      <c r="Q441" s="17" t="str">
        <f>_xlfn.XLOOKUP(Table2[[#This Row],[buyFromVendorNo]],'Next Day Scheduled'!A:A,'Pending Returns'!O:O,"NOT_FOUND")</f>
        <v>NOT_FOUND</v>
      </c>
    </row>
    <row r="442" spans="1:17" x14ac:dyDescent="0.3">
      <c r="A442" s="1">
        <v>46163</v>
      </c>
      <c r="B442" t="s">
        <v>309</v>
      </c>
      <c r="C442" t="s">
        <v>822</v>
      </c>
      <c r="D442" t="s">
        <v>823</v>
      </c>
      <c r="E442" t="s">
        <v>8</v>
      </c>
      <c r="F442" t="s">
        <v>10</v>
      </c>
      <c r="G442" s="16">
        <v>1827.5</v>
      </c>
      <c r="H442" s="16">
        <v>2101.625</v>
      </c>
      <c r="I442" s="1">
        <v>46161</v>
      </c>
      <c r="J442">
        <v>96</v>
      </c>
      <c r="K442" t="s">
        <v>1936</v>
      </c>
      <c r="L442" t="s">
        <v>2137</v>
      </c>
      <c r="M442">
        <v>5</v>
      </c>
      <c r="N442">
        <v>37</v>
      </c>
      <c r="O442" t="s">
        <v>1036</v>
      </c>
      <c r="P442" s="17"/>
      <c r="Q442" s="17" t="str">
        <f>_xlfn.XLOOKUP(Table2[[#This Row],[buyFromVendorNo]],'Next Day Scheduled'!A:A,'Pending Returns'!O:O,"NOT_FOUND")</f>
        <v>Pending for Collection</v>
      </c>
    </row>
    <row r="443" spans="1:17" x14ac:dyDescent="0.3">
      <c r="A443" s="1">
        <v>46163</v>
      </c>
      <c r="B443" t="s">
        <v>1849</v>
      </c>
      <c r="C443" t="s">
        <v>133</v>
      </c>
      <c r="D443" t="s">
        <v>134</v>
      </c>
      <c r="E443" t="s">
        <v>8</v>
      </c>
      <c r="F443" t="s">
        <v>10</v>
      </c>
      <c r="G443" s="16">
        <v>2897.9458</v>
      </c>
      <c r="H443" s="16">
        <v>3332.6377000000002</v>
      </c>
      <c r="I443" s="1">
        <v>46159</v>
      </c>
      <c r="J443">
        <v>96</v>
      </c>
      <c r="K443" t="s">
        <v>1717</v>
      </c>
      <c r="L443" t="s">
        <v>2141</v>
      </c>
      <c r="M443">
        <v>11</v>
      </c>
      <c r="N443">
        <v>12</v>
      </c>
      <c r="O443" t="s">
        <v>1036</v>
      </c>
      <c r="P443" s="17"/>
      <c r="Q443" s="17" t="str">
        <f>_xlfn.XLOOKUP(Table2[[#This Row],[buyFromVendorNo]],'Next Day Scheduled'!A:A,'Pending Returns'!O:O,"NOT_FOUND")</f>
        <v>NOT_FOUND</v>
      </c>
    </row>
    <row r="444" spans="1:17" x14ac:dyDescent="0.3">
      <c r="A444" s="1">
        <v>46163</v>
      </c>
      <c r="B444" t="s">
        <v>642</v>
      </c>
      <c r="C444" t="s">
        <v>643</v>
      </c>
      <c r="D444" t="s">
        <v>644</v>
      </c>
      <c r="E444" t="s">
        <v>8</v>
      </c>
      <c r="F444" t="s">
        <v>38</v>
      </c>
      <c r="G444" s="16">
        <v>3888.5</v>
      </c>
      <c r="H444" s="16">
        <v>4471.7749999999996</v>
      </c>
      <c r="I444" s="1">
        <v>46151</v>
      </c>
      <c r="J444">
        <v>96</v>
      </c>
      <c r="K444" t="s">
        <v>645</v>
      </c>
      <c r="L444" t="s">
        <v>2073</v>
      </c>
      <c r="M444">
        <v>6</v>
      </c>
      <c r="N444">
        <v>5</v>
      </c>
      <c r="O444" t="s">
        <v>1036</v>
      </c>
      <c r="P444" s="17"/>
      <c r="Q444" s="17" t="str">
        <f>_xlfn.XLOOKUP(Table2[[#This Row],[buyFromVendorNo]],'Next Day Scheduled'!A:A,'Pending Returns'!O:O,"NOT_FOUND")</f>
        <v>NOT_FOUND</v>
      </c>
    </row>
    <row r="445" spans="1:17" x14ac:dyDescent="0.3">
      <c r="A445" s="1">
        <v>46163</v>
      </c>
      <c r="B445" t="s">
        <v>1797</v>
      </c>
      <c r="C445" t="s">
        <v>771</v>
      </c>
      <c r="D445" t="s">
        <v>845</v>
      </c>
      <c r="E445" t="s">
        <v>8</v>
      </c>
      <c r="F445" t="s">
        <v>10</v>
      </c>
      <c r="G445" s="16">
        <v>3506.33</v>
      </c>
      <c r="H445" s="16">
        <v>4032.2795000000001</v>
      </c>
      <c r="I445" s="1">
        <v>46162</v>
      </c>
      <c r="J445">
        <v>96</v>
      </c>
      <c r="K445" t="s">
        <v>1761</v>
      </c>
      <c r="L445" t="s">
        <v>2077</v>
      </c>
      <c r="M445">
        <v>13</v>
      </c>
      <c r="N445">
        <v>8</v>
      </c>
      <c r="O445" t="s">
        <v>1036</v>
      </c>
      <c r="P445" s="17"/>
      <c r="Q445" s="17" t="str">
        <f>_xlfn.XLOOKUP(Table2[[#This Row],[buyFromVendorNo]],'Next Day Scheduled'!A:A,'Pending Returns'!O:O,"NOT_FOUND")</f>
        <v>NOT_FOUND</v>
      </c>
    </row>
    <row r="446" spans="1:17" x14ac:dyDescent="0.3">
      <c r="A446" s="1">
        <v>46163</v>
      </c>
      <c r="B446" t="s">
        <v>780</v>
      </c>
      <c r="C446" t="s">
        <v>302</v>
      </c>
      <c r="D446" t="s">
        <v>303</v>
      </c>
      <c r="E446" t="s">
        <v>8</v>
      </c>
      <c r="F446" t="s">
        <v>10</v>
      </c>
      <c r="G446" s="16">
        <v>8072.3774000000003</v>
      </c>
      <c r="H446" s="16">
        <v>9261.1200000000008</v>
      </c>
      <c r="I446" s="1">
        <v>46161</v>
      </c>
      <c r="J446">
        <v>96</v>
      </c>
      <c r="K446" t="s">
        <v>743</v>
      </c>
      <c r="L446" t="s">
        <v>2130</v>
      </c>
      <c r="M446">
        <v>9</v>
      </c>
      <c r="N446">
        <v>1</v>
      </c>
      <c r="O446" t="s">
        <v>1036</v>
      </c>
      <c r="P446" s="17"/>
      <c r="Q446" s="17" t="str">
        <f>_xlfn.XLOOKUP(Table2[[#This Row],[buyFromVendorNo]],'Next Day Scheduled'!A:A,'Pending Returns'!O:O,"NOT_FOUND")</f>
        <v>NOT_FOUND</v>
      </c>
    </row>
    <row r="447" spans="1:17" x14ac:dyDescent="0.3">
      <c r="A447" s="1">
        <v>46164</v>
      </c>
      <c r="B447" t="s">
        <v>677</v>
      </c>
      <c r="C447" t="s">
        <v>854</v>
      </c>
      <c r="D447" t="s">
        <v>855</v>
      </c>
      <c r="E447" t="s">
        <v>8</v>
      </c>
      <c r="F447" t="s">
        <v>10</v>
      </c>
      <c r="G447" s="16">
        <v>4812.3516</v>
      </c>
      <c r="H447" s="16">
        <v>4824.6147000000001</v>
      </c>
      <c r="J447">
        <v>95</v>
      </c>
      <c r="K447" t="s">
        <v>2177</v>
      </c>
      <c r="M447">
        <v>17</v>
      </c>
      <c r="N447">
        <v>6</v>
      </c>
      <c r="O447" t="s">
        <v>216</v>
      </c>
      <c r="P447" s="17"/>
      <c r="Q447" s="17" t="str">
        <f>_xlfn.XLOOKUP(Table2[[#This Row],[buyFromVendorNo]],'Next Day Scheduled'!A:A,'Pending Returns'!O:O,"NOT_FOUND")</f>
        <v>Posted Credit Note</v>
      </c>
    </row>
    <row r="448" spans="1:17" x14ac:dyDescent="0.3">
      <c r="A448" s="1">
        <v>46164</v>
      </c>
      <c r="B448" t="s">
        <v>2157</v>
      </c>
      <c r="C448" t="s">
        <v>2190</v>
      </c>
      <c r="D448" t="s">
        <v>2191</v>
      </c>
      <c r="E448" t="s">
        <v>8</v>
      </c>
      <c r="F448" t="s">
        <v>10</v>
      </c>
      <c r="G448" s="16">
        <v>3309.6147000000001</v>
      </c>
      <c r="H448" s="16">
        <v>3309.6147000000001</v>
      </c>
      <c r="J448">
        <v>95</v>
      </c>
      <c r="K448" t="s">
        <v>2189</v>
      </c>
      <c r="M448">
        <v>0</v>
      </c>
      <c r="N448">
        <v>719</v>
      </c>
      <c r="O448" t="s">
        <v>216</v>
      </c>
      <c r="P448" s="17"/>
      <c r="Q448" s="17" t="str">
        <f>_xlfn.XLOOKUP(Table2[[#This Row],[buyFromVendorNo]],'Next Day Scheduled'!A:A,'Pending Returns'!O:O,"NOT_FOUND")</f>
        <v>NOT_FOUND</v>
      </c>
    </row>
    <row r="449" spans="1:17" x14ac:dyDescent="0.3">
      <c r="A449" s="1">
        <v>46165</v>
      </c>
      <c r="B449" t="s">
        <v>245</v>
      </c>
      <c r="C449" t="s">
        <v>65</v>
      </c>
      <c r="D449" t="s">
        <v>66</v>
      </c>
      <c r="E449" t="s">
        <v>8</v>
      </c>
      <c r="F449" t="s">
        <v>10</v>
      </c>
      <c r="G449" s="16">
        <v>5370.4315999999999</v>
      </c>
      <c r="H449" s="16">
        <v>6175.9960000000001</v>
      </c>
      <c r="I449" s="1">
        <v>46163</v>
      </c>
      <c r="J449">
        <v>94</v>
      </c>
      <c r="K449" t="s">
        <v>1746</v>
      </c>
      <c r="L449" t="s">
        <v>2225</v>
      </c>
      <c r="M449">
        <v>29</v>
      </c>
      <c r="N449">
        <v>5</v>
      </c>
      <c r="O449" t="s">
        <v>1036</v>
      </c>
      <c r="P449" s="17"/>
      <c r="Q449" s="17" t="str">
        <f>_xlfn.XLOOKUP(Table2[[#This Row],[buyFromVendorNo]],'Next Day Scheduled'!A:A,'Pending Returns'!O:O,"NOT_FOUND")</f>
        <v>Posted Credit Note</v>
      </c>
    </row>
    <row r="450" spans="1:17" x14ac:dyDescent="0.3">
      <c r="A450" s="1">
        <v>46165</v>
      </c>
      <c r="B450" t="s">
        <v>391</v>
      </c>
      <c r="C450" t="s">
        <v>337</v>
      </c>
      <c r="D450" t="s">
        <v>338</v>
      </c>
      <c r="E450" t="s">
        <v>8</v>
      </c>
      <c r="F450" t="s">
        <v>38</v>
      </c>
      <c r="G450" s="16">
        <v>18410.8</v>
      </c>
      <c r="H450" s="16">
        <v>21172.42</v>
      </c>
      <c r="I450" s="1">
        <v>46160</v>
      </c>
      <c r="J450">
        <v>94</v>
      </c>
      <c r="K450" t="s">
        <v>339</v>
      </c>
      <c r="L450" t="s">
        <v>2229</v>
      </c>
      <c r="M450">
        <v>0</v>
      </c>
      <c r="N450">
        <v>421</v>
      </c>
      <c r="O450" t="s">
        <v>1036</v>
      </c>
      <c r="P450" s="17"/>
      <c r="Q450" s="17" t="str">
        <f>_xlfn.XLOOKUP(Table2[[#This Row],[buyFromVendorNo]],'Next Day Scheduled'!A:A,'Pending Returns'!O:O,"NOT_FOUND")</f>
        <v>NOT_FOUND</v>
      </c>
    </row>
    <row r="451" spans="1:17" x14ac:dyDescent="0.3">
      <c r="A451" s="1">
        <v>46165</v>
      </c>
      <c r="B451" t="s">
        <v>1950</v>
      </c>
      <c r="C451" t="s">
        <v>778</v>
      </c>
      <c r="D451" t="s">
        <v>779</v>
      </c>
      <c r="E451" t="s">
        <v>8</v>
      </c>
      <c r="F451" t="s">
        <v>10</v>
      </c>
      <c r="G451" s="16">
        <v>6444.9066999999995</v>
      </c>
      <c r="H451" s="16">
        <v>7411.643</v>
      </c>
      <c r="I451" s="1">
        <v>46163</v>
      </c>
      <c r="J451">
        <v>94</v>
      </c>
      <c r="K451" t="s">
        <v>1931</v>
      </c>
      <c r="L451" t="s">
        <v>2227</v>
      </c>
      <c r="M451">
        <v>13</v>
      </c>
      <c r="N451">
        <v>7</v>
      </c>
      <c r="O451" t="s">
        <v>1036</v>
      </c>
      <c r="P451" s="17"/>
      <c r="Q451" s="17" t="str">
        <f>_xlfn.XLOOKUP(Table2[[#This Row],[buyFromVendorNo]],'Next Day Scheduled'!A:A,'Pending Returns'!O:O,"NOT_FOUND")</f>
        <v>Posted Credit Note</v>
      </c>
    </row>
    <row r="452" spans="1:17" x14ac:dyDescent="0.3">
      <c r="A452" s="1">
        <v>46165</v>
      </c>
      <c r="B452" t="s">
        <v>415</v>
      </c>
      <c r="C452" t="s">
        <v>181</v>
      </c>
      <c r="D452" t="s">
        <v>182</v>
      </c>
      <c r="E452" t="s">
        <v>8</v>
      </c>
      <c r="F452" t="s">
        <v>10</v>
      </c>
      <c r="G452" s="16">
        <v>3273.5176000000001</v>
      </c>
      <c r="H452" s="16">
        <v>3764.5452</v>
      </c>
      <c r="I452" s="1">
        <v>46151</v>
      </c>
      <c r="J452">
        <v>94</v>
      </c>
      <c r="K452" t="s">
        <v>456</v>
      </c>
      <c r="L452" t="s">
        <v>2218</v>
      </c>
      <c r="M452">
        <v>20</v>
      </c>
      <c r="N452">
        <v>2</v>
      </c>
      <c r="O452" t="s">
        <v>1036</v>
      </c>
      <c r="P452" s="17"/>
      <c r="Q452" s="17" t="str">
        <f>_xlfn.XLOOKUP(Table2[[#This Row],[buyFromVendorNo]],'Next Day Scheduled'!A:A,'Pending Returns'!O:O,"NOT_FOUND")</f>
        <v>NOT_FOUND</v>
      </c>
    </row>
    <row r="453" spans="1:17" x14ac:dyDescent="0.3">
      <c r="A453" s="1">
        <v>46165</v>
      </c>
      <c r="B453" t="s">
        <v>637</v>
      </c>
      <c r="C453" t="s">
        <v>582</v>
      </c>
      <c r="D453" t="s">
        <v>583</v>
      </c>
      <c r="E453" t="s">
        <v>8</v>
      </c>
      <c r="F453" t="s">
        <v>38</v>
      </c>
      <c r="G453" s="16">
        <v>4233.42</v>
      </c>
      <c r="H453" s="16">
        <v>4868.433</v>
      </c>
      <c r="I453" s="1">
        <v>46165</v>
      </c>
      <c r="J453">
        <v>94</v>
      </c>
      <c r="K453" t="s">
        <v>631</v>
      </c>
      <c r="L453" t="s">
        <v>2219</v>
      </c>
      <c r="M453">
        <v>25</v>
      </c>
      <c r="N453">
        <v>6</v>
      </c>
      <c r="O453" t="s">
        <v>1036</v>
      </c>
      <c r="P453" s="17"/>
      <c r="Q453" s="17" t="str">
        <f>_xlfn.XLOOKUP(Table2[[#This Row],[buyFromVendorNo]],'Next Day Scheduled'!A:A,'Pending Returns'!O:O,"NOT_FOUND")</f>
        <v>NOT_FOUND</v>
      </c>
    </row>
    <row r="454" spans="1:17" x14ac:dyDescent="0.3">
      <c r="A454" s="1">
        <v>46165</v>
      </c>
      <c r="B454" t="s">
        <v>783</v>
      </c>
      <c r="C454" t="s">
        <v>1621</v>
      </c>
      <c r="D454" t="s">
        <v>1622</v>
      </c>
      <c r="E454" t="s">
        <v>8</v>
      </c>
      <c r="F454" t="s">
        <v>10</v>
      </c>
      <c r="G454" s="16">
        <v>8432.48</v>
      </c>
      <c r="H454" s="16">
        <v>9697.3520000000008</v>
      </c>
      <c r="J454">
        <v>94</v>
      </c>
      <c r="K454" t="s">
        <v>2231</v>
      </c>
      <c r="M454">
        <v>0</v>
      </c>
      <c r="N454">
        <v>700</v>
      </c>
      <c r="O454" t="s">
        <v>216</v>
      </c>
      <c r="P454" s="17"/>
      <c r="Q454" s="17" t="str">
        <f>_xlfn.XLOOKUP(Table2[[#This Row],[buyFromVendorNo]],'Next Day Scheduled'!A:A,'Pending Returns'!O:O,"NOT_FOUND")</f>
        <v>NOT_FOUND</v>
      </c>
    </row>
    <row r="455" spans="1:17" x14ac:dyDescent="0.3">
      <c r="A455" s="1">
        <v>46165</v>
      </c>
      <c r="B455" t="s">
        <v>3270</v>
      </c>
      <c r="C455" t="s">
        <v>856</v>
      </c>
      <c r="D455" t="s">
        <v>857</v>
      </c>
      <c r="E455" t="s">
        <v>8</v>
      </c>
      <c r="F455" t="s">
        <v>10</v>
      </c>
      <c r="G455" s="16">
        <v>9134</v>
      </c>
      <c r="H455" s="16">
        <v>10504.1</v>
      </c>
      <c r="J455">
        <v>94</v>
      </c>
      <c r="K455" t="s">
        <v>2228</v>
      </c>
      <c r="M455">
        <v>0</v>
      </c>
      <c r="N455">
        <v>240</v>
      </c>
      <c r="O455" t="s">
        <v>216</v>
      </c>
      <c r="P455" s="17"/>
      <c r="Q455" s="17" t="str">
        <f>_xlfn.XLOOKUP(Table2[[#This Row],[buyFromVendorNo]],'Next Day Scheduled'!A:A,'Pending Returns'!O:O,"NOT_FOUND")</f>
        <v>NOT_FOUND</v>
      </c>
    </row>
    <row r="456" spans="1:17" x14ac:dyDescent="0.3">
      <c r="A456" s="1">
        <v>46165</v>
      </c>
      <c r="B456" t="s">
        <v>550</v>
      </c>
      <c r="C456" t="s">
        <v>937</v>
      </c>
      <c r="D456" t="s">
        <v>938</v>
      </c>
      <c r="E456" t="s">
        <v>8</v>
      </c>
      <c r="F456" t="s">
        <v>10</v>
      </c>
      <c r="G456" s="16">
        <v>3155.6095999999998</v>
      </c>
      <c r="H456" s="16">
        <v>3628.9512</v>
      </c>
      <c r="J456">
        <v>94</v>
      </c>
      <c r="K456" t="s">
        <v>2226</v>
      </c>
      <c r="M456">
        <v>11</v>
      </c>
      <c r="N456">
        <v>12</v>
      </c>
      <c r="O456" t="s">
        <v>216</v>
      </c>
      <c r="P456" s="17"/>
      <c r="Q456" s="17" t="str">
        <f>_xlfn.XLOOKUP(Table2[[#This Row],[buyFromVendorNo]],'Next Day Scheduled'!A:A,'Pending Returns'!O:O,"NOT_FOUND")</f>
        <v>NOT_FOUND</v>
      </c>
    </row>
    <row r="457" spans="1:17" x14ac:dyDescent="0.3">
      <c r="A457" s="1">
        <v>46165</v>
      </c>
      <c r="B457" t="s">
        <v>1847</v>
      </c>
      <c r="C457" t="s">
        <v>919</v>
      </c>
      <c r="D457" t="s">
        <v>920</v>
      </c>
      <c r="E457" t="s">
        <v>8</v>
      </c>
      <c r="F457" t="s">
        <v>10</v>
      </c>
      <c r="G457" s="16">
        <v>1244.1420000000001</v>
      </c>
      <c r="H457" s="16">
        <v>1430.7633000000001</v>
      </c>
      <c r="J457">
        <v>94</v>
      </c>
      <c r="K457" t="s">
        <v>2223</v>
      </c>
      <c r="M457">
        <v>3</v>
      </c>
      <c r="N457">
        <v>56</v>
      </c>
      <c r="O457" t="s">
        <v>216</v>
      </c>
      <c r="P457" s="17"/>
      <c r="Q457" s="17" t="str">
        <f>_xlfn.XLOOKUP(Table2[[#This Row],[buyFromVendorNo]],'Next Day Scheduled'!A:A,'Pending Returns'!O:O,"NOT_FOUND")</f>
        <v>NOT_FOUND</v>
      </c>
    </row>
    <row r="458" spans="1:17" x14ac:dyDescent="0.3">
      <c r="A458" s="1">
        <v>46165</v>
      </c>
      <c r="B458" t="s">
        <v>262</v>
      </c>
      <c r="C458" t="s">
        <v>512</v>
      </c>
      <c r="D458" t="s">
        <v>513</v>
      </c>
      <c r="E458" t="s">
        <v>8</v>
      </c>
      <c r="F458" t="s">
        <v>10</v>
      </c>
      <c r="G458" s="16">
        <v>2462.2892999999999</v>
      </c>
      <c r="H458" s="16">
        <v>2831.6327999999999</v>
      </c>
      <c r="I458" s="1">
        <v>46151</v>
      </c>
      <c r="J458">
        <v>94</v>
      </c>
      <c r="K458" t="s">
        <v>511</v>
      </c>
      <c r="L458" t="s">
        <v>2215</v>
      </c>
      <c r="M458">
        <v>15</v>
      </c>
      <c r="N458">
        <v>3</v>
      </c>
      <c r="O458" t="s">
        <v>1036</v>
      </c>
      <c r="P458" s="17"/>
      <c r="Q458" s="17" t="str">
        <f>_xlfn.XLOOKUP(Table2[[#This Row],[buyFromVendorNo]],'Next Day Scheduled'!A:A,'Pending Returns'!O:O,"NOT_FOUND")</f>
        <v>NOT_FOUND</v>
      </c>
    </row>
    <row r="459" spans="1:17" x14ac:dyDescent="0.3">
      <c r="A459" s="1">
        <v>46165</v>
      </c>
      <c r="B459" t="s">
        <v>220</v>
      </c>
      <c r="C459" t="s">
        <v>29</v>
      </c>
      <c r="D459" t="s">
        <v>30</v>
      </c>
      <c r="E459" t="s">
        <v>8</v>
      </c>
      <c r="F459" t="s">
        <v>10</v>
      </c>
      <c r="G459" s="16">
        <v>20.16</v>
      </c>
      <c r="H459" s="16">
        <v>23.184000000000001</v>
      </c>
      <c r="I459" s="1">
        <v>46165</v>
      </c>
      <c r="J459">
        <v>94</v>
      </c>
      <c r="K459" t="s">
        <v>28</v>
      </c>
      <c r="L459" t="s">
        <v>2230</v>
      </c>
      <c r="M459">
        <v>13</v>
      </c>
      <c r="N459">
        <v>2</v>
      </c>
      <c r="O459" t="s">
        <v>1036</v>
      </c>
      <c r="P459" s="17"/>
      <c r="Q459" s="17" t="str">
        <f>_xlfn.XLOOKUP(Table2[[#This Row],[buyFromVendorNo]],'Next Day Scheduled'!A:A,'Pending Returns'!O:O,"NOT_FOUND")</f>
        <v>NOT_FOUND</v>
      </c>
    </row>
    <row r="460" spans="1:17" x14ac:dyDescent="0.3">
      <c r="A460" s="1">
        <v>46166</v>
      </c>
      <c r="B460" t="s">
        <v>676</v>
      </c>
      <c r="C460" t="s">
        <v>179</v>
      </c>
      <c r="D460" t="s">
        <v>180</v>
      </c>
      <c r="E460" t="s">
        <v>8</v>
      </c>
      <c r="F460" t="s">
        <v>169</v>
      </c>
      <c r="G460" s="16">
        <v>1589.9079999999999</v>
      </c>
      <c r="H460" s="16">
        <v>1828.3942</v>
      </c>
      <c r="J460">
        <v>93</v>
      </c>
      <c r="K460" t="s">
        <v>2418</v>
      </c>
      <c r="M460">
        <v>0</v>
      </c>
      <c r="N460">
        <v>360</v>
      </c>
      <c r="O460" t="s">
        <v>216</v>
      </c>
      <c r="P460" s="17"/>
      <c r="Q460" s="17" t="str">
        <f>_xlfn.XLOOKUP(Table2[[#This Row],[buyFromVendorNo]],'Next Day Scheduled'!A:A,'Pending Returns'!O:O,"NOT_FOUND")</f>
        <v>NOT_FOUND</v>
      </c>
    </row>
    <row r="461" spans="1:17" x14ac:dyDescent="0.3">
      <c r="A461" s="1">
        <v>46166</v>
      </c>
      <c r="B461" t="s">
        <v>257</v>
      </c>
      <c r="C461" t="s">
        <v>1424</v>
      </c>
      <c r="D461" t="s">
        <v>1425</v>
      </c>
      <c r="E461" t="s">
        <v>8</v>
      </c>
      <c r="F461" t="s">
        <v>10</v>
      </c>
      <c r="G461" s="16">
        <v>9790.5</v>
      </c>
      <c r="H461" s="16">
        <v>11259.075000000001</v>
      </c>
      <c r="I461" s="1">
        <v>46163</v>
      </c>
      <c r="J461">
        <v>93</v>
      </c>
      <c r="K461" t="s">
        <v>2111</v>
      </c>
      <c r="L461" t="s">
        <v>2398</v>
      </c>
      <c r="M461">
        <v>6</v>
      </c>
      <c r="N461">
        <v>50</v>
      </c>
      <c r="O461" t="s">
        <v>1036</v>
      </c>
      <c r="P461" s="17"/>
      <c r="Q461" s="17" t="str">
        <f>_xlfn.XLOOKUP(Table2[[#This Row],[buyFromVendorNo]],'Next Day Scheduled'!A:A,'Pending Returns'!O:O,"NOT_FOUND")</f>
        <v>Posted Credit Note</v>
      </c>
    </row>
    <row r="462" spans="1:17" x14ac:dyDescent="0.3">
      <c r="A462" s="1">
        <v>46166</v>
      </c>
      <c r="B462" t="s">
        <v>1729</v>
      </c>
      <c r="C462" t="s">
        <v>935</v>
      </c>
      <c r="D462" t="s">
        <v>936</v>
      </c>
      <c r="E462" t="s">
        <v>8</v>
      </c>
      <c r="F462" t="s">
        <v>10</v>
      </c>
      <c r="G462" s="16">
        <v>972</v>
      </c>
      <c r="H462" s="16">
        <v>1117.8</v>
      </c>
      <c r="I462" s="1">
        <v>46162</v>
      </c>
      <c r="J462">
        <v>93</v>
      </c>
      <c r="K462" t="s">
        <v>1010</v>
      </c>
      <c r="L462" t="s">
        <v>2427</v>
      </c>
      <c r="M462">
        <v>14</v>
      </c>
      <c r="N462">
        <v>6</v>
      </c>
      <c r="O462" t="s">
        <v>1036</v>
      </c>
      <c r="P462" s="17"/>
      <c r="Q462" s="17" t="str">
        <f>_xlfn.XLOOKUP(Table2[[#This Row],[buyFromVendorNo]],'Next Day Scheduled'!A:A,'Pending Returns'!O:O,"NOT_FOUND")</f>
        <v>NOT_FOUND</v>
      </c>
    </row>
    <row r="463" spans="1:17" x14ac:dyDescent="0.3">
      <c r="A463" s="1">
        <v>46166</v>
      </c>
      <c r="B463" t="s">
        <v>890</v>
      </c>
      <c r="C463" t="s">
        <v>201</v>
      </c>
      <c r="D463" t="s">
        <v>202</v>
      </c>
      <c r="E463" t="s">
        <v>8</v>
      </c>
      <c r="F463" t="s">
        <v>169</v>
      </c>
      <c r="G463" s="16">
        <v>619.88463999999999</v>
      </c>
      <c r="H463" s="16">
        <v>712.8673</v>
      </c>
      <c r="I463" s="1">
        <v>46154</v>
      </c>
      <c r="J463">
        <v>93</v>
      </c>
      <c r="K463" t="s">
        <v>891</v>
      </c>
      <c r="L463" t="s">
        <v>2425</v>
      </c>
      <c r="M463">
        <v>13</v>
      </c>
      <c r="N463">
        <v>7</v>
      </c>
      <c r="O463" t="s">
        <v>1036</v>
      </c>
      <c r="P463" s="17"/>
      <c r="Q463" s="17" t="str">
        <f>_xlfn.XLOOKUP(Table2[[#This Row],[buyFromVendorNo]],'Next Day Scheduled'!A:A,'Pending Returns'!O:O,"NOT_FOUND")</f>
        <v>Pending for Collection</v>
      </c>
    </row>
    <row r="464" spans="1:17" x14ac:dyDescent="0.3">
      <c r="A464" s="1">
        <v>46166</v>
      </c>
      <c r="B464" t="s">
        <v>257</v>
      </c>
      <c r="C464" t="s">
        <v>602</v>
      </c>
      <c r="D464" t="s">
        <v>603</v>
      </c>
      <c r="E464" t="s">
        <v>8</v>
      </c>
      <c r="F464" t="s">
        <v>10</v>
      </c>
      <c r="G464" s="16">
        <v>4829.83</v>
      </c>
      <c r="H464" s="16">
        <v>5554.3046999999997</v>
      </c>
      <c r="I464" s="1">
        <v>46152</v>
      </c>
      <c r="J464">
        <v>93</v>
      </c>
      <c r="K464" t="s">
        <v>803</v>
      </c>
      <c r="L464" t="s">
        <v>2407</v>
      </c>
      <c r="M464">
        <v>12</v>
      </c>
      <c r="N464">
        <v>6</v>
      </c>
      <c r="O464" t="s">
        <v>1036</v>
      </c>
      <c r="P464" s="17"/>
      <c r="Q464" s="17" t="str">
        <f>_xlfn.XLOOKUP(Table2[[#This Row],[buyFromVendorNo]],'Next Day Scheduled'!A:A,'Pending Returns'!O:O,"NOT_FOUND")</f>
        <v>NOT_FOUND</v>
      </c>
    </row>
    <row r="465" spans="1:17" x14ac:dyDescent="0.3">
      <c r="A465" s="1">
        <v>46166</v>
      </c>
      <c r="B465" t="s">
        <v>245</v>
      </c>
      <c r="C465" t="s">
        <v>1018</v>
      </c>
      <c r="D465" t="s">
        <v>1019</v>
      </c>
      <c r="E465" t="s">
        <v>8</v>
      </c>
      <c r="F465" t="s">
        <v>10</v>
      </c>
      <c r="G465" s="16">
        <v>17067.543000000001</v>
      </c>
      <c r="H465" s="16">
        <v>19627.673999999999</v>
      </c>
      <c r="I465" s="1">
        <v>46166</v>
      </c>
      <c r="J465">
        <v>93</v>
      </c>
      <c r="K465" t="s">
        <v>2180</v>
      </c>
      <c r="L465" t="s">
        <v>2426</v>
      </c>
      <c r="M465">
        <v>13</v>
      </c>
      <c r="N465">
        <v>3</v>
      </c>
      <c r="O465" t="s">
        <v>1036</v>
      </c>
      <c r="P465" s="17"/>
      <c r="Q465" s="17" t="str">
        <f>_xlfn.XLOOKUP(Table2[[#This Row],[buyFromVendorNo]],'Next Day Scheduled'!A:A,'Pending Returns'!O:O,"NOT_FOUND")</f>
        <v>NOT_FOUND</v>
      </c>
    </row>
    <row r="466" spans="1:17" x14ac:dyDescent="0.3">
      <c r="A466" s="1">
        <v>46166</v>
      </c>
      <c r="B466" t="s">
        <v>606</v>
      </c>
      <c r="C466" t="s">
        <v>596</v>
      </c>
      <c r="D466" t="s">
        <v>597</v>
      </c>
      <c r="E466" t="s">
        <v>8</v>
      </c>
      <c r="F466" t="s">
        <v>10</v>
      </c>
      <c r="G466" s="16">
        <v>8893.7129999999997</v>
      </c>
      <c r="H466" s="16">
        <v>10227.770500000001</v>
      </c>
      <c r="I466" s="1">
        <v>46154</v>
      </c>
      <c r="J466">
        <v>93</v>
      </c>
      <c r="K466" t="s">
        <v>684</v>
      </c>
      <c r="L466" t="s">
        <v>2435</v>
      </c>
      <c r="M466">
        <v>14</v>
      </c>
      <c r="N466">
        <v>5</v>
      </c>
      <c r="O466" t="s">
        <v>1036</v>
      </c>
      <c r="P466" s="17"/>
      <c r="Q466" s="17" t="str">
        <f>_xlfn.XLOOKUP(Table2[[#This Row],[buyFromVendorNo]],'Next Day Scheduled'!A:A,'Pending Returns'!O:O,"NOT_FOUND")</f>
        <v>NOT_FOUND</v>
      </c>
    </row>
    <row r="467" spans="1:17" x14ac:dyDescent="0.3">
      <c r="A467" s="1">
        <v>46166</v>
      </c>
      <c r="B467" t="s">
        <v>671</v>
      </c>
      <c r="C467" t="s">
        <v>576</v>
      </c>
      <c r="D467" t="s">
        <v>577</v>
      </c>
      <c r="E467" t="s">
        <v>8</v>
      </c>
      <c r="F467" t="s">
        <v>10</v>
      </c>
      <c r="G467" s="16">
        <v>5391.2910000000002</v>
      </c>
      <c r="H467" s="16">
        <v>6199.9844000000003</v>
      </c>
      <c r="I467" s="1">
        <v>46149</v>
      </c>
      <c r="J467">
        <v>93</v>
      </c>
      <c r="K467" t="s">
        <v>672</v>
      </c>
      <c r="L467" t="s">
        <v>2422</v>
      </c>
      <c r="M467">
        <v>12</v>
      </c>
      <c r="N467">
        <v>3</v>
      </c>
      <c r="O467" t="s">
        <v>1036</v>
      </c>
      <c r="P467" s="17"/>
      <c r="Q467" s="17" t="str">
        <f>_xlfn.XLOOKUP(Table2[[#This Row],[buyFromVendorNo]],'Next Day Scheduled'!A:A,'Pending Returns'!O:O,"NOT_FOUND")</f>
        <v>NOT_FOUND</v>
      </c>
    </row>
    <row r="468" spans="1:17" x14ac:dyDescent="0.3">
      <c r="A468" s="1">
        <v>46166</v>
      </c>
      <c r="B468" t="s">
        <v>344</v>
      </c>
      <c r="C468" t="s">
        <v>697</v>
      </c>
      <c r="D468" t="s">
        <v>698</v>
      </c>
      <c r="E468" t="s">
        <v>8</v>
      </c>
      <c r="F468" t="s">
        <v>10</v>
      </c>
      <c r="G468" s="16">
        <v>3889.1428000000001</v>
      </c>
      <c r="H468" s="16">
        <v>4472.5140000000001</v>
      </c>
      <c r="I468" s="1">
        <v>46161</v>
      </c>
      <c r="J468">
        <v>93</v>
      </c>
      <c r="K468" t="s">
        <v>699</v>
      </c>
      <c r="L468" t="s">
        <v>2408</v>
      </c>
      <c r="M468">
        <v>16</v>
      </c>
      <c r="N468">
        <v>2</v>
      </c>
      <c r="O468" t="s">
        <v>1036</v>
      </c>
      <c r="P468" s="17"/>
      <c r="Q468" s="17" t="str">
        <f>_xlfn.XLOOKUP(Table2[[#This Row],[buyFromVendorNo]],'Next Day Scheduled'!A:A,'Pending Returns'!O:O,"NOT_FOUND")</f>
        <v>NOT_FOUND</v>
      </c>
    </row>
    <row r="469" spans="1:17" x14ac:dyDescent="0.3">
      <c r="A469" s="1">
        <v>46166</v>
      </c>
      <c r="B469" t="s">
        <v>642</v>
      </c>
      <c r="C469" t="s">
        <v>562</v>
      </c>
      <c r="D469" t="s">
        <v>563</v>
      </c>
      <c r="E469" t="s">
        <v>8</v>
      </c>
      <c r="F469" t="s">
        <v>38</v>
      </c>
      <c r="G469" s="16">
        <v>1648.058</v>
      </c>
      <c r="H469" s="16">
        <v>1895.2666999999999</v>
      </c>
      <c r="I469" s="1">
        <v>46163</v>
      </c>
      <c r="J469">
        <v>93</v>
      </c>
      <c r="K469" t="s">
        <v>2069</v>
      </c>
      <c r="L469" t="s">
        <v>2409</v>
      </c>
      <c r="M469">
        <v>40</v>
      </c>
      <c r="N469">
        <v>23</v>
      </c>
      <c r="O469" t="s">
        <v>1036</v>
      </c>
      <c r="P469" s="17"/>
      <c r="Q469" s="17" t="str">
        <f>_xlfn.XLOOKUP(Table2[[#This Row],[buyFromVendorNo]],'Next Day Scheduled'!A:A,'Pending Returns'!O:O,"NOT_FOUND")</f>
        <v>NOT_FOUND</v>
      </c>
    </row>
    <row r="470" spans="1:17" x14ac:dyDescent="0.3">
      <c r="A470" s="1">
        <v>46166</v>
      </c>
      <c r="B470" t="s">
        <v>257</v>
      </c>
      <c r="C470" t="s">
        <v>301</v>
      </c>
      <c r="D470" t="s">
        <v>370</v>
      </c>
      <c r="E470" t="s">
        <v>8</v>
      </c>
      <c r="F470" t="s">
        <v>10</v>
      </c>
      <c r="G470" s="16">
        <v>1086.99</v>
      </c>
      <c r="H470" s="16">
        <v>1250.0385000000001</v>
      </c>
      <c r="I470" s="1">
        <v>46165</v>
      </c>
      <c r="J470">
        <v>93</v>
      </c>
      <c r="K470" t="s">
        <v>2196</v>
      </c>
      <c r="L470" t="s">
        <v>2433</v>
      </c>
      <c r="M470">
        <v>26</v>
      </c>
      <c r="N470">
        <v>5</v>
      </c>
      <c r="O470" t="s">
        <v>1036</v>
      </c>
      <c r="P470" s="17"/>
      <c r="Q470" s="17" t="str">
        <f>_xlfn.XLOOKUP(Table2[[#This Row],[buyFromVendorNo]],'Next Day Scheduled'!A:A,'Pending Returns'!O:O,"NOT_FOUND")</f>
        <v>NOT_FOUND</v>
      </c>
    </row>
    <row r="471" spans="1:17" x14ac:dyDescent="0.3">
      <c r="A471" s="1">
        <v>46166</v>
      </c>
      <c r="B471" t="s">
        <v>315</v>
      </c>
      <c r="C471" t="s">
        <v>181</v>
      </c>
      <c r="D471" t="s">
        <v>182</v>
      </c>
      <c r="E471" t="s">
        <v>8</v>
      </c>
      <c r="F471" t="s">
        <v>10</v>
      </c>
      <c r="G471" s="16">
        <v>3364.9389999999999</v>
      </c>
      <c r="H471" s="16">
        <v>3869.68</v>
      </c>
      <c r="I471" s="1">
        <v>46151</v>
      </c>
      <c r="J471">
        <v>93</v>
      </c>
      <c r="K471" t="s">
        <v>527</v>
      </c>
      <c r="L471" t="s">
        <v>2419</v>
      </c>
      <c r="M471">
        <v>20</v>
      </c>
      <c r="N471">
        <v>2</v>
      </c>
      <c r="O471" t="s">
        <v>1036</v>
      </c>
      <c r="P471" s="17"/>
      <c r="Q471" s="17" t="str">
        <f>_xlfn.XLOOKUP(Table2[[#This Row],[buyFromVendorNo]],'Next Day Scheduled'!A:A,'Pending Returns'!O:O,"NOT_FOUND")</f>
        <v>NOT_FOUND</v>
      </c>
    </row>
    <row r="472" spans="1:17" x14ac:dyDescent="0.3">
      <c r="A472" s="1">
        <v>46166</v>
      </c>
      <c r="B472" t="s">
        <v>2206</v>
      </c>
      <c r="C472" t="s">
        <v>880</v>
      </c>
      <c r="D472" t="s">
        <v>881</v>
      </c>
      <c r="E472" t="s">
        <v>8</v>
      </c>
      <c r="F472" t="s">
        <v>10</v>
      </c>
      <c r="G472" s="16">
        <v>581.58000000000004</v>
      </c>
      <c r="H472" s="16">
        <v>668.81700000000001</v>
      </c>
      <c r="I472" s="1">
        <v>46166</v>
      </c>
      <c r="J472">
        <v>93</v>
      </c>
      <c r="K472" t="s">
        <v>2186</v>
      </c>
      <c r="L472" t="s">
        <v>2401</v>
      </c>
      <c r="M472">
        <v>7</v>
      </c>
      <c r="N472">
        <v>13</v>
      </c>
      <c r="O472" t="s">
        <v>1036</v>
      </c>
      <c r="P472" s="17"/>
      <c r="Q472" s="17" t="str">
        <f>_xlfn.XLOOKUP(Table2[[#This Row],[buyFromVendorNo]],'Next Day Scheduled'!A:A,'Pending Returns'!O:O,"NOT_FOUND")</f>
        <v>NOT_FOUND</v>
      </c>
    </row>
    <row r="473" spans="1:17" x14ac:dyDescent="0.3">
      <c r="A473" s="1">
        <v>46166</v>
      </c>
      <c r="B473" t="s">
        <v>1891</v>
      </c>
      <c r="C473" t="s">
        <v>65</v>
      </c>
      <c r="D473" t="s">
        <v>66</v>
      </c>
      <c r="E473" t="s">
        <v>8</v>
      </c>
      <c r="F473" t="s">
        <v>169</v>
      </c>
      <c r="G473" s="16">
        <v>167.33500000000001</v>
      </c>
      <c r="H473" s="16">
        <v>192.43526</v>
      </c>
      <c r="I473" s="1">
        <v>46163</v>
      </c>
      <c r="J473">
        <v>93</v>
      </c>
      <c r="K473" t="s">
        <v>2115</v>
      </c>
      <c r="L473" t="s">
        <v>2424</v>
      </c>
      <c r="M473">
        <v>25</v>
      </c>
      <c r="N473">
        <v>5</v>
      </c>
      <c r="O473" t="s">
        <v>1036</v>
      </c>
      <c r="P473" s="17"/>
      <c r="Q473" s="17" t="str">
        <f>_xlfn.XLOOKUP(Table2[[#This Row],[buyFromVendorNo]],'Next Day Scheduled'!A:A,'Pending Returns'!O:O,"NOT_FOUND")</f>
        <v>Posted Credit Note</v>
      </c>
    </row>
    <row r="474" spans="1:17" x14ac:dyDescent="0.3">
      <c r="A474" s="1">
        <v>46167</v>
      </c>
      <c r="B474" t="s">
        <v>1729</v>
      </c>
      <c r="C474" t="s">
        <v>139</v>
      </c>
      <c r="D474" t="s">
        <v>140</v>
      </c>
      <c r="E474" t="s">
        <v>8</v>
      </c>
      <c r="F474" t="s">
        <v>10</v>
      </c>
      <c r="G474" s="16">
        <v>550.95140000000004</v>
      </c>
      <c r="H474" s="16">
        <v>633.59410000000003</v>
      </c>
      <c r="I474" s="1">
        <v>46167</v>
      </c>
      <c r="J474">
        <v>92</v>
      </c>
      <c r="K474" t="s">
        <v>2107</v>
      </c>
      <c r="L474" t="s">
        <v>2532</v>
      </c>
      <c r="M474">
        <v>14</v>
      </c>
      <c r="N474">
        <v>7</v>
      </c>
      <c r="O474" t="s">
        <v>1036</v>
      </c>
      <c r="P474" s="17"/>
      <c r="Q474" s="17" t="str">
        <f>_xlfn.XLOOKUP(Table2[[#This Row],[buyFromVendorNo]],'Next Day Scheduled'!A:A,'Pending Returns'!O:O,"NOT_FOUND")</f>
        <v>NOT_FOUND</v>
      </c>
    </row>
    <row r="475" spans="1:17" x14ac:dyDescent="0.3">
      <c r="A475" s="1">
        <v>46167</v>
      </c>
      <c r="B475" t="s">
        <v>457</v>
      </c>
      <c r="C475" t="s">
        <v>19</v>
      </c>
      <c r="D475" t="s">
        <v>20</v>
      </c>
      <c r="E475" t="s">
        <v>8</v>
      </c>
      <c r="F475" t="s">
        <v>10</v>
      </c>
      <c r="G475" s="16">
        <v>3792.89</v>
      </c>
      <c r="H475" s="16">
        <v>4361.8236999999999</v>
      </c>
      <c r="I475" s="1">
        <v>46154</v>
      </c>
      <c r="J475">
        <v>92</v>
      </c>
      <c r="K475" t="s">
        <v>604</v>
      </c>
      <c r="L475" t="s">
        <v>2514</v>
      </c>
      <c r="M475">
        <v>7</v>
      </c>
      <c r="N475">
        <v>13</v>
      </c>
      <c r="O475" t="s">
        <v>1036</v>
      </c>
      <c r="P475" s="17"/>
      <c r="Q475" s="17" t="str">
        <f>_xlfn.XLOOKUP(Table2[[#This Row],[buyFromVendorNo]],'Next Day Scheduled'!A:A,'Pending Returns'!O:O,"NOT_FOUND")</f>
        <v>Posted Credit Note</v>
      </c>
    </row>
    <row r="476" spans="1:17" x14ac:dyDescent="0.3">
      <c r="A476" s="1">
        <v>46167</v>
      </c>
      <c r="B476" t="s">
        <v>783</v>
      </c>
      <c r="C476" t="s">
        <v>146</v>
      </c>
      <c r="D476" t="s">
        <v>147</v>
      </c>
      <c r="E476" t="s">
        <v>8</v>
      </c>
      <c r="F476" t="s">
        <v>10</v>
      </c>
      <c r="G476" s="16">
        <v>11968.05</v>
      </c>
      <c r="H476" s="16">
        <v>13763.258</v>
      </c>
      <c r="I476" s="1">
        <v>46165</v>
      </c>
      <c r="J476">
        <v>92</v>
      </c>
      <c r="K476" t="s">
        <v>2106</v>
      </c>
      <c r="L476" t="s">
        <v>2548</v>
      </c>
      <c r="M476">
        <v>13</v>
      </c>
      <c r="N476">
        <v>2</v>
      </c>
      <c r="O476" t="s">
        <v>1036</v>
      </c>
      <c r="P476" s="17"/>
      <c r="Q476" s="17" t="str">
        <f>_xlfn.XLOOKUP(Table2[[#This Row],[buyFromVendorNo]],'Next Day Scheduled'!A:A,'Pending Returns'!O:O,"NOT_FOUND")</f>
        <v>NOT_FOUND</v>
      </c>
    </row>
    <row r="477" spans="1:17" x14ac:dyDescent="0.3">
      <c r="A477" s="1">
        <v>46167</v>
      </c>
      <c r="B477" t="s">
        <v>1442</v>
      </c>
      <c r="C477" t="s">
        <v>941</v>
      </c>
      <c r="D477" t="s">
        <v>942</v>
      </c>
      <c r="E477" t="s">
        <v>8</v>
      </c>
      <c r="F477" t="s">
        <v>38</v>
      </c>
      <c r="G477" s="16">
        <v>2107.06</v>
      </c>
      <c r="H477" s="16">
        <v>2423.1190000000001</v>
      </c>
      <c r="I477" s="1">
        <v>46165</v>
      </c>
      <c r="J477">
        <v>92</v>
      </c>
      <c r="K477" t="s">
        <v>2105</v>
      </c>
      <c r="L477" t="s">
        <v>2535</v>
      </c>
      <c r="M477">
        <v>13</v>
      </c>
      <c r="N477">
        <v>1</v>
      </c>
      <c r="O477" t="s">
        <v>1036</v>
      </c>
      <c r="P477" s="17"/>
      <c r="Q477" s="17" t="str">
        <f>_xlfn.XLOOKUP(Table2[[#This Row],[buyFromVendorNo]],'Next Day Scheduled'!A:A,'Pending Returns'!O:O,"NOT_FOUND")</f>
        <v>NOT_FOUND</v>
      </c>
    </row>
    <row r="478" spans="1:17" x14ac:dyDescent="0.3">
      <c r="A478" s="1">
        <v>46167</v>
      </c>
      <c r="B478" t="s">
        <v>2003</v>
      </c>
      <c r="C478" t="s">
        <v>923</v>
      </c>
      <c r="D478" t="s">
        <v>924</v>
      </c>
      <c r="E478" t="s">
        <v>8</v>
      </c>
      <c r="F478" t="s">
        <v>10</v>
      </c>
      <c r="G478" s="16">
        <v>10711.264999999999</v>
      </c>
      <c r="H478" s="16">
        <v>12317.954</v>
      </c>
      <c r="J478">
        <v>92</v>
      </c>
      <c r="K478" t="s">
        <v>2444</v>
      </c>
      <c r="M478">
        <v>0</v>
      </c>
      <c r="N478">
        <v>257</v>
      </c>
      <c r="O478" t="s">
        <v>216</v>
      </c>
      <c r="P478" s="17"/>
      <c r="Q478" s="17" t="str">
        <f>_xlfn.XLOOKUP(Table2[[#This Row],[buyFromVendorNo]],'Next Day Scheduled'!A:A,'Pending Returns'!O:O,"NOT_FOUND")</f>
        <v>NOT_FOUND</v>
      </c>
    </row>
    <row r="479" spans="1:17" x14ac:dyDescent="0.3">
      <c r="A479" s="1">
        <v>46167</v>
      </c>
      <c r="B479" t="s">
        <v>245</v>
      </c>
      <c r="C479" t="s">
        <v>19</v>
      </c>
      <c r="D479" t="s">
        <v>20</v>
      </c>
      <c r="E479" t="s">
        <v>8</v>
      </c>
      <c r="F479" t="s">
        <v>10</v>
      </c>
      <c r="G479" s="16">
        <v>3407.01</v>
      </c>
      <c r="H479" s="16">
        <v>3918.0614999999998</v>
      </c>
      <c r="I479" s="1">
        <v>46145</v>
      </c>
      <c r="J479">
        <v>92</v>
      </c>
      <c r="K479" t="s">
        <v>124</v>
      </c>
      <c r="L479" t="s">
        <v>2549</v>
      </c>
      <c r="M479">
        <v>7</v>
      </c>
      <c r="N479">
        <v>13</v>
      </c>
      <c r="O479" t="s">
        <v>1036</v>
      </c>
      <c r="P479" s="17"/>
      <c r="Q479" s="17" t="str">
        <f>_xlfn.XLOOKUP(Table2[[#This Row],[buyFromVendorNo]],'Next Day Scheduled'!A:A,'Pending Returns'!O:O,"NOT_FOUND")</f>
        <v>Posted Credit Note</v>
      </c>
    </row>
    <row r="480" spans="1:17" x14ac:dyDescent="0.3">
      <c r="A480" s="1">
        <v>46167</v>
      </c>
      <c r="B480" t="s">
        <v>1467</v>
      </c>
      <c r="C480" t="s">
        <v>1099</v>
      </c>
      <c r="D480" t="s">
        <v>1100</v>
      </c>
      <c r="E480" t="s">
        <v>8</v>
      </c>
      <c r="F480" t="s">
        <v>38</v>
      </c>
      <c r="G480" s="16">
        <v>4576.25</v>
      </c>
      <c r="H480" s="16">
        <v>5262.6875</v>
      </c>
      <c r="I480" s="1">
        <v>46167</v>
      </c>
      <c r="J480">
        <v>92</v>
      </c>
      <c r="K480" t="s">
        <v>2097</v>
      </c>
      <c r="L480" t="s">
        <v>2554</v>
      </c>
      <c r="M480">
        <v>10</v>
      </c>
      <c r="N480">
        <v>5</v>
      </c>
      <c r="O480" t="s">
        <v>1036</v>
      </c>
      <c r="P480" s="17"/>
      <c r="Q480" s="17" t="str">
        <f>_xlfn.XLOOKUP(Table2[[#This Row],[buyFromVendorNo]],'Next Day Scheduled'!A:A,'Pending Returns'!O:O,"NOT_FOUND")</f>
        <v>NOT_FOUND</v>
      </c>
    </row>
    <row r="481" spans="1:17" x14ac:dyDescent="0.3">
      <c r="A481" s="1">
        <v>46167</v>
      </c>
      <c r="B481" t="s">
        <v>2153</v>
      </c>
      <c r="C481" t="s">
        <v>943</v>
      </c>
      <c r="D481" t="s">
        <v>944</v>
      </c>
      <c r="E481" t="s">
        <v>8</v>
      </c>
      <c r="F481" t="s">
        <v>10</v>
      </c>
      <c r="G481" s="16">
        <v>2681.0454</v>
      </c>
      <c r="H481" s="16">
        <v>3083.2021</v>
      </c>
      <c r="I481" s="1">
        <v>46165</v>
      </c>
      <c r="J481">
        <v>92</v>
      </c>
      <c r="K481" t="s">
        <v>2154</v>
      </c>
      <c r="L481" t="s">
        <v>2561</v>
      </c>
      <c r="M481">
        <v>8</v>
      </c>
      <c r="N481">
        <v>23</v>
      </c>
      <c r="O481" t="s">
        <v>1036</v>
      </c>
      <c r="P481" s="17"/>
      <c r="Q481" s="17" t="str">
        <f>_xlfn.XLOOKUP(Table2[[#This Row],[buyFromVendorNo]],'Next Day Scheduled'!A:A,'Pending Returns'!O:O,"NOT_FOUND")</f>
        <v>NOT_FOUND</v>
      </c>
    </row>
    <row r="482" spans="1:17" x14ac:dyDescent="0.3">
      <c r="A482" s="1">
        <v>46167</v>
      </c>
      <c r="B482" t="s">
        <v>217</v>
      </c>
      <c r="C482" t="s">
        <v>19</v>
      </c>
      <c r="D482" t="s">
        <v>20</v>
      </c>
      <c r="E482" t="s">
        <v>8</v>
      </c>
      <c r="F482" t="s">
        <v>10</v>
      </c>
      <c r="G482" s="16">
        <v>2923.64</v>
      </c>
      <c r="H482" s="16">
        <v>3362.1860000000001</v>
      </c>
      <c r="I482" s="1">
        <v>46145</v>
      </c>
      <c r="J482">
        <v>92</v>
      </c>
      <c r="K482" t="s">
        <v>18</v>
      </c>
      <c r="L482" t="s">
        <v>2513</v>
      </c>
      <c r="M482">
        <v>7</v>
      </c>
      <c r="N482">
        <v>13</v>
      </c>
      <c r="O482" t="s">
        <v>1036</v>
      </c>
      <c r="P482" s="17"/>
      <c r="Q482" s="17" t="str">
        <f>_xlfn.XLOOKUP(Table2[[#This Row],[buyFromVendorNo]],'Next Day Scheduled'!A:A,'Pending Returns'!O:O,"NOT_FOUND")</f>
        <v>Posted Credit Note</v>
      </c>
    </row>
    <row r="483" spans="1:17" x14ac:dyDescent="0.3">
      <c r="A483" s="1">
        <v>46167</v>
      </c>
      <c r="B483" t="s">
        <v>2209</v>
      </c>
      <c r="C483" t="s">
        <v>804</v>
      </c>
      <c r="D483" t="s">
        <v>805</v>
      </c>
      <c r="E483" t="s">
        <v>8</v>
      </c>
      <c r="F483" t="s">
        <v>10</v>
      </c>
      <c r="G483" s="16">
        <v>6641.634</v>
      </c>
      <c r="H483" s="16">
        <v>7637.8789999999999</v>
      </c>
      <c r="J483">
        <v>92</v>
      </c>
      <c r="K483" t="s">
        <v>2455</v>
      </c>
      <c r="M483">
        <v>0</v>
      </c>
      <c r="N483">
        <v>206</v>
      </c>
      <c r="O483" t="s">
        <v>216</v>
      </c>
      <c r="P483" s="17"/>
      <c r="Q483" s="17" t="str">
        <f>_xlfn.XLOOKUP(Table2[[#This Row],[buyFromVendorNo]],'Next Day Scheduled'!A:A,'Pending Returns'!O:O,"NOT_FOUND")</f>
        <v>NOT_FOUND</v>
      </c>
    </row>
    <row r="484" spans="1:17" x14ac:dyDescent="0.3">
      <c r="A484" s="1">
        <v>46167</v>
      </c>
      <c r="B484" t="s">
        <v>1854</v>
      </c>
      <c r="C484" t="s">
        <v>321</v>
      </c>
      <c r="D484" t="s">
        <v>322</v>
      </c>
      <c r="E484" t="s">
        <v>8</v>
      </c>
      <c r="F484" t="s">
        <v>10</v>
      </c>
      <c r="G484" s="16">
        <v>9018.2559999999994</v>
      </c>
      <c r="H484" s="16">
        <v>10370.994000000001</v>
      </c>
      <c r="I484" s="1">
        <v>46163</v>
      </c>
      <c r="J484">
        <v>92</v>
      </c>
      <c r="K484" t="s">
        <v>1855</v>
      </c>
      <c r="L484" t="s">
        <v>2441</v>
      </c>
      <c r="M484">
        <v>13</v>
      </c>
      <c r="N484">
        <v>5</v>
      </c>
      <c r="O484" t="s">
        <v>1036</v>
      </c>
      <c r="P484" s="17"/>
      <c r="Q484" s="17" t="str">
        <f>_xlfn.XLOOKUP(Table2[[#This Row],[buyFromVendorNo]],'Next Day Scheduled'!A:A,'Pending Returns'!O:O,"NOT_FOUND")</f>
        <v>NOT_FOUND</v>
      </c>
    </row>
    <row r="485" spans="1:17" x14ac:dyDescent="0.3">
      <c r="A485" s="1">
        <v>46167</v>
      </c>
      <c r="B485" t="s">
        <v>2095</v>
      </c>
      <c r="C485" t="s">
        <v>776</v>
      </c>
      <c r="D485" t="s">
        <v>777</v>
      </c>
      <c r="E485" t="s">
        <v>8</v>
      </c>
      <c r="F485" t="s">
        <v>38</v>
      </c>
      <c r="G485" s="16">
        <v>1084.06</v>
      </c>
      <c r="H485" s="16">
        <v>1246.6690000000001</v>
      </c>
      <c r="I485" s="1">
        <v>46165</v>
      </c>
      <c r="J485">
        <v>92</v>
      </c>
      <c r="K485" t="s">
        <v>2096</v>
      </c>
      <c r="L485" t="s">
        <v>2521</v>
      </c>
      <c r="M485">
        <v>14</v>
      </c>
      <c r="N485">
        <v>2</v>
      </c>
      <c r="O485" t="s">
        <v>1036</v>
      </c>
      <c r="P485" s="17"/>
      <c r="Q485" s="17" t="str">
        <f>_xlfn.XLOOKUP(Table2[[#This Row],[buyFromVendorNo]],'Next Day Scheduled'!A:A,'Pending Returns'!O:O,"NOT_FOUND")</f>
        <v>Posted Credit Note</v>
      </c>
    </row>
    <row r="486" spans="1:17" x14ac:dyDescent="0.3">
      <c r="A486" s="1">
        <v>46167</v>
      </c>
      <c r="B486" t="s">
        <v>441</v>
      </c>
      <c r="C486" t="s">
        <v>1099</v>
      </c>
      <c r="D486" t="s">
        <v>1100</v>
      </c>
      <c r="E486" t="s">
        <v>8</v>
      </c>
      <c r="F486" t="s">
        <v>38</v>
      </c>
      <c r="G486" s="16">
        <v>17473.627</v>
      </c>
      <c r="H486" s="16">
        <v>20094.671999999999</v>
      </c>
      <c r="I486" s="1">
        <v>46167</v>
      </c>
      <c r="J486">
        <v>92</v>
      </c>
      <c r="K486" t="s">
        <v>2100</v>
      </c>
      <c r="L486" t="s">
        <v>2572</v>
      </c>
      <c r="M486">
        <v>10</v>
      </c>
      <c r="N486">
        <v>5</v>
      </c>
      <c r="O486" t="s">
        <v>1036</v>
      </c>
      <c r="P486" s="17"/>
      <c r="Q486" s="17" t="str">
        <f>_xlfn.XLOOKUP(Table2[[#This Row],[buyFromVendorNo]],'Next Day Scheduled'!A:A,'Pending Returns'!O:O,"NOT_FOUND")</f>
        <v>NOT_FOUND</v>
      </c>
    </row>
    <row r="487" spans="1:17" x14ac:dyDescent="0.3">
      <c r="A487" s="1">
        <v>46167</v>
      </c>
      <c r="B487" t="s">
        <v>255</v>
      </c>
      <c r="C487" t="s">
        <v>19</v>
      </c>
      <c r="D487" t="s">
        <v>20</v>
      </c>
      <c r="E487" t="s">
        <v>8</v>
      </c>
      <c r="F487" t="s">
        <v>10</v>
      </c>
      <c r="G487" s="16">
        <v>2093.8000000000002</v>
      </c>
      <c r="H487" s="16">
        <v>2407.87</v>
      </c>
      <c r="I487" s="1">
        <v>46145</v>
      </c>
      <c r="J487">
        <v>92</v>
      </c>
      <c r="K487" t="s">
        <v>372</v>
      </c>
      <c r="L487" t="s">
        <v>2540</v>
      </c>
      <c r="M487">
        <v>7</v>
      </c>
      <c r="N487">
        <v>13</v>
      </c>
      <c r="O487" t="s">
        <v>1036</v>
      </c>
      <c r="P487" s="17"/>
      <c r="Q487" s="17" t="str">
        <f>_xlfn.XLOOKUP(Table2[[#This Row],[buyFromVendorNo]],'Next Day Scheduled'!A:A,'Pending Returns'!O:O,"NOT_FOUND")</f>
        <v>Posted Credit Note</v>
      </c>
    </row>
    <row r="488" spans="1:17" x14ac:dyDescent="0.3">
      <c r="A488" s="1">
        <v>46167</v>
      </c>
      <c r="B488" t="s">
        <v>605</v>
      </c>
      <c r="C488" t="s">
        <v>19</v>
      </c>
      <c r="D488" t="s">
        <v>20</v>
      </c>
      <c r="E488" t="s">
        <v>8</v>
      </c>
      <c r="F488" t="s">
        <v>10</v>
      </c>
      <c r="G488" s="16">
        <v>2458.48</v>
      </c>
      <c r="H488" s="16">
        <v>2827.252</v>
      </c>
      <c r="I488" s="1">
        <v>46154</v>
      </c>
      <c r="J488">
        <v>92</v>
      </c>
      <c r="K488" t="s">
        <v>594</v>
      </c>
      <c r="L488" t="s">
        <v>2530</v>
      </c>
      <c r="M488">
        <v>7</v>
      </c>
      <c r="N488">
        <v>13</v>
      </c>
      <c r="O488" t="s">
        <v>1036</v>
      </c>
      <c r="P488" s="17"/>
      <c r="Q488" s="17" t="str">
        <f>_xlfn.XLOOKUP(Table2[[#This Row],[buyFromVendorNo]],'Next Day Scheduled'!A:A,'Pending Returns'!O:O,"NOT_FOUND")</f>
        <v>Posted Credit Note</v>
      </c>
    </row>
    <row r="489" spans="1:17" x14ac:dyDescent="0.3">
      <c r="A489" s="1">
        <v>46167</v>
      </c>
      <c r="B489" t="s">
        <v>606</v>
      </c>
      <c r="C489" t="s">
        <v>141</v>
      </c>
      <c r="D489" t="s">
        <v>142</v>
      </c>
      <c r="E489" t="s">
        <v>8</v>
      </c>
      <c r="F489" t="s">
        <v>10</v>
      </c>
      <c r="G489" s="16">
        <v>5099.2974000000004</v>
      </c>
      <c r="H489" s="16">
        <v>5864.192</v>
      </c>
      <c r="I489" s="1">
        <v>46162</v>
      </c>
      <c r="J489">
        <v>92</v>
      </c>
      <c r="K489" t="s">
        <v>1760</v>
      </c>
      <c r="L489" t="s">
        <v>2563</v>
      </c>
      <c r="M489">
        <v>12</v>
      </c>
      <c r="N489">
        <v>6</v>
      </c>
      <c r="O489" t="s">
        <v>1036</v>
      </c>
      <c r="P489" s="17"/>
      <c r="Q489" s="17" t="str">
        <f>_xlfn.XLOOKUP(Table2[[#This Row],[buyFromVendorNo]],'Next Day Scheduled'!A:A,'Pending Returns'!O:O,"NOT_FOUND")</f>
        <v>NOT_FOUND</v>
      </c>
    </row>
    <row r="490" spans="1:17" x14ac:dyDescent="0.3">
      <c r="A490" s="1">
        <v>46167</v>
      </c>
      <c r="B490" t="s">
        <v>257</v>
      </c>
      <c r="C490" t="s">
        <v>776</v>
      </c>
      <c r="D490" t="s">
        <v>777</v>
      </c>
      <c r="E490" t="s">
        <v>8</v>
      </c>
      <c r="F490" t="s">
        <v>10</v>
      </c>
      <c r="G490" s="16">
        <v>15517.305</v>
      </c>
      <c r="H490" s="16">
        <v>17844.900000000001</v>
      </c>
      <c r="I490" s="1">
        <v>46165</v>
      </c>
      <c r="J490">
        <v>92</v>
      </c>
      <c r="K490" t="s">
        <v>2200</v>
      </c>
      <c r="L490" t="s">
        <v>2564</v>
      </c>
      <c r="M490">
        <v>34</v>
      </c>
      <c r="N490">
        <v>2</v>
      </c>
      <c r="O490" t="s">
        <v>1036</v>
      </c>
      <c r="P490" s="17"/>
      <c r="Q490" s="17" t="str">
        <f>_xlfn.XLOOKUP(Table2[[#This Row],[buyFromVendorNo]],'Next Day Scheduled'!A:A,'Pending Returns'!O:O,"NOT_FOUND")</f>
        <v>Posted Credit Note</v>
      </c>
    </row>
    <row r="491" spans="1:17" x14ac:dyDescent="0.3">
      <c r="A491" s="1">
        <v>46167</v>
      </c>
      <c r="B491" t="s">
        <v>1863</v>
      </c>
      <c r="C491" t="s">
        <v>107</v>
      </c>
      <c r="D491" t="s">
        <v>108</v>
      </c>
      <c r="E491" t="s">
        <v>8</v>
      </c>
      <c r="F491" t="s">
        <v>10</v>
      </c>
      <c r="G491" s="16">
        <v>1623.1113</v>
      </c>
      <c r="H491" s="16">
        <v>1866.578</v>
      </c>
      <c r="I491" s="1">
        <v>46159</v>
      </c>
      <c r="J491">
        <v>92</v>
      </c>
      <c r="K491" t="s">
        <v>1864</v>
      </c>
      <c r="L491" t="s">
        <v>2565</v>
      </c>
      <c r="M491">
        <v>15</v>
      </c>
      <c r="N491">
        <v>5</v>
      </c>
      <c r="O491" t="s">
        <v>1036</v>
      </c>
      <c r="P491" s="17"/>
      <c r="Q491" s="17" t="str">
        <f>_xlfn.XLOOKUP(Table2[[#This Row],[buyFromVendorNo]],'Next Day Scheduled'!A:A,'Pending Returns'!O:O,"NOT_FOUND")</f>
        <v>NOT_FOUND</v>
      </c>
    </row>
    <row r="492" spans="1:17" x14ac:dyDescent="0.3">
      <c r="A492" s="1">
        <v>46167</v>
      </c>
      <c r="B492" t="s">
        <v>2092</v>
      </c>
      <c r="C492" t="s">
        <v>404</v>
      </c>
      <c r="D492" t="s">
        <v>405</v>
      </c>
      <c r="E492" t="s">
        <v>8</v>
      </c>
      <c r="F492" t="s">
        <v>38</v>
      </c>
      <c r="G492" s="16">
        <v>1084.53</v>
      </c>
      <c r="H492" s="16">
        <v>1247.2094999999999</v>
      </c>
      <c r="J492">
        <v>92</v>
      </c>
      <c r="K492" t="s">
        <v>2568</v>
      </c>
      <c r="M492">
        <v>0</v>
      </c>
      <c r="N492">
        <v>292</v>
      </c>
      <c r="O492" t="s">
        <v>216</v>
      </c>
      <c r="P492" s="17"/>
      <c r="Q492" s="17" t="str">
        <f>_xlfn.XLOOKUP(Table2[[#This Row],[buyFromVendorNo]],'Next Day Scheduled'!A:A,'Pending Returns'!O:O,"NOT_FOUND")</f>
        <v>NOT_FOUND</v>
      </c>
    </row>
    <row r="493" spans="1:17" x14ac:dyDescent="0.3">
      <c r="A493" s="1">
        <v>46167</v>
      </c>
      <c r="B493" t="s">
        <v>267</v>
      </c>
      <c r="C493" t="s">
        <v>19</v>
      </c>
      <c r="D493" t="s">
        <v>20</v>
      </c>
      <c r="E493" t="s">
        <v>8</v>
      </c>
      <c r="F493" t="s">
        <v>10</v>
      </c>
      <c r="G493" s="16">
        <v>3266.74</v>
      </c>
      <c r="H493" s="16">
        <v>3756.7510000000002</v>
      </c>
      <c r="I493" s="1">
        <v>46145</v>
      </c>
      <c r="J493">
        <v>92</v>
      </c>
      <c r="K493" t="s">
        <v>168</v>
      </c>
      <c r="L493" t="s">
        <v>2523</v>
      </c>
      <c r="M493">
        <v>7</v>
      </c>
      <c r="N493">
        <v>13</v>
      </c>
      <c r="O493" t="s">
        <v>1036</v>
      </c>
      <c r="P493" s="17"/>
      <c r="Q493" s="17" t="str">
        <f>_xlfn.XLOOKUP(Table2[[#This Row],[buyFromVendorNo]],'Next Day Scheduled'!A:A,'Pending Returns'!O:O,"NOT_FOUND")</f>
        <v>Posted Credit Note</v>
      </c>
    </row>
    <row r="494" spans="1:17" x14ac:dyDescent="0.3">
      <c r="A494" s="1">
        <v>46167</v>
      </c>
      <c r="B494" t="s">
        <v>1956</v>
      </c>
      <c r="C494" t="s">
        <v>621</v>
      </c>
      <c r="D494" t="s">
        <v>622</v>
      </c>
      <c r="E494" t="s">
        <v>8</v>
      </c>
      <c r="F494" t="s">
        <v>10</v>
      </c>
      <c r="G494" s="16">
        <v>6638.5190000000002</v>
      </c>
      <c r="H494" s="16">
        <v>7634.2969999999996</v>
      </c>
      <c r="I494" s="1">
        <v>46167</v>
      </c>
      <c r="J494">
        <v>92</v>
      </c>
      <c r="K494" t="s">
        <v>1907</v>
      </c>
      <c r="L494" t="s">
        <v>2553</v>
      </c>
      <c r="M494">
        <v>12</v>
      </c>
      <c r="N494">
        <v>3</v>
      </c>
      <c r="O494" t="s">
        <v>1036</v>
      </c>
      <c r="P494" s="17"/>
      <c r="Q494" s="17" t="str">
        <f>_xlfn.XLOOKUP(Table2[[#This Row],[buyFromVendorNo]],'Next Day Scheduled'!A:A,'Pending Returns'!O:O,"NOT_FOUND")</f>
        <v>NOT_FOUND</v>
      </c>
    </row>
    <row r="495" spans="1:17" x14ac:dyDescent="0.3">
      <c r="A495" s="1">
        <v>46167</v>
      </c>
      <c r="B495" t="s">
        <v>2102</v>
      </c>
      <c r="C495" t="s">
        <v>941</v>
      </c>
      <c r="D495" t="s">
        <v>942</v>
      </c>
      <c r="E495" t="s">
        <v>8</v>
      </c>
      <c r="F495" t="s">
        <v>38</v>
      </c>
      <c r="G495" s="16">
        <v>4646.9799999999996</v>
      </c>
      <c r="H495" s="16">
        <v>5344.027</v>
      </c>
      <c r="I495" s="1">
        <v>46165</v>
      </c>
      <c r="J495">
        <v>92</v>
      </c>
      <c r="K495" t="s">
        <v>2103</v>
      </c>
      <c r="L495" t="s">
        <v>2526</v>
      </c>
      <c r="M495">
        <v>13</v>
      </c>
      <c r="N495">
        <v>1</v>
      </c>
      <c r="O495" t="s">
        <v>1036</v>
      </c>
      <c r="P495" s="17"/>
      <c r="Q495" s="17" t="str">
        <f>_xlfn.XLOOKUP(Table2[[#This Row],[buyFromVendorNo]],'Next Day Scheduled'!A:A,'Pending Returns'!O:O,"NOT_FOUND")</f>
        <v>NOT_FOUND</v>
      </c>
    </row>
    <row r="496" spans="1:17" x14ac:dyDescent="0.3">
      <c r="A496" s="1">
        <v>46167</v>
      </c>
      <c r="B496" t="s">
        <v>1849</v>
      </c>
      <c r="C496" t="s">
        <v>1768</v>
      </c>
      <c r="D496" t="s">
        <v>1769</v>
      </c>
      <c r="E496" t="s">
        <v>8</v>
      </c>
      <c r="F496" t="s">
        <v>10</v>
      </c>
      <c r="G496" s="16">
        <v>906.11580000000004</v>
      </c>
      <c r="H496" s="16">
        <v>1042.0331000000001</v>
      </c>
      <c r="I496" s="1">
        <v>46158</v>
      </c>
      <c r="J496">
        <v>92</v>
      </c>
      <c r="K496" t="s">
        <v>1850</v>
      </c>
      <c r="L496" t="s">
        <v>2529</v>
      </c>
      <c r="M496">
        <v>12</v>
      </c>
      <c r="N496">
        <v>5</v>
      </c>
      <c r="O496" t="s">
        <v>1036</v>
      </c>
      <c r="P496" s="17"/>
      <c r="Q496" s="17" t="str">
        <f>_xlfn.XLOOKUP(Table2[[#This Row],[buyFromVendorNo]],'Next Day Scheduled'!A:A,'Pending Returns'!O:O,"NOT_FOUND")</f>
        <v>NOT_FOUND</v>
      </c>
    </row>
    <row r="497" spans="1:17" x14ac:dyDescent="0.3">
      <c r="A497" s="1">
        <v>46167</v>
      </c>
      <c r="B497" t="s">
        <v>758</v>
      </c>
      <c r="C497" t="s">
        <v>304</v>
      </c>
      <c r="D497" t="s">
        <v>307</v>
      </c>
      <c r="E497" t="s">
        <v>8</v>
      </c>
      <c r="F497" t="s">
        <v>10</v>
      </c>
      <c r="G497" s="16">
        <v>8475.5840000000007</v>
      </c>
      <c r="H497" s="16">
        <v>9746.9220000000005</v>
      </c>
      <c r="I497" s="1">
        <v>46161</v>
      </c>
      <c r="J497">
        <v>92</v>
      </c>
      <c r="K497" t="s">
        <v>1755</v>
      </c>
      <c r="L497" t="s">
        <v>2543</v>
      </c>
      <c r="M497">
        <v>15</v>
      </c>
      <c r="N497">
        <v>6</v>
      </c>
      <c r="O497" t="s">
        <v>1036</v>
      </c>
      <c r="P497" s="17"/>
      <c r="Q497" s="17" t="str">
        <f>_xlfn.XLOOKUP(Table2[[#This Row],[buyFromVendorNo]],'Next Day Scheduled'!A:A,'Pending Returns'!O:O,"NOT_FOUND")</f>
        <v>NOT_FOUND</v>
      </c>
    </row>
    <row r="498" spans="1:17" x14ac:dyDescent="0.3">
      <c r="A498" s="1">
        <v>46167</v>
      </c>
      <c r="B498" t="s">
        <v>219</v>
      </c>
      <c r="C498" t="s">
        <v>19</v>
      </c>
      <c r="D498" t="s">
        <v>20</v>
      </c>
      <c r="E498" t="s">
        <v>8</v>
      </c>
      <c r="F498" t="s">
        <v>10</v>
      </c>
      <c r="G498" s="16">
        <v>1395.5</v>
      </c>
      <c r="H498" s="16">
        <v>1604.825</v>
      </c>
      <c r="I498" s="1">
        <v>46145</v>
      </c>
      <c r="J498">
        <v>92</v>
      </c>
      <c r="K498" t="s">
        <v>27</v>
      </c>
      <c r="L498" t="s">
        <v>2539</v>
      </c>
      <c r="M498">
        <v>7</v>
      </c>
      <c r="N498">
        <v>13</v>
      </c>
      <c r="O498" t="s">
        <v>1036</v>
      </c>
      <c r="P498" s="17"/>
      <c r="Q498" s="17" t="str">
        <f>_xlfn.XLOOKUP(Table2[[#This Row],[buyFromVendorNo]],'Next Day Scheduled'!A:A,'Pending Returns'!O:O,"NOT_FOUND")</f>
        <v>Posted Credit Note</v>
      </c>
    </row>
    <row r="499" spans="1:17" x14ac:dyDescent="0.3">
      <c r="A499" s="1">
        <v>46167</v>
      </c>
      <c r="B499" t="s">
        <v>762</v>
      </c>
      <c r="C499" t="s">
        <v>2486</v>
      </c>
      <c r="D499" t="s">
        <v>2487</v>
      </c>
      <c r="E499" t="s">
        <v>8</v>
      </c>
      <c r="F499" t="s">
        <v>10</v>
      </c>
      <c r="G499" s="16">
        <v>4343.3599999999997</v>
      </c>
      <c r="H499" s="16">
        <v>4343.3599999999997</v>
      </c>
      <c r="J499">
        <v>92</v>
      </c>
      <c r="K499" t="s">
        <v>2485</v>
      </c>
      <c r="M499">
        <v>0</v>
      </c>
      <c r="O499" t="s">
        <v>216</v>
      </c>
      <c r="P499" s="17"/>
      <c r="Q499" s="17" t="str">
        <f>_xlfn.XLOOKUP(Table2[[#This Row],[buyFromVendorNo]],'Next Day Scheduled'!A:A,'Pending Returns'!O:O,"NOT_FOUND")</f>
        <v>NOT_FOUND</v>
      </c>
    </row>
    <row r="500" spans="1:17" x14ac:dyDescent="0.3">
      <c r="A500" s="1">
        <v>46167</v>
      </c>
      <c r="B500" t="s">
        <v>757</v>
      </c>
      <c r="C500" t="s">
        <v>107</v>
      </c>
      <c r="D500" t="s">
        <v>108</v>
      </c>
      <c r="E500" t="s">
        <v>8</v>
      </c>
      <c r="F500" t="s">
        <v>10</v>
      </c>
      <c r="G500" s="16">
        <v>1674.5061000000001</v>
      </c>
      <c r="H500" s="16">
        <v>1925.682</v>
      </c>
      <c r="I500" s="1">
        <v>46159</v>
      </c>
      <c r="J500">
        <v>92</v>
      </c>
      <c r="K500" t="s">
        <v>734</v>
      </c>
      <c r="L500" t="s">
        <v>2541</v>
      </c>
      <c r="M500">
        <v>15</v>
      </c>
      <c r="N500">
        <v>5</v>
      </c>
      <c r="O500" t="s">
        <v>1036</v>
      </c>
      <c r="P500" s="17"/>
      <c r="Q500" s="17" t="str">
        <f>_xlfn.XLOOKUP(Table2[[#This Row],[buyFromVendorNo]],'Next Day Scheduled'!A:A,'Pending Returns'!O:O,"NOT_FOUND")</f>
        <v>NOT_FOUND</v>
      </c>
    </row>
    <row r="501" spans="1:17" x14ac:dyDescent="0.3">
      <c r="A501" s="1">
        <v>46168</v>
      </c>
      <c r="B501" t="s">
        <v>442</v>
      </c>
      <c r="C501" t="s">
        <v>75</v>
      </c>
      <c r="D501" t="s">
        <v>76</v>
      </c>
      <c r="E501" t="s">
        <v>8</v>
      </c>
      <c r="F501" t="s">
        <v>38</v>
      </c>
      <c r="G501" s="16">
        <v>19800.002</v>
      </c>
      <c r="H501" s="16">
        <v>22770.004000000001</v>
      </c>
      <c r="J501">
        <v>91</v>
      </c>
      <c r="K501" t="s">
        <v>2684</v>
      </c>
      <c r="M501">
        <v>10</v>
      </c>
      <c r="N501">
        <v>5</v>
      </c>
      <c r="O501" t="s">
        <v>216</v>
      </c>
      <c r="P501" s="17"/>
      <c r="Q501" s="17" t="str">
        <f>_xlfn.XLOOKUP(Table2[[#This Row],[buyFromVendorNo]],'Next Day Scheduled'!A:A,'Pending Returns'!O:O,"NOT_FOUND")</f>
        <v>Posted Credit Note</v>
      </c>
    </row>
    <row r="502" spans="1:17" x14ac:dyDescent="0.3">
      <c r="A502" s="1">
        <v>46168</v>
      </c>
      <c r="B502" t="s">
        <v>2694</v>
      </c>
      <c r="C502" t="s">
        <v>14</v>
      </c>
      <c r="D502" t="s">
        <v>15</v>
      </c>
      <c r="E502" t="s">
        <v>8</v>
      </c>
      <c r="F502" t="s">
        <v>10</v>
      </c>
      <c r="G502" s="16">
        <v>3123.08</v>
      </c>
      <c r="H502" s="16">
        <v>3591.5419999999999</v>
      </c>
      <c r="J502">
        <v>91</v>
      </c>
      <c r="K502" t="s">
        <v>2695</v>
      </c>
      <c r="M502">
        <v>0</v>
      </c>
      <c r="N502">
        <v>551</v>
      </c>
      <c r="O502" t="s">
        <v>216</v>
      </c>
      <c r="P502" s="17"/>
      <c r="Q502" s="17" t="str">
        <f>_xlfn.XLOOKUP(Table2[[#This Row],[buyFromVendorNo]],'Next Day Scheduled'!A:A,'Pending Returns'!O:O,"NOT_FOUND")</f>
        <v>NOT_FOUND</v>
      </c>
    </row>
    <row r="503" spans="1:17" x14ac:dyDescent="0.3">
      <c r="A503" s="1">
        <v>46168</v>
      </c>
      <c r="B503" t="s">
        <v>2728</v>
      </c>
      <c r="C503" t="s">
        <v>2302</v>
      </c>
      <c r="D503" t="s">
        <v>2303</v>
      </c>
      <c r="E503" t="s">
        <v>8</v>
      </c>
      <c r="F503" t="s">
        <v>10</v>
      </c>
      <c r="G503" s="16">
        <v>566.19000000000005</v>
      </c>
      <c r="H503" s="16">
        <v>651.11850000000004</v>
      </c>
      <c r="J503">
        <v>91</v>
      </c>
      <c r="K503" t="s">
        <v>2729</v>
      </c>
      <c r="M503">
        <v>9</v>
      </c>
      <c r="N503">
        <v>16</v>
      </c>
      <c r="O503" t="s">
        <v>216</v>
      </c>
      <c r="P503" s="17"/>
      <c r="Q503" s="17" t="str">
        <f>_xlfn.XLOOKUP(Table2[[#This Row],[buyFromVendorNo]],'Next Day Scheduled'!A:A,'Pending Returns'!O:O,"NOT_FOUND")</f>
        <v>NOT_FOUND</v>
      </c>
    </row>
    <row r="504" spans="1:17" x14ac:dyDescent="0.3">
      <c r="A504" s="1">
        <v>46168</v>
      </c>
      <c r="B504" t="s">
        <v>2581</v>
      </c>
      <c r="C504" t="s">
        <v>2597</v>
      </c>
      <c r="D504" t="s">
        <v>2598</v>
      </c>
      <c r="E504" t="s">
        <v>8</v>
      </c>
      <c r="F504" t="s">
        <v>10</v>
      </c>
      <c r="G504" s="16">
        <v>1834.375</v>
      </c>
      <c r="H504" s="16">
        <v>2109.5311999999999</v>
      </c>
      <c r="J504">
        <v>91</v>
      </c>
      <c r="K504" t="s">
        <v>2599</v>
      </c>
      <c r="M504">
        <v>0</v>
      </c>
      <c r="N504">
        <v>376</v>
      </c>
      <c r="O504" t="s">
        <v>216</v>
      </c>
      <c r="P504" s="17"/>
      <c r="Q504" s="17" t="str">
        <f>_xlfn.XLOOKUP(Table2[[#This Row],[buyFromVendorNo]],'Next Day Scheduled'!A:A,'Pending Returns'!O:O,"NOT_FOUND")</f>
        <v>NOT_FOUND</v>
      </c>
    </row>
    <row r="505" spans="1:17" x14ac:dyDescent="0.3">
      <c r="A505" s="1">
        <v>46168</v>
      </c>
      <c r="B505" t="s">
        <v>2702</v>
      </c>
      <c r="C505" t="s">
        <v>55</v>
      </c>
      <c r="D505" t="s">
        <v>56</v>
      </c>
      <c r="E505" t="s">
        <v>8</v>
      </c>
      <c r="F505" t="s">
        <v>10</v>
      </c>
      <c r="G505" s="16">
        <v>429.65</v>
      </c>
      <c r="H505" s="16">
        <v>494.09750000000003</v>
      </c>
      <c r="J505">
        <v>91</v>
      </c>
      <c r="K505" t="s">
        <v>2703</v>
      </c>
      <c r="M505">
        <v>0</v>
      </c>
      <c r="N505">
        <v>656</v>
      </c>
      <c r="O505" t="s">
        <v>216</v>
      </c>
      <c r="P505" s="17"/>
      <c r="Q505" s="17" t="str">
        <f>_xlfn.XLOOKUP(Table2[[#This Row],[buyFromVendorNo]],'Next Day Scheduled'!A:A,'Pending Returns'!O:O,"NOT_FOUND")</f>
        <v>NOT_FOUND</v>
      </c>
    </row>
    <row r="506" spans="1:17" x14ac:dyDescent="0.3">
      <c r="A506" s="1">
        <v>46168</v>
      </c>
      <c r="B506" t="s">
        <v>2818</v>
      </c>
      <c r="C506" t="s">
        <v>2676</v>
      </c>
      <c r="D506" t="s">
        <v>2677</v>
      </c>
      <c r="E506" t="s">
        <v>8</v>
      </c>
      <c r="F506" t="s">
        <v>10</v>
      </c>
      <c r="G506" s="16">
        <v>4380.1149999999998</v>
      </c>
      <c r="H506" s="16">
        <v>5037.1329999999998</v>
      </c>
      <c r="J506">
        <v>91</v>
      </c>
      <c r="K506" t="s">
        <v>2678</v>
      </c>
      <c r="M506">
        <v>0</v>
      </c>
      <c r="N506">
        <v>591</v>
      </c>
      <c r="O506" t="s">
        <v>216</v>
      </c>
      <c r="P506" s="17"/>
      <c r="Q506" s="17" t="str">
        <f>_xlfn.XLOOKUP(Table2[[#This Row],[buyFromVendorNo]],'Next Day Scheduled'!A:A,'Pending Returns'!O:O,"NOT_FOUND")</f>
        <v>NOT_FOUND</v>
      </c>
    </row>
    <row r="507" spans="1:17" x14ac:dyDescent="0.3">
      <c r="A507" s="1">
        <v>46168</v>
      </c>
      <c r="B507" t="s">
        <v>1833</v>
      </c>
      <c r="C507" t="s">
        <v>1866</v>
      </c>
      <c r="D507" t="s">
        <v>1867</v>
      </c>
      <c r="E507" t="s">
        <v>8</v>
      </c>
      <c r="F507" t="s">
        <v>10</v>
      </c>
      <c r="G507" s="16">
        <v>505.52</v>
      </c>
      <c r="H507" s="16">
        <v>581.34799999999996</v>
      </c>
      <c r="J507">
        <v>91</v>
      </c>
      <c r="K507" t="s">
        <v>2720</v>
      </c>
      <c r="M507">
        <v>0</v>
      </c>
      <c r="N507">
        <v>391</v>
      </c>
      <c r="O507" t="s">
        <v>216</v>
      </c>
      <c r="P507" s="17"/>
      <c r="Q507" s="17" t="str">
        <f>_xlfn.XLOOKUP(Table2[[#This Row],[buyFromVendorNo]],'Next Day Scheduled'!A:A,'Pending Returns'!O:O,"NOT_FOUND")</f>
        <v>NOT_FOUND</v>
      </c>
    </row>
    <row r="508" spans="1:17" x14ac:dyDescent="0.3">
      <c r="A508" s="1">
        <v>46169</v>
      </c>
      <c r="B508" t="s">
        <v>2761</v>
      </c>
      <c r="C508" t="s">
        <v>2762</v>
      </c>
      <c r="D508" t="s">
        <v>2763</v>
      </c>
      <c r="E508" t="s">
        <v>8</v>
      </c>
      <c r="F508" t="s">
        <v>10</v>
      </c>
      <c r="G508" s="16">
        <v>10194.700000000001</v>
      </c>
      <c r="H508" s="16">
        <v>11723.904</v>
      </c>
      <c r="J508">
        <v>90</v>
      </c>
      <c r="K508" t="s">
        <v>2764</v>
      </c>
      <c r="M508">
        <v>0</v>
      </c>
      <c r="N508">
        <v>677</v>
      </c>
      <c r="O508" t="s">
        <v>216</v>
      </c>
      <c r="P508" s="17"/>
      <c r="Q508" s="17" t="str">
        <f>_xlfn.XLOOKUP(Table2[[#This Row],[buyFromVendorNo]],'Next Day Scheduled'!A:A,'Pending Returns'!O:O,"NOT_FOUND")</f>
        <v>NOT_FOUND</v>
      </c>
    </row>
    <row r="509" spans="1:17" x14ac:dyDescent="0.3">
      <c r="A509" s="1">
        <v>46169</v>
      </c>
      <c r="B509" t="s">
        <v>2751</v>
      </c>
      <c r="C509" t="s">
        <v>2752</v>
      </c>
      <c r="D509" t="s">
        <v>2753</v>
      </c>
      <c r="E509" t="s">
        <v>8</v>
      </c>
      <c r="F509" t="s">
        <v>10</v>
      </c>
      <c r="G509" s="16">
        <v>893.98</v>
      </c>
      <c r="H509" s="16">
        <v>1028.0769</v>
      </c>
      <c r="J509">
        <v>90</v>
      </c>
      <c r="K509" t="s">
        <v>2754</v>
      </c>
      <c r="M509">
        <v>0</v>
      </c>
      <c r="N509">
        <v>629</v>
      </c>
      <c r="O509" t="s">
        <v>216</v>
      </c>
      <c r="P509" s="17"/>
      <c r="Q509" s="17" t="str">
        <f>_xlfn.XLOOKUP(Table2[[#This Row],[buyFromVendorNo]],'Next Day Scheduled'!A:A,'Pending Returns'!O:O,"NOT_FOUND")</f>
        <v>NOT_FOUND</v>
      </c>
    </row>
    <row r="510" spans="1:17" x14ac:dyDescent="0.3">
      <c r="A510" s="1">
        <v>46169</v>
      </c>
      <c r="B510" t="s">
        <v>442</v>
      </c>
      <c r="C510" t="s">
        <v>618</v>
      </c>
      <c r="D510" t="s">
        <v>619</v>
      </c>
      <c r="E510" t="s">
        <v>8</v>
      </c>
      <c r="F510" t="s">
        <v>38</v>
      </c>
      <c r="G510" s="16">
        <v>648.01116999999999</v>
      </c>
      <c r="H510" s="16">
        <v>648.01116999999999</v>
      </c>
      <c r="I510" s="1">
        <v>46166</v>
      </c>
      <c r="J510">
        <v>90</v>
      </c>
      <c r="K510" t="s">
        <v>2397</v>
      </c>
      <c r="L510" t="s">
        <v>2811</v>
      </c>
      <c r="M510">
        <v>90</v>
      </c>
      <c r="N510">
        <v>0</v>
      </c>
      <c r="O510" t="s">
        <v>1036</v>
      </c>
      <c r="P510" s="17"/>
      <c r="Q510" s="17" t="str">
        <f>_xlfn.XLOOKUP(Table2[[#This Row],[buyFromVendorNo]],'Next Day Scheduled'!A:A,'Pending Returns'!O:O,"NOT_FOUND")</f>
        <v>NOT_FOUND</v>
      </c>
    </row>
    <row r="511" spans="1:17" x14ac:dyDescent="0.3">
      <c r="A511" s="1">
        <v>46169</v>
      </c>
      <c r="B511" t="s">
        <v>2794</v>
      </c>
      <c r="C511" t="s">
        <v>2273</v>
      </c>
      <c r="D511" t="s">
        <v>2274</v>
      </c>
      <c r="E511" t="s">
        <v>8</v>
      </c>
      <c r="F511" t="s">
        <v>10</v>
      </c>
      <c r="G511" s="16">
        <v>4396.152</v>
      </c>
      <c r="H511" s="16">
        <v>5055.5739999999996</v>
      </c>
      <c r="J511">
        <v>90</v>
      </c>
      <c r="K511" t="s">
        <v>2795</v>
      </c>
      <c r="M511">
        <v>0</v>
      </c>
      <c r="N511">
        <v>92</v>
      </c>
      <c r="O511" t="s">
        <v>216</v>
      </c>
      <c r="P511" s="17"/>
      <c r="Q511" s="17" t="str">
        <f>_xlfn.XLOOKUP(Table2[[#This Row],[buyFromVendorNo]],'Next Day Scheduled'!A:A,'Pending Returns'!O:O,"NOT_FOUND")</f>
        <v>NOT_FOUND</v>
      </c>
    </row>
    <row r="512" spans="1:17" x14ac:dyDescent="0.3">
      <c r="A512" s="1">
        <v>46169</v>
      </c>
      <c r="B512" t="s">
        <v>2784</v>
      </c>
      <c r="C512" t="s">
        <v>253</v>
      </c>
      <c r="D512" t="s">
        <v>254</v>
      </c>
      <c r="E512" t="s">
        <v>8</v>
      </c>
      <c r="F512" t="s">
        <v>10</v>
      </c>
      <c r="G512" s="16">
        <v>1731.3043</v>
      </c>
      <c r="H512" s="16">
        <v>1991</v>
      </c>
      <c r="J512">
        <v>90</v>
      </c>
      <c r="K512" t="s">
        <v>2785</v>
      </c>
      <c r="M512">
        <v>0</v>
      </c>
      <c r="N512">
        <v>260</v>
      </c>
      <c r="O512" t="s">
        <v>216</v>
      </c>
      <c r="P512" s="17"/>
      <c r="Q512" s="17" t="str">
        <f>_xlfn.XLOOKUP(Table2[[#This Row],[buyFromVendorNo]],'Next Day Scheduled'!A:A,'Pending Returns'!O:O,"NOT_FOUND")</f>
        <v>NOT_FOUND</v>
      </c>
    </row>
    <row r="513" spans="1:17" x14ac:dyDescent="0.3">
      <c r="A513" s="1">
        <v>46169</v>
      </c>
      <c r="B513" t="s">
        <v>1782</v>
      </c>
      <c r="C513" t="s">
        <v>2804</v>
      </c>
      <c r="D513" t="s">
        <v>2805</v>
      </c>
      <c r="E513" t="s">
        <v>8</v>
      </c>
      <c r="F513" t="s">
        <v>10</v>
      </c>
      <c r="G513" s="16">
        <v>4322.5249999999996</v>
      </c>
      <c r="H513" s="16">
        <v>4970.9040000000005</v>
      </c>
      <c r="J513">
        <v>90</v>
      </c>
      <c r="K513" t="s">
        <v>2806</v>
      </c>
      <c r="M513">
        <v>0</v>
      </c>
      <c r="O513" t="s">
        <v>216</v>
      </c>
      <c r="P513" s="17"/>
      <c r="Q513" s="17" t="str">
        <f>_xlfn.XLOOKUP(Table2[[#This Row],[buyFromVendorNo]],'Next Day Scheduled'!A:A,'Pending Returns'!O:O,"NOT_FOUND")</f>
        <v>NOT_FOUND</v>
      </c>
    </row>
    <row r="514" spans="1:17" x14ac:dyDescent="0.3">
      <c r="A514" s="1">
        <v>46170</v>
      </c>
      <c r="B514" t="s">
        <v>2860</v>
      </c>
      <c r="C514" t="s">
        <v>2861</v>
      </c>
      <c r="D514" t="s">
        <v>2862</v>
      </c>
      <c r="E514" t="s">
        <v>8</v>
      </c>
      <c r="F514" t="s">
        <v>10</v>
      </c>
      <c r="G514" s="16">
        <v>1236</v>
      </c>
      <c r="H514" s="16">
        <v>1421.4</v>
      </c>
      <c r="J514">
        <v>89</v>
      </c>
      <c r="K514" t="s">
        <v>2863</v>
      </c>
      <c r="M514">
        <v>0</v>
      </c>
      <c r="O514" t="s">
        <v>216</v>
      </c>
      <c r="P514" s="17"/>
      <c r="Q514" s="17" t="str">
        <f>_xlfn.XLOOKUP(Table2[[#This Row],[buyFromVendorNo]],'Next Day Scheduled'!A:A,'Pending Returns'!O:O,"NOT_FOUND")</f>
        <v>NOT_FOUND</v>
      </c>
    </row>
    <row r="515" spans="1:17" x14ac:dyDescent="0.3">
      <c r="A515" s="1">
        <v>46170</v>
      </c>
      <c r="B515" t="s">
        <v>1858</v>
      </c>
      <c r="C515" t="s">
        <v>856</v>
      </c>
      <c r="D515" t="s">
        <v>857</v>
      </c>
      <c r="E515" t="s">
        <v>8</v>
      </c>
      <c r="F515" t="s">
        <v>10</v>
      </c>
      <c r="G515" s="16">
        <v>10885</v>
      </c>
      <c r="H515" s="16">
        <v>12517.75</v>
      </c>
      <c r="J515">
        <v>89</v>
      </c>
      <c r="K515" t="s">
        <v>2870</v>
      </c>
      <c r="M515">
        <v>0</v>
      </c>
      <c r="N515">
        <v>240</v>
      </c>
      <c r="O515" t="s">
        <v>216</v>
      </c>
      <c r="P515" s="17"/>
      <c r="Q515" s="17" t="str">
        <f>_xlfn.XLOOKUP(Table2[[#This Row],[buyFromVendorNo]],'Next Day Scheduled'!A:A,'Pending Returns'!O:O,"NOT_FOUND")</f>
        <v>NOT_FOUND</v>
      </c>
    </row>
    <row r="516" spans="1:17" x14ac:dyDescent="0.3">
      <c r="A516" s="1">
        <v>46172</v>
      </c>
      <c r="B516" t="s">
        <v>1994</v>
      </c>
      <c r="C516" t="s">
        <v>1707</v>
      </c>
      <c r="D516" t="s">
        <v>1708</v>
      </c>
      <c r="E516" t="s">
        <v>8</v>
      </c>
      <c r="F516" t="s">
        <v>10</v>
      </c>
      <c r="G516" s="16">
        <v>956.42</v>
      </c>
      <c r="H516" s="16">
        <v>1099.883</v>
      </c>
      <c r="J516">
        <v>87</v>
      </c>
      <c r="K516" t="s">
        <v>2928</v>
      </c>
      <c r="M516">
        <v>0</v>
      </c>
      <c r="N516">
        <v>561</v>
      </c>
      <c r="O516" t="s">
        <v>216</v>
      </c>
      <c r="P516" s="17"/>
      <c r="Q516" s="17" t="str">
        <f>_xlfn.XLOOKUP(Table2[[#This Row],[buyFromVendorNo]],'Next Day Scheduled'!A:A,'Pending Returns'!O:O,"NOT_FOUND")</f>
        <v>NOT_FOUND</v>
      </c>
    </row>
    <row r="517" spans="1:17" x14ac:dyDescent="0.3">
      <c r="A517" s="1">
        <v>46172</v>
      </c>
      <c r="B517" t="s">
        <v>4224</v>
      </c>
      <c r="C517" t="s">
        <v>102</v>
      </c>
      <c r="D517" t="s">
        <v>103</v>
      </c>
      <c r="E517" t="s">
        <v>8</v>
      </c>
      <c r="F517" t="s">
        <v>10</v>
      </c>
      <c r="G517" s="16">
        <v>170.95</v>
      </c>
      <c r="H517" s="16">
        <v>196.5925</v>
      </c>
      <c r="J517">
        <v>87</v>
      </c>
      <c r="K517" t="s">
        <v>3011</v>
      </c>
      <c r="M517">
        <v>0</v>
      </c>
      <c r="N517">
        <v>330</v>
      </c>
      <c r="O517" t="s">
        <v>216</v>
      </c>
      <c r="P517" s="17"/>
      <c r="Q517" s="17" t="str">
        <f>_xlfn.XLOOKUP(Table2[[#This Row],[buyFromVendorNo]],'Next Day Scheduled'!A:A,'Pending Returns'!O:O,"NOT_FOUND")</f>
        <v>NOT_FOUND</v>
      </c>
    </row>
    <row r="518" spans="1:17" x14ac:dyDescent="0.3">
      <c r="A518" s="1">
        <v>46172</v>
      </c>
      <c r="B518" t="s">
        <v>1998</v>
      </c>
      <c r="C518" t="s">
        <v>1860</v>
      </c>
      <c r="D518" t="s">
        <v>1861</v>
      </c>
      <c r="E518" t="s">
        <v>8</v>
      </c>
      <c r="F518" t="s">
        <v>10</v>
      </c>
      <c r="G518" s="16">
        <v>209.9</v>
      </c>
      <c r="H518" s="16">
        <v>241.38499999999999</v>
      </c>
      <c r="J518">
        <v>87</v>
      </c>
      <c r="K518" t="s">
        <v>2959</v>
      </c>
      <c r="M518">
        <v>0</v>
      </c>
      <c r="N518">
        <v>638</v>
      </c>
      <c r="O518" t="s">
        <v>216</v>
      </c>
      <c r="P518" s="17"/>
      <c r="Q518" s="17" t="str">
        <f>_xlfn.XLOOKUP(Table2[[#This Row],[buyFromVendorNo]],'Next Day Scheduled'!A:A,'Pending Returns'!O:O,"NOT_FOUND")</f>
        <v>NOT_FOUND</v>
      </c>
    </row>
    <row r="519" spans="1:17" x14ac:dyDescent="0.3">
      <c r="A519" s="1">
        <v>46172</v>
      </c>
      <c r="B519" t="s">
        <v>3033</v>
      </c>
      <c r="C519" t="s">
        <v>2324</v>
      </c>
      <c r="D519" t="s">
        <v>2325</v>
      </c>
      <c r="E519" t="s">
        <v>8</v>
      </c>
      <c r="F519" t="s">
        <v>10</v>
      </c>
      <c r="G519" s="16">
        <v>1029.4000000000001</v>
      </c>
      <c r="H519" s="16">
        <v>1183.81</v>
      </c>
      <c r="J519">
        <v>87</v>
      </c>
      <c r="K519" t="s">
        <v>3034</v>
      </c>
      <c r="M519">
        <v>0</v>
      </c>
      <c r="N519">
        <v>617</v>
      </c>
      <c r="O519" t="s">
        <v>216</v>
      </c>
      <c r="P519" s="17"/>
      <c r="Q519" s="17" t="str">
        <f>_xlfn.XLOOKUP(Table2[[#This Row],[buyFromVendorNo]],'Next Day Scheduled'!A:A,'Pending Returns'!O:O,"NOT_FOUND")</f>
        <v>NOT_FOUND</v>
      </c>
    </row>
    <row r="520" spans="1:17" x14ac:dyDescent="0.3">
      <c r="A520" s="1">
        <v>46172</v>
      </c>
      <c r="B520" t="s">
        <v>7463</v>
      </c>
      <c r="C520" t="s">
        <v>854</v>
      </c>
      <c r="D520" t="s">
        <v>855</v>
      </c>
      <c r="E520" t="s">
        <v>8</v>
      </c>
      <c r="F520" t="s">
        <v>10</v>
      </c>
      <c r="G520" s="16">
        <v>2873.8555000000001</v>
      </c>
      <c r="H520" s="16">
        <v>2984.2727</v>
      </c>
      <c r="J520">
        <v>87</v>
      </c>
      <c r="K520" t="s">
        <v>3049</v>
      </c>
      <c r="M520">
        <v>17</v>
      </c>
      <c r="N520">
        <v>6</v>
      </c>
      <c r="O520" t="s">
        <v>216</v>
      </c>
      <c r="P520" s="17"/>
      <c r="Q520" s="17" t="str">
        <f>_xlfn.XLOOKUP(Table2[[#This Row],[buyFromVendorNo]],'Next Day Scheduled'!A:A,'Pending Returns'!O:O,"NOT_FOUND")</f>
        <v>Posted Credit Note</v>
      </c>
    </row>
    <row r="521" spans="1:17" x14ac:dyDescent="0.3">
      <c r="A521" s="1">
        <v>46172</v>
      </c>
      <c r="B521" t="s">
        <v>7851</v>
      </c>
      <c r="C521" t="s">
        <v>253</v>
      </c>
      <c r="D521" t="s">
        <v>254</v>
      </c>
      <c r="E521" t="s">
        <v>8</v>
      </c>
      <c r="F521" t="s">
        <v>38</v>
      </c>
      <c r="G521" s="16">
        <v>1069</v>
      </c>
      <c r="H521" s="16">
        <v>1229.3499999999999</v>
      </c>
      <c r="J521">
        <v>87</v>
      </c>
      <c r="K521" t="s">
        <v>3038</v>
      </c>
      <c r="M521">
        <v>0</v>
      </c>
      <c r="N521">
        <v>313</v>
      </c>
      <c r="O521" t="s">
        <v>216</v>
      </c>
      <c r="P521" s="17"/>
      <c r="Q521" s="17" t="str">
        <f>_xlfn.XLOOKUP(Table2[[#This Row],[buyFromVendorNo]],'Next Day Scheduled'!A:A,'Pending Returns'!O:O,"NOT_FOUND")</f>
        <v>NOT_FOUND</v>
      </c>
    </row>
    <row r="522" spans="1:17" x14ac:dyDescent="0.3">
      <c r="A522" s="1">
        <v>46172</v>
      </c>
      <c r="B522" t="s">
        <v>3262</v>
      </c>
      <c r="C522" t="s">
        <v>2302</v>
      </c>
      <c r="D522" t="s">
        <v>2303</v>
      </c>
      <c r="E522" t="s">
        <v>8</v>
      </c>
      <c r="F522" t="s">
        <v>10</v>
      </c>
      <c r="G522" s="16">
        <v>9.36</v>
      </c>
      <c r="H522" s="16">
        <v>10.763999999999999</v>
      </c>
      <c r="J522">
        <v>87</v>
      </c>
      <c r="K522" t="s">
        <v>3092</v>
      </c>
      <c r="M522">
        <v>9</v>
      </c>
      <c r="N522">
        <v>16</v>
      </c>
      <c r="O522" t="s">
        <v>216</v>
      </c>
      <c r="P522" s="17"/>
      <c r="Q522" s="17" t="str">
        <f>_xlfn.XLOOKUP(Table2[[#This Row],[buyFromVendorNo]],'Next Day Scheduled'!A:A,'Pending Returns'!O:O,"NOT_FOUND")</f>
        <v>NOT_FOUND</v>
      </c>
    </row>
    <row r="523" spans="1:17" x14ac:dyDescent="0.3">
      <c r="A523" s="1">
        <v>46172</v>
      </c>
      <c r="B523" t="s">
        <v>2212</v>
      </c>
      <c r="C523" t="s">
        <v>3114</v>
      </c>
      <c r="D523" t="s">
        <v>3115</v>
      </c>
      <c r="E523" t="s">
        <v>8</v>
      </c>
      <c r="F523" t="s">
        <v>10</v>
      </c>
      <c r="G523" s="16">
        <v>832.39</v>
      </c>
      <c r="H523" s="16">
        <v>957.24850000000004</v>
      </c>
      <c r="J523">
        <v>87</v>
      </c>
      <c r="K523" t="s">
        <v>3113</v>
      </c>
      <c r="M523">
        <v>0</v>
      </c>
      <c r="N523">
        <v>691</v>
      </c>
      <c r="O523" t="s">
        <v>216</v>
      </c>
      <c r="P523" s="17"/>
      <c r="Q523" s="17" t="str">
        <f>_xlfn.XLOOKUP(Table2[[#This Row],[buyFromVendorNo]],'Next Day Scheduled'!A:A,'Pending Returns'!O:O,"NOT_FOUND")</f>
        <v>NOT_FOUND</v>
      </c>
    </row>
    <row r="524" spans="1:17" x14ac:dyDescent="0.3">
      <c r="A524" s="1">
        <v>46172</v>
      </c>
      <c r="B524" t="s">
        <v>2005</v>
      </c>
      <c r="C524" t="s">
        <v>856</v>
      </c>
      <c r="D524" t="s">
        <v>857</v>
      </c>
      <c r="E524" t="s">
        <v>8</v>
      </c>
      <c r="F524" t="s">
        <v>10</v>
      </c>
      <c r="G524" s="16">
        <v>59</v>
      </c>
      <c r="H524" s="16">
        <v>67.849999999999994</v>
      </c>
      <c r="J524">
        <v>87</v>
      </c>
      <c r="K524" t="s">
        <v>2937</v>
      </c>
      <c r="M524">
        <v>0</v>
      </c>
      <c r="N524">
        <v>240</v>
      </c>
      <c r="O524" t="s">
        <v>216</v>
      </c>
      <c r="P524" s="17"/>
      <c r="Q524" s="17" t="str">
        <f>_xlfn.XLOOKUP(Table2[[#This Row],[buyFromVendorNo]],'Next Day Scheduled'!A:A,'Pending Returns'!O:O,"NOT_FOUND")</f>
        <v>NOT_FOUND</v>
      </c>
    </row>
    <row r="525" spans="1:17" x14ac:dyDescent="0.3">
      <c r="A525" s="1">
        <v>46172</v>
      </c>
      <c r="B525" t="s">
        <v>3290</v>
      </c>
      <c r="C525" t="s">
        <v>2324</v>
      </c>
      <c r="D525" t="s">
        <v>2325</v>
      </c>
      <c r="E525" t="s">
        <v>8</v>
      </c>
      <c r="F525" t="s">
        <v>10</v>
      </c>
      <c r="G525" s="16">
        <v>243.85</v>
      </c>
      <c r="H525" s="16">
        <v>280.42750000000001</v>
      </c>
      <c r="J525">
        <v>87</v>
      </c>
      <c r="K525" t="s">
        <v>3137</v>
      </c>
      <c r="M525">
        <v>0</v>
      </c>
      <c r="N525">
        <v>617</v>
      </c>
      <c r="O525" t="s">
        <v>216</v>
      </c>
      <c r="P525" s="17"/>
      <c r="Q525" s="17" t="str">
        <f>_xlfn.XLOOKUP(Table2[[#This Row],[buyFromVendorNo]],'Next Day Scheduled'!A:A,'Pending Returns'!O:O,"NOT_FOUND")</f>
        <v>NOT_FOUND</v>
      </c>
    </row>
    <row r="526" spans="1:17" x14ac:dyDescent="0.3">
      <c r="A526" s="1">
        <v>46172</v>
      </c>
      <c r="B526" t="s">
        <v>3260</v>
      </c>
      <c r="C526" t="s">
        <v>2676</v>
      </c>
      <c r="D526" t="s">
        <v>2677</v>
      </c>
      <c r="E526" t="s">
        <v>8</v>
      </c>
      <c r="F526" t="s">
        <v>10</v>
      </c>
      <c r="G526" s="16">
        <v>13</v>
      </c>
      <c r="H526" s="16">
        <v>14.95</v>
      </c>
      <c r="J526">
        <v>87</v>
      </c>
      <c r="K526" t="s">
        <v>3130</v>
      </c>
      <c r="M526">
        <v>0</v>
      </c>
      <c r="N526">
        <v>591</v>
      </c>
      <c r="O526" t="s">
        <v>216</v>
      </c>
      <c r="P526" s="17"/>
      <c r="Q526" s="17" t="str">
        <f>_xlfn.XLOOKUP(Table2[[#This Row],[buyFromVendorNo]],'Next Day Scheduled'!A:A,'Pending Returns'!O:O,"NOT_FOUND")</f>
        <v>NOT_FOUND</v>
      </c>
    </row>
    <row r="527" spans="1:17" x14ac:dyDescent="0.3">
      <c r="A527" s="1">
        <v>46172</v>
      </c>
      <c r="B527" t="s">
        <v>6386</v>
      </c>
      <c r="C527" t="s">
        <v>3090</v>
      </c>
      <c r="D527" t="s">
        <v>3091</v>
      </c>
      <c r="E527" t="s">
        <v>8</v>
      </c>
      <c r="F527" t="s">
        <v>10</v>
      </c>
      <c r="G527" s="16">
        <v>721.37699999999995</v>
      </c>
      <c r="H527" s="16">
        <v>829.58356000000003</v>
      </c>
      <c r="J527">
        <v>87</v>
      </c>
      <c r="K527" t="s">
        <v>3089</v>
      </c>
      <c r="M527">
        <v>0</v>
      </c>
      <c r="O527" t="s">
        <v>216</v>
      </c>
      <c r="P527" s="17"/>
      <c r="Q527" s="17" t="str">
        <f>_xlfn.XLOOKUP(Table2[[#This Row],[buyFromVendorNo]],'Next Day Scheduled'!A:A,'Pending Returns'!O:O,"NOT_FOUND")</f>
        <v>NOT_FOUND</v>
      </c>
    </row>
    <row r="528" spans="1:17" x14ac:dyDescent="0.3">
      <c r="A528" s="1">
        <v>46172</v>
      </c>
      <c r="B528" t="s">
        <v>703</v>
      </c>
      <c r="C528" t="s">
        <v>843</v>
      </c>
      <c r="D528" t="s">
        <v>844</v>
      </c>
      <c r="E528" t="s">
        <v>8</v>
      </c>
      <c r="F528" t="s">
        <v>10</v>
      </c>
      <c r="G528" s="16">
        <v>8626.2000000000007</v>
      </c>
      <c r="H528" s="16">
        <v>9920.1299999999992</v>
      </c>
      <c r="J528">
        <v>87</v>
      </c>
      <c r="K528" t="s">
        <v>2929</v>
      </c>
      <c r="M528">
        <v>0</v>
      </c>
      <c r="N528">
        <v>310</v>
      </c>
      <c r="O528" t="s">
        <v>216</v>
      </c>
      <c r="P528" s="17"/>
      <c r="Q528" s="17" t="str">
        <f>_xlfn.XLOOKUP(Table2[[#This Row],[buyFromVendorNo]],'Next Day Scheduled'!A:A,'Pending Returns'!O:O,"NOT_FOUND")</f>
        <v>NOT_FOUND</v>
      </c>
    </row>
    <row r="529" spans="1:17" x14ac:dyDescent="0.3">
      <c r="A529" s="1">
        <v>46172</v>
      </c>
      <c r="B529" t="s">
        <v>1785</v>
      </c>
      <c r="C529" t="s">
        <v>804</v>
      </c>
      <c r="D529" t="s">
        <v>805</v>
      </c>
      <c r="E529" t="s">
        <v>8</v>
      </c>
      <c r="F529" t="s">
        <v>10</v>
      </c>
      <c r="G529" s="16">
        <v>4.18</v>
      </c>
      <c r="H529" s="16">
        <v>4.8070000000000004</v>
      </c>
      <c r="J529">
        <v>87</v>
      </c>
      <c r="K529" t="s">
        <v>3008</v>
      </c>
      <c r="M529">
        <v>0</v>
      </c>
      <c r="N529">
        <v>206</v>
      </c>
      <c r="O529" t="s">
        <v>216</v>
      </c>
      <c r="P529" s="17"/>
      <c r="Q529" s="17" t="str">
        <f>_xlfn.XLOOKUP(Table2[[#This Row],[buyFromVendorNo]],'Next Day Scheduled'!A:A,'Pending Returns'!O:O,"NOT_FOUND")</f>
        <v>NOT_FOUND</v>
      </c>
    </row>
    <row r="530" spans="1:17" x14ac:dyDescent="0.3">
      <c r="A530" s="1">
        <v>46172</v>
      </c>
      <c r="B530" t="s">
        <v>227</v>
      </c>
      <c r="C530" t="s">
        <v>41</v>
      </c>
      <c r="D530" t="s">
        <v>42</v>
      </c>
      <c r="E530" t="s">
        <v>8</v>
      </c>
      <c r="F530" t="s">
        <v>10</v>
      </c>
      <c r="G530" s="16">
        <v>116.83266999999999</v>
      </c>
      <c r="H530" s="16">
        <v>134.35757000000001</v>
      </c>
      <c r="J530">
        <v>87</v>
      </c>
      <c r="K530" t="s">
        <v>3062</v>
      </c>
      <c r="M530">
        <v>9</v>
      </c>
      <c r="N530">
        <v>26</v>
      </c>
      <c r="O530" t="s">
        <v>216</v>
      </c>
      <c r="P530" s="17"/>
      <c r="Q530" s="17" t="str">
        <f>_xlfn.XLOOKUP(Table2[[#This Row],[buyFromVendorNo]],'Next Day Scheduled'!A:A,'Pending Returns'!O:O,"NOT_FOUND")</f>
        <v>NOT_FOUND</v>
      </c>
    </row>
    <row r="531" spans="1:17" x14ac:dyDescent="0.3">
      <c r="A531" s="1">
        <v>46172</v>
      </c>
      <c r="B531" t="s">
        <v>259</v>
      </c>
      <c r="C531" t="s">
        <v>788</v>
      </c>
      <c r="D531" t="s">
        <v>789</v>
      </c>
      <c r="E531" t="s">
        <v>8</v>
      </c>
      <c r="F531" t="s">
        <v>10</v>
      </c>
      <c r="G531" s="16">
        <v>18.782599999999999</v>
      </c>
      <c r="H531" s="16">
        <v>21.599989999999998</v>
      </c>
      <c r="J531">
        <v>87</v>
      </c>
      <c r="K531" t="s">
        <v>3094</v>
      </c>
      <c r="M531">
        <v>0</v>
      </c>
      <c r="O531" t="s">
        <v>216</v>
      </c>
      <c r="P531" s="17"/>
      <c r="Q531" s="17" t="str">
        <f>_xlfn.XLOOKUP(Table2[[#This Row],[buyFromVendorNo]],'Next Day Scheduled'!A:A,'Pending Returns'!O:O,"NOT_FOUND")</f>
        <v>NOT_FOUND</v>
      </c>
    </row>
    <row r="532" spans="1:17" x14ac:dyDescent="0.3">
      <c r="A532" s="1">
        <v>46172</v>
      </c>
      <c r="B532" t="s">
        <v>521</v>
      </c>
      <c r="C532" t="s">
        <v>148</v>
      </c>
      <c r="D532" t="s">
        <v>149</v>
      </c>
      <c r="E532" t="s">
        <v>8</v>
      </c>
      <c r="F532" t="s">
        <v>10</v>
      </c>
      <c r="G532" s="16">
        <v>723.24</v>
      </c>
      <c r="H532" s="16">
        <v>831.726</v>
      </c>
      <c r="J532">
        <v>87</v>
      </c>
      <c r="K532" t="s">
        <v>3156</v>
      </c>
      <c r="M532">
        <v>31</v>
      </c>
      <c r="N532">
        <v>1</v>
      </c>
      <c r="O532" t="s">
        <v>216</v>
      </c>
      <c r="P532" s="17"/>
      <c r="Q532" s="17" t="str">
        <f>_xlfn.XLOOKUP(Table2[[#This Row],[buyFromVendorNo]],'Next Day Scheduled'!A:A,'Pending Returns'!O:O,"NOT_FOUND")</f>
        <v>NOT_FOUND</v>
      </c>
    </row>
    <row r="533" spans="1:17" x14ac:dyDescent="0.3">
      <c r="A533" s="1">
        <v>46172</v>
      </c>
      <c r="B533" t="s">
        <v>240</v>
      </c>
      <c r="C533" t="s">
        <v>3050</v>
      </c>
      <c r="D533" t="s">
        <v>3051</v>
      </c>
      <c r="E533" t="s">
        <v>8</v>
      </c>
      <c r="F533" t="s">
        <v>10</v>
      </c>
      <c r="G533" s="16">
        <v>78.262169999999998</v>
      </c>
      <c r="H533" s="16">
        <v>90.001499999999993</v>
      </c>
      <c r="J533">
        <v>87</v>
      </c>
      <c r="K533" t="s">
        <v>3052</v>
      </c>
      <c r="M533">
        <v>0</v>
      </c>
      <c r="N533">
        <v>161</v>
      </c>
      <c r="O533" t="s">
        <v>216</v>
      </c>
      <c r="P533" s="17"/>
      <c r="Q533" s="17" t="str">
        <f>_xlfn.XLOOKUP(Table2[[#This Row],[buyFromVendorNo]],'Next Day Scheduled'!A:A,'Pending Returns'!O:O,"NOT_FOUND")</f>
        <v>NOT_FOUND</v>
      </c>
    </row>
    <row r="534" spans="1:17" x14ac:dyDescent="0.3">
      <c r="A534" s="1">
        <v>46173</v>
      </c>
      <c r="B534" t="s">
        <v>1949</v>
      </c>
      <c r="C534" t="s">
        <v>327</v>
      </c>
      <c r="D534" t="s">
        <v>328</v>
      </c>
      <c r="E534" t="s">
        <v>8</v>
      </c>
      <c r="F534" t="s">
        <v>169</v>
      </c>
      <c r="G534" s="16">
        <v>882.7</v>
      </c>
      <c r="H534" s="16">
        <v>1015.105</v>
      </c>
      <c r="I534" s="1">
        <v>46173</v>
      </c>
      <c r="J534">
        <v>86</v>
      </c>
      <c r="K534" t="s">
        <v>1985</v>
      </c>
      <c r="L534" t="s">
        <v>3310</v>
      </c>
      <c r="M534">
        <v>6</v>
      </c>
      <c r="N534">
        <v>5</v>
      </c>
      <c r="O534" t="s">
        <v>1036</v>
      </c>
      <c r="P534" s="17"/>
      <c r="Q534" s="17" t="str">
        <f>_xlfn.XLOOKUP(Table2[[#This Row],[buyFromVendorNo]],'Next Day Scheduled'!A:A,'Pending Returns'!O:O,"NOT_FOUND")</f>
        <v>NOT_FOUND</v>
      </c>
    </row>
    <row r="535" spans="1:17" x14ac:dyDescent="0.3">
      <c r="A535" s="1">
        <v>46173</v>
      </c>
      <c r="B535" t="s">
        <v>2178</v>
      </c>
      <c r="C535" t="s">
        <v>1161</v>
      </c>
      <c r="D535" t="s">
        <v>1162</v>
      </c>
      <c r="E535" t="s">
        <v>8</v>
      </c>
      <c r="F535" t="s">
        <v>10</v>
      </c>
      <c r="G535" s="16">
        <v>2755.4</v>
      </c>
      <c r="H535" s="16">
        <v>3168.71</v>
      </c>
      <c r="I535" s="1">
        <v>46167</v>
      </c>
      <c r="J535">
        <v>86</v>
      </c>
      <c r="K535" t="s">
        <v>2179</v>
      </c>
      <c r="L535" t="s">
        <v>3436</v>
      </c>
      <c r="M535">
        <v>11</v>
      </c>
      <c r="N535">
        <v>6</v>
      </c>
      <c r="O535" t="s">
        <v>1036</v>
      </c>
      <c r="P535" s="17"/>
      <c r="Q535" s="17" t="str">
        <f>_xlfn.XLOOKUP(Table2[[#This Row],[buyFromVendorNo]],'Next Day Scheduled'!A:A,'Pending Returns'!O:O,"NOT_FOUND")</f>
        <v>NOT_FOUND</v>
      </c>
    </row>
    <row r="536" spans="1:17" x14ac:dyDescent="0.3">
      <c r="A536" s="1">
        <v>46173</v>
      </c>
      <c r="B536" t="s">
        <v>256</v>
      </c>
      <c r="C536" t="s">
        <v>491</v>
      </c>
      <c r="D536" t="s">
        <v>492</v>
      </c>
      <c r="E536" t="s">
        <v>8</v>
      </c>
      <c r="F536" t="s">
        <v>10</v>
      </c>
      <c r="G536" s="16">
        <v>4302.25</v>
      </c>
      <c r="H536" s="16">
        <v>4947.5874000000003</v>
      </c>
      <c r="I536" s="1">
        <v>46167</v>
      </c>
      <c r="J536">
        <v>86</v>
      </c>
      <c r="K536" t="s">
        <v>1804</v>
      </c>
      <c r="L536" t="s">
        <v>3396</v>
      </c>
      <c r="M536">
        <v>12</v>
      </c>
      <c r="N536">
        <v>2</v>
      </c>
      <c r="O536" t="s">
        <v>1036</v>
      </c>
      <c r="P536" s="17"/>
      <c r="Q536" s="17" t="str">
        <f>_xlfn.XLOOKUP(Table2[[#This Row],[buyFromVendorNo]],'Next Day Scheduled'!A:A,'Pending Returns'!O:O,"NOT_FOUND")</f>
        <v>NOT_FOUND</v>
      </c>
    </row>
    <row r="537" spans="1:17" x14ac:dyDescent="0.3">
      <c r="A537" s="1">
        <v>46173</v>
      </c>
      <c r="B537" t="s">
        <v>2173</v>
      </c>
      <c r="C537" t="s">
        <v>987</v>
      </c>
      <c r="D537" t="s">
        <v>988</v>
      </c>
      <c r="E537" t="s">
        <v>8</v>
      </c>
      <c r="F537" t="s">
        <v>10</v>
      </c>
      <c r="G537" s="16">
        <v>3547.3</v>
      </c>
      <c r="H537" s="16">
        <v>4079.395</v>
      </c>
      <c r="I537" s="1">
        <v>46166</v>
      </c>
      <c r="J537">
        <v>86</v>
      </c>
      <c r="K537" t="s">
        <v>2174</v>
      </c>
      <c r="L537" t="s">
        <v>3447</v>
      </c>
      <c r="M537">
        <v>0</v>
      </c>
      <c r="N537">
        <v>240</v>
      </c>
      <c r="O537" t="s">
        <v>1036</v>
      </c>
      <c r="P537" s="17"/>
      <c r="Q537" s="17" t="str">
        <f>_xlfn.XLOOKUP(Table2[[#This Row],[buyFromVendorNo]],'Next Day Scheduled'!A:A,'Pending Returns'!O:O,"NOT_FOUND")</f>
        <v>NOT_FOUND</v>
      </c>
    </row>
    <row r="538" spans="1:17" x14ac:dyDescent="0.3">
      <c r="A538" s="1">
        <v>46173</v>
      </c>
      <c r="B538" t="s">
        <v>272</v>
      </c>
      <c r="C538" t="s">
        <v>173</v>
      </c>
      <c r="D538" t="s">
        <v>174</v>
      </c>
      <c r="E538" t="s">
        <v>8</v>
      </c>
      <c r="F538" t="s">
        <v>10</v>
      </c>
      <c r="G538" s="16">
        <v>4160.97</v>
      </c>
      <c r="H538" s="16">
        <v>4785.1157000000003</v>
      </c>
      <c r="I538" s="1">
        <v>46137</v>
      </c>
      <c r="J538">
        <v>86</v>
      </c>
      <c r="K538" t="s">
        <v>172</v>
      </c>
      <c r="L538" t="s">
        <v>3409</v>
      </c>
      <c r="M538">
        <v>19</v>
      </c>
      <c r="N538">
        <v>1</v>
      </c>
      <c r="O538" t="s">
        <v>1036</v>
      </c>
      <c r="P538" s="17"/>
      <c r="Q538" s="17" t="str">
        <f>_xlfn.XLOOKUP(Table2[[#This Row],[buyFromVendorNo]],'Next Day Scheduled'!A:A,'Pending Returns'!O:O,"NOT_FOUND")</f>
        <v>NOT_FOUND</v>
      </c>
    </row>
    <row r="539" spans="1:17" x14ac:dyDescent="0.3">
      <c r="A539" s="1">
        <v>46173</v>
      </c>
      <c r="B539" t="s">
        <v>3311</v>
      </c>
      <c r="C539" t="s">
        <v>3216</v>
      </c>
      <c r="D539" t="s">
        <v>3217</v>
      </c>
      <c r="E539" t="s">
        <v>8</v>
      </c>
      <c r="F539" t="s">
        <v>10</v>
      </c>
      <c r="G539" s="16">
        <v>729.26</v>
      </c>
      <c r="H539" s="16">
        <v>838.649</v>
      </c>
      <c r="J539">
        <v>86</v>
      </c>
      <c r="K539" t="s">
        <v>3215</v>
      </c>
      <c r="M539">
        <v>0</v>
      </c>
      <c r="N539">
        <v>237</v>
      </c>
      <c r="O539" t="s">
        <v>216</v>
      </c>
      <c r="P539" s="17"/>
      <c r="Q539" s="17" t="str">
        <f>_xlfn.XLOOKUP(Table2[[#This Row],[buyFromVendorNo]],'Next Day Scheduled'!A:A,'Pending Returns'!O:O,"NOT_FOUND")</f>
        <v>NOT_FOUND</v>
      </c>
    </row>
    <row r="540" spans="1:17" x14ac:dyDescent="0.3">
      <c r="A540" s="1">
        <v>46173</v>
      </c>
      <c r="B540" t="s">
        <v>4677</v>
      </c>
      <c r="C540" t="s">
        <v>2383</v>
      </c>
      <c r="D540" t="s">
        <v>2384</v>
      </c>
      <c r="E540" t="s">
        <v>8</v>
      </c>
      <c r="F540" t="s">
        <v>10</v>
      </c>
      <c r="G540" s="16">
        <v>47.24</v>
      </c>
      <c r="H540" s="16">
        <v>54.326000000000001</v>
      </c>
      <c r="J540">
        <v>86</v>
      </c>
      <c r="K540" t="s">
        <v>3207</v>
      </c>
      <c r="M540">
        <v>3</v>
      </c>
      <c r="N540">
        <v>29</v>
      </c>
      <c r="O540" t="s">
        <v>216</v>
      </c>
      <c r="P540" s="17"/>
      <c r="Q540" s="17" t="str">
        <f>_xlfn.XLOOKUP(Table2[[#This Row],[buyFromVendorNo]],'Next Day Scheduled'!A:A,'Pending Returns'!O:O,"NOT_FOUND")</f>
        <v>NOT_FOUND</v>
      </c>
    </row>
    <row r="541" spans="1:17" x14ac:dyDescent="0.3">
      <c r="A541" s="1">
        <v>46173</v>
      </c>
      <c r="B541" t="s">
        <v>2170</v>
      </c>
      <c r="C541" t="s">
        <v>491</v>
      </c>
      <c r="D541" t="s">
        <v>492</v>
      </c>
      <c r="E541" t="s">
        <v>8</v>
      </c>
      <c r="F541" t="s">
        <v>10</v>
      </c>
      <c r="G541" s="16">
        <v>4115.75</v>
      </c>
      <c r="H541" s="16">
        <v>4733.1122999999998</v>
      </c>
      <c r="I541" s="1">
        <v>46167</v>
      </c>
      <c r="J541">
        <v>86</v>
      </c>
      <c r="K541" t="s">
        <v>2171</v>
      </c>
      <c r="L541" t="s">
        <v>3320</v>
      </c>
      <c r="M541">
        <v>12</v>
      </c>
      <c r="N541">
        <v>2</v>
      </c>
      <c r="O541" t="s">
        <v>1036</v>
      </c>
      <c r="P541" s="17"/>
      <c r="Q541" s="17" t="str">
        <f>_xlfn.XLOOKUP(Table2[[#This Row],[buyFromVendorNo]],'Next Day Scheduled'!A:A,'Pending Returns'!O:O,"NOT_FOUND")</f>
        <v>NOT_FOUND</v>
      </c>
    </row>
    <row r="542" spans="1:17" x14ac:dyDescent="0.3">
      <c r="A542" s="1">
        <v>46173</v>
      </c>
      <c r="B542" t="s">
        <v>759</v>
      </c>
      <c r="C542" t="s">
        <v>2269</v>
      </c>
      <c r="D542" t="s">
        <v>2270</v>
      </c>
      <c r="E542" t="s">
        <v>8</v>
      </c>
      <c r="F542" t="s">
        <v>10</v>
      </c>
      <c r="G542" s="16">
        <v>9907.6200000000008</v>
      </c>
      <c r="H542" s="16">
        <v>11393.763000000001</v>
      </c>
      <c r="I542" s="1">
        <v>46167</v>
      </c>
      <c r="J542">
        <v>86</v>
      </c>
      <c r="K542" t="s">
        <v>2451</v>
      </c>
      <c r="L542" t="s">
        <v>3343</v>
      </c>
      <c r="M542">
        <v>1</v>
      </c>
      <c r="N542">
        <v>64</v>
      </c>
      <c r="O542" t="s">
        <v>1036</v>
      </c>
      <c r="P542" s="17"/>
      <c r="Q542" s="17" t="str">
        <f>_xlfn.XLOOKUP(Table2[[#This Row],[buyFromVendorNo]],'Next Day Scheduled'!A:A,'Pending Returns'!O:O,"NOT_FOUND")</f>
        <v>NOT_FOUND</v>
      </c>
    </row>
    <row r="543" spans="1:17" x14ac:dyDescent="0.3">
      <c r="A543" s="1">
        <v>46173</v>
      </c>
      <c r="B543" t="s">
        <v>2149</v>
      </c>
      <c r="C543" t="s">
        <v>60</v>
      </c>
      <c r="D543" t="s">
        <v>61</v>
      </c>
      <c r="E543" t="s">
        <v>8</v>
      </c>
      <c r="F543" t="s">
        <v>38</v>
      </c>
      <c r="G543" s="16">
        <v>5087.3599999999997</v>
      </c>
      <c r="H543" s="16">
        <v>5850.4639999999999</v>
      </c>
      <c r="I543" s="1">
        <v>46167</v>
      </c>
      <c r="J543">
        <v>86</v>
      </c>
      <c r="K543" t="s">
        <v>2150</v>
      </c>
      <c r="L543" t="s">
        <v>3413</v>
      </c>
      <c r="M543">
        <v>11</v>
      </c>
      <c r="N543">
        <v>7</v>
      </c>
      <c r="O543" t="s">
        <v>1036</v>
      </c>
      <c r="P543" s="17"/>
      <c r="Q543" s="17" t="str">
        <f>_xlfn.XLOOKUP(Table2[[#This Row],[buyFromVendorNo]],'Next Day Scheduled'!A:A,'Pending Returns'!O:O,"NOT_FOUND")</f>
        <v>NOT_FOUND</v>
      </c>
    </row>
    <row r="544" spans="1:17" x14ac:dyDescent="0.3">
      <c r="A544" s="1">
        <v>46173</v>
      </c>
      <c r="B544" t="s">
        <v>558</v>
      </c>
      <c r="C544" t="s">
        <v>1222</v>
      </c>
      <c r="D544" t="s">
        <v>1223</v>
      </c>
      <c r="E544" t="s">
        <v>8</v>
      </c>
      <c r="F544" t="s">
        <v>10</v>
      </c>
      <c r="G544" s="16">
        <v>1465</v>
      </c>
      <c r="H544" s="16">
        <v>1684.75</v>
      </c>
      <c r="I544" s="1">
        <v>46173</v>
      </c>
      <c r="J544">
        <v>86</v>
      </c>
      <c r="K544" t="s">
        <v>2440</v>
      </c>
      <c r="L544" t="s">
        <v>3308</v>
      </c>
      <c r="M544">
        <v>12</v>
      </c>
      <c r="N544">
        <v>3</v>
      </c>
      <c r="O544" t="s">
        <v>1036</v>
      </c>
      <c r="P544" s="17"/>
      <c r="Q544" s="17" t="str">
        <f>_xlfn.XLOOKUP(Table2[[#This Row],[buyFromVendorNo]],'Next Day Scheduled'!A:A,'Pending Returns'!O:O,"NOT_FOUND")</f>
        <v>NOT_FOUND</v>
      </c>
    </row>
    <row r="545" spans="1:17" x14ac:dyDescent="0.3">
      <c r="A545" s="1">
        <v>46173</v>
      </c>
      <c r="B545" t="s">
        <v>1826</v>
      </c>
      <c r="C545" t="s">
        <v>966</v>
      </c>
      <c r="D545" t="s">
        <v>967</v>
      </c>
      <c r="E545" t="s">
        <v>8</v>
      </c>
      <c r="F545" t="s">
        <v>10</v>
      </c>
      <c r="G545" s="16">
        <v>12785.25</v>
      </c>
      <c r="H545" s="16">
        <v>14703.037</v>
      </c>
      <c r="I545" s="1">
        <v>46163</v>
      </c>
      <c r="J545">
        <v>86</v>
      </c>
      <c r="K545" t="s">
        <v>1827</v>
      </c>
      <c r="L545" t="s">
        <v>3359</v>
      </c>
      <c r="M545">
        <v>6</v>
      </c>
      <c r="N545">
        <v>10</v>
      </c>
      <c r="O545" t="s">
        <v>1036</v>
      </c>
      <c r="P545" s="17"/>
      <c r="Q545" s="17" t="str">
        <f>_xlfn.XLOOKUP(Table2[[#This Row],[buyFromVendorNo]],'Next Day Scheduled'!A:A,'Pending Returns'!O:O,"NOT_FOUND")</f>
        <v>NOT_FOUND</v>
      </c>
    </row>
    <row r="546" spans="1:17" x14ac:dyDescent="0.3">
      <c r="A546" s="1">
        <v>46173</v>
      </c>
      <c r="B546" t="s">
        <v>5356</v>
      </c>
      <c r="C546" t="s">
        <v>3200</v>
      </c>
      <c r="D546" t="s">
        <v>3201</v>
      </c>
      <c r="E546" t="s">
        <v>8</v>
      </c>
      <c r="F546" t="s">
        <v>10</v>
      </c>
      <c r="G546" s="16">
        <v>668</v>
      </c>
      <c r="H546" s="16">
        <v>768.2</v>
      </c>
      <c r="J546">
        <v>86</v>
      </c>
      <c r="K546" t="s">
        <v>3199</v>
      </c>
      <c r="M546">
        <v>0</v>
      </c>
      <c r="O546" t="s">
        <v>216</v>
      </c>
      <c r="P546" s="17"/>
      <c r="Q546" s="17" t="str">
        <f>_xlfn.XLOOKUP(Table2[[#This Row],[buyFromVendorNo]],'Next Day Scheduled'!A:A,'Pending Returns'!O:O,"NOT_FOUND")</f>
        <v>NOT_FOUND</v>
      </c>
    </row>
    <row r="547" spans="1:17" x14ac:dyDescent="0.3">
      <c r="A547" s="1">
        <v>46173</v>
      </c>
      <c r="B547" t="s">
        <v>7464</v>
      </c>
      <c r="C547" t="s">
        <v>854</v>
      </c>
      <c r="D547" t="s">
        <v>855</v>
      </c>
      <c r="E547" t="s">
        <v>8</v>
      </c>
      <c r="F547" t="s">
        <v>10</v>
      </c>
      <c r="G547" s="16">
        <v>4271.5043999999998</v>
      </c>
      <c r="H547" s="16">
        <v>4311.0529999999999</v>
      </c>
      <c r="J547">
        <v>86</v>
      </c>
      <c r="K547" t="s">
        <v>3237</v>
      </c>
      <c r="M547">
        <v>17</v>
      </c>
      <c r="N547">
        <v>6</v>
      </c>
      <c r="O547" t="s">
        <v>216</v>
      </c>
      <c r="P547" s="17"/>
      <c r="Q547" s="17" t="str">
        <f>_xlfn.XLOOKUP(Table2[[#This Row],[buyFromVendorNo]],'Next Day Scheduled'!A:A,'Pending Returns'!O:O,"NOT_FOUND")</f>
        <v>Posted Credit Note</v>
      </c>
    </row>
    <row r="548" spans="1:17" x14ac:dyDescent="0.3">
      <c r="A548" s="1">
        <v>46173</v>
      </c>
      <c r="B548" t="s">
        <v>257</v>
      </c>
      <c r="C548" t="s">
        <v>665</v>
      </c>
      <c r="D548" t="s">
        <v>666</v>
      </c>
      <c r="E548" t="s">
        <v>8</v>
      </c>
      <c r="F548" t="s">
        <v>10</v>
      </c>
      <c r="G548" s="16">
        <v>2106.5605</v>
      </c>
      <c r="H548" s="16">
        <v>2422.5444000000002</v>
      </c>
      <c r="I548" s="1">
        <v>46163</v>
      </c>
      <c r="J548">
        <v>86</v>
      </c>
      <c r="K548" t="s">
        <v>2136</v>
      </c>
      <c r="L548" t="s">
        <v>3361</v>
      </c>
      <c r="M548">
        <v>0</v>
      </c>
      <c r="N548">
        <v>147</v>
      </c>
      <c r="O548" t="s">
        <v>1036</v>
      </c>
      <c r="P548" s="17"/>
      <c r="Q548" s="17" t="str">
        <f>_xlfn.XLOOKUP(Table2[[#This Row],[buyFromVendorNo]],'Next Day Scheduled'!A:A,'Pending Returns'!O:O,"NOT_FOUND")</f>
        <v>NOT_FOUND</v>
      </c>
    </row>
    <row r="549" spans="1:17" x14ac:dyDescent="0.3">
      <c r="A549" s="1">
        <v>46173</v>
      </c>
      <c r="B549" t="s">
        <v>1998</v>
      </c>
      <c r="C549" t="s">
        <v>929</v>
      </c>
      <c r="D549" t="s">
        <v>930</v>
      </c>
      <c r="E549" t="s">
        <v>8</v>
      </c>
      <c r="F549" t="s">
        <v>10</v>
      </c>
      <c r="G549" s="16">
        <v>12757.632</v>
      </c>
      <c r="H549" s="16">
        <v>14671.276</v>
      </c>
      <c r="I549" s="1">
        <v>46167</v>
      </c>
      <c r="J549">
        <v>86</v>
      </c>
      <c r="K549" t="s">
        <v>1899</v>
      </c>
      <c r="L549" t="s">
        <v>3330</v>
      </c>
      <c r="M549">
        <v>12</v>
      </c>
      <c r="N549">
        <v>8</v>
      </c>
      <c r="O549" t="s">
        <v>1036</v>
      </c>
      <c r="P549" s="17"/>
      <c r="Q549" s="17" t="str">
        <f>_xlfn.XLOOKUP(Table2[[#This Row],[buyFromVendorNo]],'Next Day Scheduled'!A:A,'Pending Returns'!O:O,"NOT_FOUND")</f>
        <v>NOT_FOUND</v>
      </c>
    </row>
    <row r="550" spans="1:17" x14ac:dyDescent="0.3">
      <c r="A550" s="1">
        <v>46173</v>
      </c>
      <c r="B550" t="s">
        <v>274</v>
      </c>
      <c r="C550" t="s">
        <v>548</v>
      </c>
      <c r="D550" t="s">
        <v>549</v>
      </c>
      <c r="E550" t="s">
        <v>8</v>
      </c>
      <c r="F550" t="s">
        <v>10</v>
      </c>
      <c r="G550" s="16">
        <v>4222.326</v>
      </c>
      <c r="H550" s="16">
        <v>4855.6750000000002</v>
      </c>
      <c r="I550" s="1">
        <v>46159</v>
      </c>
      <c r="J550">
        <v>86</v>
      </c>
      <c r="K550" t="s">
        <v>1893</v>
      </c>
      <c r="L550" t="s">
        <v>3071</v>
      </c>
      <c r="M550">
        <v>11</v>
      </c>
      <c r="N550">
        <v>3</v>
      </c>
      <c r="O550" t="s">
        <v>1036</v>
      </c>
      <c r="P550" s="17"/>
      <c r="Q550" s="17" t="str">
        <f>_xlfn.XLOOKUP(Table2[[#This Row],[buyFromVendorNo]],'Next Day Scheduled'!A:A,'Pending Returns'!O:O,"NOT_FOUND")</f>
        <v>NOT_FOUND</v>
      </c>
    </row>
    <row r="551" spans="1:17" x14ac:dyDescent="0.3">
      <c r="A551" s="1">
        <v>46173</v>
      </c>
      <c r="B551" t="s">
        <v>2645</v>
      </c>
      <c r="C551" t="s">
        <v>880</v>
      </c>
      <c r="D551" t="s">
        <v>881</v>
      </c>
      <c r="E551" t="s">
        <v>8</v>
      </c>
      <c r="F551" t="s">
        <v>10</v>
      </c>
      <c r="G551" s="16">
        <v>598.52</v>
      </c>
      <c r="H551" s="16">
        <v>688.298</v>
      </c>
      <c r="I551" s="1">
        <v>46173</v>
      </c>
      <c r="J551">
        <v>86</v>
      </c>
      <c r="K551" t="s">
        <v>2646</v>
      </c>
      <c r="L551" t="s">
        <v>3367</v>
      </c>
      <c r="M551">
        <v>7</v>
      </c>
      <c r="N551">
        <v>13</v>
      </c>
      <c r="O551" t="s">
        <v>1036</v>
      </c>
      <c r="P551" s="17"/>
      <c r="Q551" s="17" t="str">
        <f>_xlfn.XLOOKUP(Table2[[#This Row],[buyFromVendorNo]],'Next Day Scheduled'!A:A,'Pending Returns'!O:O,"NOT_FOUND")</f>
        <v>NOT_FOUND</v>
      </c>
    </row>
    <row r="552" spans="1:17" x14ac:dyDescent="0.3">
      <c r="A552" s="1">
        <v>46173</v>
      </c>
      <c r="B552" t="s">
        <v>1009</v>
      </c>
      <c r="C552" t="s">
        <v>1593</v>
      </c>
      <c r="D552" t="s">
        <v>1594</v>
      </c>
      <c r="E552" t="s">
        <v>8</v>
      </c>
      <c r="F552" t="s">
        <v>10</v>
      </c>
      <c r="G552" s="16">
        <v>9855.9500000000007</v>
      </c>
      <c r="H552" s="16">
        <v>11334.343000000001</v>
      </c>
      <c r="I552" s="1">
        <v>46160</v>
      </c>
      <c r="J552">
        <v>86</v>
      </c>
      <c r="K552" t="s">
        <v>1843</v>
      </c>
      <c r="L552" t="s">
        <v>3406</v>
      </c>
      <c r="M552">
        <v>12</v>
      </c>
      <c r="N552">
        <v>2</v>
      </c>
      <c r="O552" t="s">
        <v>1036</v>
      </c>
      <c r="P552" s="17"/>
      <c r="Q552" s="17" t="str">
        <f>_xlfn.XLOOKUP(Table2[[#This Row],[buyFromVendorNo]],'Next Day Scheduled'!A:A,'Pending Returns'!O:O,"NOT_FOUND")</f>
        <v>NOT_FOUND</v>
      </c>
    </row>
    <row r="553" spans="1:17" x14ac:dyDescent="0.3">
      <c r="A553" s="1">
        <v>46173</v>
      </c>
      <c r="B553" t="s">
        <v>467</v>
      </c>
      <c r="C553" t="s">
        <v>491</v>
      </c>
      <c r="D553" t="s">
        <v>492</v>
      </c>
      <c r="E553" t="s">
        <v>8</v>
      </c>
      <c r="F553" t="s">
        <v>10</v>
      </c>
      <c r="G553" s="16">
        <v>4878.25</v>
      </c>
      <c r="H553" s="16">
        <v>5609.9872999999998</v>
      </c>
      <c r="I553" s="1">
        <v>46167</v>
      </c>
      <c r="J553">
        <v>86</v>
      </c>
      <c r="K553" t="s">
        <v>493</v>
      </c>
      <c r="L553" t="s">
        <v>3452</v>
      </c>
      <c r="M553">
        <v>12</v>
      </c>
      <c r="N553">
        <v>2</v>
      </c>
      <c r="O553" t="s">
        <v>1036</v>
      </c>
      <c r="P553" s="17"/>
      <c r="Q553" s="17" t="str">
        <f>_xlfn.XLOOKUP(Table2[[#This Row],[buyFromVendorNo]],'Next Day Scheduled'!A:A,'Pending Returns'!O:O,"NOT_FOUND")</f>
        <v>NOT_FOUND</v>
      </c>
    </row>
    <row r="554" spans="1:17" x14ac:dyDescent="0.3">
      <c r="A554" s="1">
        <v>46174</v>
      </c>
      <c r="B554" t="s">
        <v>2525</v>
      </c>
      <c r="C554" t="s">
        <v>865</v>
      </c>
      <c r="D554" t="s">
        <v>866</v>
      </c>
      <c r="E554" t="s">
        <v>8</v>
      </c>
      <c r="F554" t="s">
        <v>10</v>
      </c>
      <c r="G554" s="16">
        <v>3442</v>
      </c>
      <c r="H554" s="16">
        <v>3932.65</v>
      </c>
      <c r="I554" s="1">
        <v>46167</v>
      </c>
      <c r="J554">
        <v>85</v>
      </c>
      <c r="K554" t="s">
        <v>2421</v>
      </c>
      <c r="L554" t="s">
        <v>3473</v>
      </c>
      <c r="M554">
        <v>12</v>
      </c>
      <c r="N554">
        <v>7</v>
      </c>
      <c r="O554" t="s">
        <v>1036</v>
      </c>
      <c r="P554" s="17"/>
      <c r="Q554" s="17" t="str">
        <f>_xlfn.XLOOKUP(Table2[[#This Row],[buyFromVendorNo]],'Next Day Scheduled'!A:A,'Pending Returns'!O:O,"NOT_FOUND")</f>
        <v>Posted Credit Note</v>
      </c>
    </row>
    <row r="555" spans="1:17" x14ac:dyDescent="0.3">
      <c r="A555" s="1">
        <v>46174</v>
      </c>
      <c r="B555" t="s">
        <v>256</v>
      </c>
      <c r="C555" t="s">
        <v>561</v>
      </c>
      <c r="D555" t="s">
        <v>593</v>
      </c>
      <c r="E555" t="s">
        <v>8</v>
      </c>
      <c r="F555" t="s">
        <v>10</v>
      </c>
      <c r="G555" s="16">
        <v>2093.6999999999998</v>
      </c>
      <c r="H555" s="16">
        <v>2407.7550000000001</v>
      </c>
      <c r="I555" s="1">
        <v>46155</v>
      </c>
      <c r="J555">
        <v>85</v>
      </c>
      <c r="K555" t="s">
        <v>592</v>
      </c>
      <c r="L555" t="s">
        <v>3499</v>
      </c>
      <c r="M555">
        <v>11</v>
      </c>
      <c r="N555">
        <v>6</v>
      </c>
      <c r="O555" t="s">
        <v>1036</v>
      </c>
      <c r="P555" s="17"/>
      <c r="Q555" s="17" t="str">
        <f>_xlfn.XLOOKUP(Table2[[#This Row],[buyFromVendorNo]],'Next Day Scheduled'!A:A,'Pending Returns'!O:O,"NOT_FOUND")</f>
        <v>NOT_FOUND</v>
      </c>
    </row>
    <row r="556" spans="1:17" x14ac:dyDescent="0.3">
      <c r="A556" s="1">
        <v>46174</v>
      </c>
      <c r="B556" t="s">
        <v>783</v>
      </c>
      <c r="C556" t="s">
        <v>141</v>
      </c>
      <c r="D556" t="s">
        <v>142</v>
      </c>
      <c r="E556" t="s">
        <v>8</v>
      </c>
      <c r="F556" t="s">
        <v>10</v>
      </c>
      <c r="G556" s="16">
        <v>3579.9636</v>
      </c>
      <c r="H556" s="16">
        <v>4116.9579999999996</v>
      </c>
      <c r="I556" s="1">
        <v>46155</v>
      </c>
      <c r="J556">
        <v>85</v>
      </c>
      <c r="K556" t="s">
        <v>540</v>
      </c>
      <c r="L556" t="s">
        <v>3492</v>
      </c>
      <c r="M556">
        <v>11</v>
      </c>
      <c r="N556">
        <v>6</v>
      </c>
      <c r="O556" t="s">
        <v>1036</v>
      </c>
      <c r="P556" s="17"/>
      <c r="Q556" s="17" t="str">
        <f>_xlfn.XLOOKUP(Table2[[#This Row],[buyFromVendorNo]],'Next Day Scheduled'!A:A,'Pending Returns'!O:O,"NOT_FOUND")</f>
        <v>NOT_FOUND</v>
      </c>
    </row>
    <row r="557" spans="1:17" x14ac:dyDescent="0.3">
      <c r="A557" s="1">
        <v>46174</v>
      </c>
      <c r="B557" t="s">
        <v>2749</v>
      </c>
      <c r="C557" t="s">
        <v>1725</v>
      </c>
      <c r="D557" t="s">
        <v>1726</v>
      </c>
      <c r="E557" t="s">
        <v>8</v>
      </c>
      <c r="F557" t="s">
        <v>10</v>
      </c>
      <c r="G557" s="16">
        <v>2468.0079999999998</v>
      </c>
      <c r="H557" s="16">
        <v>2838.2091999999998</v>
      </c>
      <c r="I557" s="1">
        <v>46174</v>
      </c>
      <c r="J557">
        <v>85</v>
      </c>
      <c r="K557" t="s">
        <v>2750</v>
      </c>
      <c r="L557" t="s">
        <v>3496</v>
      </c>
      <c r="M557">
        <v>5</v>
      </c>
      <c r="N557">
        <v>28</v>
      </c>
      <c r="O557" t="s">
        <v>1036</v>
      </c>
      <c r="P557" s="17"/>
      <c r="Q557" s="17" t="str">
        <f>_xlfn.XLOOKUP(Table2[[#This Row],[buyFromVendorNo]],'Next Day Scheduled'!A:A,'Pending Returns'!O:O,"NOT_FOUND")</f>
        <v>Posted Credit Note</v>
      </c>
    </row>
    <row r="558" spans="1:17" x14ac:dyDescent="0.3">
      <c r="A558" s="1">
        <v>46174</v>
      </c>
      <c r="B558" t="s">
        <v>3370</v>
      </c>
      <c r="C558" t="s">
        <v>785</v>
      </c>
      <c r="D558" t="s">
        <v>786</v>
      </c>
      <c r="E558" t="s">
        <v>8</v>
      </c>
      <c r="F558" t="s">
        <v>10</v>
      </c>
      <c r="G558" s="16">
        <v>1477</v>
      </c>
      <c r="H558" s="16">
        <v>1698.55</v>
      </c>
      <c r="I558" s="1">
        <v>46174</v>
      </c>
      <c r="J558">
        <v>85</v>
      </c>
      <c r="K558" t="s">
        <v>3226</v>
      </c>
      <c r="L558" t="s">
        <v>3485</v>
      </c>
      <c r="M558">
        <v>15</v>
      </c>
      <c r="N558">
        <v>5</v>
      </c>
      <c r="O558" t="s">
        <v>1036</v>
      </c>
      <c r="P558" s="17"/>
      <c r="Q558" s="17" t="str">
        <f>_xlfn.XLOOKUP(Table2[[#This Row],[buyFromVendorNo]],'Next Day Scheduled'!A:A,'Pending Returns'!O:O,"NOT_FOUND")</f>
        <v>NOT_FOUND</v>
      </c>
    </row>
    <row r="559" spans="1:17" x14ac:dyDescent="0.3">
      <c r="A559" s="1">
        <v>46174</v>
      </c>
      <c r="B559" t="s">
        <v>1972</v>
      </c>
      <c r="C559" t="s">
        <v>327</v>
      </c>
      <c r="D559" t="s">
        <v>328</v>
      </c>
      <c r="E559" t="s">
        <v>8</v>
      </c>
      <c r="F559" t="s">
        <v>169</v>
      </c>
      <c r="G559" s="16">
        <v>893.66</v>
      </c>
      <c r="H559" s="16">
        <v>1027.7090000000001</v>
      </c>
      <c r="I559" s="1">
        <v>46174</v>
      </c>
      <c r="J559">
        <v>85</v>
      </c>
      <c r="K559" t="s">
        <v>3388</v>
      </c>
      <c r="L559" t="s">
        <v>3522</v>
      </c>
      <c r="M559">
        <v>6</v>
      </c>
      <c r="N559">
        <v>5</v>
      </c>
      <c r="O559" t="s">
        <v>1036</v>
      </c>
      <c r="P559" s="17"/>
      <c r="Q559" s="17" t="str">
        <f>_xlfn.XLOOKUP(Table2[[#This Row],[buyFromVendorNo]],'Next Day Scheduled'!A:A,'Pending Returns'!O:O,"NOT_FOUND")</f>
        <v>NOT_FOUND</v>
      </c>
    </row>
    <row r="560" spans="1:17" x14ac:dyDescent="0.3">
      <c r="A560" s="1">
        <v>46174</v>
      </c>
      <c r="B560" t="s">
        <v>2429</v>
      </c>
      <c r="C560" t="s">
        <v>850</v>
      </c>
      <c r="D560" t="s">
        <v>851</v>
      </c>
      <c r="E560" t="s">
        <v>8</v>
      </c>
      <c r="F560" t="s">
        <v>10</v>
      </c>
      <c r="G560" s="16">
        <v>13644</v>
      </c>
      <c r="H560" s="16">
        <v>15690.6</v>
      </c>
      <c r="I560" s="1">
        <v>46167</v>
      </c>
      <c r="J560">
        <v>85</v>
      </c>
      <c r="K560" t="s">
        <v>2430</v>
      </c>
      <c r="L560" t="s">
        <v>3493</v>
      </c>
      <c r="M560">
        <v>13</v>
      </c>
      <c r="N560">
        <v>1</v>
      </c>
      <c r="O560" t="s">
        <v>1036</v>
      </c>
      <c r="P560" s="17"/>
      <c r="Q560" s="17" t="str">
        <f>_xlfn.XLOOKUP(Table2[[#This Row],[buyFromVendorNo]],'Next Day Scheduled'!A:A,'Pending Returns'!O:O,"NOT_FOUND")</f>
        <v>NOT_FOUND</v>
      </c>
    </row>
    <row r="561" spans="1:17" x14ac:dyDescent="0.3">
      <c r="A561" s="1">
        <v>46174</v>
      </c>
      <c r="B561" t="s">
        <v>2212</v>
      </c>
      <c r="C561" t="s">
        <v>850</v>
      </c>
      <c r="D561" t="s">
        <v>851</v>
      </c>
      <c r="E561" t="s">
        <v>8</v>
      </c>
      <c r="F561" t="s">
        <v>10</v>
      </c>
      <c r="G561" s="16">
        <v>10251.5</v>
      </c>
      <c r="H561" s="16">
        <v>11789.225</v>
      </c>
      <c r="I561" s="1">
        <v>46167</v>
      </c>
      <c r="J561">
        <v>85</v>
      </c>
      <c r="K561" t="s">
        <v>2143</v>
      </c>
      <c r="L561" t="s">
        <v>3472</v>
      </c>
      <c r="M561">
        <v>13</v>
      </c>
      <c r="N561">
        <v>1</v>
      </c>
      <c r="O561" t="s">
        <v>1036</v>
      </c>
      <c r="P561" s="17"/>
      <c r="Q561" s="17" t="str">
        <f>_xlfn.XLOOKUP(Table2[[#This Row],[buyFromVendorNo]],'Next Day Scheduled'!A:A,'Pending Returns'!O:O,"NOT_FOUND")</f>
        <v>NOT_FOUND</v>
      </c>
    </row>
    <row r="562" spans="1:17" x14ac:dyDescent="0.3">
      <c r="A562" s="1">
        <v>46174</v>
      </c>
      <c r="B562" t="s">
        <v>1276</v>
      </c>
      <c r="C562" t="s">
        <v>869</v>
      </c>
      <c r="D562" t="s">
        <v>870</v>
      </c>
      <c r="E562" t="s">
        <v>8</v>
      </c>
      <c r="F562" t="s">
        <v>10</v>
      </c>
      <c r="G562" s="16">
        <v>1252.5</v>
      </c>
      <c r="H562" s="16">
        <v>1440.375</v>
      </c>
      <c r="I562" s="1">
        <v>46165</v>
      </c>
      <c r="J562">
        <v>85</v>
      </c>
      <c r="K562" t="s">
        <v>2197</v>
      </c>
      <c r="L562" t="s">
        <v>3474</v>
      </c>
      <c r="M562">
        <v>5</v>
      </c>
      <c r="N562">
        <v>10</v>
      </c>
      <c r="O562" t="s">
        <v>1036</v>
      </c>
      <c r="P562" s="17"/>
      <c r="Q562" s="17" t="str">
        <f>_xlfn.XLOOKUP(Table2[[#This Row],[buyFromVendorNo]],'Next Day Scheduled'!A:A,'Pending Returns'!O:O,"NOT_FOUND")</f>
        <v>NOT_FOUND</v>
      </c>
    </row>
    <row r="563" spans="1:17" x14ac:dyDescent="0.3">
      <c r="A563" s="1">
        <v>46174</v>
      </c>
      <c r="B563" t="s">
        <v>1999</v>
      </c>
      <c r="C563" t="s">
        <v>201</v>
      </c>
      <c r="D563" t="s">
        <v>202</v>
      </c>
      <c r="E563" t="s">
        <v>8</v>
      </c>
      <c r="F563" t="s">
        <v>10</v>
      </c>
      <c r="G563" s="16">
        <v>8249.625</v>
      </c>
      <c r="H563" s="16">
        <v>9487.0689999999995</v>
      </c>
      <c r="I563" s="1">
        <v>46167</v>
      </c>
      <c r="J563">
        <v>85</v>
      </c>
      <c r="K563" t="s">
        <v>1897</v>
      </c>
      <c r="L563" t="s">
        <v>3488</v>
      </c>
      <c r="M563">
        <v>11</v>
      </c>
      <c r="N563">
        <v>1</v>
      </c>
      <c r="O563" t="s">
        <v>1036</v>
      </c>
      <c r="P563" s="17"/>
      <c r="Q563" s="17" t="str">
        <f>_xlfn.XLOOKUP(Table2[[#This Row],[buyFromVendorNo]],'Next Day Scheduled'!A:A,'Pending Returns'!O:O,"NOT_FOUND")</f>
        <v>Pending for Collection</v>
      </c>
    </row>
    <row r="564" spans="1:17" x14ac:dyDescent="0.3">
      <c r="A564" s="1">
        <v>46174</v>
      </c>
      <c r="B564" t="s">
        <v>676</v>
      </c>
      <c r="C564" t="s">
        <v>201</v>
      </c>
      <c r="D564" t="s">
        <v>202</v>
      </c>
      <c r="E564" t="s">
        <v>8</v>
      </c>
      <c r="F564" t="s">
        <v>169</v>
      </c>
      <c r="G564" s="16">
        <v>678.98193000000003</v>
      </c>
      <c r="H564" s="16">
        <v>780.82929999999999</v>
      </c>
      <c r="I564" s="1">
        <v>46167</v>
      </c>
      <c r="J564">
        <v>85</v>
      </c>
      <c r="K564" t="s">
        <v>2571</v>
      </c>
      <c r="L564" t="s">
        <v>3476</v>
      </c>
      <c r="M564">
        <v>12</v>
      </c>
      <c r="N564">
        <v>7</v>
      </c>
      <c r="O564" t="s">
        <v>1036</v>
      </c>
      <c r="P564" s="17"/>
      <c r="Q564" s="17" t="str">
        <f>_xlfn.XLOOKUP(Table2[[#This Row],[buyFromVendorNo]],'Next Day Scheduled'!A:A,'Pending Returns'!O:O,"NOT_FOUND")</f>
        <v>Pending for Collection</v>
      </c>
    </row>
    <row r="565" spans="1:17" x14ac:dyDescent="0.3">
      <c r="A565" s="1">
        <v>46174</v>
      </c>
      <c r="B565" t="s">
        <v>3273</v>
      </c>
      <c r="C565" t="s">
        <v>880</v>
      </c>
      <c r="D565" t="s">
        <v>881</v>
      </c>
      <c r="E565" t="s">
        <v>8</v>
      </c>
      <c r="F565" t="s">
        <v>10</v>
      </c>
      <c r="G565" s="16">
        <v>398.16</v>
      </c>
      <c r="H565" s="16">
        <v>457.88400000000001</v>
      </c>
      <c r="I565" s="1">
        <v>46174</v>
      </c>
      <c r="J565">
        <v>85</v>
      </c>
      <c r="K565" t="s">
        <v>3087</v>
      </c>
      <c r="L565" t="s">
        <v>3481</v>
      </c>
      <c r="M565">
        <v>7</v>
      </c>
      <c r="N565">
        <v>13</v>
      </c>
      <c r="O565" t="s">
        <v>1036</v>
      </c>
      <c r="P565" s="17"/>
      <c r="Q565" s="17" t="str">
        <f>_xlfn.XLOOKUP(Table2[[#This Row],[buyFromVendorNo]],'Next Day Scheduled'!A:A,'Pending Returns'!O:O,"NOT_FOUND")</f>
        <v>NOT_FOUND</v>
      </c>
    </row>
    <row r="566" spans="1:17" x14ac:dyDescent="0.3">
      <c r="A566" s="1">
        <v>46175</v>
      </c>
      <c r="B566" t="s">
        <v>286</v>
      </c>
      <c r="C566" t="s">
        <v>566</v>
      </c>
      <c r="D566" t="s">
        <v>590</v>
      </c>
      <c r="E566" t="s">
        <v>8</v>
      </c>
      <c r="F566" t="s">
        <v>10</v>
      </c>
      <c r="G566" s="16">
        <v>4715.9633999999996</v>
      </c>
      <c r="H566" s="16">
        <v>5423.3580000000002</v>
      </c>
      <c r="I566" s="1">
        <v>46151</v>
      </c>
      <c r="J566">
        <v>84</v>
      </c>
      <c r="K566" t="s">
        <v>673</v>
      </c>
      <c r="L566" t="s">
        <v>3525</v>
      </c>
      <c r="M566">
        <v>12</v>
      </c>
      <c r="N566">
        <v>1</v>
      </c>
      <c r="O566" t="s">
        <v>1036</v>
      </c>
      <c r="P566" s="17"/>
      <c r="Q566" s="17" t="str">
        <f>_xlfn.XLOOKUP(Table2[[#This Row],[buyFromVendorNo]],'Next Day Scheduled'!A:A,'Pending Returns'!O:O,"NOT_FOUND")</f>
        <v>NOT_FOUND</v>
      </c>
    </row>
    <row r="567" spans="1:17" x14ac:dyDescent="0.3">
      <c r="A567" s="1">
        <v>46175</v>
      </c>
      <c r="B567" t="s">
        <v>2551</v>
      </c>
      <c r="C567" t="s">
        <v>826</v>
      </c>
      <c r="D567" t="s">
        <v>827</v>
      </c>
      <c r="E567" t="s">
        <v>8</v>
      </c>
      <c r="F567" t="s">
        <v>10</v>
      </c>
      <c r="G567" s="16">
        <v>4085.6161999999999</v>
      </c>
      <c r="H567" s="16">
        <v>4698.4589999999998</v>
      </c>
      <c r="I567" s="1">
        <v>46167</v>
      </c>
      <c r="J567">
        <v>84</v>
      </c>
      <c r="K567" t="s">
        <v>2490</v>
      </c>
      <c r="L567" t="s">
        <v>3509</v>
      </c>
      <c r="M567">
        <v>10</v>
      </c>
      <c r="N567">
        <v>5</v>
      </c>
      <c r="O567" t="s">
        <v>1036</v>
      </c>
      <c r="P567" s="17"/>
      <c r="Q567" s="17" t="str">
        <f>_xlfn.XLOOKUP(Table2[[#This Row],[buyFromVendorNo]],'Next Day Scheduled'!A:A,'Pending Returns'!O:O,"NOT_FOUND")</f>
        <v>NOT_FOUND</v>
      </c>
    </row>
    <row r="568" spans="1:17" x14ac:dyDescent="0.3">
      <c r="A568" s="1">
        <v>46175</v>
      </c>
      <c r="B568" t="s">
        <v>2000</v>
      </c>
      <c r="C568" t="s">
        <v>79</v>
      </c>
      <c r="D568" t="s">
        <v>80</v>
      </c>
      <c r="E568" t="s">
        <v>8</v>
      </c>
      <c r="F568" t="s">
        <v>10</v>
      </c>
      <c r="G568" s="16">
        <v>8451.1569999999992</v>
      </c>
      <c r="H568" s="16">
        <v>9718.8310000000001</v>
      </c>
      <c r="I568" s="1">
        <v>46167</v>
      </c>
      <c r="J568">
        <v>84</v>
      </c>
      <c r="K568" t="s">
        <v>2146</v>
      </c>
      <c r="L568" t="s">
        <v>3576</v>
      </c>
      <c r="M568">
        <v>10</v>
      </c>
      <c r="N568">
        <v>2</v>
      </c>
      <c r="O568" t="s">
        <v>1036</v>
      </c>
      <c r="P568" s="17"/>
      <c r="Q568" s="17" t="str">
        <f>_xlfn.XLOOKUP(Table2[[#This Row],[buyFromVendorNo]],'Next Day Scheduled'!A:A,'Pending Returns'!O:O,"NOT_FOUND")</f>
        <v>NOT_FOUND</v>
      </c>
    </row>
    <row r="569" spans="1:17" x14ac:dyDescent="0.3">
      <c r="A569" s="1">
        <v>46175</v>
      </c>
      <c r="B569" t="s">
        <v>392</v>
      </c>
      <c r="C569" t="s">
        <v>839</v>
      </c>
      <c r="D569" t="s">
        <v>840</v>
      </c>
      <c r="E569" t="s">
        <v>8</v>
      </c>
      <c r="F569" t="s">
        <v>10</v>
      </c>
      <c r="G569" s="16">
        <v>1320.75</v>
      </c>
      <c r="H569" s="16">
        <v>1518.8625</v>
      </c>
      <c r="I569" s="1">
        <v>46156</v>
      </c>
      <c r="J569">
        <v>84</v>
      </c>
      <c r="K569" t="s">
        <v>1012</v>
      </c>
      <c r="L569" t="s">
        <v>3549</v>
      </c>
      <c r="M569">
        <v>11</v>
      </c>
      <c r="N569">
        <v>2</v>
      </c>
      <c r="O569" t="s">
        <v>1036</v>
      </c>
      <c r="P569" s="17"/>
      <c r="Q569" s="17" t="str">
        <f>_xlfn.XLOOKUP(Table2[[#This Row],[buyFromVendorNo]],'Next Day Scheduled'!A:A,'Pending Returns'!O:O,"NOT_FOUND")</f>
        <v>NOT_FOUND</v>
      </c>
    </row>
    <row r="570" spans="1:17" x14ac:dyDescent="0.3">
      <c r="A570" s="1">
        <v>46175</v>
      </c>
      <c r="B570" t="s">
        <v>3257</v>
      </c>
      <c r="C570" t="s">
        <v>621</v>
      </c>
      <c r="D570" t="s">
        <v>622</v>
      </c>
      <c r="E570" t="s">
        <v>8</v>
      </c>
      <c r="F570" t="s">
        <v>10</v>
      </c>
      <c r="G570" s="16">
        <v>46.75</v>
      </c>
      <c r="H570" s="16">
        <v>53.762500000000003</v>
      </c>
      <c r="I570" s="1">
        <v>46174</v>
      </c>
      <c r="J570">
        <v>84</v>
      </c>
      <c r="K570" t="s">
        <v>3155</v>
      </c>
      <c r="L570" t="s">
        <v>3589</v>
      </c>
      <c r="M570">
        <v>11</v>
      </c>
      <c r="N570">
        <v>3</v>
      </c>
      <c r="O570" t="s">
        <v>1036</v>
      </c>
      <c r="P570" s="17"/>
      <c r="Q570" s="17" t="str">
        <f>_xlfn.XLOOKUP(Table2[[#This Row],[buyFromVendorNo]],'Next Day Scheduled'!A:A,'Pending Returns'!O:O,"NOT_FOUND")</f>
        <v>NOT_FOUND</v>
      </c>
    </row>
    <row r="571" spans="1:17" x14ac:dyDescent="0.3">
      <c r="A571" s="1">
        <v>46175</v>
      </c>
      <c r="B571" t="s">
        <v>283</v>
      </c>
      <c r="C571" t="s">
        <v>2363</v>
      </c>
      <c r="D571" t="s">
        <v>2364</v>
      </c>
      <c r="E571" t="s">
        <v>8</v>
      </c>
      <c r="F571" t="s">
        <v>10</v>
      </c>
      <c r="G571" s="16">
        <v>2045.74</v>
      </c>
      <c r="H571" s="16">
        <v>2352.6010000000001</v>
      </c>
      <c r="I571" s="1">
        <v>46174</v>
      </c>
      <c r="J571">
        <v>84</v>
      </c>
      <c r="K571" t="s">
        <v>2986</v>
      </c>
      <c r="L571" t="s">
        <v>3580</v>
      </c>
      <c r="M571">
        <v>11</v>
      </c>
      <c r="N571">
        <v>6</v>
      </c>
      <c r="O571" t="s">
        <v>1036</v>
      </c>
      <c r="P571" s="17"/>
      <c r="Q571" s="17" t="str">
        <f>_xlfn.XLOOKUP(Table2[[#This Row],[buyFromVendorNo]],'Next Day Scheduled'!A:A,'Pending Returns'!O:O,"NOT_FOUND")</f>
        <v>NOT_FOUND</v>
      </c>
    </row>
    <row r="572" spans="1:17" x14ac:dyDescent="0.3">
      <c r="A572" s="1">
        <v>46175</v>
      </c>
      <c r="B572" t="s">
        <v>2716</v>
      </c>
      <c r="C572" t="s">
        <v>79</v>
      </c>
      <c r="D572" t="s">
        <v>80</v>
      </c>
      <c r="E572" t="s">
        <v>8</v>
      </c>
      <c r="F572" t="s">
        <v>10</v>
      </c>
      <c r="G572" s="16">
        <v>1547.6876999999999</v>
      </c>
      <c r="H572" s="16">
        <v>1779.8409999999999</v>
      </c>
      <c r="I572" s="1">
        <v>46174</v>
      </c>
      <c r="J572">
        <v>84</v>
      </c>
      <c r="K572" t="s">
        <v>2717</v>
      </c>
      <c r="L572" t="s">
        <v>3539</v>
      </c>
      <c r="M572">
        <v>10</v>
      </c>
      <c r="N572">
        <v>2</v>
      </c>
      <c r="O572" t="s">
        <v>1036</v>
      </c>
      <c r="P572" s="17"/>
      <c r="Q572" s="17" t="str">
        <f>_xlfn.XLOOKUP(Table2[[#This Row],[buyFromVendorNo]],'Next Day Scheduled'!A:A,'Pending Returns'!O:O,"NOT_FOUND")</f>
        <v>NOT_FOUND</v>
      </c>
    </row>
    <row r="573" spans="1:17" x14ac:dyDescent="0.3">
      <c r="A573" s="1">
        <v>46175</v>
      </c>
      <c r="B573" t="s">
        <v>442</v>
      </c>
      <c r="C573" t="s">
        <v>75</v>
      </c>
      <c r="D573" t="s">
        <v>76</v>
      </c>
      <c r="E573" t="s">
        <v>8</v>
      </c>
      <c r="F573" t="s">
        <v>38</v>
      </c>
      <c r="G573" s="16">
        <v>7737.915</v>
      </c>
      <c r="H573" s="16">
        <v>8898.6020000000008</v>
      </c>
      <c r="I573" s="1">
        <v>46166</v>
      </c>
      <c r="J573">
        <v>84</v>
      </c>
      <c r="K573" t="s">
        <v>2076</v>
      </c>
      <c r="L573" t="s">
        <v>3506</v>
      </c>
      <c r="M573">
        <v>10</v>
      </c>
      <c r="N573">
        <v>5</v>
      </c>
      <c r="O573" t="s">
        <v>1036</v>
      </c>
      <c r="P573" s="17"/>
      <c r="Q573" s="17" t="str">
        <f>_xlfn.XLOOKUP(Table2[[#This Row],[buyFromVendorNo]],'Next Day Scheduled'!A:A,'Pending Returns'!O:O,"NOT_FOUND")</f>
        <v>Posted Credit Note</v>
      </c>
    </row>
    <row r="574" spans="1:17" x14ac:dyDescent="0.3">
      <c r="A574" s="1">
        <v>46175</v>
      </c>
      <c r="B574" t="s">
        <v>1820</v>
      </c>
      <c r="C574" t="s">
        <v>122</v>
      </c>
      <c r="D574" t="s">
        <v>123</v>
      </c>
      <c r="E574" t="s">
        <v>8</v>
      </c>
      <c r="F574" t="s">
        <v>10</v>
      </c>
      <c r="G574" s="16">
        <v>869.48</v>
      </c>
      <c r="H574" s="16">
        <v>999.90200000000004</v>
      </c>
      <c r="I574" s="1">
        <v>46167</v>
      </c>
      <c r="J574">
        <v>84</v>
      </c>
      <c r="K574" t="s">
        <v>1983</v>
      </c>
      <c r="L574" t="s">
        <v>3594</v>
      </c>
      <c r="M574">
        <v>29</v>
      </c>
      <c r="N574">
        <v>1</v>
      </c>
      <c r="O574" t="s">
        <v>1036</v>
      </c>
      <c r="P574" s="17"/>
      <c r="Q574" s="17" t="str">
        <f>_xlfn.XLOOKUP(Table2[[#This Row],[buyFromVendorNo]],'Next Day Scheduled'!A:A,'Pending Returns'!O:O,"NOT_FOUND")</f>
        <v>NOT_FOUND</v>
      </c>
    </row>
    <row r="575" spans="1:17" x14ac:dyDescent="0.3">
      <c r="A575" s="1">
        <v>46175</v>
      </c>
      <c r="B575" t="s">
        <v>3465</v>
      </c>
      <c r="C575" t="s">
        <v>31</v>
      </c>
      <c r="D575" t="s">
        <v>32</v>
      </c>
      <c r="E575" t="s">
        <v>8</v>
      </c>
      <c r="F575" t="s">
        <v>10</v>
      </c>
      <c r="G575" s="16">
        <v>1098.03</v>
      </c>
      <c r="H575" s="16">
        <v>1262.7345</v>
      </c>
      <c r="I575" s="1">
        <v>46175</v>
      </c>
      <c r="J575">
        <v>84</v>
      </c>
      <c r="K575" t="s">
        <v>3466</v>
      </c>
      <c r="L575" t="s">
        <v>3585</v>
      </c>
      <c r="M575">
        <v>16</v>
      </c>
      <c r="N575">
        <v>3</v>
      </c>
      <c r="O575" t="s">
        <v>223</v>
      </c>
      <c r="P575" s="17"/>
      <c r="Q575" s="17" t="str">
        <f>_xlfn.XLOOKUP(Table2[[#This Row],[buyFromVendorNo]],'Next Day Scheduled'!A:A,'Pending Returns'!O:O,"NOT_FOUND")</f>
        <v>NOT_FOUND</v>
      </c>
    </row>
    <row r="576" spans="1:17" x14ac:dyDescent="0.3">
      <c r="A576" s="1">
        <v>46175</v>
      </c>
      <c r="B576" t="s">
        <v>2718</v>
      </c>
      <c r="C576" t="s">
        <v>1615</v>
      </c>
      <c r="D576" t="s">
        <v>1616</v>
      </c>
      <c r="E576" t="s">
        <v>8</v>
      </c>
      <c r="F576" t="s">
        <v>10</v>
      </c>
      <c r="G576" s="16">
        <v>1357.74</v>
      </c>
      <c r="H576" s="16">
        <v>1561.4010000000001</v>
      </c>
      <c r="I576" s="1">
        <v>46174</v>
      </c>
      <c r="J576">
        <v>84</v>
      </c>
      <c r="K576" t="s">
        <v>2719</v>
      </c>
      <c r="L576" t="s">
        <v>3511</v>
      </c>
      <c r="M576">
        <v>11</v>
      </c>
      <c r="N576">
        <v>5</v>
      </c>
      <c r="O576" t="s">
        <v>1036</v>
      </c>
      <c r="P576" s="17"/>
      <c r="Q576" s="17" t="str">
        <f>_xlfn.XLOOKUP(Table2[[#This Row],[buyFromVendorNo]],'Next Day Scheduled'!A:A,'Pending Returns'!O:O,"NOT_FOUND")</f>
        <v>NOT_FOUND</v>
      </c>
    </row>
    <row r="577" spans="1:17" x14ac:dyDescent="0.3">
      <c r="A577" s="1">
        <v>46175</v>
      </c>
      <c r="B577" t="s">
        <v>2809</v>
      </c>
      <c r="C577" t="s">
        <v>502</v>
      </c>
      <c r="D577" t="s">
        <v>503</v>
      </c>
      <c r="E577" t="s">
        <v>8</v>
      </c>
      <c r="F577" t="s">
        <v>10</v>
      </c>
      <c r="G577" s="16">
        <v>1282.04</v>
      </c>
      <c r="H577" s="16">
        <v>1474.346</v>
      </c>
      <c r="I577" s="1">
        <v>46174</v>
      </c>
      <c r="J577">
        <v>84</v>
      </c>
      <c r="K577" t="s">
        <v>2810</v>
      </c>
      <c r="L577" t="s">
        <v>3573</v>
      </c>
      <c r="M577">
        <v>4</v>
      </c>
      <c r="N577">
        <v>1</v>
      </c>
      <c r="O577" t="s">
        <v>1036</v>
      </c>
      <c r="P577" s="17"/>
      <c r="Q577" s="17" t="str">
        <f>_xlfn.XLOOKUP(Table2[[#This Row],[buyFromVendorNo]],'Next Day Scheduled'!A:A,'Pending Returns'!O:O,"NOT_FOUND")</f>
        <v>NOT_FOUND</v>
      </c>
    </row>
    <row r="578" spans="1:17" x14ac:dyDescent="0.3">
      <c r="A578" s="1">
        <v>46175</v>
      </c>
      <c r="B578" t="s">
        <v>2875</v>
      </c>
      <c r="C578" t="s">
        <v>31</v>
      </c>
      <c r="D578" t="s">
        <v>32</v>
      </c>
      <c r="E578" t="s">
        <v>8</v>
      </c>
      <c r="F578" t="s">
        <v>10</v>
      </c>
      <c r="G578" s="16">
        <v>2235.41</v>
      </c>
      <c r="H578" s="16">
        <v>2570.7213999999999</v>
      </c>
      <c r="I578" s="1">
        <v>46175</v>
      </c>
      <c r="J578">
        <v>84</v>
      </c>
      <c r="K578" t="s">
        <v>2876</v>
      </c>
      <c r="L578" t="s">
        <v>3546</v>
      </c>
      <c r="M578">
        <v>16</v>
      </c>
      <c r="N578">
        <v>3</v>
      </c>
      <c r="O578" t="s">
        <v>223</v>
      </c>
      <c r="P578" s="17"/>
      <c r="Q578" s="17" t="str">
        <f>_xlfn.XLOOKUP(Table2[[#This Row],[buyFromVendorNo]],'Next Day Scheduled'!A:A,'Pending Returns'!O:O,"NOT_FOUND")</f>
        <v>NOT_FOUND</v>
      </c>
    </row>
    <row r="579" spans="1:17" x14ac:dyDescent="0.3">
      <c r="A579" s="1">
        <v>46175</v>
      </c>
      <c r="B579" t="s">
        <v>676</v>
      </c>
      <c r="C579" t="s">
        <v>75</v>
      </c>
      <c r="D579" t="s">
        <v>76</v>
      </c>
      <c r="E579" t="s">
        <v>8</v>
      </c>
      <c r="F579" t="s">
        <v>169</v>
      </c>
      <c r="G579" s="16">
        <v>5303.982</v>
      </c>
      <c r="H579" s="16">
        <v>6099.5789999999997</v>
      </c>
      <c r="I579" s="1">
        <v>46158</v>
      </c>
      <c r="J579">
        <v>84</v>
      </c>
      <c r="K579" t="s">
        <v>1905</v>
      </c>
      <c r="L579" t="s">
        <v>3512</v>
      </c>
      <c r="M579">
        <v>10</v>
      </c>
      <c r="N579">
        <v>3</v>
      </c>
      <c r="O579" t="s">
        <v>1036</v>
      </c>
      <c r="P579" s="17"/>
      <c r="Q579" s="17" t="str">
        <f>_xlfn.XLOOKUP(Table2[[#This Row],[buyFromVendorNo]],'Next Day Scheduled'!A:A,'Pending Returns'!O:O,"NOT_FOUND")</f>
        <v>Posted Credit Note</v>
      </c>
    </row>
    <row r="580" spans="1:17" x14ac:dyDescent="0.3">
      <c r="A580" s="1">
        <v>46175</v>
      </c>
      <c r="B580" t="s">
        <v>3245</v>
      </c>
      <c r="C580" t="s">
        <v>778</v>
      </c>
      <c r="D580" t="s">
        <v>779</v>
      </c>
      <c r="E580" t="s">
        <v>8</v>
      </c>
      <c r="F580" t="s">
        <v>10</v>
      </c>
      <c r="G580" s="16">
        <v>20.5</v>
      </c>
      <c r="H580" s="16">
        <v>23.574999999999999</v>
      </c>
      <c r="I580" s="1">
        <v>46174</v>
      </c>
      <c r="J580">
        <v>84</v>
      </c>
      <c r="K580" t="s">
        <v>3080</v>
      </c>
      <c r="L580" t="s">
        <v>3529</v>
      </c>
      <c r="M580">
        <v>12</v>
      </c>
      <c r="N580">
        <v>7</v>
      </c>
      <c r="O580" t="s">
        <v>1036</v>
      </c>
      <c r="P580" s="17"/>
      <c r="Q580" s="17" t="str">
        <f>_xlfn.XLOOKUP(Table2[[#This Row],[buyFromVendorNo]],'Next Day Scheduled'!A:A,'Pending Returns'!O:O,"NOT_FOUND")</f>
        <v>Posted Credit Note</v>
      </c>
    </row>
    <row r="581" spans="1:17" x14ac:dyDescent="0.3">
      <c r="A581" s="1">
        <v>46175</v>
      </c>
      <c r="B581" t="s">
        <v>2714</v>
      </c>
      <c r="C581" t="s">
        <v>1018</v>
      </c>
      <c r="D581" t="s">
        <v>1019</v>
      </c>
      <c r="E581" t="s">
        <v>8</v>
      </c>
      <c r="F581" t="s">
        <v>10</v>
      </c>
      <c r="G581" s="16">
        <v>2244.9243000000001</v>
      </c>
      <c r="H581" s="16">
        <v>2581.663</v>
      </c>
      <c r="I581" s="1">
        <v>46174</v>
      </c>
      <c r="J581">
        <v>84</v>
      </c>
      <c r="K581" t="s">
        <v>2715</v>
      </c>
      <c r="L581" t="s">
        <v>3577</v>
      </c>
      <c r="M581">
        <v>12</v>
      </c>
      <c r="N581">
        <v>3</v>
      </c>
      <c r="O581" t="s">
        <v>1036</v>
      </c>
      <c r="P581" s="17"/>
      <c r="Q581" s="17" t="str">
        <f>_xlfn.XLOOKUP(Table2[[#This Row],[buyFromVendorNo]],'Next Day Scheduled'!A:A,'Pending Returns'!O:O,"NOT_FOUND")</f>
        <v>NOT_FOUND</v>
      </c>
    </row>
    <row r="582" spans="1:17" x14ac:dyDescent="0.3">
      <c r="A582" s="1">
        <v>46175</v>
      </c>
      <c r="B582" t="s">
        <v>1493</v>
      </c>
      <c r="C582" t="s">
        <v>175</v>
      </c>
      <c r="D582" t="s">
        <v>176</v>
      </c>
      <c r="E582" t="s">
        <v>8</v>
      </c>
      <c r="F582" t="s">
        <v>10</v>
      </c>
      <c r="G582" s="16">
        <v>725</v>
      </c>
      <c r="H582" s="16">
        <v>833.75</v>
      </c>
      <c r="I582" s="1">
        <v>46174</v>
      </c>
      <c r="J582">
        <v>84</v>
      </c>
      <c r="K582" t="s">
        <v>892</v>
      </c>
      <c r="L582" t="s">
        <v>3537</v>
      </c>
      <c r="M582">
        <v>11</v>
      </c>
      <c r="N582">
        <v>6</v>
      </c>
      <c r="O582" t="s">
        <v>1036</v>
      </c>
      <c r="P582" s="17"/>
      <c r="Q582" s="17" t="str">
        <f>_xlfn.XLOOKUP(Table2[[#This Row],[buyFromVendorNo]],'Next Day Scheduled'!A:A,'Pending Returns'!O:O,"NOT_FOUND")</f>
        <v>Posted Credit Note</v>
      </c>
    </row>
    <row r="583" spans="1:17" x14ac:dyDescent="0.3">
      <c r="A583" s="1">
        <v>46175</v>
      </c>
      <c r="B583" t="s">
        <v>1939</v>
      </c>
      <c r="C583" t="s">
        <v>43</v>
      </c>
      <c r="D583" t="s">
        <v>44</v>
      </c>
      <c r="E583" t="s">
        <v>8</v>
      </c>
      <c r="F583" t="s">
        <v>38</v>
      </c>
      <c r="G583" s="16">
        <v>859.29240000000004</v>
      </c>
      <c r="H583" s="16">
        <v>988.18629999999996</v>
      </c>
      <c r="I583" s="1">
        <v>46159</v>
      </c>
      <c r="J583">
        <v>84</v>
      </c>
      <c r="K583" t="s">
        <v>1919</v>
      </c>
      <c r="L583" t="s">
        <v>3555</v>
      </c>
      <c r="M583">
        <v>78</v>
      </c>
      <c r="N583">
        <v>1</v>
      </c>
      <c r="O583" t="s">
        <v>1036</v>
      </c>
      <c r="P583" s="17"/>
      <c r="Q583" s="17" t="str">
        <f>_xlfn.XLOOKUP(Table2[[#This Row],[buyFromVendorNo]],'Next Day Scheduled'!A:A,'Pending Returns'!O:O,"NOT_FOUND")</f>
        <v>Posted Credit Note</v>
      </c>
    </row>
    <row r="584" spans="1:17" x14ac:dyDescent="0.3">
      <c r="A584" s="1">
        <v>46175</v>
      </c>
      <c r="B584" t="s">
        <v>2833</v>
      </c>
      <c r="C584" t="s">
        <v>2834</v>
      </c>
      <c r="D584" t="s">
        <v>2835</v>
      </c>
      <c r="E584" t="s">
        <v>8</v>
      </c>
      <c r="F584" t="s">
        <v>10</v>
      </c>
      <c r="G584" s="16">
        <v>5505.5</v>
      </c>
      <c r="H584" s="16">
        <v>6331.3249999999998</v>
      </c>
      <c r="I584" s="1">
        <v>46174</v>
      </c>
      <c r="J584">
        <v>84</v>
      </c>
      <c r="K584" t="s">
        <v>2836</v>
      </c>
      <c r="L584" t="s">
        <v>3556</v>
      </c>
      <c r="M584">
        <v>10</v>
      </c>
      <c r="N584">
        <v>5</v>
      </c>
      <c r="O584" t="s">
        <v>1036</v>
      </c>
      <c r="P584" s="17"/>
      <c r="Q584" s="17" t="str">
        <f>_xlfn.XLOOKUP(Table2[[#This Row],[buyFromVendorNo]],'Next Day Scheduled'!A:A,'Pending Returns'!O:O,"NOT_FOUND")</f>
        <v>NOT_FOUND</v>
      </c>
    </row>
    <row r="585" spans="1:17" x14ac:dyDescent="0.3">
      <c r="A585" s="1">
        <v>46175</v>
      </c>
      <c r="B585" t="s">
        <v>2755</v>
      </c>
      <c r="C585" t="s">
        <v>2256</v>
      </c>
      <c r="D585" t="s">
        <v>2257</v>
      </c>
      <c r="E585" t="s">
        <v>8</v>
      </c>
      <c r="F585" t="s">
        <v>10</v>
      </c>
      <c r="G585" s="16">
        <v>808.5</v>
      </c>
      <c r="H585" s="16">
        <v>929.77499999999998</v>
      </c>
      <c r="I585" s="1">
        <v>46174</v>
      </c>
      <c r="J585">
        <v>84</v>
      </c>
      <c r="K585" t="s">
        <v>2756</v>
      </c>
      <c r="L585" t="s">
        <v>3510</v>
      </c>
      <c r="M585">
        <v>7</v>
      </c>
      <c r="N585">
        <v>2</v>
      </c>
      <c r="O585" t="s">
        <v>1036</v>
      </c>
      <c r="P585" s="17"/>
      <c r="Q585" s="17" t="str">
        <f>_xlfn.XLOOKUP(Table2[[#This Row],[buyFromVendorNo]],'Next Day Scheduled'!A:A,'Pending Returns'!O:O,"NOT_FOUND")</f>
        <v>NOT_FOUND</v>
      </c>
    </row>
    <row r="586" spans="1:17" x14ac:dyDescent="0.3">
      <c r="A586" s="1">
        <v>46175</v>
      </c>
      <c r="B586" t="s">
        <v>2737</v>
      </c>
      <c r="C586" t="s">
        <v>621</v>
      </c>
      <c r="D586" t="s">
        <v>622</v>
      </c>
      <c r="E586" t="s">
        <v>8</v>
      </c>
      <c r="F586" t="s">
        <v>10</v>
      </c>
      <c r="G586" s="16">
        <v>312.70249999999999</v>
      </c>
      <c r="H586" s="16">
        <v>359.60789999999997</v>
      </c>
      <c r="I586" s="1">
        <v>46174</v>
      </c>
      <c r="J586">
        <v>84</v>
      </c>
      <c r="K586" t="s">
        <v>2738</v>
      </c>
      <c r="L586" t="s">
        <v>3528</v>
      </c>
      <c r="M586">
        <v>11</v>
      </c>
      <c r="N586">
        <v>3</v>
      </c>
      <c r="O586" t="s">
        <v>1036</v>
      </c>
      <c r="P586" s="17"/>
      <c r="Q586" s="17" t="str">
        <f>_xlfn.XLOOKUP(Table2[[#This Row],[buyFromVendorNo]],'Next Day Scheduled'!A:A,'Pending Returns'!O:O,"NOT_FOUND")</f>
        <v>NOT_FOUND</v>
      </c>
    </row>
    <row r="587" spans="1:17" x14ac:dyDescent="0.3">
      <c r="A587" s="1">
        <v>46175</v>
      </c>
      <c r="B587" t="s">
        <v>3389</v>
      </c>
      <c r="C587" t="s">
        <v>2280</v>
      </c>
      <c r="D587" t="s">
        <v>2281</v>
      </c>
      <c r="E587" t="s">
        <v>8</v>
      </c>
      <c r="F587" t="s">
        <v>10</v>
      </c>
      <c r="G587" s="16">
        <v>165.45</v>
      </c>
      <c r="H587" s="16">
        <v>190.26750000000001</v>
      </c>
      <c r="I587" s="1">
        <v>46174</v>
      </c>
      <c r="J587">
        <v>84</v>
      </c>
      <c r="K587" t="s">
        <v>3390</v>
      </c>
      <c r="L587" t="s">
        <v>3530</v>
      </c>
      <c r="M587">
        <v>9</v>
      </c>
      <c r="N587">
        <v>12</v>
      </c>
      <c r="O587" t="s">
        <v>1036</v>
      </c>
      <c r="P587" s="17"/>
      <c r="Q587" s="17" t="str">
        <f>_xlfn.XLOOKUP(Table2[[#This Row],[buyFromVendorNo]],'Next Day Scheduled'!A:A,'Pending Returns'!O:O,"NOT_FOUND")</f>
        <v>NOT_FOUND</v>
      </c>
    </row>
    <row r="588" spans="1:17" x14ac:dyDescent="0.3">
      <c r="A588" s="1">
        <v>46175</v>
      </c>
      <c r="B588" t="s">
        <v>2996</v>
      </c>
      <c r="C588" t="s">
        <v>1615</v>
      </c>
      <c r="D588" t="s">
        <v>1616</v>
      </c>
      <c r="E588" t="s">
        <v>8</v>
      </c>
      <c r="F588" t="s">
        <v>10</v>
      </c>
      <c r="G588" s="16">
        <v>12.92</v>
      </c>
      <c r="H588" s="16">
        <v>14.858000000000001</v>
      </c>
      <c r="I588" s="1">
        <v>46174</v>
      </c>
      <c r="J588">
        <v>84</v>
      </c>
      <c r="K588" t="s">
        <v>2997</v>
      </c>
      <c r="L588" t="s">
        <v>3513</v>
      </c>
      <c r="M588">
        <v>11</v>
      </c>
      <c r="N588">
        <v>5</v>
      </c>
      <c r="O588" t="s">
        <v>1036</v>
      </c>
      <c r="P588" s="17"/>
      <c r="Q588" s="17" t="str">
        <f>_xlfn.XLOOKUP(Table2[[#This Row],[buyFromVendorNo]],'Next Day Scheduled'!A:A,'Pending Returns'!O:O,"NOT_FOUND")</f>
        <v>NOT_FOUND</v>
      </c>
    </row>
    <row r="589" spans="1:17" x14ac:dyDescent="0.3">
      <c r="A589" s="1">
        <v>46175</v>
      </c>
      <c r="B589" t="s">
        <v>4472</v>
      </c>
      <c r="C589" t="s">
        <v>31</v>
      </c>
      <c r="D589" t="s">
        <v>32</v>
      </c>
      <c r="E589" t="s">
        <v>8</v>
      </c>
      <c r="F589" t="s">
        <v>10</v>
      </c>
      <c r="G589" s="16">
        <v>2224.0700000000002</v>
      </c>
      <c r="H589" s="16">
        <v>2557.6804000000002</v>
      </c>
      <c r="I589" s="1">
        <v>46175</v>
      </c>
      <c r="J589">
        <v>84</v>
      </c>
      <c r="K589" t="s">
        <v>3654</v>
      </c>
      <c r="L589" t="s">
        <v>5178</v>
      </c>
      <c r="M589">
        <v>16</v>
      </c>
      <c r="N589">
        <v>3</v>
      </c>
      <c r="O589" t="s">
        <v>223</v>
      </c>
      <c r="P589" s="17"/>
      <c r="Q589" s="17" t="str">
        <f>_xlfn.XLOOKUP(Table2[[#This Row],[buyFromVendorNo]],'Next Day Scheduled'!A:A,'Pending Returns'!O:O,"NOT_FOUND")</f>
        <v>NOT_FOUND</v>
      </c>
    </row>
    <row r="590" spans="1:17" x14ac:dyDescent="0.3">
      <c r="A590" s="1">
        <v>46175</v>
      </c>
      <c r="B590" t="s">
        <v>2641</v>
      </c>
      <c r="C590" t="s">
        <v>778</v>
      </c>
      <c r="D590" t="s">
        <v>779</v>
      </c>
      <c r="E590" t="s">
        <v>8</v>
      </c>
      <c r="F590" t="s">
        <v>10</v>
      </c>
      <c r="G590" s="16">
        <v>2348.0164</v>
      </c>
      <c r="H590" s="16">
        <v>2700.2188000000001</v>
      </c>
      <c r="I590" s="1">
        <v>46174</v>
      </c>
      <c r="J590">
        <v>84</v>
      </c>
      <c r="K590" t="s">
        <v>2642</v>
      </c>
      <c r="L590" t="s">
        <v>3590</v>
      </c>
      <c r="M590">
        <v>12</v>
      </c>
      <c r="N590">
        <v>7</v>
      </c>
      <c r="O590" t="s">
        <v>1036</v>
      </c>
      <c r="P590" s="17"/>
      <c r="Q590" s="17" t="str">
        <f>_xlfn.XLOOKUP(Table2[[#This Row],[buyFromVendorNo]],'Next Day Scheduled'!A:A,'Pending Returns'!O:O,"NOT_FOUND")</f>
        <v>Posted Credit Note</v>
      </c>
    </row>
    <row r="591" spans="1:17" x14ac:dyDescent="0.3">
      <c r="A591" s="1">
        <v>46175</v>
      </c>
      <c r="B591" t="s">
        <v>2619</v>
      </c>
      <c r="C591" t="s">
        <v>635</v>
      </c>
      <c r="D591" t="s">
        <v>636</v>
      </c>
      <c r="E591" t="s">
        <v>8</v>
      </c>
      <c r="F591" t="s">
        <v>10</v>
      </c>
      <c r="G591" s="16">
        <v>906.50009999999997</v>
      </c>
      <c r="H591" s="16">
        <v>1042.4752000000001</v>
      </c>
      <c r="I591" s="1">
        <v>46174</v>
      </c>
      <c r="J591">
        <v>84</v>
      </c>
      <c r="K591" t="s">
        <v>2620</v>
      </c>
      <c r="L591" t="s">
        <v>3535</v>
      </c>
      <c r="M591">
        <v>11</v>
      </c>
      <c r="N591">
        <v>2</v>
      </c>
      <c r="O591" t="s">
        <v>1036</v>
      </c>
      <c r="P591" s="17"/>
      <c r="Q591" s="17" t="str">
        <f>_xlfn.XLOOKUP(Table2[[#This Row],[buyFromVendorNo]],'Next Day Scheduled'!A:A,'Pending Returns'!O:O,"NOT_FOUND")</f>
        <v>NOT_FOUND</v>
      </c>
    </row>
    <row r="592" spans="1:17" x14ac:dyDescent="0.3">
      <c r="A592" s="1">
        <v>46175</v>
      </c>
      <c r="B592" t="s">
        <v>2163</v>
      </c>
      <c r="C592" t="s">
        <v>423</v>
      </c>
      <c r="D592" t="s">
        <v>424</v>
      </c>
      <c r="E592" t="s">
        <v>8</v>
      </c>
      <c r="F592" t="s">
        <v>10</v>
      </c>
      <c r="G592" s="16">
        <v>4058.8</v>
      </c>
      <c r="H592" s="16">
        <v>4667.62</v>
      </c>
      <c r="I592" s="1">
        <v>46165</v>
      </c>
      <c r="J592">
        <v>84</v>
      </c>
      <c r="K592" t="s">
        <v>2164</v>
      </c>
      <c r="L592" t="s">
        <v>3553</v>
      </c>
      <c r="M592">
        <v>14</v>
      </c>
      <c r="N592">
        <v>3</v>
      </c>
      <c r="O592" t="s">
        <v>1036</v>
      </c>
      <c r="P592" s="17"/>
      <c r="Q592" s="17" t="str">
        <f>_xlfn.XLOOKUP(Table2[[#This Row],[buyFromVendorNo]],'Next Day Scheduled'!A:A,'Pending Returns'!O:O,"NOT_FOUND")</f>
        <v>NOT_FOUND</v>
      </c>
    </row>
    <row r="593" spans="1:17" x14ac:dyDescent="0.3">
      <c r="A593" s="1">
        <v>46175</v>
      </c>
      <c r="B593" t="s">
        <v>1741</v>
      </c>
      <c r="C593" t="s">
        <v>175</v>
      </c>
      <c r="D593" t="s">
        <v>176</v>
      </c>
      <c r="E593" t="s">
        <v>8</v>
      </c>
      <c r="F593" t="s">
        <v>10</v>
      </c>
      <c r="G593" s="16">
        <v>286</v>
      </c>
      <c r="H593" s="16">
        <v>328.9</v>
      </c>
      <c r="I593" s="1">
        <v>46174</v>
      </c>
      <c r="J593">
        <v>84</v>
      </c>
      <c r="K593" t="s">
        <v>1015</v>
      </c>
      <c r="L593" t="s">
        <v>3554</v>
      </c>
      <c r="M593">
        <v>11</v>
      </c>
      <c r="N593">
        <v>6</v>
      </c>
      <c r="O593" t="s">
        <v>1036</v>
      </c>
      <c r="P593" s="17"/>
      <c r="Q593" s="17" t="str">
        <f>_xlfn.XLOOKUP(Table2[[#This Row],[buyFromVendorNo]],'Next Day Scheduled'!A:A,'Pending Returns'!O:O,"NOT_FOUND")</f>
        <v>Posted Credit Note</v>
      </c>
    </row>
    <row r="594" spans="1:17" x14ac:dyDescent="0.3">
      <c r="A594" s="1">
        <v>46175</v>
      </c>
      <c r="B594" t="s">
        <v>1844</v>
      </c>
      <c r="C594" t="s">
        <v>1024</v>
      </c>
      <c r="D594" t="s">
        <v>1025</v>
      </c>
      <c r="E594" t="s">
        <v>8</v>
      </c>
      <c r="F594" t="s">
        <v>10</v>
      </c>
      <c r="G594" s="16">
        <v>2521.46</v>
      </c>
      <c r="H594" s="16">
        <v>2899.6790000000001</v>
      </c>
      <c r="I594" s="1">
        <v>46163</v>
      </c>
      <c r="J594">
        <v>84</v>
      </c>
      <c r="K594" t="s">
        <v>1933</v>
      </c>
      <c r="L594" t="s">
        <v>3536</v>
      </c>
      <c r="M594">
        <v>11</v>
      </c>
      <c r="N594">
        <v>5</v>
      </c>
      <c r="O594" t="s">
        <v>1036</v>
      </c>
      <c r="P594" s="17"/>
      <c r="Q594" s="17" t="str">
        <f>_xlfn.XLOOKUP(Table2[[#This Row],[buyFromVendorNo]],'Next Day Scheduled'!A:A,'Pending Returns'!O:O,"NOT_FOUND")</f>
        <v>NOT_FOUND</v>
      </c>
    </row>
    <row r="595" spans="1:17" x14ac:dyDescent="0.3">
      <c r="A595" s="1">
        <v>46175</v>
      </c>
      <c r="B595" t="s">
        <v>2837</v>
      </c>
      <c r="C595" t="s">
        <v>31</v>
      </c>
      <c r="D595" t="s">
        <v>32</v>
      </c>
      <c r="E595" t="s">
        <v>8</v>
      </c>
      <c r="F595" t="s">
        <v>10</v>
      </c>
      <c r="G595" s="16">
        <v>2086.0500000000002</v>
      </c>
      <c r="H595" s="16">
        <v>2394.3015</v>
      </c>
      <c r="I595" s="1">
        <v>46175</v>
      </c>
      <c r="J595">
        <v>84</v>
      </c>
      <c r="K595" t="s">
        <v>2838</v>
      </c>
      <c r="L595" t="s">
        <v>3538</v>
      </c>
      <c r="M595">
        <v>16</v>
      </c>
      <c r="N595">
        <v>3</v>
      </c>
      <c r="O595" t="s">
        <v>223</v>
      </c>
      <c r="P595" s="17"/>
      <c r="Q595" s="17" t="str">
        <f>_xlfn.XLOOKUP(Table2[[#This Row],[buyFromVendorNo]],'Next Day Scheduled'!A:A,'Pending Returns'!O:O,"NOT_FOUND")</f>
        <v>NOT_FOUND</v>
      </c>
    </row>
    <row r="596" spans="1:17" x14ac:dyDescent="0.3">
      <c r="A596" s="1">
        <v>46175</v>
      </c>
      <c r="B596" t="s">
        <v>2623</v>
      </c>
      <c r="C596" t="s">
        <v>2371</v>
      </c>
      <c r="D596" t="s">
        <v>2372</v>
      </c>
      <c r="E596" t="s">
        <v>8</v>
      </c>
      <c r="F596" t="s">
        <v>10</v>
      </c>
      <c r="G596" s="16">
        <v>3102.53</v>
      </c>
      <c r="H596" s="16">
        <v>3567.9094</v>
      </c>
      <c r="I596" s="1">
        <v>46174</v>
      </c>
      <c r="J596">
        <v>84</v>
      </c>
      <c r="K596" t="s">
        <v>2624</v>
      </c>
      <c r="L596" t="s">
        <v>3508</v>
      </c>
      <c r="M596">
        <v>7</v>
      </c>
      <c r="N596">
        <v>9</v>
      </c>
      <c r="O596" t="s">
        <v>1036</v>
      </c>
      <c r="P596" s="17"/>
      <c r="Q596" s="17" t="str">
        <f>_xlfn.XLOOKUP(Table2[[#This Row],[buyFromVendorNo]],'Next Day Scheduled'!A:A,'Pending Returns'!O:O,"NOT_FOUND")</f>
        <v>NOT_FOUND</v>
      </c>
    </row>
    <row r="597" spans="1:17" x14ac:dyDescent="0.3">
      <c r="A597" s="1">
        <v>46175</v>
      </c>
      <c r="B597" t="s">
        <v>257</v>
      </c>
      <c r="C597" t="s">
        <v>621</v>
      </c>
      <c r="D597" t="s">
        <v>622</v>
      </c>
      <c r="E597" t="s">
        <v>8</v>
      </c>
      <c r="F597" t="s">
        <v>10</v>
      </c>
      <c r="G597" s="16">
        <v>720.42420000000004</v>
      </c>
      <c r="H597" s="16">
        <v>828.48784999999998</v>
      </c>
      <c r="I597" s="1">
        <v>46174</v>
      </c>
      <c r="J597">
        <v>84</v>
      </c>
      <c r="K597" t="s">
        <v>2946</v>
      </c>
      <c r="L597" t="s">
        <v>3568</v>
      </c>
      <c r="M597">
        <v>11</v>
      </c>
      <c r="N597">
        <v>3</v>
      </c>
      <c r="O597" t="s">
        <v>1036</v>
      </c>
      <c r="P597" s="17"/>
      <c r="Q597" s="17" t="str">
        <f>_xlfn.XLOOKUP(Table2[[#This Row],[buyFromVendorNo]],'Next Day Scheduled'!A:A,'Pending Returns'!O:O,"NOT_FOUND")</f>
        <v>NOT_FOUND</v>
      </c>
    </row>
    <row r="598" spans="1:17" x14ac:dyDescent="0.3">
      <c r="A598" s="1">
        <v>46175</v>
      </c>
      <c r="B598" t="s">
        <v>2457</v>
      </c>
      <c r="C598" t="s">
        <v>822</v>
      </c>
      <c r="D598" t="s">
        <v>823</v>
      </c>
      <c r="E598" t="s">
        <v>8</v>
      </c>
      <c r="F598" t="s">
        <v>10</v>
      </c>
      <c r="G598" s="16">
        <v>734.5</v>
      </c>
      <c r="H598" s="16">
        <v>844.67499999999995</v>
      </c>
      <c r="I598" s="1">
        <v>46174</v>
      </c>
      <c r="J598">
        <v>84</v>
      </c>
      <c r="K598" t="s">
        <v>3032</v>
      </c>
      <c r="L598" t="s">
        <v>3569</v>
      </c>
      <c r="M598">
        <v>4</v>
      </c>
      <c r="N598">
        <v>37</v>
      </c>
      <c r="O598" t="s">
        <v>1036</v>
      </c>
      <c r="P598" s="17"/>
      <c r="Q598" s="17" t="str">
        <f>_xlfn.XLOOKUP(Table2[[#This Row],[buyFromVendorNo]],'Next Day Scheduled'!A:A,'Pending Returns'!O:O,"NOT_FOUND")</f>
        <v>Pending for Collection</v>
      </c>
    </row>
    <row r="599" spans="1:17" x14ac:dyDescent="0.3">
      <c r="A599" s="1">
        <v>46175</v>
      </c>
      <c r="B599" t="s">
        <v>780</v>
      </c>
      <c r="C599" t="s">
        <v>1222</v>
      </c>
      <c r="D599" t="s">
        <v>1223</v>
      </c>
      <c r="E599" t="s">
        <v>8</v>
      </c>
      <c r="F599" t="s">
        <v>10</v>
      </c>
      <c r="G599" s="16">
        <v>177</v>
      </c>
      <c r="H599" s="16">
        <v>203.55</v>
      </c>
      <c r="I599" s="1">
        <v>46175</v>
      </c>
      <c r="J599">
        <v>84</v>
      </c>
      <c r="K599" t="s">
        <v>2991</v>
      </c>
      <c r="L599" t="s">
        <v>3570</v>
      </c>
      <c r="M599">
        <v>12</v>
      </c>
      <c r="N599">
        <v>3</v>
      </c>
      <c r="O599" t="s">
        <v>1036</v>
      </c>
      <c r="P599" s="17"/>
      <c r="Q599" s="17" t="str">
        <f>_xlfn.XLOOKUP(Table2[[#This Row],[buyFromVendorNo]],'Next Day Scheduled'!A:A,'Pending Returns'!O:O,"NOT_FOUND")</f>
        <v>NOT_FOUND</v>
      </c>
    </row>
    <row r="600" spans="1:17" x14ac:dyDescent="0.3">
      <c r="A600" s="1">
        <v>46175</v>
      </c>
      <c r="B600" t="s">
        <v>676</v>
      </c>
      <c r="C600" t="s">
        <v>75</v>
      </c>
      <c r="D600" t="s">
        <v>76</v>
      </c>
      <c r="E600" t="s">
        <v>8</v>
      </c>
      <c r="F600" t="s">
        <v>169</v>
      </c>
      <c r="G600" s="16">
        <v>8777.7129999999997</v>
      </c>
      <c r="H600" s="16">
        <v>10094.369000000001</v>
      </c>
      <c r="I600" s="1">
        <v>46162</v>
      </c>
      <c r="J600">
        <v>84</v>
      </c>
      <c r="K600" t="s">
        <v>2055</v>
      </c>
      <c r="L600" t="s">
        <v>3505</v>
      </c>
      <c r="M600">
        <v>10</v>
      </c>
      <c r="N600">
        <v>3</v>
      </c>
      <c r="O600" t="s">
        <v>1036</v>
      </c>
      <c r="P600" s="17"/>
      <c r="Q600" s="17" t="str">
        <f>_xlfn.XLOOKUP(Table2[[#This Row],[buyFromVendorNo]],'Next Day Scheduled'!A:A,'Pending Returns'!O:O,"NOT_FOUND")</f>
        <v>Posted Credit Note</v>
      </c>
    </row>
    <row r="601" spans="1:17" x14ac:dyDescent="0.3">
      <c r="A601" s="1">
        <v>46175</v>
      </c>
      <c r="B601" t="s">
        <v>333</v>
      </c>
      <c r="C601" t="s">
        <v>75</v>
      </c>
      <c r="D601" t="s">
        <v>76</v>
      </c>
      <c r="E601" t="s">
        <v>8</v>
      </c>
      <c r="F601" t="s">
        <v>10</v>
      </c>
      <c r="G601" s="16">
        <v>5837.6606000000002</v>
      </c>
      <c r="H601" s="16">
        <v>6713.3095999999996</v>
      </c>
      <c r="I601" s="1">
        <v>46158</v>
      </c>
      <c r="J601">
        <v>84</v>
      </c>
      <c r="K601" t="s">
        <v>455</v>
      </c>
      <c r="L601" t="s">
        <v>3507</v>
      </c>
      <c r="M601">
        <v>9</v>
      </c>
      <c r="N601">
        <v>5</v>
      </c>
      <c r="O601" t="s">
        <v>1036</v>
      </c>
      <c r="P601" s="17"/>
      <c r="Q601" s="17" t="str">
        <f>_xlfn.XLOOKUP(Table2[[#This Row],[buyFromVendorNo]],'Next Day Scheduled'!A:A,'Pending Returns'!O:O,"NOT_FOUND")</f>
        <v>Posted Credit Note</v>
      </c>
    </row>
    <row r="602" spans="1:17" x14ac:dyDescent="0.3">
      <c r="A602" s="1">
        <v>46175</v>
      </c>
      <c r="B602" t="s">
        <v>1712</v>
      </c>
      <c r="C602" t="s">
        <v>826</v>
      </c>
      <c r="D602" t="s">
        <v>827</v>
      </c>
      <c r="E602" t="s">
        <v>8</v>
      </c>
      <c r="F602" t="s">
        <v>10</v>
      </c>
      <c r="G602" s="16">
        <v>1816.9888000000001</v>
      </c>
      <c r="H602" s="16">
        <v>2089.5369999999998</v>
      </c>
      <c r="I602" s="1">
        <v>46167</v>
      </c>
      <c r="J602">
        <v>84</v>
      </c>
      <c r="K602" t="s">
        <v>1016</v>
      </c>
      <c r="L602" t="s">
        <v>3514</v>
      </c>
      <c r="M602">
        <v>10</v>
      </c>
      <c r="N602">
        <v>5</v>
      </c>
      <c r="O602" t="s">
        <v>1036</v>
      </c>
      <c r="P602" s="17"/>
      <c r="Q602" s="17" t="str">
        <f>_xlfn.XLOOKUP(Table2[[#This Row],[buyFromVendorNo]],'Next Day Scheduled'!A:A,'Pending Returns'!O:O,"NOT_FOUND")</f>
        <v>NOT_FOUND</v>
      </c>
    </row>
    <row r="603" spans="1:17" x14ac:dyDescent="0.3">
      <c r="A603" s="1">
        <v>46175</v>
      </c>
      <c r="B603" t="s">
        <v>1790</v>
      </c>
      <c r="C603" t="s">
        <v>31</v>
      </c>
      <c r="D603" t="s">
        <v>32</v>
      </c>
      <c r="E603" t="s">
        <v>8</v>
      </c>
      <c r="F603" t="s">
        <v>10</v>
      </c>
      <c r="G603" s="16">
        <v>2202.8200000000002</v>
      </c>
      <c r="H603" s="16">
        <v>2530.174</v>
      </c>
      <c r="I603" s="1">
        <v>46175</v>
      </c>
      <c r="J603">
        <v>84</v>
      </c>
      <c r="K603" t="s">
        <v>1759</v>
      </c>
      <c r="L603" t="s">
        <v>3595</v>
      </c>
      <c r="M603">
        <v>16</v>
      </c>
      <c r="N603">
        <v>3</v>
      </c>
      <c r="O603" t="s">
        <v>223</v>
      </c>
      <c r="P603" s="17"/>
      <c r="Q603" s="17" t="str">
        <f>_xlfn.XLOOKUP(Table2[[#This Row],[buyFromVendorNo]],'Next Day Scheduled'!A:A,'Pending Returns'!O:O,"NOT_FOUND")</f>
        <v>NOT_FOUND</v>
      </c>
    </row>
    <row r="604" spans="1:17" x14ac:dyDescent="0.3">
      <c r="A604" s="1">
        <v>46176</v>
      </c>
      <c r="B604" t="s">
        <v>2630</v>
      </c>
      <c r="C604" t="s">
        <v>146</v>
      </c>
      <c r="D604" t="s">
        <v>147</v>
      </c>
      <c r="E604" t="s">
        <v>8</v>
      </c>
      <c r="F604" t="s">
        <v>10</v>
      </c>
      <c r="G604" s="16">
        <v>3565.66</v>
      </c>
      <c r="H604" s="16">
        <v>4100.509</v>
      </c>
      <c r="I604" s="1">
        <v>46174</v>
      </c>
      <c r="J604">
        <v>83</v>
      </c>
      <c r="K604" t="s">
        <v>2631</v>
      </c>
      <c r="L604" t="s">
        <v>3708</v>
      </c>
      <c r="M604">
        <v>12</v>
      </c>
      <c r="N604">
        <v>2</v>
      </c>
      <c r="O604" t="s">
        <v>1036</v>
      </c>
      <c r="P604" s="17"/>
      <c r="Q604" s="17" t="str">
        <f>_xlfn.XLOOKUP(Table2[[#This Row],[buyFromVendorNo]],'Next Day Scheduled'!A:A,'Pending Returns'!O:O,"NOT_FOUND")</f>
        <v>NOT_FOUND</v>
      </c>
    </row>
    <row r="605" spans="1:17" x14ac:dyDescent="0.3">
      <c r="A605" s="1">
        <v>46176</v>
      </c>
      <c r="B605" t="s">
        <v>2843</v>
      </c>
      <c r="C605" t="s">
        <v>2262</v>
      </c>
      <c r="D605" t="s">
        <v>2470</v>
      </c>
      <c r="E605" t="s">
        <v>8</v>
      </c>
      <c r="F605" t="s">
        <v>10</v>
      </c>
      <c r="G605" s="16">
        <v>203.99799999999999</v>
      </c>
      <c r="H605" s="16">
        <v>234.5977</v>
      </c>
      <c r="I605" s="1">
        <v>46175</v>
      </c>
      <c r="J605">
        <v>83</v>
      </c>
      <c r="K605" t="s">
        <v>2844</v>
      </c>
      <c r="L605" t="s">
        <v>3711</v>
      </c>
      <c r="M605">
        <v>11</v>
      </c>
      <c r="N605">
        <v>6</v>
      </c>
      <c r="O605" t="s">
        <v>1036</v>
      </c>
      <c r="P605" s="17"/>
      <c r="Q605" s="17" t="str">
        <f>_xlfn.XLOOKUP(Table2[[#This Row],[buyFromVendorNo]],'Next Day Scheduled'!A:A,'Pending Returns'!O:O,"NOT_FOUND")</f>
        <v>NOT_FOUND</v>
      </c>
    </row>
    <row r="606" spans="1:17" x14ac:dyDescent="0.3">
      <c r="A606" s="1">
        <v>46176</v>
      </c>
      <c r="B606" t="s">
        <v>257</v>
      </c>
      <c r="C606" t="s">
        <v>580</v>
      </c>
      <c r="D606" t="s">
        <v>581</v>
      </c>
      <c r="E606" t="s">
        <v>8</v>
      </c>
      <c r="F606" t="s">
        <v>10</v>
      </c>
      <c r="G606" s="16">
        <v>8416.65</v>
      </c>
      <c r="H606" s="16">
        <v>9679.1470000000008</v>
      </c>
      <c r="I606" s="1">
        <v>46159</v>
      </c>
      <c r="J606">
        <v>83</v>
      </c>
      <c r="K606" t="s">
        <v>1920</v>
      </c>
      <c r="L606" t="s">
        <v>3738</v>
      </c>
      <c r="M606">
        <v>8</v>
      </c>
      <c r="N606">
        <v>3</v>
      </c>
      <c r="O606" t="s">
        <v>1036</v>
      </c>
      <c r="P606" s="17"/>
      <c r="Q606" s="17" t="str">
        <f>_xlfn.XLOOKUP(Table2[[#This Row],[buyFromVendorNo]],'Next Day Scheduled'!A:A,'Pending Returns'!O:O,"NOT_FOUND")</f>
        <v>NOT_FOUND</v>
      </c>
    </row>
    <row r="607" spans="1:17" x14ac:dyDescent="0.3">
      <c r="A607" s="1">
        <v>46176</v>
      </c>
      <c r="B607" t="s">
        <v>3291</v>
      </c>
      <c r="C607" t="s">
        <v>817</v>
      </c>
      <c r="D607" t="s">
        <v>818</v>
      </c>
      <c r="E607" t="s">
        <v>8</v>
      </c>
      <c r="F607" t="s">
        <v>10</v>
      </c>
      <c r="G607" s="16">
        <v>42.32</v>
      </c>
      <c r="H607" s="16">
        <v>48.667999999999999</v>
      </c>
      <c r="I607" s="1">
        <v>46174</v>
      </c>
      <c r="J607">
        <v>83</v>
      </c>
      <c r="K607" t="s">
        <v>3077</v>
      </c>
      <c r="L607" t="s">
        <v>3718</v>
      </c>
      <c r="M607">
        <v>12</v>
      </c>
      <c r="N607">
        <v>5</v>
      </c>
      <c r="O607" t="s">
        <v>1036</v>
      </c>
      <c r="P607" s="17"/>
      <c r="Q607" s="17" t="str">
        <f>_xlfn.XLOOKUP(Table2[[#This Row],[buyFromVendorNo]],'Next Day Scheduled'!A:A,'Pending Returns'!O:O,"NOT_FOUND")</f>
        <v>NOT_FOUND</v>
      </c>
    </row>
    <row r="608" spans="1:17" x14ac:dyDescent="0.3">
      <c r="A608" s="1">
        <v>46176</v>
      </c>
      <c r="B608" t="s">
        <v>1875</v>
      </c>
      <c r="C608" t="s">
        <v>562</v>
      </c>
      <c r="D608" t="s">
        <v>563</v>
      </c>
      <c r="E608" t="s">
        <v>8</v>
      </c>
      <c r="F608" t="s">
        <v>38</v>
      </c>
      <c r="G608" s="16">
        <v>1007.92175</v>
      </c>
      <c r="H608" s="16">
        <v>1159.1099999999999</v>
      </c>
      <c r="I608" s="1">
        <v>46176</v>
      </c>
      <c r="J608">
        <v>83</v>
      </c>
      <c r="K608" t="s">
        <v>1857</v>
      </c>
      <c r="L608" t="s">
        <v>3730</v>
      </c>
      <c r="M608">
        <v>35</v>
      </c>
      <c r="N608">
        <v>23</v>
      </c>
      <c r="O608" t="s">
        <v>1036</v>
      </c>
      <c r="P608" s="17"/>
      <c r="Q608" s="17" t="str">
        <f>_xlfn.XLOOKUP(Table2[[#This Row],[buyFromVendorNo]],'Next Day Scheduled'!A:A,'Pending Returns'!O:O,"NOT_FOUND")</f>
        <v>NOT_FOUND</v>
      </c>
    </row>
    <row r="609" spans="1:17" x14ac:dyDescent="0.3">
      <c r="A609" s="1">
        <v>46176</v>
      </c>
      <c r="B609" t="s">
        <v>7465</v>
      </c>
      <c r="C609" t="s">
        <v>854</v>
      </c>
      <c r="D609" t="s">
        <v>855</v>
      </c>
      <c r="E609" t="s">
        <v>8</v>
      </c>
      <c r="F609" t="s">
        <v>10</v>
      </c>
      <c r="G609" s="16">
        <v>623.27480000000003</v>
      </c>
      <c r="H609" s="16">
        <v>653.15593999999999</v>
      </c>
      <c r="J609">
        <v>83</v>
      </c>
      <c r="K609" t="s">
        <v>3661</v>
      </c>
      <c r="M609">
        <v>16</v>
      </c>
      <c r="N609">
        <v>6</v>
      </c>
      <c r="O609" t="s">
        <v>216</v>
      </c>
      <c r="P609" s="17"/>
      <c r="Q609" s="17" t="str">
        <f>_xlfn.XLOOKUP(Table2[[#This Row],[buyFromVendorNo]],'Next Day Scheduled'!A:A,'Pending Returns'!O:O,"NOT_FOUND")</f>
        <v>Posted Credit Note</v>
      </c>
    </row>
    <row r="610" spans="1:17" x14ac:dyDescent="0.3">
      <c r="A610" s="1">
        <v>46176</v>
      </c>
      <c r="B610" t="s">
        <v>2536</v>
      </c>
      <c r="C610" t="s">
        <v>2294</v>
      </c>
      <c r="D610" t="s">
        <v>2295</v>
      </c>
      <c r="E610" t="s">
        <v>8</v>
      </c>
      <c r="F610" t="s">
        <v>10</v>
      </c>
      <c r="G610" s="16">
        <v>2978.8</v>
      </c>
      <c r="H610" s="16">
        <v>3425.62</v>
      </c>
      <c r="I610" s="1">
        <v>46174</v>
      </c>
      <c r="J610">
        <v>83</v>
      </c>
      <c r="K610" t="s">
        <v>2483</v>
      </c>
      <c r="L610" t="s">
        <v>3724</v>
      </c>
      <c r="M610">
        <v>10</v>
      </c>
      <c r="N610">
        <v>14</v>
      </c>
      <c r="O610" t="s">
        <v>1036</v>
      </c>
      <c r="P610" s="17"/>
      <c r="Q610" s="17" t="str">
        <f>_xlfn.XLOOKUP(Table2[[#This Row],[buyFromVendorNo]],'Next Day Scheduled'!A:A,'Pending Returns'!O:O,"NOT_FOUND")</f>
        <v>NOT_FOUND</v>
      </c>
    </row>
    <row r="611" spans="1:17" x14ac:dyDescent="0.3">
      <c r="A611" s="1">
        <v>46176</v>
      </c>
      <c r="B611" t="s">
        <v>2569</v>
      </c>
      <c r="C611" t="s">
        <v>875</v>
      </c>
      <c r="D611" t="s">
        <v>876</v>
      </c>
      <c r="E611" t="s">
        <v>8</v>
      </c>
      <c r="F611" t="s">
        <v>38</v>
      </c>
      <c r="G611" s="16">
        <v>756.87599999999998</v>
      </c>
      <c r="H611" s="16">
        <v>870.40740000000005</v>
      </c>
      <c r="I611" s="1">
        <v>46176</v>
      </c>
      <c r="J611">
        <v>83</v>
      </c>
      <c r="K611" t="s">
        <v>2570</v>
      </c>
      <c r="L611" t="s">
        <v>3713</v>
      </c>
      <c r="M611">
        <v>8</v>
      </c>
      <c r="N611">
        <v>14</v>
      </c>
      <c r="O611" t="s">
        <v>1036</v>
      </c>
      <c r="P611" s="17"/>
      <c r="Q611" s="17" t="str">
        <f>_xlfn.XLOOKUP(Table2[[#This Row],[buyFromVendorNo]],'Next Day Scheduled'!A:A,'Pending Returns'!O:O,"NOT_FOUND")</f>
        <v>NOT_FOUND</v>
      </c>
    </row>
    <row r="612" spans="1:17" x14ac:dyDescent="0.3">
      <c r="A612" s="1">
        <v>46176</v>
      </c>
      <c r="B612" t="s">
        <v>2877</v>
      </c>
      <c r="C612" t="s">
        <v>2285</v>
      </c>
      <c r="D612" t="s">
        <v>2286</v>
      </c>
      <c r="E612" t="s">
        <v>8</v>
      </c>
      <c r="F612" t="s">
        <v>10</v>
      </c>
      <c r="G612" s="16">
        <v>5548.7</v>
      </c>
      <c r="H612" s="16">
        <v>6381.0050000000001</v>
      </c>
      <c r="I612" s="1">
        <v>46175</v>
      </c>
      <c r="J612">
        <v>83</v>
      </c>
      <c r="K612" t="s">
        <v>2878</v>
      </c>
      <c r="L612" t="s">
        <v>3714</v>
      </c>
      <c r="M612">
        <v>13</v>
      </c>
      <c r="N612">
        <v>6</v>
      </c>
      <c r="O612" t="s">
        <v>1036</v>
      </c>
      <c r="P612" s="17"/>
      <c r="Q612" s="17" t="str">
        <f>_xlfn.XLOOKUP(Table2[[#This Row],[buyFromVendorNo]],'Next Day Scheduled'!A:A,'Pending Returns'!O:O,"NOT_FOUND")</f>
        <v>Posted Credit Note</v>
      </c>
    </row>
    <row r="613" spans="1:17" x14ac:dyDescent="0.3">
      <c r="A613" s="1">
        <v>46176</v>
      </c>
      <c r="B613" t="s">
        <v>3419</v>
      </c>
      <c r="C613" t="s">
        <v>3224</v>
      </c>
      <c r="D613" t="s">
        <v>3225</v>
      </c>
      <c r="E613" t="s">
        <v>8</v>
      </c>
      <c r="F613" t="s">
        <v>10</v>
      </c>
      <c r="G613" s="16">
        <v>1096</v>
      </c>
      <c r="H613" s="16">
        <v>1260.4000000000001</v>
      </c>
      <c r="I613" s="1">
        <v>46175</v>
      </c>
      <c r="J613">
        <v>83</v>
      </c>
      <c r="K613" t="s">
        <v>3223</v>
      </c>
      <c r="L613" t="s">
        <v>3727</v>
      </c>
      <c r="M613">
        <v>9</v>
      </c>
      <c r="N613">
        <v>5</v>
      </c>
      <c r="O613" t="s">
        <v>1036</v>
      </c>
      <c r="P613" s="17"/>
      <c r="Q613" s="17" t="str">
        <f>_xlfn.XLOOKUP(Table2[[#This Row],[buyFromVendorNo]],'Next Day Scheduled'!A:A,'Pending Returns'!O:O,"NOT_FOUND")</f>
        <v>NOT_FOUND</v>
      </c>
    </row>
    <row r="614" spans="1:17" x14ac:dyDescent="0.3">
      <c r="A614" s="1">
        <v>46176</v>
      </c>
      <c r="B614" t="s">
        <v>2209</v>
      </c>
      <c r="C614" t="s">
        <v>199</v>
      </c>
      <c r="D614" t="s">
        <v>200</v>
      </c>
      <c r="E614" t="s">
        <v>8</v>
      </c>
      <c r="F614" t="s">
        <v>10</v>
      </c>
      <c r="G614" s="16">
        <v>552.1</v>
      </c>
      <c r="H614" s="16">
        <v>634.91499999999996</v>
      </c>
      <c r="I614" s="1">
        <v>46167</v>
      </c>
      <c r="J614">
        <v>83</v>
      </c>
      <c r="K614" t="s">
        <v>2183</v>
      </c>
      <c r="L614" t="s">
        <v>3736</v>
      </c>
      <c r="M614">
        <v>11</v>
      </c>
      <c r="N614">
        <v>6</v>
      </c>
      <c r="O614" t="s">
        <v>1036</v>
      </c>
      <c r="P614" s="17"/>
      <c r="Q614" s="17" t="str">
        <f>_xlfn.XLOOKUP(Table2[[#This Row],[buyFromVendorNo]],'Next Day Scheduled'!A:A,'Pending Returns'!O:O,"NOT_FOUND")</f>
        <v>NOT_FOUND</v>
      </c>
    </row>
    <row r="615" spans="1:17" x14ac:dyDescent="0.3">
      <c r="A615" s="1">
        <v>46176</v>
      </c>
      <c r="B615" t="s">
        <v>3286</v>
      </c>
      <c r="C615" t="s">
        <v>1018</v>
      </c>
      <c r="D615" t="s">
        <v>1019</v>
      </c>
      <c r="E615" t="s">
        <v>8</v>
      </c>
      <c r="F615" t="s">
        <v>10</v>
      </c>
      <c r="G615" s="16">
        <v>109.44627</v>
      </c>
      <c r="H615" s="16">
        <v>125.86320000000001</v>
      </c>
      <c r="I615" s="1">
        <v>46176</v>
      </c>
      <c r="J615">
        <v>83</v>
      </c>
      <c r="K615" t="s">
        <v>3123</v>
      </c>
      <c r="L615" t="s">
        <v>3729</v>
      </c>
      <c r="M615">
        <v>12</v>
      </c>
      <c r="N615">
        <v>3</v>
      </c>
      <c r="O615" t="s">
        <v>1036</v>
      </c>
      <c r="P615" s="17"/>
      <c r="Q615" s="17" t="str">
        <f>_xlfn.XLOOKUP(Table2[[#This Row],[buyFromVendorNo]],'Next Day Scheduled'!A:A,'Pending Returns'!O:O,"NOT_FOUND")</f>
        <v>NOT_FOUND</v>
      </c>
    </row>
    <row r="616" spans="1:17" x14ac:dyDescent="0.3">
      <c r="A616" s="1">
        <v>46176</v>
      </c>
      <c r="B616" t="s">
        <v>2531</v>
      </c>
      <c r="C616" t="s">
        <v>2285</v>
      </c>
      <c r="D616" t="s">
        <v>2286</v>
      </c>
      <c r="E616" t="s">
        <v>8</v>
      </c>
      <c r="F616" t="s">
        <v>10</v>
      </c>
      <c r="G616" s="16">
        <v>9461.4</v>
      </c>
      <c r="H616" s="16">
        <v>10880.61</v>
      </c>
      <c r="I616" s="1">
        <v>46175</v>
      </c>
      <c r="J616">
        <v>83</v>
      </c>
      <c r="K616" t="s">
        <v>2496</v>
      </c>
      <c r="L616" t="s">
        <v>3749</v>
      </c>
      <c r="M616">
        <v>13</v>
      </c>
      <c r="N616">
        <v>6</v>
      </c>
      <c r="O616" t="s">
        <v>1036</v>
      </c>
      <c r="P616" s="17"/>
      <c r="Q616" s="17" t="str">
        <f>_xlfn.XLOOKUP(Table2[[#This Row],[buyFromVendorNo]],'Next Day Scheduled'!A:A,'Pending Returns'!O:O,"NOT_FOUND")</f>
        <v>Posted Credit Note</v>
      </c>
    </row>
    <row r="617" spans="1:17" x14ac:dyDescent="0.3">
      <c r="A617" s="1">
        <v>46176</v>
      </c>
      <c r="B617" t="s">
        <v>2887</v>
      </c>
      <c r="C617" t="s">
        <v>2294</v>
      </c>
      <c r="D617" t="s">
        <v>2295</v>
      </c>
      <c r="E617" t="s">
        <v>8</v>
      </c>
      <c r="F617" t="s">
        <v>10</v>
      </c>
      <c r="G617" s="16">
        <v>4218.8310000000001</v>
      </c>
      <c r="H617" s="16">
        <v>4851.6559999999999</v>
      </c>
      <c r="I617" s="1">
        <v>46174</v>
      </c>
      <c r="J617">
        <v>83</v>
      </c>
      <c r="K617" t="s">
        <v>2888</v>
      </c>
      <c r="L617" t="s">
        <v>3751</v>
      </c>
      <c r="M617">
        <v>10</v>
      </c>
      <c r="N617">
        <v>14</v>
      </c>
      <c r="O617" t="s">
        <v>1036</v>
      </c>
      <c r="P617" s="17"/>
      <c r="Q617" s="17" t="str">
        <f>_xlfn.XLOOKUP(Table2[[#This Row],[buyFromVendorNo]],'Next Day Scheduled'!A:A,'Pending Returns'!O:O,"NOT_FOUND")</f>
        <v>NOT_FOUND</v>
      </c>
    </row>
    <row r="618" spans="1:17" x14ac:dyDescent="0.3">
      <c r="A618" s="1">
        <v>46176</v>
      </c>
      <c r="B618" t="s">
        <v>3405</v>
      </c>
      <c r="C618" t="s">
        <v>1915</v>
      </c>
      <c r="D618" t="s">
        <v>3229</v>
      </c>
      <c r="E618" t="s">
        <v>8</v>
      </c>
      <c r="F618" t="s">
        <v>10</v>
      </c>
      <c r="G618" s="16">
        <v>63.7</v>
      </c>
      <c r="H618" s="16">
        <v>73.254999999999995</v>
      </c>
      <c r="I618" s="1">
        <v>46176</v>
      </c>
      <c r="J618">
        <v>83</v>
      </c>
      <c r="K618" t="s">
        <v>3228</v>
      </c>
      <c r="L618" t="s">
        <v>3752</v>
      </c>
      <c r="M618">
        <v>12</v>
      </c>
      <c r="N618">
        <v>1</v>
      </c>
      <c r="O618" t="s">
        <v>1036</v>
      </c>
      <c r="P618" s="17"/>
      <c r="Q618" s="17" t="str">
        <f>_xlfn.XLOOKUP(Table2[[#This Row],[buyFromVendorNo]],'Next Day Scheduled'!A:A,'Pending Returns'!O:O,"NOT_FOUND")</f>
        <v>NOT_FOUND</v>
      </c>
    </row>
    <row r="619" spans="1:17" x14ac:dyDescent="0.3">
      <c r="A619" s="1">
        <v>46176</v>
      </c>
      <c r="B619" t="s">
        <v>2576</v>
      </c>
      <c r="C619" t="s">
        <v>802</v>
      </c>
      <c r="D619" t="s">
        <v>2331</v>
      </c>
      <c r="E619" t="s">
        <v>8</v>
      </c>
      <c r="F619" t="s">
        <v>38</v>
      </c>
      <c r="G619" s="16">
        <v>1376.06</v>
      </c>
      <c r="H619" s="16">
        <v>1582.4690000000001</v>
      </c>
      <c r="I619" s="1">
        <v>46176</v>
      </c>
      <c r="J619">
        <v>83</v>
      </c>
      <c r="K619" t="s">
        <v>2577</v>
      </c>
      <c r="L619" t="s">
        <v>3739</v>
      </c>
      <c r="M619">
        <v>10</v>
      </c>
      <c r="N619">
        <v>1</v>
      </c>
      <c r="O619" t="s">
        <v>1036</v>
      </c>
      <c r="P619" s="17"/>
      <c r="Q619" s="17" t="str">
        <f>_xlfn.XLOOKUP(Table2[[#This Row],[buyFromVendorNo]],'Next Day Scheduled'!A:A,'Pending Returns'!O:O,"NOT_FOUND")</f>
        <v>NOT_FOUND</v>
      </c>
    </row>
    <row r="620" spans="1:17" x14ac:dyDescent="0.3">
      <c r="A620" s="1">
        <v>46176</v>
      </c>
      <c r="B620" t="s">
        <v>250</v>
      </c>
      <c r="C620" t="s">
        <v>798</v>
      </c>
      <c r="D620" t="s">
        <v>799</v>
      </c>
      <c r="E620" t="s">
        <v>8</v>
      </c>
      <c r="F620" t="s">
        <v>10</v>
      </c>
      <c r="G620" s="16">
        <v>462</v>
      </c>
      <c r="H620" s="16">
        <v>531.29999999999995</v>
      </c>
      <c r="I620" s="1">
        <v>46176</v>
      </c>
      <c r="J620">
        <v>83</v>
      </c>
      <c r="K620" t="s">
        <v>2420</v>
      </c>
      <c r="L620" t="s">
        <v>3740</v>
      </c>
      <c r="M620">
        <v>10</v>
      </c>
      <c r="N620">
        <v>9</v>
      </c>
      <c r="O620" t="s">
        <v>1036</v>
      </c>
      <c r="P620" s="17"/>
      <c r="Q620" s="17" t="str">
        <f>_xlfn.XLOOKUP(Table2[[#This Row],[buyFromVendorNo]],'Next Day Scheduled'!A:A,'Pending Returns'!O:O,"NOT_FOUND")</f>
        <v>NOT_FOUND</v>
      </c>
    </row>
    <row r="621" spans="1:17" x14ac:dyDescent="0.3">
      <c r="A621" s="1">
        <v>46176</v>
      </c>
      <c r="B621" t="s">
        <v>2700</v>
      </c>
      <c r="C621" t="s">
        <v>310</v>
      </c>
      <c r="D621" t="s">
        <v>311</v>
      </c>
      <c r="E621" t="s">
        <v>8</v>
      </c>
      <c r="F621" t="s">
        <v>10</v>
      </c>
      <c r="G621" s="16">
        <v>266</v>
      </c>
      <c r="H621" s="16">
        <v>305.89999999999998</v>
      </c>
      <c r="I621" s="1">
        <v>46174</v>
      </c>
      <c r="J621">
        <v>83</v>
      </c>
      <c r="K621" t="s">
        <v>2701</v>
      </c>
      <c r="L621" t="s">
        <v>3741</v>
      </c>
      <c r="M621">
        <v>11</v>
      </c>
      <c r="N621">
        <v>2</v>
      </c>
      <c r="O621" t="s">
        <v>1036</v>
      </c>
      <c r="P621" s="17"/>
      <c r="Q621" s="17" t="str">
        <f>_xlfn.XLOOKUP(Table2[[#This Row],[buyFromVendorNo]],'Next Day Scheduled'!A:A,'Pending Returns'!O:O,"NOT_FOUND")</f>
        <v>NOT_FOUND</v>
      </c>
    </row>
    <row r="622" spans="1:17" x14ac:dyDescent="0.3">
      <c r="A622" s="1">
        <v>46176</v>
      </c>
      <c r="B622" t="s">
        <v>1927</v>
      </c>
      <c r="C622" t="s">
        <v>418</v>
      </c>
      <c r="D622" t="s">
        <v>419</v>
      </c>
      <c r="E622" t="s">
        <v>8</v>
      </c>
      <c r="F622" t="s">
        <v>169</v>
      </c>
      <c r="G622" s="16">
        <v>476.7</v>
      </c>
      <c r="H622" s="16">
        <v>548.20500000000004</v>
      </c>
      <c r="I622" s="1">
        <v>46159</v>
      </c>
      <c r="J622">
        <v>83</v>
      </c>
      <c r="K622" t="s">
        <v>1918</v>
      </c>
      <c r="L622" t="s">
        <v>3733</v>
      </c>
      <c r="M622">
        <v>11</v>
      </c>
      <c r="N622">
        <v>3</v>
      </c>
      <c r="O622" t="s">
        <v>1036</v>
      </c>
      <c r="P622" s="17"/>
      <c r="Q622" s="17" t="str">
        <f>_xlfn.XLOOKUP(Table2[[#This Row],[buyFromVendorNo]],'Next Day Scheduled'!A:A,'Pending Returns'!O:O,"NOT_FOUND")</f>
        <v>NOT_FOUND</v>
      </c>
    </row>
    <row r="623" spans="1:17" x14ac:dyDescent="0.3">
      <c r="A623" s="1">
        <v>46176</v>
      </c>
      <c r="B623" t="s">
        <v>3255</v>
      </c>
      <c r="C623" t="s">
        <v>146</v>
      </c>
      <c r="D623" t="s">
        <v>147</v>
      </c>
      <c r="E623" t="s">
        <v>8</v>
      </c>
      <c r="F623" t="s">
        <v>10</v>
      </c>
      <c r="G623" s="16">
        <v>814.3</v>
      </c>
      <c r="H623" s="16">
        <v>936.44500000000005</v>
      </c>
      <c r="I623" s="1">
        <v>46174</v>
      </c>
      <c r="J623">
        <v>83</v>
      </c>
      <c r="K623" t="s">
        <v>3144</v>
      </c>
      <c r="L623" t="s">
        <v>3732</v>
      </c>
      <c r="M623">
        <v>12</v>
      </c>
      <c r="N623">
        <v>2</v>
      </c>
      <c r="O623" t="s">
        <v>1036</v>
      </c>
      <c r="P623" s="17"/>
      <c r="Q623" s="17" t="str">
        <f>_xlfn.XLOOKUP(Table2[[#This Row],[buyFromVendorNo]],'Next Day Scheduled'!A:A,'Pending Returns'!O:O,"NOT_FOUND")</f>
        <v>NOT_FOUND</v>
      </c>
    </row>
    <row r="624" spans="1:17" x14ac:dyDescent="0.3">
      <c r="A624" s="1">
        <v>46176</v>
      </c>
      <c r="B624" t="s">
        <v>2387</v>
      </c>
      <c r="C624" t="s">
        <v>199</v>
      </c>
      <c r="D624" t="s">
        <v>200</v>
      </c>
      <c r="E624" t="s">
        <v>8</v>
      </c>
      <c r="F624" t="s">
        <v>10</v>
      </c>
      <c r="G624" s="16">
        <v>647.6</v>
      </c>
      <c r="H624" s="16">
        <v>744.74</v>
      </c>
      <c r="I624" s="1">
        <v>46167</v>
      </c>
      <c r="J624">
        <v>83</v>
      </c>
      <c r="K624" t="s">
        <v>2198</v>
      </c>
      <c r="L624" t="s">
        <v>3723</v>
      </c>
      <c r="M624">
        <v>11</v>
      </c>
      <c r="N624">
        <v>6</v>
      </c>
      <c r="O624" t="s">
        <v>1036</v>
      </c>
      <c r="P624" s="17"/>
      <c r="Q624" s="17" t="str">
        <f>_xlfn.XLOOKUP(Table2[[#This Row],[buyFromVendorNo]],'Next Day Scheduled'!A:A,'Pending Returns'!O:O,"NOT_FOUND")</f>
        <v>NOT_FOUND</v>
      </c>
    </row>
    <row r="625" spans="1:17" x14ac:dyDescent="0.3">
      <c r="A625" s="1">
        <v>46176</v>
      </c>
      <c r="B625" t="s">
        <v>2208</v>
      </c>
      <c r="C625" t="s">
        <v>561</v>
      </c>
      <c r="D625" t="s">
        <v>593</v>
      </c>
      <c r="E625" t="s">
        <v>8</v>
      </c>
      <c r="F625" t="s">
        <v>10</v>
      </c>
      <c r="G625" s="16">
        <v>2738.4</v>
      </c>
      <c r="H625" s="16">
        <v>3149.16</v>
      </c>
      <c r="I625" s="1">
        <v>46167</v>
      </c>
      <c r="J625">
        <v>83</v>
      </c>
      <c r="K625" t="s">
        <v>2145</v>
      </c>
      <c r="L625" t="s">
        <v>3745</v>
      </c>
      <c r="M625">
        <v>10</v>
      </c>
      <c r="N625">
        <v>6</v>
      </c>
      <c r="O625" t="s">
        <v>1036</v>
      </c>
      <c r="P625" s="17"/>
      <c r="Q625" s="17" t="str">
        <f>_xlfn.XLOOKUP(Table2[[#This Row],[buyFromVendorNo]],'Next Day Scheduled'!A:A,'Pending Returns'!O:O,"NOT_FOUND")</f>
        <v>NOT_FOUND</v>
      </c>
    </row>
    <row r="626" spans="1:17" x14ac:dyDescent="0.3">
      <c r="A626" s="1">
        <v>46176</v>
      </c>
      <c r="B626" t="s">
        <v>1328</v>
      </c>
      <c r="C626" t="s">
        <v>781</v>
      </c>
      <c r="D626" t="s">
        <v>782</v>
      </c>
      <c r="E626" t="s">
        <v>8</v>
      </c>
      <c r="F626" t="s">
        <v>10</v>
      </c>
      <c r="G626" s="16">
        <v>504</v>
      </c>
      <c r="H626" s="16">
        <v>579.6</v>
      </c>
      <c r="I626" s="1">
        <v>46174</v>
      </c>
      <c r="J626">
        <v>83</v>
      </c>
      <c r="K626" t="s">
        <v>3323</v>
      </c>
      <c r="L626" t="s">
        <v>3728</v>
      </c>
      <c r="M626">
        <v>13</v>
      </c>
      <c r="N626">
        <v>2</v>
      </c>
      <c r="O626" t="s">
        <v>1036</v>
      </c>
      <c r="P626" s="17"/>
      <c r="Q626" s="17" t="str">
        <f>_xlfn.XLOOKUP(Table2[[#This Row],[buyFromVendorNo]],'Next Day Scheduled'!A:A,'Pending Returns'!O:O,"NOT_FOUND")</f>
        <v>NOT_FOUND</v>
      </c>
    </row>
    <row r="627" spans="1:17" x14ac:dyDescent="0.3">
      <c r="A627" s="1">
        <v>46176</v>
      </c>
      <c r="B627" t="s">
        <v>2800</v>
      </c>
      <c r="C627" t="s">
        <v>781</v>
      </c>
      <c r="D627" t="s">
        <v>782</v>
      </c>
      <c r="E627" t="s">
        <v>8</v>
      </c>
      <c r="F627" t="s">
        <v>10</v>
      </c>
      <c r="G627" s="16">
        <v>7910.3</v>
      </c>
      <c r="H627" s="16">
        <v>9096.8449999999993</v>
      </c>
      <c r="I627" s="1">
        <v>46174</v>
      </c>
      <c r="J627">
        <v>83</v>
      </c>
      <c r="K627" t="s">
        <v>2801</v>
      </c>
      <c r="L627" t="s">
        <v>3750</v>
      </c>
      <c r="M627">
        <v>13</v>
      </c>
      <c r="N627">
        <v>2</v>
      </c>
      <c r="O627" t="s">
        <v>1036</v>
      </c>
      <c r="P627" s="17"/>
      <c r="Q627" s="17" t="str">
        <f>_xlfn.XLOOKUP(Table2[[#This Row],[buyFromVendorNo]],'Next Day Scheduled'!A:A,'Pending Returns'!O:O,"NOT_FOUND")</f>
        <v>NOT_FOUND</v>
      </c>
    </row>
    <row r="628" spans="1:17" x14ac:dyDescent="0.3">
      <c r="A628" s="1">
        <v>46176</v>
      </c>
      <c r="B628" t="s">
        <v>2853</v>
      </c>
      <c r="C628" t="s">
        <v>852</v>
      </c>
      <c r="D628" t="s">
        <v>853</v>
      </c>
      <c r="E628" t="s">
        <v>8</v>
      </c>
      <c r="F628" t="s">
        <v>10</v>
      </c>
      <c r="G628" s="16">
        <v>2979.8402999999998</v>
      </c>
      <c r="H628" s="16">
        <v>3426.8162000000002</v>
      </c>
      <c r="I628" s="1">
        <v>46174</v>
      </c>
      <c r="J628">
        <v>83</v>
      </c>
      <c r="K628" t="s">
        <v>2854</v>
      </c>
      <c r="L628" t="s">
        <v>3600</v>
      </c>
      <c r="M628">
        <v>2</v>
      </c>
      <c r="N628">
        <v>69</v>
      </c>
      <c r="O628" t="s">
        <v>1036</v>
      </c>
      <c r="P628" s="17"/>
      <c r="Q628" s="17" t="str">
        <f>_xlfn.XLOOKUP(Table2[[#This Row],[buyFromVendorNo]],'Next Day Scheduled'!A:A,'Pending Returns'!O:O,"NOT_FOUND")</f>
        <v>NOT_FOUND</v>
      </c>
    </row>
    <row r="629" spans="1:17" x14ac:dyDescent="0.3">
      <c r="A629" s="1">
        <v>46176</v>
      </c>
      <c r="B629" t="s">
        <v>2649</v>
      </c>
      <c r="C629" t="s">
        <v>817</v>
      </c>
      <c r="D629" t="s">
        <v>818</v>
      </c>
      <c r="E629" t="s">
        <v>8</v>
      </c>
      <c r="F629" t="s">
        <v>10</v>
      </c>
      <c r="G629" s="16">
        <v>557.02319999999997</v>
      </c>
      <c r="H629" s="16">
        <v>640.57669999999996</v>
      </c>
      <c r="I629" s="1">
        <v>46174</v>
      </c>
      <c r="J629">
        <v>83</v>
      </c>
      <c r="K629" t="s">
        <v>2650</v>
      </c>
      <c r="L629" t="s">
        <v>3712</v>
      </c>
      <c r="M629">
        <v>12</v>
      </c>
      <c r="N629">
        <v>5</v>
      </c>
      <c r="O629" t="s">
        <v>1036</v>
      </c>
      <c r="P629" s="17"/>
      <c r="Q629" s="17" t="str">
        <f>_xlfn.XLOOKUP(Table2[[#This Row],[buyFromVendorNo]],'Next Day Scheduled'!A:A,'Pending Returns'!O:O,"NOT_FOUND")</f>
        <v>NOT_FOUND</v>
      </c>
    </row>
    <row r="630" spans="1:17" x14ac:dyDescent="0.3">
      <c r="A630" s="1">
        <v>46176</v>
      </c>
      <c r="B630" t="s">
        <v>2410</v>
      </c>
      <c r="C630" t="s">
        <v>798</v>
      </c>
      <c r="D630" t="s">
        <v>799</v>
      </c>
      <c r="E630" t="s">
        <v>8</v>
      </c>
      <c r="F630" t="s">
        <v>10</v>
      </c>
      <c r="G630" s="16">
        <v>616.9</v>
      </c>
      <c r="H630" s="16">
        <v>709.43499999999995</v>
      </c>
      <c r="I630" s="1">
        <v>46176</v>
      </c>
      <c r="J630">
        <v>83</v>
      </c>
      <c r="K630" t="s">
        <v>2411</v>
      </c>
      <c r="L630" t="s">
        <v>3726</v>
      </c>
      <c r="M630">
        <v>10</v>
      </c>
      <c r="N630">
        <v>9</v>
      </c>
      <c r="O630" t="s">
        <v>1036</v>
      </c>
      <c r="P630" s="17"/>
      <c r="Q630" s="17" t="str">
        <f>_xlfn.XLOOKUP(Table2[[#This Row],[buyFromVendorNo]],'Next Day Scheduled'!A:A,'Pending Returns'!O:O,"NOT_FOUND")</f>
        <v>NOT_FOUND</v>
      </c>
    </row>
    <row r="631" spans="1:17" x14ac:dyDescent="0.3">
      <c r="A631" s="1">
        <v>46176</v>
      </c>
      <c r="B631" t="s">
        <v>676</v>
      </c>
      <c r="C631" t="s">
        <v>84</v>
      </c>
      <c r="D631" t="s">
        <v>85</v>
      </c>
      <c r="E631" t="s">
        <v>8</v>
      </c>
      <c r="F631" t="s">
        <v>169</v>
      </c>
      <c r="G631" s="16">
        <v>94.35</v>
      </c>
      <c r="H631" s="16">
        <v>108.5025</v>
      </c>
      <c r="I631" s="1">
        <v>46148</v>
      </c>
      <c r="J631">
        <v>83</v>
      </c>
      <c r="K631" t="s">
        <v>626</v>
      </c>
      <c r="L631" t="s">
        <v>3717</v>
      </c>
      <c r="M631">
        <v>12</v>
      </c>
      <c r="N631">
        <v>3</v>
      </c>
      <c r="O631" t="s">
        <v>1036</v>
      </c>
      <c r="P631" s="17"/>
      <c r="Q631" s="17" t="str">
        <f>_xlfn.XLOOKUP(Table2[[#This Row],[buyFromVendorNo]],'Next Day Scheduled'!A:A,'Pending Returns'!O:O,"NOT_FOUND")</f>
        <v>NOT_FOUND</v>
      </c>
    </row>
    <row r="632" spans="1:17" x14ac:dyDescent="0.3">
      <c r="A632" s="1">
        <v>46176</v>
      </c>
      <c r="B632" t="s">
        <v>224</v>
      </c>
      <c r="C632" t="s">
        <v>43</v>
      </c>
      <c r="D632" t="s">
        <v>44</v>
      </c>
      <c r="E632" t="s">
        <v>8</v>
      </c>
      <c r="F632" t="s">
        <v>38</v>
      </c>
      <c r="G632" s="16">
        <v>10534.43</v>
      </c>
      <c r="H632" s="16">
        <v>12114.594999999999</v>
      </c>
      <c r="I632" s="1">
        <v>46175</v>
      </c>
      <c r="J632">
        <v>83</v>
      </c>
      <c r="K632" t="s">
        <v>3531</v>
      </c>
      <c r="L632" t="s">
        <v>3742</v>
      </c>
      <c r="M632">
        <v>77</v>
      </c>
      <c r="N632">
        <v>1</v>
      </c>
      <c r="O632" t="s">
        <v>1036</v>
      </c>
      <c r="P632" s="17"/>
      <c r="Q632" s="17" t="str">
        <f>_xlfn.XLOOKUP(Table2[[#This Row],[buyFromVendorNo]],'Next Day Scheduled'!A:A,'Pending Returns'!O:O,"NOT_FOUND")</f>
        <v>Posted Credit Note</v>
      </c>
    </row>
    <row r="633" spans="1:17" x14ac:dyDescent="0.3">
      <c r="A633" s="1">
        <v>46177</v>
      </c>
      <c r="B633" t="s">
        <v>2733</v>
      </c>
      <c r="C633" t="s">
        <v>504</v>
      </c>
      <c r="D633" t="s">
        <v>505</v>
      </c>
      <c r="E633" t="s">
        <v>8</v>
      </c>
      <c r="F633" t="s">
        <v>10</v>
      </c>
      <c r="G633" s="16">
        <v>98.22</v>
      </c>
      <c r="H633" s="16">
        <v>112.953</v>
      </c>
      <c r="I633" s="1">
        <v>46177</v>
      </c>
      <c r="J633">
        <v>82</v>
      </c>
      <c r="K633" t="s">
        <v>2734</v>
      </c>
      <c r="L633" t="s">
        <v>3755</v>
      </c>
      <c r="M633">
        <v>7</v>
      </c>
      <c r="N633">
        <v>13</v>
      </c>
      <c r="O633" t="s">
        <v>1036</v>
      </c>
      <c r="P633" s="17"/>
      <c r="Q633" s="17" t="str">
        <f>_xlfn.XLOOKUP(Table2[[#This Row],[buyFromVendorNo]],'Next Day Scheduled'!A:A,'Pending Returns'!O:O,"NOT_FOUND")</f>
        <v>NOT_FOUND</v>
      </c>
    </row>
    <row r="634" spans="1:17" x14ac:dyDescent="0.3">
      <c r="A634" s="1">
        <v>46177</v>
      </c>
      <c r="B634" t="s">
        <v>2981</v>
      </c>
      <c r="C634" t="s">
        <v>2321</v>
      </c>
      <c r="D634" t="s">
        <v>2322</v>
      </c>
      <c r="E634" t="s">
        <v>8</v>
      </c>
      <c r="F634" t="s">
        <v>10</v>
      </c>
      <c r="G634" s="16">
        <v>2567.1999999999998</v>
      </c>
      <c r="H634" s="16">
        <v>2883.88</v>
      </c>
      <c r="I634" s="1">
        <v>46174</v>
      </c>
      <c r="J634">
        <v>82</v>
      </c>
      <c r="K634" t="s">
        <v>2982</v>
      </c>
      <c r="L634" t="s">
        <v>3909</v>
      </c>
      <c r="M634">
        <v>11</v>
      </c>
      <c r="N634">
        <v>10</v>
      </c>
      <c r="O634" t="s">
        <v>1036</v>
      </c>
      <c r="P634" s="17"/>
      <c r="Q634" s="17" t="str">
        <f>_xlfn.XLOOKUP(Table2[[#This Row],[buyFromVendorNo]],'Next Day Scheduled'!A:A,'Pending Returns'!O:O,"NOT_FOUND")</f>
        <v>NOT_FOUND</v>
      </c>
    </row>
    <row r="635" spans="1:17" x14ac:dyDescent="0.3">
      <c r="A635" s="1">
        <v>46177</v>
      </c>
      <c r="B635" t="s">
        <v>249</v>
      </c>
      <c r="C635" t="s">
        <v>73</v>
      </c>
      <c r="D635" t="s">
        <v>74</v>
      </c>
      <c r="E635" t="s">
        <v>8</v>
      </c>
      <c r="F635" t="s">
        <v>10</v>
      </c>
      <c r="G635" s="16">
        <v>1418.6642999999999</v>
      </c>
      <c r="H635" s="16">
        <v>1631.4639999999999</v>
      </c>
      <c r="I635" s="1">
        <v>46151</v>
      </c>
      <c r="J635">
        <v>82</v>
      </c>
      <c r="K635" t="s">
        <v>498</v>
      </c>
      <c r="L635" t="s">
        <v>3911</v>
      </c>
      <c r="M635">
        <v>44</v>
      </c>
      <c r="N635">
        <v>1</v>
      </c>
      <c r="O635" t="s">
        <v>1036</v>
      </c>
      <c r="P635" s="17"/>
      <c r="Q635" s="17" t="str">
        <f>_xlfn.XLOOKUP(Table2[[#This Row],[buyFromVendorNo]],'Next Day Scheduled'!A:A,'Pending Returns'!O:O,"NOT_FOUND")</f>
        <v>NOT_FOUND</v>
      </c>
    </row>
    <row r="636" spans="1:17" x14ac:dyDescent="0.3">
      <c r="A636" s="1">
        <v>46177</v>
      </c>
      <c r="B636" t="s">
        <v>7466</v>
      </c>
      <c r="C636" t="s">
        <v>854</v>
      </c>
      <c r="D636" t="s">
        <v>855</v>
      </c>
      <c r="E636" t="s">
        <v>8</v>
      </c>
      <c r="F636" t="s">
        <v>10</v>
      </c>
      <c r="G636" s="16">
        <v>72.812799999999996</v>
      </c>
      <c r="H636" s="16">
        <v>83.734719999999996</v>
      </c>
      <c r="J636">
        <v>82</v>
      </c>
      <c r="K636" t="s">
        <v>3840</v>
      </c>
      <c r="M636">
        <v>16</v>
      </c>
      <c r="N636">
        <v>6</v>
      </c>
      <c r="O636" t="s">
        <v>216</v>
      </c>
      <c r="P636" s="17"/>
      <c r="Q636" s="17" t="str">
        <f>_xlfn.XLOOKUP(Table2[[#This Row],[buyFromVendorNo]],'Next Day Scheduled'!A:A,'Pending Returns'!O:O,"NOT_FOUND")</f>
        <v>Posted Credit Note</v>
      </c>
    </row>
    <row r="637" spans="1:17" x14ac:dyDescent="0.3">
      <c r="A637" s="1">
        <v>46177</v>
      </c>
      <c r="B637" t="s">
        <v>3379</v>
      </c>
      <c r="C637" t="s">
        <v>3239</v>
      </c>
      <c r="D637" t="s">
        <v>3632</v>
      </c>
      <c r="E637" t="s">
        <v>8</v>
      </c>
      <c r="F637" t="s">
        <v>10</v>
      </c>
      <c r="G637" s="16">
        <v>345</v>
      </c>
      <c r="H637" s="16">
        <v>396.75</v>
      </c>
      <c r="I637" s="1">
        <v>46177</v>
      </c>
      <c r="J637">
        <v>82</v>
      </c>
      <c r="K637" t="s">
        <v>3631</v>
      </c>
      <c r="L637" t="s">
        <v>3888</v>
      </c>
      <c r="M637">
        <v>8</v>
      </c>
      <c r="N637">
        <v>14</v>
      </c>
      <c r="O637" t="s">
        <v>1036</v>
      </c>
      <c r="P637" s="17"/>
      <c r="Q637" s="17" t="str">
        <f>_xlfn.XLOOKUP(Table2[[#This Row],[buyFromVendorNo]],'Next Day Scheduled'!A:A,'Pending Returns'!O:O,"NOT_FOUND")</f>
        <v>Posted Credit Note</v>
      </c>
    </row>
    <row r="638" spans="1:17" x14ac:dyDescent="0.3">
      <c r="A638" s="1">
        <v>46177</v>
      </c>
      <c r="B638" t="s">
        <v>524</v>
      </c>
      <c r="C638" t="s">
        <v>824</v>
      </c>
      <c r="D638" t="s">
        <v>825</v>
      </c>
      <c r="E638" t="s">
        <v>8</v>
      </c>
      <c r="F638" t="s">
        <v>10</v>
      </c>
      <c r="G638" s="16">
        <v>5234.2550000000001</v>
      </c>
      <c r="H638" s="16">
        <v>6019.393</v>
      </c>
      <c r="I638" s="1">
        <v>46167</v>
      </c>
      <c r="J638">
        <v>82</v>
      </c>
      <c r="K638" t="s">
        <v>2396</v>
      </c>
      <c r="L638" t="s">
        <v>3859</v>
      </c>
      <c r="M638">
        <v>12</v>
      </c>
      <c r="N638">
        <v>6</v>
      </c>
      <c r="O638" t="s">
        <v>1036</v>
      </c>
      <c r="P638" s="17"/>
      <c r="Q638" s="17" t="str">
        <f>_xlfn.XLOOKUP(Table2[[#This Row],[buyFromVendorNo]],'Next Day Scheduled'!A:A,'Pending Returns'!O:O,"NOT_FOUND")</f>
        <v>NOT_FOUND</v>
      </c>
    </row>
    <row r="639" spans="1:17" x14ac:dyDescent="0.3">
      <c r="A639" s="1">
        <v>46177</v>
      </c>
      <c r="B639" t="s">
        <v>2907</v>
      </c>
      <c r="C639" t="s">
        <v>60</v>
      </c>
      <c r="D639" t="s">
        <v>61</v>
      </c>
      <c r="E639" t="s">
        <v>8</v>
      </c>
      <c r="F639" t="s">
        <v>38</v>
      </c>
      <c r="G639" s="16">
        <v>8249.43</v>
      </c>
      <c r="H639" s="16">
        <v>9486.8449999999993</v>
      </c>
      <c r="I639" s="1">
        <v>46177</v>
      </c>
      <c r="J639">
        <v>82</v>
      </c>
      <c r="K639" t="s">
        <v>2908</v>
      </c>
      <c r="L639" t="s">
        <v>3923</v>
      </c>
      <c r="M639">
        <v>10</v>
      </c>
      <c r="N639">
        <v>7</v>
      </c>
      <c r="O639" t="s">
        <v>1036</v>
      </c>
      <c r="P639" s="17"/>
      <c r="Q639" s="17" t="str">
        <f>_xlfn.XLOOKUP(Table2[[#This Row],[buyFromVendorNo]],'Next Day Scheduled'!A:A,'Pending Returns'!O:O,"NOT_FOUND")</f>
        <v>NOT_FOUND</v>
      </c>
    </row>
    <row r="640" spans="1:17" x14ac:dyDescent="0.3">
      <c r="A640" s="1">
        <v>46177</v>
      </c>
      <c r="B640" t="s">
        <v>686</v>
      </c>
      <c r="C640" t="s">
        <v>715</v>
      </c>
      <c r="D640" t="s">
        <v>716</v>
      </c>
      <c r="E640" t="s">
        <v>8</v>
      </c>
      <c r="F640" t="s">
        <v>10</v>
      </c>
      <c r="G640" s="16">
        <v>714.81</v>
      </c>
      <c r="H640" s="16">
        <v>822.03150000000005</v>
      </c>
      <c r="I640" s="1">
        <v>46177</v>
      </c>
      <c r="J640">
        <v>82</v>
      </c>
      <c r="K640" t="s">
        <v>3055</v>
      </c>
      <c r="L640" t="s">
        <v>3764</v>
      </c>
      <c r="M640">
        <v>0</v>
      </c>
      <c r="N640">
        <v>93</v>
      </c>
      <c r="O640" t="s">
        <v>1036</v>
      </c>
      <c r="P640" s="17"/>
      <c r="Q640" s="17" t="str">
        <f>_xlfn.XLOOKUP(Table2[[#This Row],[buyFromVendorNo]],'Next Day Scheduled'!A:A,'Pending Returns'!O:O,"NOT_FOUND")</f>
        <v>NOT_FOUND</v>
      </c>
    </row>
    <row r="641" spans="1:17" x14ac:dyDescent="0.3">
      <c r="A641" s="1">
        <v>46177</v>
      </c>
      <c r="B641" t="s">
        <v>669</v>
      </c>
      <c r="C641" t="s">
        <v>73</v>
      </c>
      <c r="D641" t="s">
        <v>74</v>
      </c>
      <c r="E641" t="s">
        <v>8</v>
      </c>
      <c r="F641" t="s">
        <v>10</v>
      </c>
      <c r="G641" s="16">
        <v>1400.5253</v>
      </c>
      <c r="H641" s="16">
        <v>1610.6041</v>
      </c>
      <c r="I641" s="1">
        <v>46151</v>
      </c>
      <c r="J641">
        <v>82</v>
      </c>
      <c r="K641" t="s">
        <v>670</v>
      </c>
      <c r="L641" t="s">
        <v>3903</v>
      </c>
      <c r="M641">
        <v>44</v>
      </c>
      <c r="N641">
        <v>1</v>
      </c>
      <c r="O641" t="s">
        <v>1036</v>
      </c>
      <c r="P641" s="17"/>
      <c r="Q641" s="17" t="str">
        <f>_xlfn.XLOOKUP(Table2[[#This Row],[buyFromVendorNo]],'Next Day Scheduled'!A:A,'Pending Returns'!O:O,"NOT_FOUND")</f>
        <v>NOT_FOUND</v>
      </c>
    </row>
    <row r="642" spans="1:17" x14ac:dyDescent="0.3">
      <c r="A642" s="1">
        <v>46177</v>
      </c>
      <c r="B642" t="s">
        <v>3044</v>
      </c>
      <c r="C642" t="s">
        <v>141</v>
      </c>
      <c r="D642" t="s">
        <v>142</v>
      </c>
      <c r="E642" t="s">
        <v>8</v>
      </c>
      <c r="F642" t="s">
        <v>10</v>
      </c>
      <c r="G642" s="16">
        <v>240.33333999999999</v>
      </c>
      <c r="H642" s="16">
        <v>276.38333</v>
      </c>
      <c r="I642" s="1">
        <v>46174</v>
      </c>
      <c r="J642">
        <v>82</v>
      </c>
      <c r="K642" t="s">
        <v>3045</v>
      </c>
      <c r="L642" t="s">
        <v>3843</v>
      </c>
      <c r="M642">
        <v>10</v>
      </c>
      <c r="N642">
        <v>6</v>
      </c>
      <c r="O642" t="s">
        <v>1036</v>
      </c>
      <c r="P642" s="17"/>
      <c r="Q642" s="17" t="str">
        <f>_xlfn.XLOOKUP(Table2[[#This Row],[buyFromVendorNo]],'Next Day Scheduled'!A:A,'Pending Returns'!O:O,"NOT_FOUND")</f>
        <v>NOT_FOUND</v>
      </c>
    </row>
    <row r="643" spans="1:17" x14ac:dyDescent="0.3">
      <c r="A643" s="1">
        <v>46177</v>
      </c>
      <c r="B643" t="s">
        <v>3294</v>
      </c>
      <c r="C643" t="s">
        <v>504</v>
      </c>
      <c r="D643" t="s">
        <v>505</v>
      </c>
      <c r="E643" t="s">
        <v>8</v>
      </c>
      <c r="F643" t="s">
        <v>10</v>
      </c>
      <c r="G643" s="16">
        <v>50</v>
      </c>
      <c r="H643" s="16">
        <v>57.5</v>
      </c>
      <c r="I643" s="1">
        <v>46177</v>
      </c>
      <c r="J643">
        <v>82</v>
      </c>
      <c r="K643" t="s">
        <v>3117</v>
      </c>
      <c r="L643" t="s">
        <v>3756</v>
      </c>
      <c r="M643">
        <v>7</v>
      </c>
      <c r="N643">
        <v>13</v>
      </c>
      <c r="O643" t="s">
        <v>1036</v>
      </c>
      <c r="P643" s="17"/>
      <c r="Q643" s="17" t="str">
        <f>_xlfn.XLOOKUP(Table2[[#This Row],[buyFromVendorNo]],'Next Day Scheduled'!A:A,'Pending Returns'!O:O,"NOT_FOUND")</f>
        <v>NOT_FOUND</v>
      </c>
    </row>
    <row r="644" spans="1:17" x14ac:dyDescent="0.3">
      <c r="A644" s="1">
        <v>46177</v>
      </c>
      <c r="B644" t="s">
        <v>3385</v>
      </c>
      <c r="C644" t="s">
        <v>3453</v>
      </c>
      <c r="D644" t="s">
        <v>3454</v>
      </c>
      <c r="E644" t="s">
        <v>8</v>
      </c>
      <c r="F644" t="s">
        <v>10</v>
      </c>
      <c r="G644" s="16">
        <v>319.33999999999997</v>
      </c>
      <c r="H644" s="16">
        <v>367.24099999999999</v>
      </c>
      <c r="I644" s="1">
        <v>46177</v>
      </c>
      <c r="J644">
        <v>82</v>
      </c>
      <c r="K644" t="s">
        <v>3667</v>
      </c>
      <c r="L644" t="s">
        <v>3851</v>
      </c>
      <c r="M644">
        <v>10</v>
      </c>
      <c r="N644">
        <v>5</v>
      </c>
      <c r="O644" t="s">
        <v>1036</v>
      </c>
      <c r="P644" s="17"/>
      <c r="Q644" s="17" t="str">
        <f>_xlfn.XLOOKUP(Table2[[#This Row],[buyFromVendorNo]],'Next Day Scheduled'!A:A,'Pending Returns'!O:O,"NOT_FOUND")</f>
        <v>NOT_FOUND</v>
      </c>
    </row>
    <row r="645" spans="1:17" x14ac:dyDescent="0.3">
      <c r="A645" s="1">
        <v>46177</v>
      </c>
      <c r="B645" t="s">
        <v>442</v>
      </c>
      <c r="C645" t="s">
        <v>86</v>
      </c>
      <c r="D645" t="s">
        <v>87</v>
      </c>
      <c r="E645" t="s">
        <v>8</v>
      </c>
      <c r="F645" t="s">
        <v>38</v>
      </c>
      <c r="G645" s="16">
        <v>462</v>
      </c>
      <c r="H645" s="16">
        <v>531.29999999999995</v>
      </c>
      <c r="I645" s="1">
        <v>46153</v>
      </c>
      <c r="J645">
        <v>82</v>
      </c>
      <c r="K645" t="s">
        <v>927</v>
      </c>
      <c r="L645" t="s">
        <v>3860</v>
      </c>
      <c r="M645">
        <v>0</v>
      </c>
      <c r="N645">
        <v>297</v>
      </c>
      <c r="O645" t="s">
        <v>1036</v>
      </c>
      <c r="P645" s="17"/>
      <c r="Q645" s="17" t="str">
        <f>_xlfn.XLOOKUP(Table2[[#This Row],[buyFromVendorNo]],'Next Day Scheduled'!A:A,'Pending Returns'!O:O,"NOT_FOUND")</f>
        <v>NOT_FOUND</v>
      </c>
    </row>
    <row r="646" spans="1:17" x14ac:dyDescent="0.3">
      <c r="A646" s="1">
        <v>46177</v>
      </c>
      <c r="B646" t="s">
        <v>2149</v>
      </c>
      <c r="C646" t="s">
        <v>2510</v>
      </c>
      <c r="D646" t="s">
        <v>2511</v>
      </c>
      <c r="E646" t="s">
        <v>8</v>
      </c>
      <c r="F646" t="s">
        <v>38</v>
      </c>
      <c r="G646" s="16">
        <v>570</v>
      </c>
      <c r="H646" s="16">
        <v>655.5</v>
      </c>
      <c r="I646" s="1">
        <v>46176</v>
      </c>
      <c r="J646">
        <v>82</v>
      </c>
      <c r="K646" t="s">
        <v>2555</v>
      </c>
      <c r="L646" t="s">
        <v>3759</v>
      </c>
      <c r="M646">
        <v>7</v>
      </c>
      <c r="N646">
        <v>23</v>
      </c>
      <c r="O646" t="s">
        <v>1036</v>
      </c>
      <c r="P646" s="17"/>
      <c r="Q646" s="17" t="str">
        <f>_xlfn.XLOOKUP(Table2[[#This Row],[buyFromVendorNo]],'Next Day Scheduled'!A:A,'Pending Returns'!O:O,"NOT_FOUND")</f>
        <v>NOT_FOUND</v>
      </c>
    </row>
    <row r="647" spans="1:17" x14ac:dyDescent="0.3">
      <c r="A647" s="1">
        <v>46177</v>
      </c>
      <c r="B647" t="s">
        <v>3275</v>
      </c>
      <c r="C647" t="s">
        <v>2363</v>
      </c>
      <c r="D647" t="s">
        <v>2364</v>
      </c>
      <c r="E647" t="s">
        <v>8</v>
      </c>
      <c r="F647" t="s">
        <v>10</v>
      </c>
      <c r="G647" s="16">
        <v>158.91999999999999</v>
      </c>
      <c r="H647" s="16">
        <v>182.75800000000001</v>
      </c>
      <c r="I647" s="1">
        <v>46174</v>
      </c>
      <c r="J647">
        <v>82</v>
      </c>
      <c r="K647" t="s">
        <v>3153</v>
      </c>
      <c r="L647" t="s">
        <v>3924</v>
      </c>
      <c r="M647">
        <v>11</v>
      </c>
      <c r="N647">
        <v>6</v>
      </c>
      <c r="O647" t="s">
        <v>1036</v>
      </c>
      <c r="P647" s="17"/>
      <c r="Q647" s="17" t="str">
        <f>_xlfn.XLOOKUP(Table2[[#This Row],[buyFromVendorNo]],'Next Day Scheduled'!A:A,'Pending Returns'!O:O,"NOT_FOUND")</f>
        <v>NOT_FOUND</v>
      </c>
    </row>
    <row r="648" spans="1:17" x14ac:dyDescent="0.3">
      <c r="A648" s="1">
        <v>46177</v>
      </c>
      <c r="B648" t="s">
        <v>3360</v>
      </c>
      <c r="C648" t="s">
        <v>2254</v>
      </c>
      <c r="D648" t="s">
        <v>2255</v>
      </c>
      <c r="E648" t="s">
        <v>8</v>
      </c>
      <c r="F648" t="s">
        <v>10</v>
      </c>
      <c r="G648" s="16">
        <v>1177.25</v>
      </c>
      <c r="H648" s="16">
        <v>1353.8375000000001</v>
      </c>
      <c r="I648" s="1">
        <v>46177</v>
      </c>
      <c r="J648">
        <v>82</v>
      </c>
      <c r="K648" t="s">
        <v>3234</v>
      </c>
      <c r="L648" t="s">
        <v>3925</v>
      </c>
      <c r="M648">
        <v>2</v>
      </c>
      <c r="N648">
        <v>15</v>
      </c>
      <c r="O648" t="s">
        <v>1036</v>
      </c>
      <c r="P648" s="17"/>
      <c r="Q648" s="17" t="str">
        <f>_xlfn.XLOOKUP(Table2[[#This Row],[buyFromVendorNo]],'Next Day Scheduled'!A:A,'Pending Returns'!O:O,"NOT_FOUND")</f>
        <v>NOT_FOUND</v>
      </c>
    </row>
    <row r="649" spans="1:17" x14ac:dyDescent="0.3">
      <c r="A649" s="1">
        <v>46177</v>
      </c>
      <c r="B649" t="s">
        <v>524</v>
      </c>
      <c r="C649" t="s">
        <v>73</v>
      </c>
      <c r="D649" t="s">
        <v>74</v>
      </c>
      <c r="E649" t="s">
        <v>8</v>
      </c>
      <c r="F649" t="s">
        <v>10</v>
      </c>
      <c r="G649" s="16">
        <v>1581.6188</v>
      </c>
      <c r="H649" s="16">
        <v>1818.8616</v>
      </c>
      <c r="I649" s="1">
        <v>46151</v>
      </c>
      <c r="J649">
        <v>82</v>
      </c>
      <c r="K649" t="s">
        <v>553</v>
      </c>
      <c r="L649" t="s">
        <v>3872</v>
      </c>
      <c r="M649">
        <v>44</v>
      </c>
      <c r="N649">
        <v>1</v>
      </c>
      <c r="O649" t="s">
        <v>1036</v>
      </c>
      <c r="P649" s="17"/>
      <c r="Q649" s="17" t="str">
        <f>_xlfn.XLOOKUP(Table2[[#This Row],[buyFromVendorNo]],'Next Day Scheduled'!A:A,'Pending Returns'!O:O,"NOT_FOUND")</f>
        <v>NOT_FOUND</v>
      </c>
    </row>
    <row r="650" spans="1:17" x14ac:dyDescent="0.3">
      <c r="A650" s="1">
        <v>46177</v>
      </c>
      <c r="B650" t="s">
        <v>3458</v>
      </c>
      <c r="C650" t="s">
        <v>598</v>
      </c>
      <c r="D650" t="s">
        <v>599</v>
      </c>
      <c r="E650" t="s">
        <v>8</v>
      </c>
      <c r="F650" t="s">
        <v>10</v>
      </c>
      <c r="G650" s="16">
        <v>154</v>
      </c>
      <c r="H650" s="16">
        <v>177.1</v>
      </c>
      <c r="I650" s="1">
        <v>46177</v>
      </c>
      <c r="J650">
        <v>82</v>
      </c>
      <c r="K650" t="s">
        <v>3148</v>
      </c>
      <c r="L650" t="s">
        <v>3934</v>
      </c>
      <c r="M650">
        <v>11</v>
      </c>
      <c r="N650">
        <v>6</v>
      </c>
      <c r="O650" t="s">
        <v>1036</v>
      </c>
      <c r="P650" s="17"/>
      <c r="Q650" s="17" t="str">
        <f>_xlfn.XLOOKUP(Table2[[#This Row],[buyFromVendorNo]],'Next Day Scheduled'!A:A,'Pending Returns'!O:O,"NOT_FOUND")</f>
        <v>NOT_FOUND</v>
      </c>
    </row>
    <row r="651" spans="1:17" x14ac:dyDescent="0.3">
      <c r="A651" s="1">
        <v>46177</v>
      </c>
      <c r="B651" t="s">
        <v>3489</v>
      </c>
      <c r="C651" t="s">
        <v>785</v>
      </c>
      <c r="D651" t="s">
        <v>786</v>
      </c>
      <c r="E651" t="s">
        <v>8</v>
      </c>
      <c r="F651" t="s">
        <v>10</v>
      </c>
      <c r="G651" s="16">
        <v>995</v>
      </c>
      <c r="H651" s="16">
        <v>1144.25</v>
      </c>
      <c r="I651" s="1">
        <v>46177</v>
      </c>
      <c r="J651">
        <v>82</v>
      </c>
      <c r="K651" t="s">
        <v>3665</v>
      </c>
      <c r="L651" t="s">
        <v>3847</v>
      </c>
      <c r="M651">
        <v>14</v>
      </c>
      <c r="N651">
        <v>5</v>
      </c>
      <c r="O651" t="s">
        <v>1036</v>
      </c>
      <c r="P651" s="17"/>
      <c r="Q651" s="17" t="str">
        <f>_xlfn.XLOOKUP(Table2[[#This Row],[buyFromVendorNo]],'Next Day Scheduled'!A:A,'Pending Returns'!O:O,"NOT_FOUND")</f>
        <v>NOT_FOUND</v>
      </c>
    </row>
    <row r="652" spans="1:17" x14ac:dyDescent="0.3">
      <c r="A652" s="1">
        <v>46177</v>
      </c>
      <c r="B652" t="s">
        <v>1858</v>
      </c>
      <c r="C652" t="s">
        <v>422</v>
      </c>
      <c r="D652" t="s">
        <v>490</v>
      </c>
      <c r="E652" t="s">
        <v>8</v>
      </c>
      <c r="F652" t="s">
        <v>10</v>
      </c>
      <c r="G652" s="16">
        <v>22374.16</v>
      </c>
      <c r="H652" s="16">
        <v>25730.285</v>
      </c>
      <c r="I652" s="1">
        <v>46167</v>
      </c>
      <c r="J652">
        <v>82</v>
      </c>
      <c r="K652" t="s">
        <v>1990</v>
      </c>
      <c r="L652" t="s">
        <v>3877</v>
      </c>
      <c r="M652">
        <v>10</v>
      </c>
      <c r="N652">
        <v>3</v>
      </c>
      <c r="O652" t="s">
        <v>1036</v>
      </c>
      <c r="P652" s="17"/>
      <c r="Q652" s="17" t="str">
        <f>_xlfn.XLOOKUP(Table2[[#This Row],[buyFromVendorNo]],'Next Day Scheduled'!A:A,'Pending Returns'!O:O,"NOT_FOUND")</f>
        <v>NOT_FOUND</v>
      </c>
    </row>
    <row r="653" spans="1:17" x14ac:dyDescent="0.3">
      <c r="A653" s="1">
        <v>46177</v>
      </c>
      <c r="B653" t="s">
        <v>3334</v>
      </c>
      <c r="C653" t="s">
        <v>1424</v>
      </c>
      <c r="D653" t="s">
        <v>1425</v>
      </c>
      <c r="E653" t="s">
        <v>8</v>
      </c>
      <c r="F653" t="s">
        <v>10</v>
      </c>
      <c r="G653" s="16">
        <v>334.5</v>
      </c>
      <c r="H653" s="16">
        <v>384.67500000000001</v>
      </c>
      <c r="I653" s="1">
        <v>46177</v>
      </c>
      <c r="J653">
        <v>82</v>
      </c>
      <c r="K653" t="s">
        <v>3233</v>
      </c>
      <c r="L653" t="s">
        <v>3848</v>
      </c>
      <c r="M653">
        <v>5</v>
      </c>
      <c r="N653">
        <v>50</v>
      </c>
      <c r="O653" t="s">
        <v>1036</v>
      </c>
      <c r="P653" s="17"/>
      <c r="Q653" s="17" t="str">
        <f>_xlfn.XLOOKUP(Table2[[#This Row],[buyFromVendorNo]],'Next Day Scheduled'!A:A,'Pending Returns'!O:O,"NOT_FOUND")</f>
        <v>Posted Credit Note</v>
      </c>
    </row>
    <row r="654" spans="1:17" x14ac:dyDescent="0.3">
      <c r="A654" s="1">
        <v>46177</v>
      </c>
      <c r="B654" t="s">
        <v>1692</v>
      </c>
      <c r="C654" t="s">
        <v>3832</v>
      </c>
      <c r="D654" t="s">
        <v>3833</v>
      </c>
      <c r="E654" t="s">
        <v>8</v>
      </c>
      <c r="F654" t="s">
        <v>10</v>
      </c>
      <c r="G654" s="16">
        <v>668</v>
      </c>
      <c r="H654" s="16">
        <v>768.2</v>
      </c>
      <c r="J654">
        <v>82</v>
      </c>
      <c r="K654" t="s">
        <v>3834</v>
      </c>
      <c r="M654">
        <v>0</v>
      </c>
      <c r="O654" t="s">
        <v>216</v>
      </c>
      <c r="P654" s="17"/>
      <c r="Q654" s="17" t="str">
        <f>_xlfn.XLOOKUP(Table2[[#This Row],[buyFromVendorNo]],'Next Day Scheduled'!A:A,'Pending Returns'!O:O,"NOT_FOUND")</f>
        <v>NOT_FOUND</v>
      </c>
    </row>
    <row r="655" spans="1:17" x14ac:dyDescent="0.3">
      <c r="A655" s="1">
        <v>46177</v>
      </c>
      <c r="B655" t="s">
        <v>3547</v>
      </c>
      <c r="C655" t="s">
        <v>2363</v>
      </c>
      <c r="D655" t="s">
        <v>2364</v>
      </c>
      <c r="E655" t="s">
        <v>8</v>
      </c>
      <c r="F655" t="s">
        <v>10</v>
      </c>
      <c r="G655" s="16">
        <v>3470.28</v>
      </c>
      <c r="H655" s="16">
        <v>3990.8220000000001</v>
      </c>
      <c r="I655" s="1">
        <v>46177</v>
      </c>
      <c r="J655">
        <v>82</v>
      </c>
      <c r="K655" t="s">
        <v>3548</v>
      </c>
      <c r="L655" t="s">
        <v>3883</v>
      </c>
      <c r="M655">
        <v>11</v>
      </c>
      <c r="N655">
        <v>6</v>
      </c>
      <c r="O655" t="s">
        <v>1036</v>
      </c>
      <c r="P655" s="17"/>
      <c r="Q655" s="17" t="str">
        <f>_xlfn.XLOOKUP(Table2[[#This Row],[buyFromVendorNo]],'Next Day Scheduled'!A:A,'Pending Returns'!O:O,"NOT_FOUND")</f>
        <v>NOT_FOUND</v>
      </c>
    </row>
    <row r="656" spans="1:17" x14ac:dyDescent="0.3">
      <c r="A656" s="1">
        <v>46177</v>
      </c>
      <c r="B656" t="s">
        <v>1742</v>
      </c>
      <c r="C656" t="s">
        <v>939</v>
      </c>
      <c r="D656" t="s">
        <v>940</v>
      </c>
      <c r="E656" t="s">
        <v>8</v>
      </c>
      <c r="F656" t="s">
        <v>10</v>
      </c>
      <c r="G656" s="16">
        <v>1622.4398000000001</v>
      </c>
      <c r="H656" s="16">
        <v>1865.8058000000001</v>
      </c>
      <c r="I656" s="1">
        <v>46155</v>
      </c>
      <c r="J656">
        <v>82</v>
      </c>
      <c r="K656" t="s">
        <v>1008</v>
      </c>
      <c r="L656" t="s">
        <v>3880</v>
      </c>
      <c r="M656">
        <v>1</v>
      </c>
      <c r="N656">
        <v>35</v>
      </c>
      <c r="O656" t="s">
        <v>1036</v>
      </c>
      <c r="P656" s="17"/>
      <c r="Q656" s="17" t="str">
        <f>_xlfn.XLOOKUP(Table2[[#This Row],[buyFromVendorNo]],'Next Day Scheduled'!A:A,'Pending Returns'!O:O,"NOT_FOUND")</f>
        <v>Posted Credit Note</v>
      </c>
    </row>
    <row r="657" spans="1:17" x14ac:dyDescent="0.3">
      <c r="A657" s="1">
        <v>46177</v>
      </c>
      <c r="B657" t="s">
        <v>2687</v>
      </c>
      <c r="C657" t="s">
        <v>1161</v>
      </c>
      <c r="D657" t="s">
        <v>1162</v>
      </c>
      <c r="E657" t="s">
        <v>8</v>
      </c>
      <c r="F657" t="s">
        <v>10</v>
      </c>
      <c r="G657" s="16">
        <v>1428.44</v>
      </c>
      <c r="H657" s="16">
        <v>1642.7059999999999</v>
      </c>
      <c r="I657" s="1">
        <v>46174</v>
      </c>
      <c r="J657">
        <v>82</v>
      </c>
      <c r="K657" t="s">
        <v>2688</v>
      </c>
      <c r="L657" t="s">
        <v>3882</v>
      </c>
      <c r="M657">
        <v>10</v>
      </c>
      <c r="N657">
        <v>6</v>
      </c>
      <c r="O657" t="s">
        <v>1036</v>
      </c>
      <c r="P657" s="17"/>
      <c r="Q657" s="17" t="str">
        <f>_xlfn.XLOOKUP(Table2[[#This Row],[buyFromVendorNo]],'Next Day Scheduled'!A:A,'Pending Returns'!O:O,"NOT_FOUND")</f>
        <v>NOT_FOUND</v>
      </c>
    </row>
    <row r="658" spans="1:17" x14ac:dyDescent="0.3">
      <c r="A658" s="1">
        <v>46177</v>
      </c>
      <c r="B658" t="s">
        <v>1697</v>
      </c>
      <c r="C658" t="s">
        <v>880</v>
      </c>
      <c r="D658" t="s">
        <v>881</v>
      </c>
      <c r="E658" t="s">
        <v>8</v>
      </c>
      <c r="F658" t="s">
        <v>10</v>
      </c>
      <c r="G658" s="16">
        <v>920.84</v>
      </c>
      <c r="H658" s="16">
        <v>1058.9659999999999</v>
      </c>
      <c r="I658" s="1">
        <v>46177</v>
      </c>
      <c r="J658">
        <v>82</v>
      </c>
      <c r="K658" t="s">
        <v>3571</v>
      </c>
      <c r="L658" t="s">
        <v>3881</v>
      </c>
      <c r="M658">
        <v>7</v>
      </c>
      <c r="N658">
        <v>13</v>
      </c>
      <c r="O658" t="s">
        <v>1036</v>
      </c>
      <c r="P658" s="17"/>
      <c r="Q658" s="17" t="str">
        <f>_xlfn.XLOOKUP(Table2[[#This Row],[buyFromVendorNo]],'Next Day Scheduled'!A:A,'Pending Returns'!O:O,"NOT_FOUND")</f>
        <v>NOT_FOUND</v>
      </c>
    </row>
    <row r="659" spans="1:17" x14ac:dyDescent="0.3">
      <c r="A659" s="1">
        <v>46177</v>
      </c>
      <c r="B659" t="s">
        <v>2385</v>
      </c>
      <c r="C659" t="s">
        <v>598</v>
      </c>
      <c r="D659" t="s">
        <v>599</v>
      </c>
      <c r="E659" t="s">
        <v>8</v>
      </c>
      <c r="F659" t="s">
        <v>10</v>
      </c>
      <c r="G659" s="16">
        <v>7731.7420000000002</v>
      </c>
      <c r="H659" s="16">
        <v>8891.5030000000006</v>
      </c>
      <c r="I659" s="1">
        <v>46177</v>
      </c>
      <c r="J659">
        <v>82</v>
      </c>
      <c r="K659" t="s">
        <v>2234</v>
      </c>
      <c r="L659" t="s">
        <v>3852</v>
      </c>
      <c r="M659">
        <v>11</v>
      </c>
      <c r="N659">
        <v>6</v>
      </c>
      <c r="O659" t="s">
        <v>1036</v>
      </c>
      <c r="P659" s="17"/>
      <c r="Q659" s="17" t="str">
        <f>_xlfn.XLOOKUP(Table2[[#This Row],[buyFromVendorNo]],'Next Day Scheduled'!A:A,'Pending Returns'!O:O,"NOT_FOUND")</f>
        <v>NOT_FOUND</v>
      </c>
    </row>
    <row r="660" spans="1:17" x14ac:dyDescent="0.3">
      <c r="A660" s="1">
        <v>46177</v>
      </c>
      <c r="B660" t="s">
        <v>1785</v>
      </c>
      <c r="C660" t="s">
        <v>1749</v>
      </c>
      <c r="D660" t="s">
        <v>1750</v>
      </c>
      <c r="E660" t="s">
        <v>8</v>
      </c>
      <c r="F660" t="s">
        <v>10</v>
      </c>
      <c r="G660" s="16">
        <v>427.3</v>
      </c>
      <c r="H660" s="16">
        <v>431.8</v>
      </c>
      <c r="I660" s="1">
        <v>46163</v>
      </c>
      <c r="J660">
        <v>82</v>
      </c>
      <c r="K660" t="s">
        <v>1751</v>
      </c>
      <c r="L660" t="s">
        <v>3855</v>
      </c>
      <c r="M660">
        <v>9</v>
      </c>
      <c r="N660">
        <v>6</v>
      </c>
      <c r="O660" t="s">
        <v>1036</v>
      </c>
      <c r="P660" s="17"/>
      <c r="Q660" s="17" t="str">
        <f>_xlfn.XLOOKUP(Table2[[#This Row],[buyFromVendorNo]],'Next Day Scheduled'!A:A,'Pending Returns'!O:O,"NOT_FOUND")</f>
        <v>NOT_FOUND</v>
      </c>
    </row>
    <row r="661" spans="1:17" x14ac:dyDescent="0.3">
      <c r="A661" s="1">
        <v>46177</v>
      </c>
      <c r="B661" t="s">
        <v>3722</v>
      </c>
      <c r="C661" t="s">
        <v>2282</v>
      </c>
      <c r="D661" t="s">
        <v>2375</v>
      </c>
      <c r="E661" t="s">
        <v>8</v>
      </c>
      <c r="F661" t="s">
        <v>10</v>
      </c>
      <c r="G661" s="16">
        <v>108.32</v>
      </c>
      <c r="H661" s="16">
        <v>124.568</v>
      </c>
      <c r="I661" s="1">
        <v>46177</v>
      </c>
      <c r="J661">
        <v>82</v>
      </c>
      <c r="K661" t="s">
        <v>3656</v>
      </c>
      <c r="L661" t="s">
        <v>3858</v>
      </c>
      <c r="M661">
        <v>2</v>
      </c>
      <c r="N661">
        <v>69</v>
      </c>
      <c r="O661" t="s">
        <v>1036</v>
      </c>
      <c r="P661" s="17"/>
      <c r="Q661" s="17" t="str">
        <f>_xlfn.XLOOKUP(Table2[[#This Row],[buyFromVendorNo]],'Next Day Scheduled'!A:A,'Pending Returns'!O:O,"NOT_FOUND")</f>
        <v>NOT_FOUND</v>
      </c>
    </row>
    <row r="662" spans="1:17" x14ac:dyDescent="0.3">
      <c r="A662" s="1">
        <v>46177</v>
      </c>
      <c r="B662" t="s">
        <v>2925</v>
      </c>
      <c r="C662" t="s">
        <v>911</v>
      </c>
      <c r="D662" t="s">
        <v>912</v>
      </c>
      <c r="E662" t="s">
        <v>8</v>
      </c>
      <c r="F662" t="s">
        <v>10</v>
      </c>
      <c r="G662" s="16">
        <v>941.51</v>
      </c>
      <c r="H662" s="16">
        <v>1082.7365</v>
      </c>
      <c r="I662" s="1">
        <v>46175</v>
      </c>
      <c r="J662">
        <v>82</v>
      </c>
      <c r="K662" t="s">
        <v>2926</v>
      </c>
      <c r="L662" t="s">
        <v>3896</v>
      </c>
      <c r="M662">
        <v>10</v>
      </c>
      <c r="N662">
        <v>5</v>
      </c>
      <c r="O662" t="s">
        <v>1036</v>
      </c>
      <c r="P662" s="17"/>
      <c r="Q662" s="17" t="str">
        <f>_xlfn.XLOOKUP(Table2[[#This Row],[buyFromVendorNo]],'Next Day Scheduled'!A:A,'Pending Returns'!O:O,"NOT_FOUND")</f>
        <v>NOT_FOUND</v>
      </c>
    </row>
    <row r="663" spans="1:17" x14ac:dyDescent="0.3">
      <c r="A663" s="1">
        <v>46177</v>
      </c>
      <c r="B663" t="s">
        <v>1820</v>
      </c>
      <c r="C663" t="s">
        <v>141</v>
      </c>
      <c r="D663" t="s">
        <v>142</v>
      </c>
      <c r="E663" t="s">
        <v>8</v>
      </c>
      <c r="F663" t="s">
        <v>10</v>
      </c>
      <c r="G663" s="16">
        <v>2913.3506000000002</v>
      </c>
      <c r="H663" s="16">
        <v>3350.3533000000002</v>
      </c>
      <c r="I663" s="1">
        <v>46174</v>
      </c>
      <c r="J663">
        <v>82</v>
      </c>
      <c r="K663" t="s">
        <v>2442</v>
      </c>
      <c r="L663" t="s">
        <v>3863</v>
      </c>
      <c r="M663">
        <v>10</v>
      </c>
      <c r="N663">
        <v>6</v>
      </c>
      <c r="O663" t="s">
        <v>1036</v>
      </c>
      <c r="P663" s="17"/>
      <c r="Q663" s="17" t="str">
        <f>_xlfn.XLOOKUP(Table2[[#This Row],[buyFromVendorNo]],'Next Day Scheduled'!A:A,'Pending Returns'!O:O,"NOT_FOUND")</f>
        <v>NOT_FOUND</v>
      </c>
    </row>
    <row r="664" spans="1:17" x14ac:dyDescent="0.3">
      <c r="A664" s="1">
        <v>46177</v>
      </c>
      <c r="B664" t="s">
        <v>1972</v>
      </c>
      <c r="C664" t="s">
        <v>1945</v>
      </c>
      <c r="D664" t="s">
        <v>1946</v>
      </c>
      <c r="E664" t="s">
        <v>8</v>
      </c>
      <c r="F664" t="s">
        <v>169</v>
      </c>
      <c r="G664" s="16">
        <v>299.88326999999998</v>
      </c>
      <c r="H664" s="16">
        <v>344.86577999999997</v>
      </c>
      <c r="I664" s="1">
        <v>46175</v>
      </c>
      <c r="J664">
        <v>82</v>
      </c>
      <c r="K664" t="s">
        <v>3393</v>
      </c>
      <c r="L664" t="s">
        <v>3930</v>
      </c>
      <c r="M664">
        <v>9</v>
      </c>
      <c r="N664">
        <v>6</v>
      </c>
      <c r="O664" t="s">
        <v>1036</v>
      </c>
      <c r="P664" s="17"/>
      <c r="Q664" s="17" t="str">
        <f>_xlfn.XLOOKUP(Table2[[#This Row],[buyFromVendorNo]],'Next Day Scheduled'!A:A,'Pending Returns'!O:O,"NOT_FOUND")</f>
        <v>Posted Credit Note</v>
      </c>
    </row>
    <row r="665" spans="1:17" x14ac:dyDescent="0.3">
      <c r="A665" s="1">
        <v>46177</v>
      </c>
      <c r="B665" t="s">
        <v>2782</v>
      </c>
      <c r="C665" t="s">
        <v>2328</v>
      </c>
      <c r="D665" t="s">
        <v>2329</v>
      </c>
      <c r="E665" t="s">
        <v>8</v>
      </c>
      <c r="F665" t="s">
        <v>10</v>
      </c>
      <c r="G665" s="16">
        <v>2805</v>
      </c>
      <c r="H665" s="16">
        <v>3225.75</v>
      </c>
      <c r="I665" s="1">
        <v>46174</v>
      </c>
      <c r="J665">
        <v>82</v>
      </c>
      <c r="K665" t="s">
        <v>2783</v>
      </c>
      <c r="L665" t="s">
        <v>3865</v>
      </c>
      <c r="M665">
        <v>11</v>
      </c>
      <c r="N665">
        <v>3</v>
      </c>
      <c r="O665" t="s">
        <v>1036</v>
      </c>
      <c r="P665" s="17"/>
      <c r="Q665" s="17" t="str">
        <f>_xlfn.XLOOKUP(Table2[[#This Row],[buyFromVendorNo]],'Next Day Scheduled'!A:A,'Pending Returns'!O:O,"NOT_FOUND")</f>
        <v>NOT_FOUND</v>
      </c>
    </row>
    <row r="666" spans="1:17" x14ac:dyDescent="0.3">
      <c r="A666" s="1">
        <v>46177</v>
      </c>
      <c r="B666" t="s">
        <v>3276</v>
      </c>
      <c r="C666" t="s">
        <v>1161</v>
      </c>
      <c r="D666" t="s">
        <v>1162</v>
      </c>
      <c r="E666" t="s">
        <v>8</v>
      </c>
      <c r="F666" t="s">
        <v>10</v>
      </c>
      <c r="G666" s="16">
        <v>130.47999999999999</v>
      </c>
      <c r="H666" s="16">
        <v>150.05199999999999</v>
      </c>
      <c r="I666" s="1">
        <v>46174</v>
      </c>
      <c r="J666">
        <v>82</v>
      </c>
      <c r="K666" t="s">
        <v>3231</v>
      </c>
      <c r="L666" t="s">
        <v>3839</v>
      </c>
      <c r="M666">
        <v>10</v>
      </c>
      <c r="N666">
        <v>6</v>
      </c>
      <c r="O666" t="s">
        <v>1036</v>
      </c>
      <c r="P666" s="17"/>
      <c r="Q666" s="17" t="str">
        <f>_xlfn.XLOOKUP(Table2[[#This Row],[buyFromVendorNo]],'Next Day Scheduled'!A:A,'Pending Returns'!O:O,"NOT_FOUND")</f>
        <v>NOT_FOUND</v>
      </c>
    </row>
    <row r="667" spans="1:17" x14ac:dyDescent="0.3">
      <c r="A667" s="1">
        <v>46177</v>
      </c>
      <c r="B667" t="s">
        <v>3715</v>
      </c>
      <c r="C667" t="s">
        <v>65</v>
      </c>
      <c r="D667" t="s">
        <v>66</v>
      </c>
      <c r="E667" t="s">
        <v>8</v>
      </c>
      <c r="F667" t="s">
        <v>169</v>
      </c>
      <c r="G667" s="16">
        <v>475.58499999999998</v>
      </c>
      <c r="H667" s="16">
        <v>546.92269999999996</v>
      </c>
      <c r="I667" s="1">
        <v>46176</v>
      </c>
      <c r="J667">
        <v>82</v>
      </c>
      <c r="K667" t="s">
        <v>3716</v>
      </c>
      <c r="L667" t="s">
        <v>3904</v>
      </c>
      <c r="M667">
        <v>23</v>
      </c>
      <c r="N667">
        <v>5</v>
      </c>
      <c r="O667" t="s">
        <v>1036</v>
      </c>
      <c r="P667" s="17"/>
      <c r="Q667" s="17" t="str">
        <f>_xlfn.XLOOKUP(Table2[[#This Row],[buyFromVendorNo]],'Next Day Scheduled'!A:A,'Pending Returns'!O:O,"NOT_FOUND")</f>
        <v>Posted Credit Note</v>
      </c>
    </row>
    <row r="668" spans="1:17" x14ac:dyDescent="0.3">
      <c r="A668" s="1">
        <v>46177</v>
      </c>
      <c r="B668" t="s">
        <v>231</v>
      </c>
      <c r="C668" t="s">
        <v>2998</v>
      </c>
      <c r="D668" t="s">
        <v>2999</v>
      </c>
      <c r="E668" t="s">
        <v>8</v>
      </c>
      <c r="F668" t="s">
        <v>10</v>
      </c>
      <c r="G668" s="16">
        <v>215.73396</v>
      </c>
      <c r="H668" s="16">
        <v>248.09406000000001</v>
      </c>
      <c r="I668" s="1">
        <v>46177</v>
      </c>
      <c r="J668">
        <v>82</v>
      </c>
      <c r="K668" t="s">
        <v>3000</v>
      </c>
      <c r="L668" t="s">
        <v>3849</v>
      </c>
      <c r="M668">
        <v>0</v>
      </c>
      <c r="N668">
        <v>238</v>
      </c>
      <c r="O668" t="s">
        <v>1036</v>
      </c>
      <c r="P668" s="17"/>
      <c r="Q668" s="17" t="str">
        <f>_xlfn.XLOOKUP(Table2[[#This Row],[buyFromVendorNo]],'Next Day Scheduled'!A:A,'Pending Returns'!O:O,"NOT_FOUND")</f>
        <v>NOT_FOUND</v>
      </c>
    </row>
    <row r="669" spans="1:17" x14ac:dyDescent="0.3">
      <c r="A669" s="1">
        <v>46177</v>
      </c>
      <c r="B669" t="s">
        <v>390</v>
      </c>
      <c r="C669" t="s">
        <v>2510</v>
      </c>
      <c r="D669" t="s">
        <v>2511</v>
      </c>
      <c r="E669" t="s">
        <v>8</v>
      </c>
      <c r="F669" t="s">
        <v>38</v>
      </c>
      <c r="G669" s="16">
        <v>1618.29</v>
      </c>
      <c r="H669" s="16">
        <v>1861.0334</v>
      </c>
      <c r="I669" s="1">
        <v>46175</v>
      </c>
      <c r="J669">
        <v>82</v>
      </c>
      <c r="K669" t="s">
        <v>2512</v>
      </c>
      <c r="L669" t="s">
        <v>3761</v>
      </c>
      <c r="M669">
        <v>7</v>
      </c>
      <c r="N669">
        <v>23</v>
      </c>
      <c r="O669" t="s">
        <v>1036</v>
      </c>
      <c r="P669" s="17"/>
      <c r="Q669" s="17" t="str">
        <f>_xlfn.XLOOKUP(Table2[[#This Row],[buyFromVendorNo]],'Next Day Scheduled'!A:A,'Pending Returns'!O:O,"NOT_FOUND")</f>
        <v>NOT_FOUND</v>
      </c>
    </row>
    <row r="670" spans="1:17" x14ac:dyDescent="0.3">
      <c r="A670" s="1">
        <v>46177</v>
      </c>
      <c r="B670" t="s">
        <v>256</v>
      </c>
      <c r="C670" t="s">
        <v>1031</v>
      </c>
      <c r="D670" t="s">
        <v>1032</v>
      </c>
      <c r="E670" t="s">
        <v>8</v>
      </c>
      <c r="F670" t="s">
        <v>10</v>
      </c>
      <c r="G670" s="16">
        <v>3608.22</v>
      </c>
      <c r="H670" s="16">
        <v>4149.4530000000004</v>
      </c>
      <c r="I670" s="1">
        <v>46177</v>
      </c>
      <c r="J670">
        <v>82</v>
      </c>
      <c r="K670" t="s">
        <v>2456</v>
      </c>
      <c r="L670" t="s">
        <v>3885</v>
      </c>
      <c r="M670">
        <v>10</v>
      </c>
      <c r="N670">
        <v>7</v>
      </c>
      <c r="O670" t="s">
        <v>1036</v>
      </c>
      <c r="P670" s="17"/>
      <c r="Q670" s="17" t="str">
        <f>_xlfn.XLOOKUP(Table2[[#This Row],[buyFromVendorNo]],'Next Day Scheduled'!A:A,'Pending Returns'!O:O,"NOT_FOUND")</f>
        <v>Pending for Collection</v>
      </c>
    </row>
    <row r="671" spans="1:17" x14ac:dyDescent="0.3">
      <c r="A671" s="1">
        <v>46177</v>
      </c>
      <c r="B671" t="s">
        <v>1858</v>
      </c>
      <c r="C671" t="s">
        <v>84</v>
      </c>
      <c r="D671" t="s">
        <v>85</v>
      </c>
      <c r="E671" t="s">
        <v>8</v>
      </c>
      <c r="F671" t="s">
        <v>10</v>
      </c>
      <c r="G671" s="16">
        <v>5218.2209999999995</v>
      </c>
      <c r="H671" s="16">
        <v>6000.9546</v>
      </c>
      <c r="I671" s="1">
        <v>46160</v>
      </c>
      <c r="J671">
        <v>82</v>
      </c>
      <c r="K671" t="s">
        <v>1859</v>
      </c>
      <c r="L671" t="s">
        <v>3835</v>
      </c>
      <c r="M671">
        <v>12</v>
      </c>
      <c r="N671">
        <v>2</v>
      </c>
      <c r="O671" t="s">
        <v>1036</v>
      </c>
      <c r="P671" s="17"/>
      <c r="Q671" s="17" t="str">
        <f>_xlfn.XLOOKUP(Table2[[#This Row],[buyFromVendorNo]],'Next Day Scheduled'!A:A,'Pending Returns'!O:O,"NOT_FOUND")</f>
        <v>NOT_FOUND</v>
      </c>
    </row>
    <row r="672" spans="1:17" x14ac:dyDescent="0.3">
      <c r="A672" s="1">
        <v>46177</v>
      </c>
      <c r="B672" t="s">
        <v>2546</v>
      </c>
      <c r="C672" t="s">
        <v>358</v>
      </c>
      <c r="D672" t="s">
        <v>359</v>
      </c>
      <c r="E672" t="s">
        <v>8</v>
      </c>
      <c r="F672" t="s">
        <v>38</v>
      </c>
      <c r="G672" s="16">
        <v>1711.5</v>
      </c>
      <c r="H672" s="16">
        <v>1968.2249999999999</v>
      </c>
      <c r="I672" s="1">
        <v>46177</v>
      </c>
      <c r="J672">
        <v>82</v>
      </c>
      <c r="K672" t="s">
        <v>2547</v>
      </c>
      <c r="L672" t="s">
        <v>3836</v>
      </c>
      <c r="M672">
        <v>8</v>
      </c>
      <c r="N672">
        <v>1</v>
      </c>
      <c r="O672" t="s">
        <v>1036</v>
      </c>
      <c r="P672" s="17"/>
      <c r="Q672" s="17" t="str">
        <f>_xlfn.XLOOKUP(Table2[[#This Row],[buyFromVendorNo]],'Next Day Scheduled'!A:A,'Pending Returns'!O:O,"NOT_FOUND")</f>
        <v>NOT_FOUND</v>
      </c>
    </row>
    <row r="673" spans="1:17" x14ac:dyDescent="0.3">
      <c r="A673" s="1">
        <v>46177</v>
      </c>
      <c r="B673" t="s">
        <v>3490</v>
      </c>
      <c r="C673" t="s">
        <v>2193</v>
      </c>
      <c r="D673" t="s">
        <v>2482</v>
      </c>
      <c r="E673" t="s">
        <v>8</v>
      </c>
      <c r="F673" t="s">
        <v>10</v>
      </c>
      <c r="G673" s="16">
        <v>1202.9143999999999</v>
      </c>
      <c r="H673" s="16">
        <v>1273.5264999999999</v>
      </c>
      <c r="I673" s="1">
        <v>46177</v>
      </c>
      <c r="J673">
        <v>82</v>
      </c>
      <c r="K673" t="s">
        <v>3491</v>
      </c>
      <c r="L673" t="s">
        <v>3892</v>
      </c>
      <c r="M673">
        <v>7</v>
      </c>
      <c r="N673">
        <v>1</v>
      </c>
      <c r="O673" t="s">
        <v>1036</v>
      </c>
      <c r="P673" s="17"/>
      <c r="Q673" s="17" t="str">
        <f>_xlfn.XLOOKUP(Table2[[#This Row],[buyFromVendorNo]],'Next Day Scheduled'!A:A,'Pending Returns'!O:O,"NOT_FOUND")</f>
        <v>NOT_FOUND</v>
      </c>
    </row>
    <row r="674" spans="1:17" x14ac:dyDescent="0.3">
      <c r="A674" s="1">
        <v>46177</v>
      </c>
      <c r="B674" t="s">
        <v>353</v>
      </c>
      <c r="C674" t="s">
        <v>181</v>
      </c>
      <c r="D674" t="s">
        <v>182</v>
      </c>
      <c r="E674" t="s">
        <v>8</v>
      </c>
      <c r="F674" t="s">
        <v>10</v>
      </c>
      <c r="G674" s="16">
        <v>6922.1940000000004</v>
      </c>
      <c r="H674" s="16">
        <v>7960.5230000000001</v>
      </c>
      <c r="I674" s="1">
        <v>46151</v>
      </c>
      <c r="J674">
        <v>82</v>
      </c>
      <c r="K674" t="s">
        <v>354</v>
      </c>
      <c r="L674" t="s">
        <v>3757</v>
      </c>
      <c r="M674">
        <v>17</v>
      </c>
      <c r="N674">
        <v>2</v>
      </c>
      <c r="O674" t="s">
        <v>1036</v>
      </c>
      <c r="P674" s="17"/>
      <c r="Q674" s="17" t="str">
        <f>_xlfn.XLOOKUP(Table2[[#This Row],[buyFromVendorNo]],'Next Day Scheduled'!A:A,'Pending Returns'!O:O,"NOT_FOUND")</f>
        <v>NOT_FOUND</v>
      </c>
    </row>
    <row r="675" spans="1:17" x14ac:dyDescent="0.3">
      <c r="A675" s="1">
        <v>46177</v>
      </c>
      <c r="B675" t="s">
        <v>2812</v>
      </c>
      <c r="C675" t="s">
        <v>2625</v>
      </c>
      <c r="D675" t="s">
        <v>2626</v>
      </c>
      <c r="E675" t="s">
        <v>8</v>
      </c>
      <c r="F675" t="s">
        <v>10</v>
      </c>
      <c r="G675" s="16">
        <v>17204.64</v>
      </c>
      <c r="H675" s="16">
        <v>19785.335999999999</v>
      </c>
      <c r="I675" s="1">
        <v>46177</v>
      </c>
      <c r="J675">
        <v>82</v>
      </c>
      <c r="K675" t="s">
        <v>2813</v>
      </c>
      <c r="L675" t="s">
        <v>3918</v>
      </c>
      <c r="M675">
        <v>0</v>
      </c>
      <c r="N675">
        <v>304</v>
      </c>
      <c r="O675" t="s">
        <v>1036</v>
      </c>
      <c r="P675" s="17"/>
      <c r="Q675" s="17" t="str">
        <f>_xlfn.XLOOKUP(Table2[[#This Row],[buyFromVendorNo]],'Next Day Scheduled'!A:A,'Pending Returns'!O:O,"NOT_FOUND")</f>
        <v>NOT_FOUND</v>
      </c>
    </row>
    <row r="676" spans="1:17" x14ac:dyDescent="0.3">
      <c r="A676" s="1">
        <v>46177</v>
      </c>
      <c r="B676" t="s">
        <v>440</v>
      </c>
      <c r="C676" t="s">
        <v>1031</v>
      </c>
      <c r="D676" t="s">
        <v>1032</v>
      </c>
      <c r="E676" t="s">
        <v>8</v>
      </c>
      <c r="F676" t="s">
        <v>38</v>
      </c>
      <c r="G676" s="16">
        <v>14849.22</v>
      </c>
      <c r="H676" s="16">
        <v>17076.603999999999</v>
      </c>
      <c r="I676" s="1">
        <v>46177</v>
      </c>
      <c r="J676">
        <v>82</v>
      </c>
      <c r="K676" t="s">
        <v>2087</v>
      </c>
      <c r="L676" t="s">
        <v>3837</v>
      </c>
      <c r="M676">
        <v>10</v>
      </c>
      <c r="N676">
        <v>7</v>
      </c>
      <c r="O676" t="s">
        <v>1036</v>
      </c>
      <c r="P676" s="17"/>
      <c r="Q676" s="17" t="str">
        <f>_xlfn.XLOOKUP(Table2[[#This Row],[buyFromVendorNo]],'Next Day Scheduled'!A:A,'Pending Returns'!O:O,"NOT_FOUND")</f>
        <v>Pending for Collection</v>
      </c>
    </row>
    <row r="677" spans="1:17" x14ac:dyDescent="0.3">
      <c r="A677" s="1">
        <v>46177</v>
      </c>
      <c r="B677" t="s">
        <v>3596</v>
      </c>
      <c r="C677" t="s">
        <v>1945</v>
      </c>
      <c r="D677" t="s">
        <v>1946</v>
      </c>
      <c r="E677" t="s">
        <v>8</v>
      </c>
      <c r="F677" t="s">
        <v>169</v>
      </c>
      <c r="G677" s="16">
        <v>72.916650000000004</v>
      </c>
      <c r="H677" s="16">
        <v>83.854150000000004</v>
      </c>
      <c r="I677" s="1">
        <v>46175</v>
      </c>
      <c r="J677">
        <v>82</v>
      </c>
      <c r="K677" t="s">
        <v>3597</v>
      </c>
      <c r="L677" t="s">
        <v>3862</v>
      </c>
      <c r="M677">
        <v>9</v>
      </c>
      <c r="N677">
        <v>6</v>
      </c>
      <c r="O677" t="s">
        <v>1036</v>
      </c>
      <c r="P677" s="17"/>
      <c r="Q677" s="17" t="str">
        <f>_xlfn.XLOOKUP(Table2[[#This Row],[buyFromVendorNo]],'Next Day Scheduled'!A:A,'Pending Returns'!O:O,"NOT_FOUND")</f>
        <v>Posted Credit Note</v>
      </c>
    </row>
    <row r="678" spans="1:17" x14ac:dyDescent="0.3">
      <c r="A678" s="1">
        <v>46177</v>
      </c>
      <c r="B678" t="s">
        <v>3375</v>
      </c>
      <c r="C678" t="s">
        <v>798</v>
      </c>
      <c r="D678" t="s">
        <v>799</v>
      </c>
      <c r="E678" t="s">
        <v>8</v>
      </c>
      <c r="F678" t="s">
        <v>10</v>
      </c>
      <c r="G678" s="16">
        <v>1023</v>
      </c>
      <c r="H678" s="16">
        <v>1176.45</v>
      </c>
      <c r="I678" s="1">
        <v>46177</v>
      </c>
      <c r="J678">
        <v>82</v>
      </c>
      <c r="K678" t="s">
        <v>3376</v>
      </c>
      <c r="L678" t="s">
        <v>3861</v>
      </c>
      <c r="M678">
        <v>10</v>
      </c>
      <c r="N678">
        <v>9</v>
      </c>
      <c r="O678" t="s">
        <v>1036</v>
      </c>
      <c r="P678" s="17"/>
      <c r="Q678" s="17" t="str">
        <f>_xlfn.XLOOKUP(Table2[[#This Row],[buyFromVendorNo]],'Next Day Scheduled'!A:A,'Pending Returns'!O:O,"NOT_FOUND")</f>
        <v>NOT_FOUND</v>
      </c>
    </row>
    <row r="679" spans="1:17" x14ac:dyDescent="0.3">
      <c r="A679" s="1">
        <v>46177</v>
      </c>
      <c r="B679" t="s">
        <v>390</v>
      </c>
      <c r="C679" t="s">
        <v>86</v>
      </c>
      <c r="D679" t="s">
        <v>87</v>
      </c>
      <c r="E679" t="s">
        <v>8</v>
      </c>
      <c r="F679" t="s">
        <v>38</v>
      </c>
      <c r="G679" s="16">
        <v>48847.8</v>
      </c>
      <c r="H679" s="16">
        <v>56174.97</v>
      </c>
      <c r="I679" s="1">
        <v>46153</v>
      </c>
      <c r="J679">
        <v>82</v>
      </c>
      <c r="K679" t="s">
        <v>335</v>
      </c>
      <c r="L679" t="s">
        <v>3931</v>
      </c>
      <c r="M679">
        <v>0</v>
      </c>
      <c r="N679">
        <v>297</v>
      </c>
      <c r="O679" t="s">
        <v>1036</v>
      </c>
      <c r="P679" s="17"/>
      <c r="Q679" s="17" t="str">
        <f>_xlfn.XLOOKUP(Table2[[#This Row],[buyFromVendorNo]],'Next Day Scheduled'!A:A,'Pending Returns'!O:O,"NOT_FOUND")</f>
        <v>NOT_FOUND</v>
      </c>
    </row>
    <row r="680" spans="1:17" x14ac:dyDescent="0.3">
      <c r="A680" s="1">
        <v>46177</v>
      </c>
      <c r="B680" t="s">
        <v>3065</v>
      </c>
      <c r="C680" t="s">
        <v>941</v>
      </c>
      <c r="D680" t="s">
        <v>942</v>
      </c>
      <c r="E680" t="s">
        <v>8</v>
      </c>
      <c r="F680" t="s">
        <v>38</v>
      </c>
      <c r="G680" s="16">
        <v>16509.62</v>
      </c>
      <c r="H680" s="16">
        <v>18986.062000000002</v>
      </c>
      <c r="I680" s="1">
        <v>46177</v>
      </c>
      <c r="J680">
        <v>82</v>
      </c>
      <c r="K680" t="s">
        <v>3066</v>
      </c>
      <c r="L680" t="s">
        <v>3875</v>
      </c>
      <c r="M680">
        <v>12</v>
      </c>
      <c r="N680">
        <v>1</v>
      </c>
      <c r="O680" t="s">
        <v>1036</v>
      </c>
      <c r="P680" s="17"/>
      <c r="Q680" s="17" t="str">
        <f>_xlfn.XLOOKUP(Table2[[#This Row],[buyFromVendorNo]],'Next Day Scheduled'!A:A,'Pending Returns'!O:O,"NOT_FOUND")</f>
        <v>NOT_FOUND</v>
      </c>
    </row>
    <row r="681" spans="1:17" x14ac:dyDescent="0.3">
      <c r="A681" s="1">
        <v>46177</v>
      </c>
      <c r="B681" t="s">
        <v>392</v>
      </c>
      <c r="C681" t="s">
        <v>73</v>
      </c>
      <c r="D681" t="s">
        <v>74</v>
      </c>
      <c r="E681" t="s">
        <v>8</v>
      </c>
      <c r="F681" t="s">
        <v>10</v>
      </c>
      <c r="G681" s="16">
        <v>1986.1632999999999</v>
      </c>
      <c r="H681" s="16">
        <v>2284.0880000000002</v>
      </c>
      <c r="I681" s="1">
        <v>46151</v>
      </c>
      <c r="J681">
        <v>82</v>
      </c>
      <c r="K681" t="s">
        <v>371</v>
      </c>
      <c r="L681" t="s">
        <v>3876</v>
      </c>
      <c r="M681">
        <v>44</v>
      </c>
      <c r="N681">
        <v>1</v>
      </c>
      <c r="O681" t="s">
        <v>1036</v>
      </c>
      <c r="P681" s="17"/>
      <c r="Q681" s="17" t="str">
        <f>_xlfn.XLOOKUP(Table2[[#This Row],[buyFromVendorNo]],'Next Day Scheduled'!A:A,'Pending Returns'!O:O,"NOT_FOUND")</f>
        <v>NOT_FOUND</v>
      </c>
    </row>
    <row r="682" spans="1:17" x14ac:dyDescent="0.3">
      <c r="A682" s="1">
        <v>46179</v>
      </c>
      <c r="B682" t="s">
        <v>285</v>
      </c>
      <c r="C682" t="s">
        <v>65</v>
      </c>
      <c r="D682" t="s">
        <v>66</v>
      </c>
      <c r="E682" t="s">
        <v>8</v>
      </c>
      <c r="F682" t="s">
        <v>10</v>
      </c>
      <c r="G682" s="16">
        <v>3308.7507000000001</v>
      </c>
      <c r="H682" s="16">
        <v>3805.0632000000001</v>
      </c>
      <c r="I682" s="1">
        <v>46177</v>
      </c>
      <c r="J682">
        <v>80</v>
      </c>
      <c r="K682" t="s">
        <v>2176</v>
      </c>
      <c r="L682" t="s">
        <v>4055</v>
      </c>
      <c r="M682">
        <v>27</v>
      </c>
      <c r="N682">
        <v>5</v>
      </c>
      <c r="O682" t="s">
        <v>1036</v>
      </c>
      <c r="P682" s="17"/>
      <c r="Q682" s="17" t="str">
        <f>_xlfn.XLOOKUP(Table2[[#This Row],[buyFromVendorNo]],'Next Day Scheduled'!A:A,'Pending Returns'!O:O,"NOT_FOUND")</f>
        <v>Posted Credit Note</v>
      </c>
    </row>
    <row r="683" spans="1:17" x14ac:dyDescent="0.3">
      <c r="A683" s="1">
        <v>46179</v>
      </c>
      <c r="B683" t="s">
        <v>395</v>
      </c>
      <c r="C683" t="s">
        <v>93</v>
      </c>
      <c r="D683" t="s">
        <v>94</v>
      </c>
      <c r="E683" t="s">
        <v>8</v>
      </c>
      <c r="F683" t="s">
        <v>38</v>
      </c>
      <c r="G683" s="16">
        <v>37637.17</v>
      </c>
      <c r="H683" s="16">
        <v>43282.745999999999</v>
      </c>
      <c r="I683" s="1">
        <v>46177</v>
      </c>
      <c r="J683">
        <v>80</v>
      </c>
      <c r="K683" t="s">
        <v>365</v>
      </c>
      <c r="L683" t="s">
        <v>4039</v>
      </c>
      <c r="M683">
        <v>6</v>
      </c>
      <c r="N683">
        <v>6</v>
      </c>
      <c r="O683" t="s">
        <v>1036</v>
      </c>
      <c r="P683" s="17"/>
      <c r="Q683" s="17" t="str">
        <f>_xlfn.XLOOKUP(Table2[[#This Row],[buyFromVendorNo]],'Next Day Scheduled'!A:A,'Pending Returns'!O:O,"NOT_FOUND")</f>
        <v>Posted Credit Note</v>
      </c>
    </row>
    <row r="684" spans="1:17" x14ac:dyDescent="0.3">
      <c r="A684" s="1">
        <v>46179</v>
      </c>
      <c r="B684" t="s">
        <v>2921</v>
      </c>
      <c r="C684" t="s">
        <v>93</v>
      </c>
      <c r="D684" t="s">
        <v>94</v>
      </c>
      <c r="E684" t="s">
        <v>8</v>
      </c>
      <c r="F684" t="s">
        <v>38</v>
      </c>
      <c r="G684" s="16">
        <v>16200.24</v>
      </c>
      <c r="H684" s="16">
        <v>18630.275000000001</v>
      </c>
      <c r="I684" s="1">
        <v>46177</v>
      </c>
      <c r="J684">
        <v>80</v>
      </c>
      <c r="K684" t="s">
        <v>2922</v>
      </c>
      <c r="L684" t="s">
        <v>4059</v>
      </c>
      <c r="M684">
        <v>6</v>
      </c>
      <c r="N684">
        <v>6</v>
      </c>
      <c r="O684" t="s">
        <v>1036</v>
      </c>
      <c r="P684" s="17"/>
      <c r="Q684" s="17" t="str">
        <f>_xlfn.XLOOKUP(Table2[[#This Row],[buyFromVendorNo]],'Next Day Scheduled'!A:A,'Pending Returns'!O:O,"NOT_FOUND")</f>
        <v>Posted Credit Note</v>
      </c>
    </row>
    <row r="685" spans="1:17" x14ac:dyDescent="0.3">
      <c r="A685" s="1">
        <v>46179</v>
      </c>
      <c r="B685" t="s">
        <v>3040</v>
      </c>
      <c r="C685" t="s">
        <v>2355</v>
      </c>
      <c r="D685" t="s">
        <v>2356</v>
      </c>
      <c r="E685" t="s">
        <v>8</v>
      </c>
      <c r="F685" t="s">
        <v>10</v>
      </c>
      <c r="G685" s="16">
        <v>891.71</v>
      </c>
      <c r="H685" s="16">
        <v>1025.4666</v>
      </c>
      <c r="I685" s="1">
        <v>46174</v>
      </c>
      <c r="J685">
        <v>80</v>
      </c>
      <c r="K685" t="s">
        <v>3041</v>
      </c>
      <c r="L685" t="s">
        <v>4062</v>
      </c>
      <c r="M685">
        <v>11</v>
      </c>
      <c r="N685">
        <v>7</v>
      </c>
      <c r="O685" t="s">
        <v>1036</v>
      </c>
      <c r="P685" s="17"/>
      <c r="Q685" s="17" t="str">
        <f>_xlfn.XLOOKUP(Table2[[#This Row],[buyFromVendorNo]],'Next Day Scheduled'!A:A,'Pending Returns'!O:O,"NOT_FOUND")</f>
        <v>Posted Credit Note</v>
      </c>
    </row>
    <row r="686" spans="1:17" x14ac:dyDescent="0.3">
      <c r="A686" s="1">
        <v>46179</v>
      </c>
      <c r="B686" t="s">
        <v>2131</v>
      </c>
      <c r="C686" t="s">
        <v>93</v>
      </c>
      <c r="D686" t="s">
        <v>94</v>
      </c>
      <c r="E686" t="s">
        <v>8</v>
      </c>
      <c r="F686" t="s">
        <v>38</v>
      </c>
      <c r="G686" s="16">
        <v>11756.134</v>
      </c>
      <c r="H686" s="16">
        <v>13519.554</v>
      </c>
      <c r="I686" s="1">
        <v>46177</v>
      </c>
      <c r="J686">
        <v>80</v>
      </c>
      <c r="K686" t="s">
        <v>2132</v>
      </c>
      <c r="L686" t="s">
        <v>4101</v>
      </c>
      <c r="M686">
        <v>6</v>
      </c>
      <c r="N686">
        <v>6</v>
      </c>
      <c r="O686" t="s">
        <v>1036</v>
      </c>
      <c r="P686" s="17"/>
      <c r="Q686" s="17" t="str">
        <f>_xlfn.XLOOKUP(Table2[[#This Row],[buyFromVendorNo]],'Next Day Scheduled'!A:A,'Pending Returns'!O:O,"NOT_FOUND")</f>
        <v>Posted Credit Note</v>
      </c>
    </row>
    <row r="687" spans="1:17" x14ac:dyDescent="0.3">
      <c r="A687" s="1">
        <v>46179</v>
      </c>
      <c r="B687" t="s">
        <v>2127</v>
      </c>
      <c r="C687" t="s">
        <v>1643</v>
      </c>
      <c r="D687" t="s">
        <v>1644</v>
      </c>
      <c r="E687" t="s">
        <v>8</v>
      </c>
      <c r="F687" t="s">
        <v>38</v>
      </c>
      <c r="G687" s="16">
        <v>5762.7759999999998</v>
      </c>
      <c r="H687" s="16">
        <v>6627.1923999999999</v>
      </c>
      <c r="I687" s="1">
        <v>46177</v>
      </c>
      <c r="J687">
        <v>80</v>
      </c>
      <c r="K687" t="s">
        <v>2128</v>
      </c>
      <c r="L687" t="s">
        <v>4068</v>
      </c>
      <c r="M687">
        <v>12</v>
      </c>
      <c r="N687">
        <v>2</v>
      </c>
      <c r="O687" t="s">
        <v>1036</v>
      </c>
      <c r="P687" s="17"/>
      <c r="Q687" s="17" t="str">
        <f>_xlfn.XLOOKUP(Table2[[#This Row],[buyFromVendorNo]],'Next Day Scheduled'!A:A,'Pending Returns'!O:O,"NOT_FOUND")</f>
        <v>NOT_FOUND</v>
      </c>
    </row>
    <row r="688" spans="1:17" x14ac:dyDescent="0.3">
      <c r="A688" s="1">
        <v>46179</v>
      </c>
      <c r="B688" t="s">
        <v>3439</v>
      </c>
      <c r="C688" t="s">
        <v>865</v>
      </c>
      <c r="D688" t="s">
        <v>866</v>
      </c>
      <c r="E688" t="s">
        <v>8</v>
      </c>
      <c r="F688" t="s">
        <v>10</v>
      </c>
      <c r="G688" s="16">
        <v>982.74779999999998</v>
      </c>
      <c r="H688" s="16">
        <v>1130.1599000000001</v>
      </c>
      <c r="I688" s="1">
        <v>46177</v>
      </c>
      <c r="J688">
        <v>80</v>
      </c>
      <c r="K688" t="s">
        <v>3680</v>
      </c>
      <c r="L688" t="s">
        <v>4040</v>
      </c>
      <c r="M688">
        <v>11</v>
      </c>
      <c r="N688">
        <v>7</v>
      </c>
      <c r="O688" t="s">
        <v>1036</v>
      </c>
      <c r="P688" s="17"/>
      <c r="Q688" s="17" t="str">
        <f>_xlfn.XLOOKUP(Table2[[#This Row],[buyFromVendorNo]],'Next Day Scheduled'!A:A,'Pending Returns'!O:O,"NOT_FOUND")</f>
        <v>Posted Credit Note</v>
      </c>
    </row>
    <row r="689" spans="1:17" x14ac:dyDescent="0.3">
      <c r="A689" s="1">
        <v>46179</v>
      </c>
      <c r="B689" t="s">
        <v>706</v>
      </c>
      <c r="C689" t="s">
        <v>2497</v>
      </c>
      <c r="D689" t="s">
        <v>2498</v>
      </c>
      <c r="E689" t="s">
        <v>8</v>
      </c>
      <c r="F689" t="s">
        <v>10</v>
      </c>
      <c r="G689" s="16">
        <v>2997</v>
      </c>
      <c r="H689" s="16">
        <v>3446.55</v>
      </c>
      <c r="I689" s="1">
        <v>46175</v>
      </c>
      <c r="J689">
        <v>80</v>
      </c>
      <c r="K689" t="s">
        <v>2983</v>
      </c>
      <c r="L689" t="s">
        <v>4041</v>
      </c>
      <c r="M689">
        <v>9</v>
      </c>
      <c r="N689">
        <v>7</v>
      </c>
      <c r="O689" t="s">
        <v>1036</v>
      </c>
      <c r="P689" s="17"/>
      <c r="Q689" s="17" t="str">
        <f>_xlfn.XLOOKUP(Table2[[#This Row],[buyFromVendorNo]],'Next Day Scheduled'!A:A,'Pending Returns'!O:O,"NOT_FOUND")</f>
        <v>Posted Credit Note</v>
      </c>
    </row>
    <row r="690" spans="1:17" x14ac:dyDescent="0.3">
      <c r="A690" s="1">
        <v>46179</v>
      </c>
      <c r="B690" t="s">
        <v>248</v>
      </c>
      <c r="C690" t="s">
        <v>2930</v>
      </c>
      <c r="D690" t="s">
        <v>2931</v>
      </c>
      <c r="E690" t="s">
        <v>8</v>
      </c>
      <c r="F690" t="s">
        <v>10</v>
      </c>
      <c r="G690" s="16">
        <v>104.28</v>
      </c>
      <c r="H690" s="16">
        <v>119.922</v>
      </c>
      <c r="I690" s="1">
        <v>46179</v>
      </c>
      <c r="J690">
        <v>80</v>
      </c>
      <c r="K690" t="s">
        <v>2932</v>
      </c>
      <c r="L690" t="s">
        <v>3944</v>
      </c>
      <c r="M690">
        <v>0</v>
      </c>
      <c r="N690">
        <v>191</v>
      </c>
      <c r="O690" t="s">
        <v>1036</v>
      </c>
      <c r="P690" s="17"/>
      <c r="Q690" s="17" t="str">
        <f>_xlfn.XLOOKUP(Table2[[#This Row],[buyFromVendorNo]],'Next Day Scheduled'!A:A,'Pending Returns'!O:O,"NOT_FOUND")</f>
        <v>NOT_FOUND</v>
      </c>
    </row>
    <row r="691" spans="1:17" x14ac:dyDescent="0.3">
      <c r="A691" s="1">
        <v>46179</v>
      </c>
      <c r="B691" t="s">
        <v>1540</v>
      </c>
      <c r="C691" t="s">
        <v>1770</v>
      </c>
      <c r="D691" t="s">
        <v>1771</v>
      </c>
      <c r="E691" t="s">
        <v>8</v>
      </c>
      <c r="F691" t="s">
        <v>10</v>
      </c>
      <c r="G691" s="16">
        <v>1272</v>
      </c>
      <c r="H691" s="16">
        <v>1272</v>
      </c>
      <c r="I691" s="1">
        <v>46177</v>
      </c>
      <c r="J691">
        <v>80</v>
      </c>
      <c r="K691" t="s">
        <v>3446</v>
      </c>
      <c r="L691" t="s">
        <v>4054</v>
      </c>
      <c r="M691">
        <v>11</v>
      </c>
      <c r="N691">
        <v>3</v>
      </c>
      <c r="O691" t="s">
        <v>1036</v>
      </c>
      <c r="P691" s="17"/>
      <c r="Q691" s="17" t="str">
        <f>_xlfn.XLOOKUP(Table2[[#This Row],[buyFromVendorNo]],'Next Day Scheduled'!A:A,'Pending Returns'!O:O,"NOT_FOUND")</f>
        <v>NOT_FOUND</v>
      </c>
    </row>
    <row r="692" spans="1:17" x14ac:dyDescent="0.3">
      <c r="A692" s="1">
        <v>46179</v>
      </c>
      <c r="B692" t="s">
        <v>3368</v>
      </c>
      <c r="C692" t="s">
        <v>865</v>
      </c>
      <c r="D692" t="s">
        <v>866</v>
      </c>
      <c r="E692" t="s">
        <v>8</v>
      </c>
      <c r="F692" t="s">
        <v>10</v>
      </c>
      <c r="G692" s="16">
        <v>793.1</v>
      </c>
      <c r="H692" s="16">
        <v>912.06500000000005</v>
      </c>
      <c r="I692" s="1">
        <v>46177</v>
      </c>
      <c r="J692">
        <v>80</v>
      </c>
      <c r="K692" t="s">
        <v>3232</v>
      </c>
      <c r="L692" t="s">
        <v>4042</v>
      </c>
      <c r="M692">
        <v>11</v>
      </c>
      <c r="N692">
        <v>7</v>
      </c>
      <c r="O692" t="s">
        <v>1036</v>
      </c>
      <c r="P692" s="17"/>
      <c r="Q692" s="17" t="str">
        <f>_xlfn.XLOOKUP(Table2[[#This Row],[buyFromVendorNo]],'Next Day Scheduled'!A:A,'Pending Returns'!O:O,"NOT_FOUND")</f>
        <v>Posted Credit Note</v>
      </c>
    </row>
    <row r="693" spans="1:17" x14ac:dyDescent="0.3">
      <c r="A693" s="1">
        <v>46179</v>
      </c>
      <c r="B693" t="s">
        <v>4093</v>
      </c>
      <c r="C693" t="s">
        <v>253</v>
      </c>
      <c r="D693" t="s">
        <v>254</v>
      </c>
      <c r="E693" t="s">
        <v>8</v>
      </c>
      <c r="F693" t="s">
        <v>38</v>
      </c>
      <c r="G693" s="16">
        <v>90</v>
      </c>
      <c r="H693" s="16">
        <v>103.5</v>
      </c>
      <c r="J693">
        <v>80</v>
      </c>
      <c r="K693" t="s">
        <v>4094</v>
      </c>
      <c r="M693">
        <v>0</v>
      </c>
      <c r="N693">
        <v>313</v>
      </c>
      <c r="O693" t="s">
        <v>216</v>
      </c>
      <c r="P693" s="17"/>
      <c r="Q693" s="17" t="str">
        <f>_xlfn.XLOOKUP(Table2[[#This Row],[buyFromVendorNo]],'Next Day Scheduled'!A:A,'Pending Returns'!O:O,"NOT_FOUND")</f>
        <v>NOT_FOUND</v>
      </c>
    </row>
    <row r="694" spans="1:17" x14ac:dyDescent="0.3">
      <c r="A694" s="1">
        <v>46179</v>
      </c>
      <c r="B694" t="s">
        <v>2954</v>
      </c>
      <c r="C694" t="s">
        <v>2955</v>
      </c>
      <c r="D694" t="s">
        <v>2956</v>
      </c>
      <c r="E694" t="s">
        <v>8</v>
      </c>
      <c r="F694" t="s">
        <v>10</v>
      </c>
      <c r="G694" s="16">
        <v>11398.11</v>
      </c>
      <c r="H694" s="16">
        <v>13107.825999999999</v>
      </c>
      <c r="I694" s="1">
        <v>46175</v>
      </c>
      <c r="J694">
        <v>80</v>
      </c>
      <c r="K694" t="s">
        <v>2957</v>
      </c>
      <c r="L694" t="s">
        <v>4095</v>
      </c>
      <c r="M694">
        <v>9</v>
      </c>
      <c r="N694">
        <v>1</v>
      </c>
      <c r="O694" t="s">
        <v>1036</v>
      </c>
      <c r="P694" s="17"/>
      <c r="Q694" s="17" t="str">
        <f>_xlfn.XLOOKUP(Table2[[#This Row],[buyFromVendorNo]],'Next Day Scheduled'!A:A,'Pending Returns'!O:O,"NOT_FOUND")</f>
        <v>NOT_FOUND</v>
      </c>
    </row>
    <row r="695" spans="1:17" x14ac:dyDescent="0.3">
      <c r="A695" s="1">
        <v>46179</v>
      </c>
      <c r="B695" t="s">
        <v>3352</v>
      </c>
      <c r="C695" t="s">
        <v>798</v>
      </c>
      <c r="D695" t="s">
        <v>799</v>
      </c>
      <c r="E695" t="s">
        <v>8</v>
      </c>
      <c r="F695" t="s">
        <v>10</v>
      </c>
      <c r="G695" s="16">
        <v>54.95</v>
      </c>
      <c r="H695" s="16">
        <v>63.192500000000003</v>
      </c>
      <c r="I695" s="1">
        <v>46179</v>
      </c>
      <c r="J695">
        <v>80</v>
      </c>
      <c r="K695" t="s">
        <v>3205</v>
      </c>
      <c r="L695" t="s">
        <v>4081</v>
      </c>
      <c r="M695">
        <v>10</v>
      </c>
      <c r="N695">
        <v>9</v>
      </c>
      <c r="O695" t="s">
        <v>1036</v>
      </c>
      <c r="P695" s="17"/>
      <c r="Q695" s="17" t="str">
        <f>_xlfn.XLOOKUP(Table2[[#This Row],[buyFromVendorNo]],'Next Day Scheduled'!A:A,'Pending Returns'!O:O,"NOT_FOUND")</f>
        <v>NOT_FOUND</v>
      </c>
    </row>
    <row r="696" spans="1:17" x14ac:dyDescent="0.3">
      <c r="A696" s="1">
        <v>46179</v>
      </c>
      <c r="B696" t="s">
        <v>3890</v>
      </c>
      <c r="C696" t="s">
        <v>2254</v>
      </c>
      <c r="D696" t="s">
        <v>2255</v>
      </c>
      <c r="E696" t="s">
        <v>8</v>
      </c>
      <c r="F696" t="s">
        <v>10</v>
      </c>
      <c r="G696" s="16">
        <v>105</v>
      </c>
      <c r="H696" s="16">
        <v>120.75</v>
      </c>
      <c r="I696" s="1">
        <v>46179</v>
      </c>
      <c r="J696">
        <v>80</v>
      </c>
      <c r="K696" t="s">
        <v>3891</v>
      </c>
      <c r="L696" t="s">
        <v>4099</v>
      </c>
      <c r="M696">
        <v>2</v>
      </c>
      <c r="N696">
        <v>15</v>
      </c>
      <c r="O696" t="s">
        <v>1036</v>
      </c>
      <c r="P696" s="17"/>
      <c r="Q696" s="17" t="str">
        <f>_xlfn.XLOOKUP(Table2[[#This Row],[buyFromVendorNo]],'Next Day Scheduled'!A:A,'Pending Returns'!O:O,"NOT_FOUND")</f>
        <v>NOT_FOUND</v>
      </c>
    </row>
    <row r="697" spans="1:17" x14ac:dyDescent="0.3">
      <c r="A697" s="1">
        <v>46179</v>
      </c>
      <c r="B697" t="s">
        <v>2090</v>
      </c>
      <c r="C697" t="s">
        <v>93</v>
      </c>
      <c r="D697" t="s">
        <v>94</v>
      </c>
      <c r="E697" t="s">
        <v>8</v>
      </c>
      <c r="F697" t="s">
        <v>38</v>
      </c>
      <c r="G697" s="16">
        <v>17289.66</v>
      </c>
      <c r="H697" s="16">
        <v>19883.11</v>
      </c>
      <c r="I697" s="1">
        <v>46177</v>
      </c>
      <c r="J697">
        <v>80</v>
      </c>
      <c r="K697" t="s">
        <v>2091</v>
      </c>
      <c r="L697" t="s">
        <v>4066</v>
      </c>
      <c r="M697">
        <v>6</v>
      </c>
      <c r="N697">
        <v>6</v>
      </c>
      <c r="O697" t="s">
        <v>1036</v>
      </c>
      <c r="P697" s="17"/>
      <c r="Q697" s="17" t="str">
        <f>_xlfn.XLOOKUP(Table2[[#This Row],[buyFromVendorNo]],'Next Day Scheduled'!A:A,'Pending Returns'!O:O,"NOT_FOUND")</f>
        <v>Posted Credit Note</v>
      </c>
    </row>
    <row r="698" spans="1:17" x14ac:dyDescent="0.3">
      <c r="A698" s="1">
        <v>46179</v>
      </c>
      <c r="B698" t="s">
        <v>447</v>
      </c>
      <c r="C698" t="s">
        <v>1643</v>
      </c>
      <c r="D698" t="s">
        <v>1644</v>
      </c>
      <c r="E698" t="s">
        <v>8</v>
      </c>
      <c r="F698" t="s">
        <v>38</v>
      </c>
      <c r="G698" s="16">
        <v>4080.212</v>
      </c>
      <c r="H698" s="16">
        <v>4692.2437</v>
      </c>
      <c r="I698" s="1">
        <v>46177</v>
      </c>
      <c r="J698">
        <v>80</v>
      </c>
      <c r="K698" t="s">
        <v>2629</v>
      </c>
      <c r="L698" t="s">
        <v>4107</v>
      </c>
      <c r="M698">
        <v>12</v>
      </c>
      <c r="N698">
        <v>2</v>
      </c>
      <c r="O698" t="s">
        <v>1036</v>
      </c>
      <c r="P698" s="17"/>
      <c r="Q698" s="17" t="str">
        <f>_xlfn.XLOOKUP(Table2[[#This Row],[buyFromVendorNo]],'Next Day Scheduled'!A:A,'Pending Returns'!O:O,"NOT_FOUND")</f>
        <v>NOT_FOUND</v>
      </c>
    </row>
    <row r="699" spans="1:17" x14ac:dyDescent="0.3">
      <c r="A699" s="1">
        <v>46179</v>
      </c>
      <c r="B699" t="s">
        <v>224</v>
      </c>
      <c r="C699" t="s">
        <v>43</v>
      </c>
      <c r="D699" t="s">
        <v>44</v>
      </c>
      <c r="E699" t="s">
        <v>8</v>
      </c>
      <c r="F699" t="s">
        <v>38</v>
      </c>
      <c r="G699" s="16">
        <v>9136.9140000000007</v>
      </c>
      <c r="H699" s="16">
        <v>10507.45</v>
      </c>
      <c r="I699" s="1">
        <v>46176</v>
      </c>
      <c r="J699">
        <v>80</v>
      </c>
      <c r="K699" t="s">
        <v>3792</v>
      </c>
      <c r="L699" t="s">
        <v>4051</v>
      </c>
      <c r="M699">
        <v>74</v>
      </c>
      <c r="N699">
        <v>1</v>
      </c>
      <c r="O699" t="s">
        <v>1036</v>
      </c>
      <c r="P699" s="17"/>
      <c r="Q699" s="17" t="str">
        <f>_xlfn.XLOOKUP(Table2[[#This Row],[buyFromVendorNo]],'Next Day Scheduled'!A:A,'Pending Returns'!O:O,"NOT_FOUND")</f>
        <v>Posted Credit Note</v>
      </c>
    </row>
    <row r="700" spans="1:17" x14ac:dyDescent="0.3">
      <c r="A700" s="1">
        <v>46179</v>
      </c>
      <c r="B700" t="s">
        <v>560</v>
      </c>
      <c r="C700" t="s">
        <v>65</v>
      </c>
      <c r="D700" t="s">
        <v>66</v>
      </c>
      <c r="E700" t="s">
        <v>8</v>
      </c>
      <c r="F700" t="s">
        <v>10</v>
      </c>
      <c r="G700" s="16">
        <v>719.12630000000001</v>
      </c>
      <c r="H700" s="16">
        <v>826.99523999999997</v>
      </c>
      <c r="I700" s="1">
        <v>46177</v>
      </c>
      <c r="J700">
        <v>80</v>
      </c>
      <c r="K700" t="s">
        <v>3184</v>
      </c>
      <c r="L700" t="s">
        <v>4044</v>
      </c>
      <c r="M700">
        <v>27</v>
      </c>
      <c r="N700">
        <v>5</v>
      </c>
      <c r="O700" t="s">
        <v>1036</v>
      </c>
      <c r="P700" s="17"/>
      <c r="Q700" s="17" t="str">
        <f>_xlfn.XLOOKUP(Table2[[#This Row],[buyFromVendorNo]],'Next Day Scheduled'!A:A,'Pending Returns'!O:O,"NOT_FOUND")</f>
        <v>Posted Credit Note</v>
      </c>
    </row>
    <row r="701" spans="1:17" x14ac:dyDescent="0.3">
      <c r="A701" s="1">
        <v>46179</v>
      </c>
      <c r="B701" t="s">
        <v>257</v>
      </c>
      <c r="C701" t="s">
        <v>65</v>
      </c>
      <c r="D701" t="s">
        <v>66</v>
      </c>
      <c r="E701" t="s">
        <v>8</v>
      </c>
      <c r="F701" t="s">
        <v>10</v>
      </c>
      <c r="G701" s="16">
        <v>1052.9227000000001</v>
      </c>
      <c r="H701" s="16">
        <v>1210.8612000000001</v>
      </c>
      <c r="I701" s="1">
        <v>46177</v>
      </c>
      <c r="J701">
        <v>80</v>
      </c>
      <c r="K701" t="s">
        <v>2653</v>
      </c>
      <c r="L701" t="s">
        <v>4105</v>
      </c>
      <c r="M701">
        <v>27</v>
      </c>
      <c r="N701">
        <v>5</v>
      </c>
      <c r="O701" t="s">
        <v>1036</v>
      </c>
      <c r="P701" s="17"/>
      <c r="Q701" s="17" t="str">
        <f>_xlfn.XLOOKUP(Table2[[#This Row],[buyFromVendorNo]],'Next Day Scheduled'!A:A,'Pending Returns'!O:O,"NOT_FOUND")</f>
        <v>Posted Credit Note</v>
      </c>
    </row>
    <row r="702" spans="1:17" x14ac:dyDescent="0.3">
      <c r="A702" s="1">
        <v>46180</v>
      </c>
      <c r="B702" t="s">
        <v>2923</v>
      </c>
      <c r="C702" t="s">
        <v>2271</v>
      </c>
      <c r="D702" t="s">
        <v>2272</v>
      </c>
      <c r="E702" t="s">
        <v>8</v>
      </c>
      <c r="F702" t="s">
        <v>10</v>
      </c>
      <c r="G702" s="16">
        <v>943.47500000000002</v>
      </c>
      <c r="H702" s="16">
        <v>1084.9962</v>
      </c>
      <c r="I702" s="1">
        <v>46176</v>
      </c>
      <c r="J702">
        <v>79</v>
      </c>
      <c r="K702" t="s">
        <v>2924</v>
      </c>
      <c r="L702" t="s">
        <v>4186</v>
      </c>
      <c r="M702">
        <v>16</v>
      </c>
      <c r="N702">
        <v>2</v>
      </c>
      <c r="O702" t="s">
        <v>1036</v>
      </c>
      <c r="P702" s="17"/>
      <c r="Q702" s="17" t="str">
        <f>_xlfn.XLOOKUP(Table2[[#This Row],[buyFromVendorNo]],'Next Day Scheduled'!A:A,'Pending Returns'!O:O,"NOT_FOUND")</f>
        <v>NOT_FOUND</v>
      </c>
    </row>
    <row r="703" spans="1:17" x14ac:dyDescent="0.3">
      <c r="A703" s="1">
        <v>46180</v>
      </c>
      <c r="B703" t="s">
        <v>3344</v>
      </c>
      <c r="C703" t="s">
        <v>494</v>
      </c>
      <c r="D703" t="s">
        <v>495</v>
      </c>
      <c r="E703" t="s">
        <v>8</v>
      </c>
      <c r="F703" t="s">
        <v>10</v>
      </c>
      <c r="G703" s="16">
        <v>151.44</v>
      </c>
      <c r="H703" s="16">
        <v>174.15600000000001</v>
      </c>
      <c r="I703" s="1">
        <v>46177</v>
      </c>
      <c r="J703">
        <v>79</v>
      </c>
      <c r="K703" t="s">
        <v>3197</v>
      </c>
      <c r="L703" t="s">
        <v>4150</v>
      </c>
      <c r="M703">
        <v>10</v>
      </c>
      <c r="N703">
        <v>7</v>
      </c>
      <c r="O703" t="s">
        <v>1036</v>
      </c>
      <c r="P703" s="17"/>
      <c r="Q703" s="17" t="str">
        <f>_xlfn.XLOOKUP(Table2[[#This Row],[buyFromVendorNo]],'Next Day Scheduled'!A:A,'Pending Returns'!O:O,"NOT_FOUND")</f>
        <v>Posted Credit Note</v>
      </c>
    </row>
    <row r="704" spans="1:17" x14ac:dyDescent="0.3">
      <c r="A704" s="1">
        <v>46180</v>
      </c>
      <c r="B704" t="s">
        <v>225</v>
      </c>
      <c r="C704" t="s">
        <v>1020</v>
      </c>
      <c r="D704" t="s">
        <v>1021</v>
      </c>
      <c r="E704" t="s">
        <v>8</v>
      </c>
      <c r="F704" t="s">
        <v>10</v>
      </c>
      <c r="G704" s="16">
        <v>7527.5405000000001</v>
      </c>
      <c r="H704" s="16">
        <v>8656.6720000000005</v>
      </c>
      <c r="I704" s="1">
        <v>46177</v>
      </c>
      <c r="J704">
        <v>79</v>
      </c>
      <c r="K704" t="s">
        <v>2217</v>
      </c>
      <c r="L704" t="s">
        <v>4153</v>
      </c>
      <c r="M704">
        <v>12</v>
      </c>
      <c r="N704">
        <v>2</v>
      </c>
      <c r="O704" t="s">
        <v>1036</v>
      </c>
      <c r="P704" s="17"/>
      <c r="Q704" s="17" t="str">
        <f>_xlfn.XLOOKUP(Table2[[#This Row],[buyFromVendorNo]],'Next Day Scheduled'!A:A,'Pending Returns'!O:O,"NOT_FOUND")</f>
        <v>NOT_FOUND</v>
      </c>
    </row>
    <row r="705" spans="1:17" x14ac:dyDescent="0.3">
      <c r="A705" s="1">
        <v>46180</v>
      </c>
      <c r="B705" t="s">
        <v>1854</v>
      </c>
      <c r="C705" t="s">
        <v>2363</v>
      </c>
      <c r="D705" t="s">
        <v>2364</v>
      </c>
      <c r="E705" t="s">
        <v>8</v>
      </c>
      <c r="F705" t="s">
        <v>10</v>
      </c>
      <c r="G705" s="16">
        <v>2101.98</v>
      </c>
      <c r="H705" s="16">
        <v>2417.277</v>
      </c>
      <c r="I705" s="1">
        <v>46180</v>
      </c>
      <c r="J705">
        <v>79</v>
      </c>
      <c r="K705" t="s">
        <v>4100</v>
      </c>
      <c r="L705" t="s">
        <v>4152</v>
      </c>
      <c r="M705">
        <v>11</v>
      </c>
      <c r="N705">
        <v>6</v>
      </c>
      <c r="O705" t="s">
        <v>1036</v>
      </c>
      <c r="P705" s="17"/>
      <c r="Q705" s="17" t="str">
        <f>_xlfn.XLOOKUP(Table2[[#This Row],[buyFromVendorNo]],'Next Day Scheduled'!A:A,'Pending Returns'!O:O,"NOT_FOUND")</f>
        <v>NOT_FOUND</v>
      </c>
    </row>
    <row r="706" spans="1:17" x14ac:dyDescent="0.3">
      <c r="A706" s="1">
        <v>46180</v>
      </c>
      <c r="B706" t="s">
        <v>2952</v>
      </c>
      <c r="C706" t="s">
        <v>776</v>
      </c>
      <c r="D706" t="s">
        <v>777</v>
      </c>
      <c r="E706" t="s">
        <v>8</v>
      </c>
      <c r="F706" t="s">
        <v>38</v>
      </c>
      <c r="G706" s="16">
        <v>1671.57</v>
      </c>
      <c r="H706" s="16">
        <v>1922.3054999999999</v>
      </c>
      <c r="I706" s="1">
        <v>46177</v>
      </c>
      <c r="J706">
        <v>79</v>
      </c>
      <c r="K706" t="s">
        <v>2953</v>
      </c>
      <c r="L706" t="s">
        <v>4188</v>
      </c>
      <c r="M706">
        <v>13</v>
      </c>
      <c r="N706">
        <v>2</v>
      </c>
      <c r="O706" t="s">
        <v>1036</v>
      </c>
      <c r="P706" s="17"/>
      <c r="Q706" s="17" t="str">
        <f>_xlfn.XLOOKUP(Table2[[#This Row],[buyFromVendorNo]],'Next Day Scheduled'!A:A,'Pending Returns'!O:O,"NOT_FOUND")</f>
        <v>Posted Credit Note</v>
      </c>
    </row>
    <row r="707" spans="1:17" x14ac:dyDescent="0.3">
      <c r="A707" s="1">
        <v>46180</v>
      </c>
      <c r="B707" t="s">
        <v>545</v>
      </c>
      <c r="C707" t="s">
        <v>602</v>
      </c>
      <c r="D707" t="s">
        <v>603</v>
      </c>
      <c r="E707" t="s">
        <v>8</v>
      </c>
      <c r="F707" t="s">
        <v>10</v>
      </c>
      <c r="G707" s="16">
        <v>47.88</v>
      </c>
      <c r="H707" s="16">
        <v>55.061999999999998</v>
      </c>
      <c r="I707" s="1">
        <v>46177</v>
      </c>
      <c r="J707">
        <v>79</v>
      </c>
      <c r="K707" t="s">
        <v>2933</v>
      </c>
      <c r="L707" t="s">
        <v>4155</v>
      </c>
      <c r="M707">
        <v>10</v>
      </c>
      <c r="N707">
        <v>6</v>
      </c>
      <c r="O707" t="s">
        <v>1036</v>
      </c>
      <c r="P707" s="17"/>
      <c r="Q707" s="17" t="str">
        <f>_xlfn.XLOOKUP(Table2[[#This Row],[buyFromVendorNo]],'Next Day Scheduled'!A:A,'Pending Returns'!O:O,"NOT_FOUND")</f>
        <v>NOT_FOUND</v>
      </c>
    </row>
    <row r="708" spans="1:17" x14ac:dyDescent="0.3">
      <c r="A708" s="1">
        <v>46180</v>
      </c>
      <c r="B708" t="s">
        <v>2740</v>
      </c>
      <c r="C708" t="s">
        <v>1881</v>
      </c>
      <c r="D708" t="s">
        <v>2741</v>
      </c>
      <c r="E708" t="s">
        <v>8</v>
      </c>
      <c r="F708" t="s">
        <v>10</v>
      </c>
      <c r="G708" s="16">
        <v>1405.0347999999999</v>
      </c>
      <c r="H708" s="16">
        <v>1615.79</v>
      </c>
      <c r="I708" s="1">
        <v>46180</v>
      </c>
      <c r="J708">
        <v>79</v>
      </c>
      <c r="K708" t="s">
        <v>2742</v>
      </c>
      <c r="L708" t="s">
        <v>4184</v>
      </c>
      <c r="M708">
        <v>10</v>
      </c>
      <c r="N708">
        <v>7</v>
      </c>
      <c r="O708" t="s">
        <v>1036</v>
      </c>
      <c r="P708" s="17"/>
      <c r="Q708" s="17" t="str">
        <f>_xlfn.XLOOKUP(Table2[[#This Row],[buyFromVendorNo]],'Next Day Scheduled'!A:A,'Pending Returns'!O:O,"NOT_FOUND")</f>
        <v>NOT_FOUND</v>
      </c>
    </row>
    <row r="709" spans="1:17" x14ac:dyDescent="0.3">
      <c r="A709" s="1">
        <v>46180</v>
      </c>
      <c r="B709" t="s">
        <v>2789</v>
      </c>
      <c r="C709" t="s">
        <v>746</v>
      </c>
      <c r="D709" t="s">
        <v>747</v>
      </c>
      <c r="E709" t="s">
        <v>8</v>
      </c>
      <c r="F709" t="s">
        <v>10</v>
      </c>
      <c r="G709" s="16">
        <v>2966.625</v>
      </c>
      <c r="H709" s="16">
        <v>3411.6187</v>
      </c>
      <c r="I709" s="1">
        <v>46175</v>
      </c>
      <c r="J709">
        <v>79</v>
      </c>
      <c r="K709" t="s">
        <v>2790</v>
      </c>
      <c r="L709" t="s">
        <v>4165</v>
      </c>
      <c r="M709">
        <v>20</v>
      </c>
      <c r="N709">
        <v>33</v>
      </c>
      <c r="O709" t="s">
        <v>1036</v>
      </c>
      <c r="P709" s="17"/>
      <c r="Q709" s="17" t="str">
        <f>_xlfn.XLOOKUP(Table2[[#This Row],[buyFromVendorNo]],'Next Day Scheduled'!A:A,'Pending Returns'!O:O,"NOT_FOUND")</f>
        <v>NOT_FOUND</v>
      </c>
    </row>
    <row r="710" spans="1:17" x14ac:dyDescent="0.3">
      <c r="A710" s="1">
        <v>46180</v>
      </c>
      <c r="B710" t="s">
        <v>608</v>
      </c>
      <c r="C710" t="s">
        <v>613</v>
      </c>
      <c r="D710" t="s">
        <v>614</v>
      </c>
      <c r="E710" t="s">
        <v>8</v>
      </c>
      <c r="F710" t="s">
        <v>10</v>
      </c>
      <c r="G710" s="16">
        <v>156.31</v>
      </c>
      <c r="H710" s="16">
        <v>179.75649999999999</v>
      </c>
      <c r="I710" s="1">
        <v>46148</v>
      </c>
      <c r="J710">
        <v>79</v>
      </c>
      <c r="K710" t="s">
        <v>628</v>
      </c>
      <c r="L710" t="s">
        <v>4168</v>
      </c>
      <c r="M710">
        <v>8</v>
      </c>
      <c r="N710">
        <v>2</v>
      </c>
      <c r="O710" t="s">
        <v>1036</v>
      </c>
      <c r="P710" s="17"/>
      <c r="Q710" s="17" t="str">
        <f>_xlfn.XLOOKUP(Table2[[#This Row],[buyFromVendorNo]],'Next Day Scheduled'!A:A,'Pending Returns'!O:O,"NOT_FOUND")</f>
        <v>NOT_FOUND</v>
      </c>
    </row>
    <row r="711" spans="1:17" x14ac:dyDescent="0.3">
      <c r="A711" s="1">
        <v>46180</v>
      </c>
      <c r="B711" t="s">
        <v>2632</v>
      </c>
      <c r="C711" t="s">
        <v>749</v>
      </c>
      <c r="D711" t="s">
        <v>750</v>
      </c>
      <c r="E711" t="s">
        <v>8</v>
      </c>
      <c r="F711" t="s">
        <v>10</v>
      </c>
      <c r="G711" s="16">
        <v>4916.1943000000001</v>
      </c>
      <c r="H711" s="16">
        <v>5653.6234999999997</v>
      </c>
      <c r="I711" s="1">
        <v>46177</v>
      </c>
      <c r="J711">
        <v>79</v>
      </c>
      <c r="K711" t="s">
        <v>2633</v>
      </c>
      <c r="L711" t="s">
        <v>4169</v>
      </c>
      <c r="M711">
        <v>6</v>
      </c>
      <c r="N711">
        <v>10</v>
      </c>
      <c r="O711" t="s">
        <v>1036</v>
      </c>
      <c r="P711" s="17"/>
      <c r="Q711" s="17" t="str">
        <f>_xlfn.XLOOKUP(Table2[[#This Row],[buyFromVendorNo]],'Next Day Scheduled'!A:A,'Pending Returns'!O:O,"NOT_FOUND")</f>
        <v>NOT_FOUND</v>
      </c>
    </row>
    <row r="712" spans="1:17" x14ac:dyDescent="0.3">
      <c r="A712" s="1">
        <v>46180</v>
      </c>
      <c r="B712" t="s">
        <v>3270</v>
      </c>
      <c r="C712" t="s">
        <v>1881</v>
      </c>
      <c r="D712" t="s">
        <v>2741</v>
      </c>
      <c r="E712" t="s">
        <v>8</v>
      </c>
      <c r="F712" t="s">
        <v>10</v>
      </c>
      <c r="G712" s="16">
        <v>1112.6348</v>
      </c>
      <c r="H712" s="16">
        <v>1279.53</v>
      </c>
      <c r="I712" s="1">
        <v>46180</v>
      </c>
      <c r="J712">
        <v>79</v>
      </c>
      <c r="K712" t="s">
        <v>3135</v>
      </c>
      <c r="L712" t="s">
        <v>4171</v>
      </c>
      <c r="M712">
        <v>10</v>
      </c>
      <c r="N712">
        <v>7</v>
      </c>
      <c r="O712" t="s">
        <v>1036</v>
      </c>
      <c r="P712" s="17"/>
      <c r="Q712" s="17" t="str">
        <f>_xlfn.XLOOKUP(Table2[[#This Row],[buyFromVendorNo]],'Next Day Scheduled'!A:A,'Pending Returns'!O:O,"NOT_FOUND")</f>
        <v>NOT_FOUND</v>
      </c>
    </row>
    <row r="713" spans="1:17" x14ac:dyDescent="0.3">
      <c r="A713" s="1">
        <v>46180</v>
      </c>
      <c r="B713" t="s">
        <v>3385</v>
      </c>
      <c r="C713" t="s">
        <v>2271</v>
      </c>
      <c r="D713" t="s">
        <v>2272</v>
      </c>
      <c r="E713" t="s">
        <v>8</v>
      </c>
      <c r="F713" t="s">
        <v>10</v>
      </c>
      <c r="G713" s="16">
        <v>2806.57</v>
      </c>
      <c r="H713" s="16">
        <v>3227.5554000000002</v>
      </c>
      <c r="I713" s="1">
        <v>46176</v>
      </c>
      <c r="J713">
        <v>79</v>
      </c>
      <c r="K713" t="s">
        <v>3221</v>
      </c>
      <c r="L713" t="s">
        <v>4177</v>
      </c>
      <c r="M713">
        <v>16</v>
      </c>
      <c r="N713">
        <v>2</v>
      </c>
      <c r="O713" t="s">
        <v>1036</v>
      </c>
      <c r="P713" s="17"/>
      <c r="Q713" s="17" t="str">
        <f>_xlfn.XLOOKUP(Table2[[#This Row],[buyFromVendorNo]],'Next Day Scheduled'!A:A,'Pending Returns'!O:O,"NOT_FOUND")</f>
        <v>NOT_FOUND</v>
      </c>
    </row>
    <row r="714" spans="1:17" x14ac:dyDescent="0.3">
      <c r="A714" s="1">
        <v>46180</v>
      </c>
      <c r="B714" t="s">
        <v>3005</v>
      </c>
      <c r="C714" t="s">
        <v>2296</v>
      </c>
      <c r="D714" t="s">
        <v>2297</v>
      </c>
      <c r="E714" t="s">
        <v>8</v>
      </c>
      <c r="F714" t="s">
        <v>10</v>
      </c>
      <c r="G714" s="16">
        <v>1029.5</v>
      </c>
      <c r="H714" s="16">
        <v>1183.925</v>
      </c>
      <c r="I714" s="1">
        <v>46177</v>
      </c>
      <c r="J714">
        <v>79</v>
      </c>
      <c r="K714" t="s">
        <v>3006</v>
      </c>
      <c r="L714" t="s">
        <v>4178</v>
      </c>
      <c r="M714">
        <v>11</v>
      </c>
      <c r="N714">
        <v>7</v>
      </c>
      <c r="O714" t="s">
        <v>1036</v>
      </c>
      <c r="P714" s="17"/>
      <c r="Q714" s="17" t="str">
        <f>_xlfn.XLOOKUP(Table2[[#This Row],[buyFromVendorNo]],'Next Day Scheduled'!A:A,'Pending Returns'!O:O,"NOT_FOUND")</f>
        <v>NOT_FOUND</v>
      </c>
    </row>
    <row r="715" spans="1:17" x14ac:dyDescent="0.3">
      <c r="A715" s="1">
        <v>46180</v>
      </c>
      <c r="B715" t="s">
        <v>4031</v>
      </c>
      <c r="C715" t="s">
        <v>600</v>
      </c>
      <c r="D715" t="s">
        <v>601</v>
      </c>
      <c r="E715" t="s">
        <v>8</v>
      </c>
      <c r="F715" t="s">
        <v>169</v>
      </c>
      <c r="G715" s="16">
        <v>1400</v>
      </c>
      <c r="H715" s="16">
        <v>1610</v>
      </c>
      <c r="I715" s="1">
        <v>46179</v>
      </c>
      <c r="J715">
        <v>79</v>
      </c>
      <c r="K715" t="s">
        <v>4043</v>
      </c>
      <c r="L715" t="s">
        <v>4161</v>
      </c>
      <c r="M715">
        <v>11</v>
      </c>
      <c r="N715">
        <v>3</v>
      </c>
      <c r="O715" t="s">
        <v>1036</v>
      </c>
      <c r="P715" s="17"/>
      <c r="Q715" s="17" t="str">
        <f>_xlfn.XLOOKUP(Table2[[#This Row],[buyFromVendorNo]],'Next Day Scheduled'!A:A,'Pending Returns'!O:O,"NOT_FOUND")</f>
        <v>NOT_FOUND</v>
      </c>
    </row>
    <row r="716" spans="1:17" x14ac:dyDescent="0.3">
      <c r="A716" s="1">
        <v>46180</v>
      </c>
      <c r="B716" t="s">
        <v>2714</v>
      </c>
      <c r="C716" t="s">
        <v>1161</v>
      </c>
      <c r="D716" t="s">
        <v>1162</v>
      </c>
      <c r="E716" t="s">
        <v>8</v>
      </c>
      <c r="F716" t="s">
        <v>10</v>
      </c>
      <c r="G716" s="16">
        <v>2468.58</v>
      </c>
      <c r="H716" s="16">
        <v>2838.8670000000002</v>
      </c>
      <c r="I716" s="1">
        <v>46177</v>
      </c>
      <c r="J716">
        <v>79</v>
      </c>
      <c r="K716" t="s">
        <v>3581</v>
      </c>
      <c r="L716" t="s">
        <v>4108</v>
      </c>
      <c r="M716">
        <v>10</v>
      </c>
      <c r="N716">
        <v>6</v>
      </c>
      <c r="O716" t="s">
        <v>1036</v>
      </c>
      <c r="P716" s="17"/>
      <c r="Q716" s="17" t="str">
        <f>_xlfn.XLOOKUP(Table2[[#This Row],[buyFromVendorNo]],'Next Day Scheduled'!A:A,'Pending Returns'!O:O,"NOT_FOUND")</f>
        <v>NOT_FOUND</v>
      </c>
    </row>
    <row r="717" spans="1:17" x14ac:dyDescent="0.3">
      <c r="A717" s="1">
        <v>46180</v>
      </c>
      <c r="B717" t="s">
        <v>2607</v>
      </c>
      <c r="C717" t="s">
        <v>2608</v>
      </c>
      <c r="D717" t="s">
        <v>2609</v>
      </c>
      <c r="E717" t="s">
        <v>8</v>
      </c>
      <c r="F717" t="s">
        <v>10</v>
      </c>
      <c r="G717" s="16">
        <v>6633</v>
      </c>
      <c r="H717" s="16">
        <v>7627.95</v>
      </c>
      <c r="I717" s="1">
        <v>46174</v>
      </c>
      <c r="J717">
        <v>79</v>
      </c>
      <c r="K717" t="s">
        <v>2610</v>
      </c>
      <c r="L717" t="s">
        <v>4166</v>
      </c>
      <c r="M717">
        <v>0</v>
      </c>
      <c r="N717">
        <v>135</v>
      </c>
      <c r="O717" t="s">
        <v>1036</v>
      </c>
      <c r="P717" s="17"/>
      <c r="Q717" s="17" t="str">
        <f>_xlfn.XLOOKUP(Table2[[#This Row],[buyFromVendorNo]],'Next Day Scheduled'!A:A,'Pending Returns'!O:O,"NOT_FOUND")</f>
        <v>NOT_FOUND</v>
      </c>
    </row>
    <row r="718" spans="1:17" x14ac:dyDescent="0.3">
      <c r="A718" s="1">
        <v>46180</v>
      </c>
      <c r="B718" t="s">
        <v>3363</v>
      </c>
      <c r="C718" t="s">
        <v>2258</v>
      </c>
      <c r="D718" t="s">
        <v>2259</v>
      </c>
      <c r="E718" t="s">
        <v>8</v>
      </c>
      <c r="F718" t="s">
        <v>10</v>
      </c>
      <c r="G718" s="16">
        <v>1900.3021000000001</v>
      </c>
      <c r="H718" s="16">
        <v>2185.3474000000001</v>
      </c>
      <c r="I718" s="1">
        <v>46177</v>
      </c>
      <c r="J718">
        <v>79</v>
      </c>
      <c r="K718" t="s">
        <v>3364</v>
      </c>
      <c r="L718" t="s">
        <v>4154</v>
      </c>
      <c r="M718">
        <v>14</v>
      </c>
      <c r="N718">
        <v>1</v>
      </c>
      <c r="O718" t="s">
        <v>1036</v>
      </c>
      <c r="P718" s="17"/>
      <c r="Q718" s="17" t="str">
        <f>_xlfn.XLOOKUP(Table2[[#This Row],[buyFromVendorNo]],'Next Day Scheduled'!A:A,'Pending Returns'!O:O,"NOT_FOUND")</f>
        <v>NOT_FOUND</v>
      </c>
    </row>
    <row r="719" spans="1:17" x14ac:dyDescent="0.3">
      <c r="A719" s="1">
        <v>46180</v>
      </c>
      <c r="B719" t="s">
        <v>3018</v>
      </c>
      <c r="C719" t="s">
        <v>160</v>
      </c>
      <c r="D719" t="s">
        <v>161</v>
      </c>
      <c r="E719" t="s">
        <v>8</v>
      </c>
      <c r="F719" t="s">
        <v>10</v>
      </c>
      <c r="G719" s="16">
        <v>249.6</v>
      </c>
      <c r="H719" s="16">
        <v>287.04000000000002</v>
      </c>
      <c r="I719" s="1">
        <v>46176</v>
      </c>
      <c r="J719">
        <v>79</v>
      </c>
      <c r="K719" t="s">
        <v>3019</v>
      </c>
      <c r="L719" t="s">
        <v>4167</v>
      </c>
      <c r="M719">
        <v>11</v>
      </c>
      <c r="N719">
        <v>5</v>
      </c>
      <c r="O719" t="s">
        <v>1036</v>
      </c>
      <c r="P719" s="17"/>
      <c r="Q719" s="17" t="str">
        <f>_xlfn.XLOOKUP(Table2[[#This Row],[buyFromVendorNo]],'Next Day Scheduled'!A:A,'Pending Returns'!O:O,"NOT_FOUND")</f>
        <v>NOT_FOUND</v>
      </c>
    </row>
    <row r="720" spans="1:17" x14ac:dyDescent="0.3">
      <c r="A720" s="1">
        <v>46180</v>
      </c>
      <c r="B720" t="s">
        <v>3515</v>
      </c>
      <c r="C720" t="s">
        <v>160</v>
      </c>
      <c r="D720" t="s">
        <v>161</v>
      </c>
      <c r="E720" t="s">
        <v>8</v>
      </c>
      <c r="F720" t="s">
        <v>10</v>
      </c>
      <c r="G720" s="16">
        <v>2745.7</v>
      </c>
      <c r="H720" s="16">
        <v>3101.74</v>
      </c>
      <c r="I720" s="1">
        <v>46176</v>
      </c>
      <c r="J720">
        <v>79</v>
      </c>
      <c r="K720" t="s">
        <v>3524</v>
      </c>
      <c r="L720" t="s">
        <v>4190</v>
      </c>
      <c r="M720">
        <v>11</v>
      </c>
      <c r="N720">
        <v>5</v>
      </c>
      <c r="O720" t="s">
        <v>1036</v>
      </c>
      <c r="P720" s="17"/>
      <c r="Q720" s="17" t="str">
        <f>_xlfn.XLOOKUP(Table2[[#This Row],[buyFromVendorNo]],'Next Day Scheduled'!A:A,'Pending Returns'!O:O,"NOT_FOUND")</f>
        <v>NOT_FOUND</v>
      </c>
    </row>
    <row r="721" spans="1:17" x14ac:dyDescent="0.3">
      <c r="A721" s="1">
        <v>46180</v>
      </c>
      <c r="B721" t="s">
        <v>477</v>
      </c>
      <c r="C721" t="s">
        <v>929</v>
      </c>
      <c r="D721" t="s">
        <v>930</v>
      </c>
      <c r="E721" t="s">
        <v>8</v>
      </c>
      <c r="F721" t="s">
        <v>10</v>
      </c>
      <c r="G721" s="16">
        <v>2425.6821</v>
      </c>
      <c r="H721" s="16">
        <v>2789.5344</v>
      </c>
      <c r="I721" s="1">
        <v>46180</v>
      </c>
      <c r="J721">
        <v>79</v>
      </c>
      <c r="K721" t="s">
        <v>3136</v>
      </c>
      <c r="L721" t="s">
        <v>4176</v>
      </c>
      <c r="M721">
        <v>10</v>
      </c>
      <c r="N721">
        <v>8</v>
      </c>
      <c r="O721" t="s">
        <v>1036</v>
      </c>
      <c r="P721" s="17"/>
      <c r="Q721" s="17" t="str">
        <f>_xlfn.XLOOKUP(Table2[[#This Row],[buyFromVendorNo]],'Next Day Scheduled'!A:A,'Pending Returns'!O:O,"NOT_FOUND")</f>
        <v>NOT_FOUND</v>
      </c>
    </row>
    <row r="722" spans="1:17" x14ac:dyDescent="0.3">
      <c r="A722" s="1">
        <v>46180</v>
      </c>
      <c r="B722" t="s">
        <v>3288</v>
      </c>
      <c r="C722" t="s">
        <v>2352</v>
      </c>
      <c r="D722" t="s">
        <v>2353</v>
      </c>
      <c r="E722" t="s">
        <v>8</v>
      </c>
      <c r="F722" t="s">
        <v>10</v>
      </c>
      <c r="G722" s="16">
        <v>284.77999999999997</v>
      </c>
      <c r="H722" s="16">
        <v>327.49700000000001</v>
      </c>
      <c r="I722" s="1">
        <v>46180</v>
      </c>
      <c r="J722">
        <v>79</v>
      </c>
      <c r="K722" t="s">
        <v>3159</v>
      </c>
      <c r="L722" t="s">
        <v>4179</v>
      </c>
      <c r="M722">
        <v>9</v>
      </c>
      <c r="N722">
        <v>5</v>
      </c>
      <c r="O722" t="s">
        <v>1036</v>
      </c>
      <c r="P722" s="17"/>
      <c r="Q722" s="17" t="str">
        <f>_xlfn.XLOOKUP(Table2[[#This Row],[buyFromVendorNo]],'Next Day Scheduled'!A:A,'Pending Returns'!O:O,"NOT_FOUND")</f>
        <v>NOT_FOUND</v>
      </c>
    </row>
    <row r="723" spans="1:17" x14ac:dyDescent="0.3">
      <c r="A723" s="1">
        <v>46180</v>
      </c>
      <c r="B723" t="s">
        <v>3408</v>
      </c>
      <c r="C723" t="s">
        <v>3765</v>
      </c>
      <c r="D723" t="s">
        <v>3766</v>
      </c>
      <c r="E723" t="s">
        <v>8</v>
      </c>
      <c r="F723" t="s">
        <v>10</v>
      </c>
      <c r="G723" s="16">
        <v>57.6</v>
      </c>
      <c r="H723" s="16">
        <v>66.239999999999995</v>
      </c>
      <c r="I723" s="1">
        <v>46180</v>
      </c>
      <c r="J723">
        <v>79</v>
      </c>
      <c r="K723" t="s">
        <v>3781</v>
      </c>
      <c r="L723" t="s">
        <v>4198</v>
      </c>
      <c r="M723">
        <v>10</v>
      </c>
      <c r="N723">
        <v>2</v>
      </c>
      <c r="O723" t="s">
        <v>1036</v>
      </c>
      <c r="P723" s="17"/>
      <c r="Q723" s="17" t="str">
        <f>_xlfn.XLOOKUP(Table2[[#This Row],[buyFromVendorNo]],'Next Day Scheduled'!A:A,'Pending Returns'!O:O,"NOT_FOUND")</f>
        <v>NOT_FOUND</v>
      </c>
    </row>
    <row r="724" spans="1:17" x14ac:dyDescent="0.3">
      <c r="A724" s="1">
        <v>46180</v>
      </c>
      <c r="B724" t="s">
        <v>467</v>
      </c>
      <c r="C724" t="s">
        <v>921</v>
      </c>
      <c r="D724" t="s">
        <v>922</v>
      </c>
      <c r="E724" t="s">
        <v>8</v>
      </c>
      <c r="F724" t="s">
        <v>10</v>
      </c>
      <c r="G724" s="16">
        <v>23.599499999999999</v>
      </c>
      <c r="H724" s="16">
        <v>27.139420000000001</v>
      </c>
      <c r="I724" s="1">
        <v>46176</v>
      </c>
      <c r="J724">
        <v>79</v>
      </c>
      <c r="K724" t="s">
        <v>2960</v>
      </c>
      <c r="L724" t="s">
        <v>4148</v>
      </c>
      <c r="M724">
        <v>12</v>
      </c>
      <c r="N724">
        <v>1</v>
      </c>
      <c r="O724" t="s">
        <v>1036</v>
      </c>
      <c r="P724" s="17"/>
      <c r="Q724" s="17" t="str">
        <f>_xlfn.XLOOKUP(Table2[[#This Row],[buyFromVendorNo]],'Next Day Scheduled'!A:A,'Pending Returns'!O:O,"NOT_FOUND")</f>
        <v>Posted Credit Note</v>
      </c>
    </row>
    <row r="725" spans="1:17" x14ac:dyDescent="0.3">
      <c r="A725" s="1">
        <v>46180</v>
      </c>
      <c r="B725" t="s">
        <v>2657</v>
      </c>
      <c r="C725" t="s">
        <v>602</v>
      </c>
      <c r="D725" t="s">
        <v>603</v>
      </c>
      <c r="E725" t="s">
        <v>8</v>
      </c>
      <c r="F725" t="s">
        <v>10</v>
      </c>
      <c r="G725" s="16">
        <v>1272.1400000000001</v>
      </c>
      <c r="H725" s="16">
        <v>1462.961</v>
      </c>
      <c r="I725" s="1">
        <v>46177</v>
      </c>
      <c r="J725">
        <v>79</v>
      </c>
      <c r="K725" t="s">
        <v>2658</v>
      </c>
      <c r="L725" t="s">
        <v>4185</v>
      </c>
      <c r="M725">
        <v>10</v>
      </c>
      <c r="N725">
        <v>6</v>
      </c>
      <c r="O725" t="s">
        <v>1036</v>
      </c>
      <c r="P725" s="17"/>
      <c r="Q725" s="17" t="str">
        <f>_xlfn.XLOOKUP(Table2[[#This Row],[buyFromVendorNo]],'Next Day Scheduled'!A:A,'Pending Returns'!O:O,"NOT_FOUND")</f>
        <v>NOT_FOUND</v>
      </c>
    </row>
    <row r="726" spans="1:17" x14ac:dyDescent="0.3">
      <c r="A726" s="1">
        <v>46180</v>
      </c>
      <c r="B726" t="s">
        <v>222</v>
      </c>
      <c r="C726" t="s">
        <v>679</v>
      </c>
      <c r="D726" t="s">
        <v>680</v>
      </c>
      <c r="E726" t="s">
        <v>8</v>
      </c>
      <c r="F726" t="s">
        <v>10</v>
      </c>
      <c r="G726" s="16">
        <v>5312.5</v>
      </c>
      <c r="H726" s="16">
        <v>6109.375</v>
      </c>
      <c r="I726" s="1">
        <v>46159</v>
      </c>
      <c r="J726">
        <v>79</v>
      </c>
      <c r="K726" t="s">
        <v>681</v>
      </c>
      <c r="L726" t="s">
        <v>4149</v>
      </c>
      <c r="M726">
        <v>7</v>
      </c>
      <c r="N726">
        <v>12</v>
      </c>
      <c r="O726" t="s">
        <v>1036</v>
      </c>
      <c r="P726" s="17"/>
      <c r="Q726" s="17" t="str">
        <f>_xlfn.XLOOKUP(Table2[[#This Row],[buyFromVendorNo]],'Next Day Scheduled'!A:A,'Pending Returns'!O:O,"NOT_FOUND")</f>
        <v>NOT_FOUND</v>
      </c>
    </row>
    <row r="727" spans="1:17" x14ac:dyDescent="0.3">
      <c r="A727" s="1">
        <v>46180</v>
      </c>
      <c r="B727" t="s">
        <v>3328</v>
      </c>
      <c r="C727" t="s">
        <v>1024</v>
      </c>
      <c r="D727" t="s">
        <v>1025</v>
      </c>
      <c r="E727" t="s">
        <v>8</v>
      </c>
      <c r="F727" t="s">
        <v>10</v>
      </c>
      <c r="G727" s="16">
        <v>27.58</v>
      </c>
      <c r="H727" s="16">
        <v>31.716999999999999</v>
      </c>
      <c r="I727" s="1">
        <v>46177</v>
      </c>
      <c r="J727">
        <v>79</v>
      </c>
      <c r="K727" t="s">
        <v>3163</v>
      </c>
      <c r="L727" t="s">
        <v>4164</v>
      </c>
      <c r="M727">
        <v>10</v>
      </c>
      <c r="N727">
        <v>5</v>
      </c>
      <c r="O727" t="s">
        <v>1036</v>
      </c>
      <c r="P727" s="17"/>
      <c r="Q727" s="17" t="str">
        <f>_xlfn.XLOOKUP(Table2[[#This Row],[buyFromVendorNo]],'Next Day Scheduled'!A:A,'Pending Returns'!O:O,"NOT_FOUND")</f>
        <v>NOT_FOUND</v>
      </c>
    </row>
    <row r="728" spans="1:17" x14ac:dyDescent="0.3">
      <c r="A728" s="1">
        <v>46180</v>
      </c>
      <c r="B728" t="s">
        <v>2667</v>
      </c>
      <c r="C728" t="s">
        <v>494</v>
      </c>
      <c r="D728" t="s">
        <v>495</v>
      </c>
      <c r="E728" t="s">
        <v>8</v>
      </c>
      <c r="F728" t="s">
        <v>10</v>
      </c>
      <c r="G728" s="16">
        <v>3308.83</v>
      </c>
      <c r="H728" s="16">
        <v>3805.1545000000001</v>
      </c>
      <c r="I728" s="1">
        <v>46176</v>
      </c>
      <c r="J728">
        <v>79</v>
      </c>
      <c r="K728" t="s">
        <v>2668</v>
      </c>
      <c r="L728" t="s">
        <v>4187</v>
      </c>
      <c r="M728">
        <v>10</v>
      </c>
      <c r="N728">
        <v>7</v>
      </c>
      <c r="O728" t="s">
        <v>1036</v>
      </c>
      <c r="P728" s="17"/>
      <c r="Q728" s="17" t="str">
        <f>_xlfn.XLOOKUP(Table2[[#This Row],[buyFromVendorNo]],'Next Day Scheduled'!A:A,'Pending Returns'!O:O,"NOT_FOUND")</f>
        <v>Posted Credit Note</v>
      </c>
    </row>
    <row r="729" spans="1:17" x14ac:dyDescent="0.3">
      <c r="A729" s="1">
        <v>46180</v>
      </c>
      <c r="B729" t="s">
        <v>2913</v>
      </c>
      <c r="C729" t="s">
        <v>776</v>
      </c>
      <c r="D729" t="s">
        <v>777</v>
      </c>
      <c r="E729" t="s">
        <v>8</v>
      </c>
      <c r="F729" t="s">
        <v>38</v>
      </c>
      <c r="G729" s="16">
        <v>4000.97</v>
      </c>
      <c r="H729" s="16">
        <v>4601.1157000000003</v>
      </c>
      <c r="I729" s="1">
        <v>46177</v>
      </c>
      <c r="J729">
        <v>79</v>
      </c>
      <c r="K729" t="s">
        <v>2914</v>
      </c>
      <c r="L729" t="s">
        <v>4180</v>
      </c>
      <c r="M729">
        <v>13</v>
      </c>
      <c r="N729">
        <v>2</v>
      </c>
      <c r="O729" t="s">
        <v>1036</v>
      </c>
      <c r="P729" s="17"/>
      <c r="Q729" s="17" t="str">
        <f>_xlfn.XLOOKUP(Table2[[#This Row],[buyFromVendorNo]],'Next Day Scheduled'!A:A,'Pending Returns'!O:O,"NOT_FOUND")</f>
        <v>Posted Credit Note</v>
      </c>
    </row>
    <row r="730" spans="1:17" x14ac:dyDescent="0.3">
      <c r="A730" s="1">
        <v>46180</v>
      </c>
      <c r="B730" t="s">
        <v>2575</v>
      </c>
      <c r="C730" t="s">
        <v>160</v>
      </c>
      <c r="D730" t="s">
        <v>161</v>
      </c>
      <c r="E730" t="s">
        <v>8</v>
      </c>
      <c r="F730" t="s">
        <v>10</v>
      </c>
      <c r="G730" s="16">
        <v>2898.82</v>
      </c>
      <c r="H730" s="16">
        <v>3320.4160000000002</v>
      </c>
      <c r="I730" s="1">
        <v>46176</v>
      </c>
      <c r="J730">
        <v>79</v>
      </c>
      <c r="K730" t="s">
        <v>2489</v>
      </c>
      <c r="L730" t="s">
        <v>4172</v>
      </c>
      <c r="M730">
        <v>11</v>
      </c>
      <c r="N730">
        <v>5</v>
      </c>
      <c r="O730" t="s">
        <v>1036</v>
      </c>
      <c r="P730" s="17"/>
      <c r="Q730" s="17" t="str">
        <f>_xlfn.XLOOKUP(Table2[[#This Row],[buyFromVendorNo]],'Next Day Scheduled'!A:A,'Pending Returns'!O:O,"NOT_FOUND")</f>
        <v>NOT_FOUND</v>
      </c>
    </row>
    <row r="731" spans="1:17" x14ac:dyDescent="0.3">
      <c r="A731" s="1">
        <v>46180</v>
      </c>
      <c r="B731" t="s">
        <v>3468</v>
      </c>
      <c r="C731" t="s">
        <v>2258</v>
      </c>
      <c r="D731" t="s">
        <v>2259</v>
      </c>
      <c r="E731" t="s">
        <v>8</v>
      </c>
      <c r="F731" t="s">
        <v>10</v>
      </c>
      <c r="G731" s="16">
        <v>338.86</v>
      </c>
      <c r="H731" s="16">
        <v>389.68900000000002</v>
      </c>
      <c r="I731" s="1">
        <v>46177</v>
      </c>
      <c r="J731">
        <v>79</v>
      </c>
      <c r="K731" t="s">
        <v>3624</v>
      </c>
      <c r="L731" t="s">
        <v>4196</v>
      </c>
      <c r="M731">
        <v>14</v>
      </c>
      <c r="N731">
        <v>1</v>
      </c>
      <c r="O731" t="s">
        <v>1036</v>
      </c>
      <c r="P731" s="17"/>
      <c r="Q731" s="17" t="str">
        <f>_xlfn.XLOOKUP(Table2[[#This Row],[buyFromVendorNo]],'Next Day Scheduled'!A:A,'Pending Returns'!O:O,"NOT_FOUND")</f>
        <v>NOT_FOUND</v>
      </c>
    </row>
    <row r="732" spans="1:17" x14ac:dyDescent="0.3">
      <c r="A732" s="1">
        <v>46181</v>
      </c>
      <c r="B732" t="s">
        <v>676</v>
      </c>
      <c r="C732" t="s">
        <v>49</v>
      </c>
      <c r="D732" t="s">
        <v>50</v>
      </c>
      <c r="E732" t="s">
        <v>8</v>
      </c>
      <c r="F732" t="s">
        <v>169</v>
      </c>
      <c r="G732" s="16">
        <v>8589</v>
      </c>
      <c r="H732" s="16">
        <v>9877.35</v>
      </c>
      <c r="I732" s="1">
        <v>46149</v>
      </c>
      <c r="J732">
        <v>78</v>
      </c>
      <c r="K732" t="s">
        <v>722</v>
      </c>
      <c r="L732" t="s">
        <v>4216</v>
      </c>
      <c r="M732">
        <v>8</v>
      </c>
      <c r="N732">
        <v>7</v>
      </c>
      <c r="O732" t="s">
        <v>1036</v>
      </c>
      <c r="P732" s="17"/>
      <c r="Q732" s="17" t="str">
        <f>_xlfn.XLOOKUP(Table2[[#This Row],[buyFromVendorNo]],'Next Day Scheduled'!A:A,'Pending Returns'!O:O,"NOT_FOUND")</f>
        <v>NOT_FOUND</v>
      </c>
    </row>
    <row r="733" spans="1:17" x14ac:dyDescent="0.3">
      <c r="A733" s="1">
        <v>46181</v>
      </c>
      <c r="B733" t="s">
        <v>3349</v>
      </c>
      <c r="C733" t="s">
        <v>2265</v>
      </c>
      <c r="D733" t="s">
        <v>2266</v>
      </c>
      <c r="E733" t="s">
        <v>8</v>
      </c>
      <c r="F733" t="s">
        <v>10</v>
      </c>
      <c r="G733" s="16">
        <v>1618</v>
      </c>
      <c r="H733" s="16">
        <v>1860.7</v>
      </c>
      <c r="I733" s="1">
        <v>46180</v>
      </c>
      <c r="J733">
        <v>78</v>
      </c>
      <c r="K733" t="s">
        <v>3350</v>
      </c>
      <c r="L733" t="s">
        <v>4302</v>
      </c>
      <c r="M733">
        <v>8</v>
      </c>
      <c r="N733">
        <v>12</v>
      </c>
      <c r="O733" t="s">
        <v>1036</v>
      </c>
      <c r="P733" s="17"/>
      <c r="Q733" s="17" t="str">
        <f>_xlfn.XLOOKUP(Table2[[#This Row],[buyFromVendorNo]],'Next Day Scheduled'!A:A,'Pending Returns'!O:O,"NOT_FOUND")</f>
        <v>NOT_FOUND</v>
      </c>
    </row>
    <row r="734" spans="1:17" x14ac:dyDescent="0.3">
      <c r="A734" s="1">
        <v>46181</v>
      </c>
      <c r="B734" t="s">
        <v>3494</v>
      </c>
      <c r="C734" t="s">
        <v>2392</v>
      </c>
      <c r="D734" t="s">
        <v>2393</v>
      </c>
      <c r="E734" t="s">
        <v>8</v>
      </c>
      <c r="F734" t="s">
        <v>10</v>
      </c>
      <c r="G734" s="16">
        <v>155.56</v>
      </c>
      <c r="H734" s="16">
        <v>178.89400000000001</v>
      </c>
      <c r="I734" s="1">
        <v>46181</v>
      </c>
      <c r="J734">
        <v>78</v>
      </c>
      <c r="K734" t="s">
        <v>3669</v>
      </c>
      <c r="L734" t="s">
        <v>4205</v>
      </c>
      <c r="M734">
        <v>11</v>
      </c>
      <c r="N734">
        <v>5</v>
      </c>
      <c r="O734" t="s">
        <v>1036</v>
      </c>
      <c r="P734" s="17"/>
      <c r="Q734" s="17" t="str">
        <f>_xlfn.XLOOKUP(Table2[[#This Row],[buyFromVendorNo]],'Next Day Scheduled'!A:A,'Pending Returns'!O:O,"NOT_FOUND")</f>
        <v>NOT_FOUND</v>
      </c>
    </row>
    <row r="735" spans="1:17" x14ac:dyDescent="0.3">
      <c r="A735" s="1">
        <v>46181</v>
      </c>
      <c r="B735" t="s">
        <v>2153</v>
      </c>
      <c r="C735" t="s">
        <v>815</v>
      </c>
      <c r="D735" t="s">
        <v>816</v>
      </c>
      <c r="E735" t="s">
        <v>8</v>
      </c>
      <c r="F735" t="s">
        <v>10</v>
      </c>
      <c r="G735" s="16">
        <v>1122.08</v>
      </c>
      <c r="H735" s="16">
        <v>1290.3920000000001</v>
      </c>
      <c r="I735" s="1">
        <v>46177</v>
      </c>
      <c r="J735">
        <v>78</v>
      </c>
      <c r="K735" t="s">
        <v>2428</v>
      </c>
      <c r="L735" t="s">
        <v>4208</v>
      </c>
      <c r="M735">
        <v>14</v>
      </c>
      <c r="N735">
        <v>1</v>
      </c>
      <c r="O735" t="s">
        <v>1036</v>
      </c>
      <c r="P735" s="17"/>
      <c r="Q735" s="17" t="str">
        <f>_xlfn.XLOOKUP(Table2[[#This Row],[buyFromVendorNo]],'Next Day Scheduled'!A:A,'Pending Returns'!O:O,"NOT_FOUND")</f>
        <v>NOT_FOUND</v>
      </c>
    </row>
    <row r="736" spans="1:17" x14ac:dyDescent="0.3">
      <c r="A736" s="1">
        <v>46181</v>
      </c>
      <c r="B736" t="s">
        <v>3950</v>
      </c>
      <c r="C736" t="s">
        <v>2501</v>
      </c>
      <c r="D736" t="s">
        <v>2502</v>
      </c>
      <c r="E736" t="s">
        <v>8</v>
      </c>
      <c r="F736" t="s">
        <v>10</v>
      </c>
      <c r="G736" s="16">
        <v>1114.5</v>
      </c>
      <c r="H736" s="16">
        <v>1281.675</v>
      </c>
      <c r="I736" s="1">
        <v>46181</v>
      </c>
      <c r="J736">
        <v>78</v>
      </c>
      <c r="K736" t="s">
        <v>3951</v>
      </c>
      <c r="L736" t="s">
        <v>4274</v>
      </c>
      <c r="M736">
        <v>10</v>
      </c>
      <c r="N736">
        <v>10</v>
      </c>
      <c r="O736" t="s">
        <v>1036</v>
      </c>
      <c r="P736" s="17"/>
      <c r="Q736" s="17" t="str">
        <f>_xlfn.XLOOKUP(Table2[[#This Row],[buyFromVendorNo]],'Next Day Scheduled'!A:A,'Pending Returns'!O:O,"NOT_FOUND")</f>
        <v>NOT_FOUND</v>
      </c>
    </row>
    <row r="737" spans="1:17" x14ac:dyDescent="0.3">
      <c r="A737" s="1">
        <v>46181</v>
      </c>
      <c r="B737" t="s">
        <v>3407</v>
      </c>
      <c r="C737" t="s">
        <v>3905</v>
      </c>
      <c r="D737" t="s">
        <v>3906</v>
      </c>
      <c r="E737" t="s">
        <v>8</v>
      </c>
      <c r="F737" t="s">
        <v>10</v>
      </c>
      <c r="G737" s="16">
        <v>659</v>
      </c>
      <c r="H737" s="16">
        <v>757.85</v>
      </c>
      <c r="I737" s="1">
        <v>46181</v>
      </c>
      <c r="J737">
        <v>78</v>
      </c>
      <c r="K737" t="s">
        <v>3907</v>
      </c>
      <c r="L737" t="s">
        <v>4287</v>
      </c>
      <c r="M737">
        <v>8</v>
      </c>
      <c r="N737">
        <v>16</v>
      </c>
      <c r="O737" t="s">
        <v>1036</v>
      </c>
      <c r="P737" s="17"/>
      <c r="Q737" s="17" t="str">
        <f>_xlfn.XLOOKUP(Table2[[#This Row],[buyFromVendorNo]],'Next Day Scheduled'!A:A,'Pending Returns'!O:O,"NOT_FOUND")</f>
        <v>NOT_FOUND</v>
      </c>
    </row>
    <row r="738" spans="1:17" x14ac:dyDescent="0.3">
      <c r="A738" s="1">
        <v>46181</v>
      </c>
      <c r="B738" t="s">
        <v>447</v>
      </c>
      <c r="C738" t="s">
        <v>448</v>
      </c>
      <c r="D738" t="s">
        <v>449</v>
      </c>
      <c r="E738" t="s">
        <v>8</v>
      </c>
      <c r="F738" t="s">
        <v>38</v>
      </c>
      <c r="G738" s="16">
        <v>1130.2</v>
      </c>
      <c r="H738" s="16">
        <v>1299.73</v>
      </c>
      <c r="I738" s="1">
        <v>46154</v>
      </c>
      <c r="J738">
        <v>78</v>
      </c>
      <c r="K738" t="s">
        <v>450</v>
      </c>
      <c r="L738" t="s">
        <v>4213</v>
      </c>
      <c r="M738">
        <v>9</v>
      </c>
      <c r="N738">
        <v>1</v>
      </c>
      <c r="O738" t="s">
        <v>1036</v>
      </c>
      <c r="P738" s="17"/>
      <c r="Q738" s="17" t="str">
        <f>_xlfn.XLOOKUP(Table2[[#This Row],[buyFromVendorNo]],'Next Day Scheduled'!A:A,'Pending Returns'!O:O,"NOT_FOUND")</f>
        <v>NOT_FOUND</v>
      </c>
    </row>
    <row r="739" spans="1:17" x14ac:dyDescent="0.3">
      <c r="A739" s="1">
        <v>46181</v>
      </c>
      <c r="B739" t="s">
        <v>2864</v>
      </c>
      <c r="C739" t="s">
        <v>776</v>
      </c>
      <c r="D739" t="s">
        <v>777</v>
      </c>
      <c r="E739" t="s">
        <v>8</v>
      </c>
      <c r="F739" t="s">
        <v>10</v>
      </c>
      <c r="G739" s="16">
        <v>7175.18</v>
      </c>
      <c r="H739" s="16">
        <v>8251.4570000000003</v>
      </c>
      <c r="I739" s="1">
        <v>46177</v>
      </c>
      <c r="J739">
        <v>78</v>
      </c>
      <c r="K739" t="s">
        <v>2865</v>
      </c>
      <c r="L739" t="s">
        <v>4206</v>
      </c>
      <c r="M739">
        <v>30</v>
      </c>
      <c r="N739">
        <v>2</v>
      </c>
      <c r="O739" t="s">
        <v>1036</v>
      </c>
      <c r="P739" s="17"/>
      <c r="Q739" s="17" t="str">
        <f>_xlfn.XLOOKUP(Table2[[#This Row],[buyFromVendorNo]],'Next Day Scheduled'!A:A,'Pending Returns'!O:O,"NOT_FOUND")</f>
        <v>Posted Credit Note</v>
      </c>
    </row>
    <row r="740" spans="1:17" x14ac:dyDescent="0.3">
      <c r="A740" s="1">
        <v>46181</v>
      </c>
      <c r="B740" t="s">
        <v>3058</v>
      </c>
      <c r="C740" t="s">
        <v>548</v>
      </c>
      <c r="D740" t="s">
        <v>549</v>
      </c>
      <c r="E740" t="s">
        <v>8</v>
      </c>
      <c r="F740" t="s">
        <v>10</v>
      </c>
      <c r="G740" s="16">
        <v>152.84</v>
      </c>
      <c r="H740" s="16">
        <v>175.76599999999999</v>
      </c>
      <c r="I740" s="1">
        <v>46174</v>
      </c>
      <c r="J740">
        <v>78</v>
      </c>
      <c r="K740" t="s">
        <v>3059</v>
      </c>
      <c r="L740" t="s">
        <v>4221</v>
      </c>
      <c r="M740">
        <v>10</v>
      </c>
      <c r="N740">
        <v>3</v>
      </c>
      <c r="O740" t="s">
        <v>1036</v>
      </c>
      <c r="P740" s="17"/>
      <c r="Q740" s="17" t="str">
        <f>_xlfn.XLOOKUP(Table2[[#This Row],[buyFromVendorNo]],'Next Day Scheduled'!A:A,'Pending Returns'!O:O,"NOT_FOUND")</f>
        <v>NOT_FOUND</v>
      </c>
    </row>
    <row r="741" spans="1:17" x14ac:dyDescent="0.3">
      <c r="A741" s="1">
        <v>46181</v>
      </c>
      <c r="B741" t="s">
        <v>7467</v>
      </c>
      <c r="C741" t="s">
        <v>854</v>
      </c>
      <c r="D741" t="s">
        <v>855</v>
      </c>
      <c r="E741" t="s">
        <v>8</v>
      </c>
      <c r="F741" t="s">
        <v>10</v>
      </c>
      <c r="G741" s="16">
        <v>550.04399999999998</v>
      </c>
      <c r="H741" s="16">
        <v>550.04399999999998</v>
      </c>
      <c r="J741">
        <v>78</v>
      </c>
      <c r="K741" t="s">
        <v>4307</v>
      </c>
      <c r="M741">
        <v>16</v>
      </c>
      <c r="N741">
        <v>6</v>
      </c>
      <c r="O741" t="s">
        <v>216</v>
      </c>
      <c r="P741" s="17"/>
      <c r="Q741" s="17" t="str">
        <f>_xlfn.XLOOKUP(Table2[[#This Row],[buyFromVendorNo]],'Next Day Scheduled'!A:A,'Pending Returns'!O:O,"NOT_FOUND")</f>
        <v>Posted Credit Note</v>
      </c>
    </row>
    <row r="742" spans="1:17" x14ac:dyDescent="0.3">
      <c r="A742" s="1">
        <v>46181</v>
      </c>
      <c r="B742" t="s">
        <v>617</v>
      </c>
      <c r="C742" t="s">
        <v>865</v>
      </c>
      <c r="D742" t="s">
        <v>866</v>
      </c>
      <c r="E742" t="s">
        <v>8</v>
      </c>
      <c r="F742" t="s">
        <v>10</v>
      </c>
      <c r="G742" s="16">
        <v>324.8</v>
      </c>
      <c r="H742" s="16">
        <v>373.52</v>
      </c>
      <c r="I742" s="1">
        <v>46181</v>
      </c>
      <c r="J742">
        <v>78</v>
      </c>
      <c r="K742" t="s">
        <v>3046</v>
      </c>
      <c r="L742" t="s">
        <v>4299</v>
      </c>
      <c r="M742">
        <v>11</v>
      </c>
      <c r="N742">
        <v>7</v>
      </c>
      <c r="O742" t="s">
        <v>1036</v>
      </c>
      <c r="P742" s="17"/>
      <c r="Q742" s="17" t="str">
        <f>_xlfn.XLOOKUP(Table2[[#This Row],[buyFromVendorNo]],'Next Day Scheduled'!A:A,'Pending Returns'!O:O,"NOT_FOUND")</f>
        <v>Posted Credit Note</v>
      </c>
    </row>
    <row r="743" spans="1:17" x14ac:dyDescent="0.3">
      <c r="A743" s="1">
        <v>46181</v>
      </c>
      <c r="B743" t="s">
        <v>3283</v>
      </c>
      <c r="C743" t="s">
        <v>175</v>
      </c>
      <c r="D743" t="s">
        <v>176</v>
      </c>
      <c r="E743" t="s">
        <v>8</v>
      </c>
      <c r="F743" t="s">
        <v>10</v>
      </c>
      <c r="G743" s="16">
        <v>193.8</v>
      </c>
      <c r="H743" s="16">
        <v>222.87</v>
      </c>
      <c r="I743" s="1">
        <v>46174</v>
      </c>
      <c r="J743">
        <v>78</v>
      </c>
      <c r="K743" t="s">
        <v>3151</v>
      </c>
      <c r="L743" t="s">
        <v>4300</v>
      </c>
      <c r="M743">
        <v>11</v>
      </c>
      <c r="N743">
        <v>6</v>
      </c>
      <c r="O743" t="s">
        <v>1036</v>
      </c>
      <c r="P743" s="17"/>
      <c r="Q743" s="17" t="str">
        <f>_xlfn.XLOOKUP(Table2[[#This Row],[buyFromVendorNo]],'Next Day Scheduled'!A:A,'Pending Returns'!O:O,"NOT_FOUND")</f>
        <v>Posted Credit Note</v>
      </c>
    </row>
    <row r="744" spans="1:17" x14ac:dyDescent="0.3">
      <c r="A744" s="1">
        <v>46181</v>
      </c>
      <c r="B744" t="s">
        <v>4031</v>
      </c>
      <c r="C744" t="s">
        <v>418</v>
      </c>
      <c r="D744" t="s">
        <v>419</v>
      </c>
      <c r="E744" t="s">
        <v>8</v>
      </c>
      <c r="F744" t="s">
        <v>169</v>
      </c>
      <c r="G744" s="16">
        <v>641.55999999999995</v>
      </c>
      <c r="H744" s="16">
        <v>737.79399999999998</v>
      </c>
      <c r="I744" s="1">
        <v>46179</v>
      </c>
      <c r="J744">
        <v>78</v>
      </c>
      <c r="K744" t="s">
        <v>4089</v>
      </c>
      <c r="L744" t="s">
        <v>4207</v>
      </c>
      <c r="M744">
        <v>10</v>
      </c>
      <c r="N744">
        <v>3</v>
      </c>
      <c r="O744" t="s">
        <v>1036</v>
      </c>
      <c r="P744" s="17"/>
      <c r="Q744" s="17" t="str">
        <f>_xlfn.XLOOKUP(Table2[[#This Row],[buyFromVendorNo]],'Next Day Scheduled'!A:A,'Pending Returns'!O:O,"NOT_FOUND")</f>
        <v>NOT_FOUND</v>
      </c>
    </row>
    <row r="745" spans="1:17" x14ac:dyDescent="0.3">
      <c r="A745" s="1">
        <v>46181</v>
      </c>
      <c r="B745" t="s">
        <v>729</v>
      </c>
      <c r="C745" t="s">
        <v>776</v>
      </c>
      <c r="D745" t="s">
        <v>777</v>
      </c>
      <c r="E745" t="s">
        <v>8</v>
      </c>
      <c r="F745" t="s">
        <v>10</v>
      </c>
      <c r="G745" s="16">
        <v>355.82</v>
      </c>
      <c r="H745" s="16">
        <v>409.19299999999998</v>
      </c>
      <c r="I745" s="1">
        <v>46177</v>
      </c>
      <c r="J745">
        <v>78</v>
      </c>
      <c r="K745" t="s">
        <v>2961</v>
      </c>
      <c r="L745" t="s">
        <v>4203</v>
      </c>
      <c r="M745">
        <v>30</v>
      </c>
      <c r="N745">
        <v>2</v>
      </c>
      <c r="O745" t="s">
        <v>1036</v>
      </c>
      <c r="P745" s="17"/>
      <c r="Q745" s="17" t="str">
        <f>_xlfn.XLOOKUP(Table2[[#This Row],[buyFromVendorNo]],'Next Day Scheduled'!A:A,'Pending Returns'!O:O,"NOT_FOUND")</f>
        <v>Posted Credit Note</v>
      </c>
    </row>
    <row r="746" spans="1:17" x14ac:dyDescent="0.3">
      <c r="A746" s="1">
        <v>46181</v>
      </c>
      <c r="B746" t="s">
        <v>4078</v>
      </c>
      <c r="C746" t="s">
        <v>875</v>
      </c>
      <c r="D746" t="s">
        <v>876</v>
      </c>
      <c r="E746" t="s">
        <v>8</v>
      </c>
      <c r="F746" t="s">
        <v>38</v>
      </c>
      <c r="G746" s="16">
        <v>283.8</v>
      </c>
      <c r="H746" s="16">
        <v>326.37</v>
      </c>
      <c r="I746" s="1">
        <v>46181</v>
      </c>
      <c r="J746">
        <v>78</v>
      </c>
      <c r="K746" t="s">
        <v>4079</v>
      </c>
      <c r="L746" t="s">
        <v>4304</v>
      </c>
      <c r="M746">
        <v>7</v>
      </c>
      <c r="N746">
        <v>14</v>
      </c>
      <c r="O746" t="s">
        <v>1036</v>
      </c>
      <c r="P746" s="17"/>
      <c r="Q746" s="17" t="str">
        <f>_xlfn.XLOOKUP(Table2[[#This Row],[buyFromVendorNo]],'Next Day Scheduled'!A:A,'Pending Returns'!O:O,"NOT_FOUND")</f>
        <v>NOT_FOUND</v>
      </c>
    </row>
    <row r="747" spans="1:17" x14ac:dyDescent="0.3">
      <c r="A747" s="1">
        <v>46181</v>
      </c>
      <c r="B747" t="s">
        <v>1705</v>
      </c>
      <c r="C747" t="s">
        <v>880</v>
      </c>
      <c r="D747" t="s">
        <v>881</v>
      </c>
      <c r="E747" t="s">
        <v>8</v>
      </c>
      <c r="F747" t="s">
        <v>10</v>
      </c>
      <c r="G747" s="16">
        <v>508.72</v>
      </c>
      <c r="H747" s="16">
        <v>585.02800000000002</v>
      </c>
      <c r="I747" s="1">
        <v>46181</v>
      </c>
      <c r="J747">
        <v>78</v>
      </c>
      <c r="K747" t="s">
        <v>4014</v>
      </c>
      <c r="L747" t="s">
        <v>4204</v>
      </c>
      <c r="M747">
        <v>6</v>
      </c>
      <c r="N747">
        <v>13</v>
      </c>
      <c r="O747" t="s">
        <v>1036</v>
      </c>
      <c r="P747" s="17"/>
      <c r="Q747" s="17" t="str">
        <f>_xlfn.XLOOKUP(Table2[[#This Row],[buyFromVendorNo]],'Next Day Scheduled'!A:A,'Pending Returns'!O:O,"NOT_FOUND")</f>
        <v>NOT_FOUND</v>
      </c>
    </row>
    <row r="748" spans="1:17" x14ac:dyDescent="0.3">
      <c r="A748" s="1">
        <v>46181</v>
      </c>
      <c r="B748" t="s">
        <v>3853</v>
      </c>
      <c r="C748" t="s">
        <v>43</v>
      </c>
      <c r="D748" t="s">
        <v>44</v>
      </c>
      <c r="E748" t="s">
        <v>8</v>
      </c>
      <c r="F748" t="s">
        <v>38</v>
      </c>
      <c r="G748" s="16">
        <v>4230.12</v>
      </c>
      <c r="H748" s="16">
        <v>4864.6379999999999</v>
      </c>
      <c r="I748" s="1">
        <v>46177</v>
      </c>
      <c r="J748">
        <v>78</v>
      </c>
      <c r="K748" t="s">
        <v>3854</v>
      </c>
      <c r="L748" t="s">
        <v>4217</v>
      </c>
      <c r="M748">
        <v>72</v>
      </c>
      <c r="N748">
        <v>1</v>
      </c>
      <c r="O748" t="s">
        <v>1036</v>
      </c>
      <c r="P748" s="17"/>
      <c r="Q748" s="17" t="str">
        <f>_xlfn.XLOOKUP(Table2[[#This Row],[buyFromVendorNo]],'Next Day Scheduled'!A:A,'Pending Returns'!O:O,"NOT_FOUND")</f>
        <v>Posted Credit Note</v>
      </c>
    </row>
    <row r="749" spans="1:17" x14ac:dyDescent="0.3">
      <c r="A749" s="1">
        <v>46181</v>
      </c>
      <c r="B749" t="s">
        <v>2611</v>
      </c>
      <c r="C749" t="s">
        <v>2612</v>
      </c>
      <c r="D749" t="s">
        <v>2613</v>
      </c>
      <c r="E749" t="s">
        <v>8</v>
      </c>
      <c r="F749" t="s">
        <v>10</v>
      </c>
      <c r="G749" s="16">
        <v>2159.8537999999999</v>
      </c>
      <c r="H749" s="16">
        <v>2483.8317999999999</v>
      </c>
      <c r="I749" s="1">
        <v>46177</v>
      </c>
      <c r="J749">
        <v>78</v>
      </c>
      <c r="K749" t="s">
        <v>2614</v>
      </c>
      <c r="L749" t="s">
        <v>4210</v>
      </c>
      <c r="M749">
        <v>3</v>
      </c>
      <c r="N749">
        <v>8</v>
      </c>
      <c r="O749" t="s">
        <v>1036</v>
      </c>
      <c r="P749" s="17"/>
      <c r="Q749" s="17" t="str">
        <f>_xlfn.XLOOKUP(Table2[[#This Row],[buyFromVendorNo]],'Next Day Scheduled'!A:A,'Pending Returns'!O:O,"NOT_FOUND")</f>
        <v>NOT_FOUND</v>
      </c>
    </row>
    <row r="750" spans="1:17" x14ac:dyDescent="0.3">
      <c r="A750" s="1">
        <v>46181</v>
      </c>
      <c r="B750" t="s">
        <v>2578</v>
      </c>
      <c r="C750" t="s">
        <v>1024</v>
      </c>
      <c r="D750" t="s">
        <v>1025</v>
      </c>
      <c r="E750" t="s">
        <v>8</v>
      </c>
      <c r="F750" t="s">
        <v>10</v>
      </c>
      <c r="G750" s="16">
        <v>1037.9359999999999</v>
      </c>
      <c r="H750" s="16">
        <v>1193.6262999999999</v>
      </c>
      <c r="I750" s="1">
        <v>46177</v>
      </c>
      <c r="J750">
        <v>78</v>
      </c>
      <c r="K750" t="s">
        <v>2579</v>
      </c>
      <c r="L750" t="s">
        <v>4211</v>
      </c>
      <c r="M750">
        <v>10</v>
      </c>
      <c r="N750">
        <v>5</v>
      </c>
      <c r="O750" t="s">
        <v>1036</v>
      </c>
      <c r="P750" s="17"/>
      <c r="Q750" s="17" t="str">
        <f>_xlfn.XLOOKUP(Table2[[#This Row],[buyFromVendorNo]],'Next Day Scheduled'!A:A,'Pending Returns'!O:O,"NOT_FOUND")</f>
        <v>NOT_FOUND</v>
      </c>
    </row>
    <row r="751" spans="1:17" x14ac:dyDescent="0.3">
      <c r="A751" s="1">
        <v>46181</v>
      </c>
      <c r="B751" t="s">
        <v>412</v>
      </c>
      <c r="C751" t="s">
        <v>1279</v>
      </c>
      <c r="D751" t="s">
        <v>1280</v>
      </c>
      <c r="E751" t="s">
        <v>8</v>
      </c>
      <c r="F751" t="s">
        <v>10</v>
      </c>
      <c r="G751" s="16">
        <v>3245.7</v>
      </c>
      <c r="H751" s="16">
        <v>3732.5549999999998</v>
      </c>
      <c r="I751" s="1">
        <v>46180</v>
      </c>
      <c r="J751">
        <v>78</v>
      </c>
      <c r="K751" t="s">
        <v>1894</v>
      </c>
      <c r="L751" t="s">
        <v>4284</v>
      </c>
      <c r="M751">
        <v>11</v>
      </c>
      <c r="N751">
        <v>3</v>
      </c>
      <c r="O751" t="s">
        <v>1036</v>
      </c>
      <c r="P751" s="17"/>
      <c r="Q751" s="17" t="str">
        <f>_xlfn.XLOOKUP(Table2[[#This Row],[buyFromVendorNo]],'Next Day Scheduled'!A:A,'Pending Returns'!O:O,"NOT_FOUND")</f>
        <v>NOT_FOUND</v>
      </c>
    </row>
    <row r="752" spans="1:17" x14ac:dyDescent="0.3">
      <c r="A752" s="1">
        <v>46181</v>
      </c>
      <c r="B752" t="s">
        <v>3772</v>
      </c>
      <c r="C752" t="s">
        <v>2378</v>
      </c>
      <c r="D752" t="s">
        <v>2379</v>
      </c>
      <c r="E752" t="s">
        <v>8</v>
      </c>
      <c r="F752" t="s">
        <v>10</v>
      </c>
      <c r="G752" s="16">
        <v>714.8</v>
      </c>
      <c r="H752" s="16">
        <v>822.02</v>
      </c>
      <c r="I752" s="1">
        <v>46181</v>
      </c>
      <c r="J752">
        <v>78</v>
      </c>
      <c r="K752" t="s">
        <v>3614</v>
      </c>
      <c r="L752" t="s">
        <v>4212</v>
      </c>
      <c r="M752">
        <v>11</v>
      </c>
      <c r="N752">
        <v>5</v>
      </c>
      <c r="O752" t="s">
        <v>1036</v>
      </c>
      <c r="P752" s="17"/>
      <c r="Q752" s="17" t="str">
        <f>_xlfn.XLOOKUP(Table2[[#This Row],[buyFromVendorNo]],'Next Day Scheduled'!A:A,'Pending Returns'!O:O,"NOT_FOUND")</f>
        <v>NOT_FOUND</v>
      </c>
    </row>
    <row r="753" spans="1:17" x14ac:dyDescent="0.3">
      <c r="A753" s="1">
        <v>46181</v>
      </c>
      <c r="B753" t="s">
        <v>3297</v>
      </c>
      <c r="C753" t="s">
        <v>925</v>
      </c>
      <c r="D753" t="s">
        <v>926</v>
      </c>
      <c r="E753" t="s">
        <v>8</v>
      </c>
      <c r="F753" t="s">
        <v>10</v>
      </c>
      <c r="G753" s="16">
        <v>45</v>
      </c>
      <c r="H753" s="16">
        <v>51.75</v>
      </c>
      <c r="I753" s="1">
        <v>46177</v>
      </c>
      <c r="J753">
        <v>78</v>
      </c>
      <c r="K753" t="s">
        <v>3096</v>
      </c>
      <c r="L753" t="s">
        <v>4271</v>
      </c>
      <c r="M753">
        <v>12</v>
      </c>
      <c r="N753">
        <v>2</v>
      </c>
      <c r="O753" t="s">
        <v>1036</v>
      </c>
      <c r="P753" s="17"/>
      <c r="Q753" s="17" t="str">
        <f>_xlfn.XLOOKUP(Table2[[#This Row],[buyFromVendorNo]],'Next Day Scheduled'!A:A,'Pending Returns'!O:O,"NOT_FOUND")</f>
        <v>NOT_FOUND</v>
      </c>
    </row>
    <row r="754" spans="1:17" x14ac:dyDescent="0.3">
      <c r="A754" s="1">
        <v>46181</v>
      </c>
      <c r="B754" t="s">
        <v>676</v>
      </c>
      <c r="C754" t="s">
        <v>65</v>
      </c>
      <c r="D754" t="s">
        <v>66</v>
      </c>
      <c r="E754" t="s">
        <v>8</v>
      </c>
      <c r="F754" t="s">
        <v>169</v>
      </c>
      <c r="G754" s="16">
        <v>609.10249999999996</v>
      </c>
      <c r="H754" s="16">
        <v>700.46789999999999</v>
      </c>
      <c r="I754" s="1">
        <v>46173</v>
      </c>
      <c r="J754">
        <v>78</v>
      </c>
      <c r="K754" t="s">
        <v>3043</v>
      </c>
      <c r="L754" t="s">
        <v>4200</v>
      </c>
      <c r="M754">
        <v>22</v>
      </c>
      <c r="N754">
        <v>5</v>
      </c>
      <c r="O754" t="s">
        <v>1036</v>
      </c>
      <c r="P754" s="17"/>
      <c r="Q754" s="17" t="str">
        <f>_xlfn.XLOOKUP(Table2[[#This Row],[buyFromVendorNo]],'Next Day Scheduled'!A:A,'Pending Returns'!O:O,"NOT_FOUND")</f>
        <v>Posted Credit Note</v>
      </c>
    </row>
    <row r="755" spans="1:17" x14ac:dyDescent="0.3">
      <c r="A755" s="1">
        <v>46181</v>
      </c>
      <c r="B755" t="s">
        <v>606</v>
      </c>
      <c r="C755" t="s">
        <v>95</v>
      </c>
      <c r="D755" t="s">
        <v>96</v>
      </c>
      <c r="E755" t="s">
        <v>8</v>
      </c>
      <c r="F755" t="s">
        <v>10</v>
      </c>
      <c r="G755" s="16">
        <v>8690.5689999999995</v>
      </c>
      <c r="H755" s="16">
        <v>9994.1540000000005</v>
      </c>
      <c r="I755" s="1">
        <v>46148</v>
      </c>
      <c r="J755">
        <v>78</v>
      </c>
      <c r="K755" t="s">
        <v>586</v>
      </c>
      <c r="L755" t="s">
        <v>4219</v>
      </c>
      <c r="M755">
        <v>12</v>
      </c>
      <c r="N755">
        <v>1</v>
      </c>
      <c r="O755" t="s">
        <v>1036</v>
      </c>
      <c r="P755" s="17"/>
      <c r="Q755" s="17" t="str">
        <f>_xlfn.XLOOKUP(Table2[[#This Row],[buyFromVendorNo]],'Next Day Scheduled'!A:A,'Pending Returns'!O:O,"NOT_FOUND")</f>
        <v>NOT_FOUND</v>
      </c>
    </row>
    <row r="756" spans="1:17" x14ac:dyDescent="0.3">
      <c r="A756" s="1">
        <v>46181</v>
      </c>
      <c r="B756" t="s">
        <v>1972</v>
      </c>
      <c r="C756" t="s">
        <v>3449</v>
      </c>
      <c r="D756" t="s">
        <v>3450</v>
      </c>
      <c r="E756" t="s">
        <v>8</v>
      </c>
      <c r="F756" t="s">
        <v>169</v>
      </c>
      <c r="G756" s="16">
        <v>146.68</v>
      </c>
      <c r="H756" s="16">
        <v>168.68199999999999</v>
      </c>
      <c r="I756" s="1">
        <v>46181</v>
      </c>
      <c r="J756">
        <v>78</v>
      </c>
      <c r="K756" t="s">
        <v>3451</v>
      </c>
      <c r="L756" t="s">
        <v>4201</v>
      </c>
      <c r="M756">
        <v>0</v>
      </c>
      <c r="N756">
        <v>167</v>
      </c>
      <c r="O756" t="s">
        <v>1036</v>
      </c>
      <c r="P756" s="17"/>
      <c r="Q756" s="17" t="str">
        <f>_xlfn.XLOOKUP(Table2[[#This Row],[buyFromVendorNo]],'Next Day Scheduled'!A:A,'Pending Returns'!O:O,"NOT_FOUND")</f>
        <v>NOT_FOUND</v>
      </c>
    </row>
    <row r="757" spans="1:17" x14ac:dyDescent="0.3">
      <c r="A757" s="1">
        <v>46181</v>
      </c>
      <c r="B757" t="s">
        <v>3559</v>
      </c>
      <c r="C757" t="s">
        <v>2279</v>
      </c>
      <c r="D757" t="s">
        <v>3560</v>
      </c>
      <c r="E757" t="s">
        <v>8</v>
      </c>
      <c r="F757" t="s">
        <v>10</v>
      </c>
      <c r="G757" s="16">
        <v>693.5</v>
      </c>
      <c r="H757" s="16">
        <v>797.52499999999998</v>
      </c>
      <c r="I757" s="1">
        <v>46177</v>
      </c>
      <c r="J757">
        <v>78</v>
      </c>
      <c r="K757" t="s">
        <v>3561</v>
      </c>
      <c r="L757" t="s">
        <v>4209</v>
      </c>
      <c r="M757">
        <v>11</v>
      </c>
      <c r="N757">
        <v>5</v>
      </c>
      <c r="O757" t="s">
        <v>1036</v>
      </c>
      <c r="P757" s="17"/>
      <c r="Q757" s="17" t="str">
        <f>_xlfn.XLOOKUP(Table2[[#This Row],[buyFromVendorNo]],'Next Day Scheduled'!A:A,'Pending Returns'!O:O,"NOT_FOUND")</f>
        <v>Posted Credit Note</v>
      </c>
    </row>
    <row r="758" spans="1:17" x14ac:dyDescent="0.3">
      <c r="A758" s="1">
        <v>46181</v>
      </c>
      <c r="B758" t="s">
        <v>3789</v>
      </c>
      <c r="C758" t="s">
        <v>2285</v>
      </c>
      <c r="D758" t="s">
        <v>2286</v>
      </c>
      <c r="E758" t="s">
        <v>8</v>
      </c>
      <c r="F758" t="s">
        <v>10</v>
      </c>
      <c r="G758" s="16">
        <v>996.52</v>
      </c>
      <c r="H758" s="16">
        <v>1145.998</v>
      </c>
      <c r="I758" s="1">
        <v>46181</v>
      </c>
      <c r="J758">
        <v>78</v>
      </c>
      <c r="K758" t="s">
        <v>3790</v>
      </c>
      <c r="L758" t="s">
        <v>4292</v>
      </c>
      <c r="M758">
        <v>12</v>
      </c>
      <c r="N758">
        <v>6</v>
      </c>
      <c r="O758" t="s">
        <v>1036</v>
      </c>
      <c r="P758" s="17"/>
      <c r="Q758" s="17" t="str">
        <f>_xlfn.XLOOKUP(Table2[[#This Row],[buyFromVendorNo]],'Next Day Scheduled'!A:A,'Pending Returns'!O:O,"NOT_FOUND")</f>
        <v>Posted Credit Note</v>
      </c>
    </row>
    <row r="759" spans="1:17" x14ac:dyDescent="0.3">
      <c r="A759" s="1">
        <v>46181</v>
      </c>
      <c r="B759" t="s">
        <v>3414</v>
      </c>
      <c r="C759" t="s">
        <v>3415</v>
      </c>
      <c r="D759" t="s">
        <v>3416</v>
      </c>
      <c r="E759" t="s">
        <v>8</v>
      </c>
      <c r="F759" t="s">
        <v>10</v>
      </c>
      <c r="G759" s="16">
        <v>129.47999999999999</v>
      </c>
      <c r="H759" s="16">
        <v>148.90199999999999</v>
      </c>
      <c r="I759" s="1">
        <v>46181</v>
      </c>
      <c r="J759">
        <v>78</v>
      </c>
      <c r="K759" t="s">
        <v>3417</v>
      </c>
      <c r="L759" t="s">
        <v>4293</v>
      </c>
      <c r="M759">
        <v>4</v>
      </c>
      <c r="N759">
        <v>1</v>
      </c>
      <c r="O759" t="s">
        <v>1036</v>
      </c>
      <c r="P759" s="17"/>
      <c r="Q759" s="17" t="str">
        <f>_xlfn.XLOOKUP(Table2[[#This Row],[buyFromVendorNo]],'Next Day Scheduled'!A:A,'Pending Returns'!O:O,"NOT_FOUND")</f>
        <v>NOT_FOUND</v>
      </c>
    </row>
    <row r="760" spans="1:17" x14ac:dyDescent="0.3">
      <c r="A760" s="1">
        <v>46181</v>
      </c>
      <c r="B760" t="s">
        <v>3395</v>
      </c>
      <c r="C760" t="s">
        <v>1279</v>
      </c>
      <c r="D760" t="s">
        <v>1280</v>
      </c>
      <c r="E760" t="s">
        <v>8</v>
      </c>
      <c r="F760" t="s">
        <v>10</v>
      </c>
      <c r="G760" s="16">
        <v>285</v>
      </c>
      <c r="H760" s="16">
        <v>327.75</v>
      </c>
      <c r="I760" s="1">
        <v>46180</v>
      </c>
      <c r="J760">
        <v>78</v>
      </c>
      <c r="K760" t="s">
        <v>3791</v>
      </c>
      <c r="L760" t="s">
        <v>4282</v>
      </c>
      <c r="M760">
        <v>11</v>
      </c>
      <c r="N760">
        <v>3</v>
      </c>
      <c r="O760" t="s">
        <v>1036</v>
      </c>
      <c r="P760" s="17"/>
      <c r="Q760" s="17" t="str">
        <f>_xlfn.XLOOKUP(Table2[[#This Row],[buyFromVendorNo]],'Next Day Scheduled'!A:A,'Pending Returns'!O:O,"NOT_FOUND")</f>
        <v>NOT_FOUND</v>
      </c>
    </row>
    <row r="761" spans="1:17" x14ac:dyDescent="0.3">
      <c r="A761" s="1">
        <v>46181</v>
      </c>
      <c r="B761" t="s">
        <v>317</v>
      </c>
      <c r="C761" t="s">
        <v>93</v>
      </c>
      <c r="D761" t="s">
        <v>94</v>
      </c>
      <c r="E761" t="s">
        <v>8</v>
      </c>
      <c r="F761" t="s">
        <v>38</v>
      </c>
      <c r="G761" s="16">
        <v>51737.777000000002</v>
      </c>
      <c r="H761" s="16">
        <v>59498.445</v>
      </c>
      <c r="I761" s="1">
        <v>46177</v>
      </c>
      <c r="J761">
        <v>78</v>
      </c>
      <c r="K761" t="s">
        <v>92</v>
      </c>
      <c r="L761" t="s">
        <v>4298</v>
      </c>
      <c r="M761">
        <v>6</v>
      </c>
      <c r="N761">
        <v>6</v>
      </c>
      <c r="O761" t="s">
        <v>1036</v>
      </c>
      <c r="P761" s="17"/>
      <c r="Q761" s="17" t="str">
        <f>_xlfn.XLOOKUP(Table2[[#This Row],[buyFromVendorNo]],'Next Day Scheduled'!A:A,'Pending Returns'!O:O,"NOT_FOUND")</f>
        <v>Posted Credit Note</v>
      </c>
    </row>
    <row r="762" spans="1:17" x14ac:dyDescent="0.3">
      <c r="A762" s="1">
        <v>46181</v>
      </c>
      <c r="B762" t="s">
        <v>3853</v>
      </c>
      <c r="C762" t="s">
        <v>886</v>
      </c>
      <c r="D762" t="s">
        <v>887</v>
      </c>
      <c r="E762" t="s">
        <v>8</v>
      </c>
      <c r="F762" t="s">
        <v>38</v>
      </c>
      <c r="G762" s="16">
        <v>3401.14</v>
      </c>
      <c r="H762" s="16">
        <v>3911.3110000000001</v>
      </c>
      <c r="I762" s="1">
        <v>46177</v>
      </c>
      <c r="J762">
        <v>78</v>
      </c>
      <c r="K762" t="s">
        <v>3908</v>
      </c>
      <c r="L762" t="s">
        <v>4215</v>
      </c>
      <c r="M762">
        <v>11</v>
      </c>
      <c r="N762">
        <v>6</v>
      </c>
      <c r="O762" t="s">
        <v>1036</v>
      </c>
      <c r="P762" s="17"/>
      <c r="Q762" s="17" t="str">
        <f>_xlfn.XLOOKUP(Table2[[#This Row],[buyFromVendorNo]],'Next Day Scheduled'!A:A,'Pending Returns'!O:O,"NOT_FOUND")</f>
        <v>NOT_FOUND</v>
      </c>
    </row>
    <row r="763" spans="1:17" x14ac:dyDescent="0.3">
      <c r="A763" s="1">
        <v>46181</v>
      </c>
      <c r="B763" t="s">
        <v>262</v>
      </c>
      <c r="C763" t="s">
        <v>1722</v>
      </c>
      <c r="D763" t="s">
        <v>1723</v>
      </c>
      <c r="E763" t="s">
        <v>8</v>
      </c>
      <c r="F763" t="s">
        <v>10</v>
      </c>
      <c r="G763" s="16">
        <v>327</v>
      </c>
      <c r="H763" s="16">
        <v>376.05</v>
      </c>
      <c r="I763" s="1">
        <v>46180</v>
      </c>
      <c r="J763">
        <v>78</v>
      </c>
      <c r="K763" t="s">
        <v>3129</v>
      </c>
      <c r="L763" t="s">
        <v>4301</v>
      </c>
      <c r="M763">
        <v>6</v>
      </c>
      <c r="N763">
        <v>1</v>
      </c>
      <c r="O763" t="s">
        <v>1036</v>
      </c>
      <c r="P763" s="17"/>
      <c r="Q763" s="17" t="str">
        <f>_xlfn.XLOOKUP(Table2[[#This Row],[buyFromVendorNo]],'Next Day Scheduled'!A:A,'Pending Returns'!O:O,"NOT_FOUND")</f>
        <v>NOT_FOUND</v>
      </c>
    </row>
    <row r="764" spans="1:17" x14ac:dyDescent="0.3">
      <c r="A764" s="1">
        <v>46181</v>
      </c>
      <c r="B764" t="s">
        <v>1623</v>
      </c>
      <c r="C764" t="s">
        <v>802</v>
      </c>
      <c r="D764" t="s">
        <v>2331</v>
      </c>
      <c r="E764" t="s">
        <v>8</v>
      </c>
      <c r="F764" t="s">
        <v>38</v>
      </c>
      <c r="G764" s="16">
        <v>237.39</v>
      </c>
      <c r="H764" s="16">
        <v>272.99849999999998</v>
      </c>
      <c r="I764" s="1">
        <v>46181</v>
      </c>
      <c r="J764">
        <v>78</v>
      </c>
      <c r="K764" t="s">
        <v>4034</v>
      </c>
      <c r="L764" t="s">
        <v>4270</v>
      </c>
      <c r="M764">
        <v>10</v>
      </c>
      <c r="N764">
        <v>1</v>
      </c>
      <c r="O764" t="s">
        <v>1036</v>
      </c>
      <c r="P764" s="17"/>
      <c r="Q764" s="17" t="str">
        <f>_xlfn.XLOOKUP(Table2[[#This Row],[buyFromVendorNo]],'Next Day Scheduled'!A:A,'Pending Returns'!O:O,"NOT_FOUND")</f>
        <v>NOT_FOUND</v>
      </c>
    </row>
    <row r="765" spans="1:17" x14ac:dyDescent="0.3">
      <c r="A765" s="1">
        <v>46181</v>
      </c>
      <c r="B765" t="s">
        <v>2665</v>
      </c>
      <c r="C765" t="s">
        <v>1279</v>
      </c>
      <c r="D765" t="s">
        <v>1280</v>
      </c>
      <c r="E765" t="s">
        <v>8</v>
      </c>
      <c r="F765" t="s">
        <v>10</v>
      </c>
      <c r="G765" s="16">
        <v>586</v>
      </c>
      <c r="H765" s="16">
        <v>673.9</v>
      </c>
      <c r="I765" s="1">
        <v>46180</v>
      </c>
      <c r="J765">
        <v>78</v>
      </c>
      <c r="K765" t="s">
        <v>2666</v>
      </c>
      <c r="L765" t="s">
        <v>4296</v>
      </c>
      <c r="M765">
        <v>11</v>
      </c>
      <c r="N765">
        <v>3</v>
      </c>
      <c r="O765" t="s">
        <v>1036</v>
      </c>
      <c r="P765" s="17"/>
      <c r="Q765" s="17" t="str">
        <f>_xlfn.XLOOKUP(Table2[[#This Row],[buyFromVendorNo]],'Next Day Scheduled'!A:A,'Pending Returns'!O:O,"NOT_FOUND")</f>
        <v>NOT_FOUND</v>
      </c>
    </row>
    <row r="766" spans="1:17" x14ac:dyDescent="0.3">
      <c r="A766" s="1">
        <v>46181</v>
      </c>
      <c r="B766" t="s">
        <v>2710</v>
      </c>
      <c r="C766" t="s">
        <v>815</v>
      </c>
      <c r="D766" t="s">
        <v>816</v>
      </c>
      <c r="E766" t="s">
        <v>8</v>
      </c>
      <c r="F766" t="s">
        <v>10</v>
      </c>
      <c r="G766" s="16">
        <v>224.16</v>
      </c>
      <c r="H766" s="16">
        <v>257.78399999999999</v>
      </c>
      <c r="I766" s="1">
        <v>46177</v>
      </c>
      <c r="J766">
        <v>78</v>
      </c>
      <c r="K766" t="s">
        <v>2711</v>
      </c>
      <c r="L766" t="s">
        <v>4218</v>
      </c>
      <c r="M766">
        <v>14</v>
      </c>
      <c r="N766">
        <v>1</v>
      </c>
      <c r="O766" t="s">
        <v>1036</v>
      </c>
      <c r="P766" s="17"/>
      <c r="Q766" s="17" t="str">
        <f>_xlfn.XLOOKUP(Table2[[#This Row],[buyFromVendorNo]],'Next Day Scheduled'!A:A,'Pending Returns'!O:O,"NOT_FOUND")</f>
        <v>NOT_FOUND</v>
      </c>
    </row>
    <row r="767" spans="1:17" x14ac:dyDescent="0.3">
      <c r="A767" s="1">
        <v>46181</v>
      </c>
      <c r="B767" t="s">
        <v>2578</v>
      </c>
      <c r="C767" t="s">
        <v>1279</v>
      </c>
      <c r="D767" t="s">
        <v>1280</v>
      </c>
      <c r="E767" t="s">
        <v>8</v>
      </c>
      <c r="F767" t="s">
        <v>10</v>
      </c>
      <c r="G767" s="16">
        <v>2083</v>
      </c>
      <c r="H767" s="16">
        <v>2395.4499999999998</v>
      </c>
      <c r="I767" s="1">
        <v>46180</v>
      </c>
      <c r="J767">
        <v>78</v>
      </c>
      <c r="K767" t="s">
        <v>4104</v>
      </c>
      <c r="L767" t="s">
        <v>4275</v>
      </c>
      <c r="M767">
        <v>11</v>
      </c>
      <c r="N767">
        <v>3</v>
      </c>
      <c r="O767" t="s">
        <v>1036</v>
      </c>
      <c r="P767" s="17"/>
      <c r="Q767" s="17" t="str">
        <f>_xlfn.XLOOKUP(Table2[[#This Row],[buyFromVendorNo]],'Next Day Scheduled'!A:A,'Pending Returns'!O:O,"NOT_FOUND")</f>
        <v>NOT_FOUND</v>
      </c>
    </row>
    <row r="768" spans="1:17" x14ac:dyDescent="0.3">
      <c r="A768" s="1">
        <v>46181</v>
      </c>
      <c r="B768" t="s">
        <v>3693</v>
      </c>
      <c r="C768" t="s">
        <v>798</v>
      </c>
      <c r="D768" t="s">
        <v>799</v>
      </c>
      <c r="E768" t="s">
        <v>8</v>
      </c>
      <c r="F768" t="s">
        <v>10</v>
      </c>
      <c r="G768" s="16">
        <v>119.5</v>
      </c>
      <c r="H768" s="16">
        <v>137.42500000000001</v>
      </c>
      <c r="I768" s="1">
        <v>46181</v>
      </c>
      <c r="J768">
        <v>78</v>
      </c>
      <c r="K768" t="s">
        <v>3649</v>
      </c>
      <c r="L768" t="s">
        <v>4278</v>
      </c>
      <c r="M768">
        <v>9</v>
      </c>
      <c r="N768">
        <v>9</v>
      </c>
      <c r="O768" t="s">
        <v>1036</v>
      </c>
      <c r="P768" s="17"/>
      <c r="Q768" s="17" t="str">
        <f>_xlfn.XLOOKUP(Table2[[#This Row],[buyFromVendorNo]],'Next Day Scheduled'!A:A,'Pending Returns'!O:O,"NOT_FOUND")</f>
        <v>NOT_FOUND</v>
      </c>
    </row>
    <row r="769" spans="1:17" x14ac:dyDescent="0.3">
      <c r="A769" s="1">
        <v>46181</v>
      </c>
      <c r="B769" t="s">
        <v>1706</v>
      </c>
      <c r="C769" t="s">
        <v>175</v>
      </c>
      <c r="D769" t="s">
        <v>176</v>
      </c>
      <c r="E769" t="s">
        <v>8</v>
      </c>
      <c r="F769" t="s">
        <v>10</v>
      </c>
      <c r="G769" s="16">
        <v>437.9</v>
      </c>
      <c r="H769" s="16">
        <v>503.58499999999998</v>
      </c>
      <c r="I769" s="1">
        <v>46174</v>
      </c>
      <c r="J769">
        <v>78</v>
      </c>
      <c r="K769" t="s">
        <v>2820</v>
      </c>
      <c r="L769" t="s">
        <v>4288</v>
      </c>
      <c r="M769">
        <v>11</v>
      </c>
      <c r="N769">
        <v>6</v>
      </c>
      <c r="O769" t="s">
        <v>1036</v>
      </c>
      <c r="P769" s="17"/>
      <c r="Q769" s="17" t="str">
        <f>_xlfn.XLOOKUP(Table2[[#This Row],[buyFromVendorNo]],'Next Day Scheduled'!A:A,'Pending Returns'!O:O,"NOT_FOUND")</f>
        <v>Posted Credit Note</v>
      </c>
    </row>
    <row r="770" spans="1:17" x14ac:dyDescent="0.3">
      <c r="A770" s="1">
        <v>46181</v>
      </c>
      <c r="B770" t="s">
        <v>4028</v>
      </c>
      <c r="C770" t="s">
        <v>2285</v>
      </c>
      <c r="D770" t="s">
        <v>2286</v>
      </c>
      <c r="E770" t="s">
        <v>8</v>
      </c>
      <c r="F770" t="s">
        <v>10</v>
      </c>
      <c r="G770" s="16">
        <v>787.1</v>
      </c>
      <c r="H770" s="16">
        <v>905.16499999999996</v>
      </c>
      <c r="I770" s="1">
        <v>46181</v>
      </c>
      <c r="J770">
        <v>78</v>
      </c>
      <c r="K770" t="s">
        <v>4029</v>
      </c>
      <c r="L770" t="s">
        <v>4309</v>
      </c>
      <c r="M770">
        <v>12</v>
      </c>
      <c r="N770">
        <v>6</v>
      </c>
      <c r="O770" t="s">
        <v>1036</v>
      </c>
      <c r="P770" s="17"/>
      <c r="Q770" s="17" t="str">
        <f>_xlfn.XLOOKUP(Table2[[#This Row],[buyFromVendorNo]],'Next Day Scheduled'!A:A,'Pending Returns'!O:O,"NOT_FOUND")</f>
        <v>Posted Credit Note</v>
      </c>
    </row>
    <row r="771" spans="1:17" x14ac:dyDescent="0.3">
      <c r="A771" s="1">
        <v>46181</v>
      </c>
      <c r="B771" t="s">
        <v>3384</v>
      </c>
      <c r="C771" t="s">
        <v>3947</v>
      </c>
      <c r="D771" t="s">
        <v>3981</v>
      </c>
      <c r="E771" t="s">
        <v>8</v>
      </c>
      <c r="F771" t="s">
        <v>10</v>
      </c>
      <c r="G771" s="16">
        <v>444</v>
      </c>
      <c r="H771" s="16">
        <v>510.6</v>
      </c>
      <c r="I771" s="1">
        <v>46181</v>
      </c>
      <c r="J771">
        <v>78</v>
      </c>
      <c r="K771" t="s">
        <v>3982</v>
      </c>
      <c r="L771" t="s">
        <v>4202</v>
      </c>
      <c r="M771">
        <v>11</v>
      </c>
      <c r="N771">
        <v>7</v>
      </c>
      <c r="O771" t="s">
        <v>1036</v>
      </c>
      <c r="P771" s="17"/>
      <c r="Q771" s="17" t="str">
        <f>_xlfn.XLOOKUP(Table2[[#This Row],[buyFromVendorNo]],'Next Day Scheduled'!A:A,'Pending Returns'!O:O,"NOT_FOUND")</f>
        <v>NOT_FOUND</v>
      </c>
    </row>
    <row r="772" spans="1:17" x14ac:dyDescent="0.3">
      <c r="A772" s="1">
        <v>46181</v>
      </c>
      <c r="B772" t="s">
        <v>2787</v>
      </c>
      <c r="C772" t="s">
        <v>2267</v>
      </c>
      <c r="D772" t="s">
        <v>2268</v>
      </c>
      <c r="E772" t="s">
        <v>8</v>
      </c>
      <c r="F772" t="s">
        <v>10</v>
      </c>
      <c r="G772" s="16">
        <v>5489.5</v>
      </c>
      <c r="H772" s="16">
        <v>6312.9250000000002</v>
      </c>
      <c r="I772" s="1">
        <v>46176</v>
      </c>
      <c r="J772">
        <v>78</v>
      </c>
      <c r="K772" t="s">
        <v>2788</v>
      </c>
      <c r="L772" t="s">
        <v>4281</v>
      </c>
      <c r="M772">
        <v>7</v>
      </c>
      <c r="N772">
        <v>2</v>
      </c>
      <c r="O772" t="s">
        <v>1036</v>
      </c>
      <c r="P772" s="17"/>
      <c r="Q772" s="17" t="str">
        <f>_xlfn.XLOOKUP(Table2[[#This Row],[buyFromVendorNo]],'Next Day Scheduled'!A:A,'Pending Returns'!O:O,"NOT_FOUND")</f>
        <v>NOT_FOUND</v>
      </c>
    </row>
    <row r="773" spans="1:17" x14ac:dyDescent="0.3">
      <c r="A773" s="1">
        <v>46181</v>
      </c>
      <c r="B773" t="s">
        <v>2768</v>
      </c>
      <c r="C773" t="s">
        <v>2263</v>
      </c>
      <c r="D773" t="s">
        <v>2350</v>
      </c>
      <c r="E773" t="s">
        <v>8</v>
      </c>
      <c r="F773" t="s">
        <v>10</v>
      </c>
      <c r="G773" s="16">
        <v>1081.92</v>
      </c>
      <c r="H773" s="16">
        <v>1244.2080000000001</v>
      </c>
      <c r="I773" s="1">
        <v>46176</v>
      </c>
      <c r="J773">
        <v>78</v>
      </c>
      <c r="K773" t="s">
        <v>2769</v>
      </c>
      <c r="L773" t="s">
        <v>4214</v>
      </c>
      <c r="M773">
        <v>8</v>
      </c>
      <c r="N773">
        <v>3</v>
      </c>
      <c r="O773" t="s">
        <v>1036</v>
      </c>
      <c r="P773" s="17"/>
      <c r="Q773" s="17" t="str">
        <f>_xlfn.XLOOKUP(Table2[[#This Row],[buyFromVendorNo]],'Next Day Scheduled'!A:A,'Pending Returns'!O:O,"NOT_FOUND")</f>
        <v>Posted Credit Note</v>
      </c>
    </row>
    <row r="774" spans="1:17" x14ac:dyDescent="0.3">
      <c r="A774" s="1">
        <v>46182</v>
      </c>
      <c r="B774" t="s">
        <v>3307</v>
      </c>
      <c r="C774" t="s">
        <v>723</v>
      </c>
      <c r="D774" t="s">
        <v>724</v>
      </c>
      <c r="E774" t="s">
        <v>8</v>
      </c>
      <c r="F774" t="s">
        <v>10</v>
      </c>
      <c r="G774" s="16">
        <v>300.54000000000002</v>
      </c>
      <c r="H774" s="16">
        <v>345.62099999999998</v>
      </c>
      <c r="I774" s="1">
        <v>46177</v>
      </c>
      <c r="J774">
        <v>77</v>
      </c>
      <c r="K774" t="s">
        <v>3181</v>
      </c>
      <c r="L774" t="s">
        <v>4322</v>
      </c>
      <c r="M774">
        <v>10</v>
      </c>
      <c r="N774">
        <v>8</v>
      </c>
      <c r="O774" t="s">
        <v>1036</v>
      </c>
      <c r="P774" s="17"/>
      <c r="Q774" s="17" t="str">
        <f>_xlfn.XLOOKUP(Table2[[#This Row],[buyFromVendorNo]],'Next Day Scheduled'!A:A,'Pending Returns'!O:O,"NOT_FOUND")</f>
        <v>NOT_FOUND</v>
      </c>
    </row>
    <row r="775" spans="1:17" x14ac:dyDescent="0.3">
      <c r="A775" s="1">
        <v>46182</v>
      </c>
      <c r="B775" t="s">
        <v>281</v>
      </c>
      <c r="C775" t="s">
        <v>16</v>
      </c>
      <c r="D775" t="s">
        <v>17</v>
      </c>
      <c r="E775" t="s">
        <v>8</v>
      </c>
      <c r="F775" t="s">
        <v>10</v>
      </c>
      <c r="G775" s="16">
        <v>3716.152</v>
      </c>
      <c r="H775" s="16">
        <v>4273.5747000000001</v>
      </c>
      <c r="I775" s="1">
        <v>46160</v>
      </c>
      <c r="J775">
        <v>77</v>
      </c>
      <c r="K775" t="s">
        <v>1796</v>
      </c>
      <c r="L775" t="s">
        <v>4337</v>
      </c>
      <c r="M775">
        <v>11</v>
      </c>
      <c r="N775">
        <v>3</v>
      </c>
      <c r="O775" t="s">
        <v>1036</v>
      </c>
      <c r="P775" s="17"/>
      <c r="Q775" s="17" t="str">
        <f>_xlfn.XLOOKUP(Table2[[#This Row],[buyFromVendorNo]],'Next Day Scheduled'!A:A,'Pending Returns'!O:O,"NOT_FOUND")</f>
        <v>Posted Credit Note</v>
      </c>
    </row>
    <row r="776" spans="1:17" x14ac:dyDescent="0.3">
      <c r="A776" s="1">
        <v>46182</v>
      </c>
      <c r="B776" t="s">
        <v>2670</v>
      </c>
      <c r="C776" t="s">
        <v>2671</v>
      </c>
      <c r="D776" t="s">
        <v>2672</v>
      </c>
      <c r="E776" t="s">
        <v>8</v>
      </c>
      <c r="F776" t="s">
        <v>10</v>
      </c>
      <c r="G776" s="16">
        <v>2171.9162999999999</v>
      </c>
      <c r="H776" s="16">
        <v>2497.7035999999998</v>
      </c>
      <c r="I776" s="1">
        <v>46180</v>
      </c>
      <c r="J776">
        <v>77</v>
      </c>
      <c r="K776" t="s">
        <v>2673</v>
      </c>
      <c r="L776" t="s">
        <v>4326</v>
      </c>
      <c r="M776">
        <v>2</v>
      </c>
      <c r="N776">
        <v>55</v>
      </c>
      <c r="O776" t="s">
        <v>1036</v>
      </c>
      <c r="P776" s="17"/>
      <c r="Q776" s="17" t="str">
        <f>_xlfn.XLOOKUP(Table2[[#This Row],[buyFromVendorNo]],'Next Day Scheduled'!A:A,'Pending Returns'!O:O,"NOT_FOUND")</f>
        <v>NOT_FOUND</v>
      </c>
    </row>
    <row r="777" spans="1:17" x14ac:dyDescent="0.3">
      <c r="A777" s="1">
        <v>46182</v>
      </c>
      <c r="B777" t="s">
        <v>3700</v>
      </c>
      <c r="C777" t="s">
        <v>884</v>
      </c>
      <c r="D777" t="s">
        <v>885</v>
      </c>
      <c r="E777" t="s">
        <v>8</v>
      </c>
      <c r="F777" t="s">
        <v>10</v>
      </c>
      <c r="G777" s="16">
        <v>2465.6</v>
      </c>
      <c r="H777" s="16">
        <v>2835.44</v>
      </c>
      <c r="I777" s="1">
        <v>46181</v>
      </c>
      <c r="J777">
        <v>77</v>
      </c>
      <c r="K777" t="s">
        <v>3653</v>
      </c>
      <c r="L777" t="s">
        <v>4359</v>
      </c>
      <c r="M777">
        <v>0</v>
      </c>
      <c r="N777">
        <v>226</v>
      </c>
      <c r="O777" t="s">
        <v>1036</v>
      </c>
      <c r="P777" s="17"/>
      <c r="Q777" s="17" t="str">
        <f>_xlfn.XLOOKUP(Table2[[#This Row],[buyFromVendorNo]],'Next Day Scheduled'!A:A,'Pending Returns'!O:O,"NOT_FOUND")</f>
        <v>NOT_FOUND</v>
      </c>
    </row>
    <row r="778" spans="1:17" x14ac:dyDescent="0.3">
      <c r="A778" s="1">
        <v>46182</v>
      </c>
      <c r="B778" t="s">
        <v>2692</v>
      </c>
      <c r="C778" t="s">
        <v>304</v>
      </c>
      <c r="D778" t="s">
        <v>307</v>
      </c>
      <c r="E778" t="s">
        <v>8</v>
      </c>
      <c r="F778" t="s">
        <v>10</v>
      </c>
      <c r="G778" s="16">
        <v>618.20090000000005</v>
      </c>
      <c r="H778" s="16">
        <v>710.93100000000004</v>
      </c>
      <c r="I778" s="1">
        <v>46177</v>
      </c>
      <c r="J778">
        <v>77</v>
      </c>
      <c r="K778" t="s">
        <v>2693</v>
      </c>
      <c r="L778" t="s">
        <v>4360</v>
      </c>
      <c r="M778">
        <v>13</v>
      </c>
      <c r="N778">
        <v>6</v>
      </c>
      <c r="O778" t="s">
        <v>1036</v>
      </c>
      <c r="P778" s="17"/>
      <c r="Q778" s="17" t="str">
        <f>_xlfn.XLOOKUP(Table2[[#This Row],[buyFromVendorNo]],'Next Day Scheduled'!A:A,'Pending Returns'!O:O,"NOT_FOUND")</f>
        <v>NOT_FOUND</v>
      </c>
    </row>
    <row r="779" spans="1:17" x14ac:dyDescent="0.3">
      <c r="A779" s="1">
        <v>46182</v>
      </c>
      <c r="B779" t="s">
        <v>3784</v>
      </c>
      <c r="C779" t="s">
        <v>362</v>
      </c>
      <c r="D779" t="s">
        <v>363</v>
      </c>
      <c r="E779" t="s">
        <v>8</v>
      </c>
      <c r="F779" t="s">
        <v>10</v>
      </c>
      <c r="G779" s="16">
        <v>537.9</v>
      </c>
      <c r="H779" s="16">
        <v>618.58500000000004</v>
      </c>
      <c r="I779" s="1">
        <v>46180</v>
      </c>
      <c r="J779">
        <v>77</v>
      </c>
      <c r="K779" t="s">
        <v>3785</v>
      </c>
      <c r="L779" t="s">
        <v>4332</v>
      </c>
      <c r="M779">
        <v>12</v>
      </c>
      <c r="N779">
        <v>1</v>
      </c>
      <c r="O779" t="s">
        <v>1036</v>
      </c>
      <c r="P779" s="17"/>
      <c r="Q779" s="17" t="str">
        <f>_xlfn.XLOOKUP(Table2[[#This Row],[buyFromVendorNo]],'Next Day Scheduled'!A:A,'Pending Returns'!O:O,"NOT_FOUND")</f>
        <v>NOT_FOUND</v>
      </c>
    </row>
    <row r="780" spans="1:17" x14ac:dyDescent="0.3">
      <c r="A780" s="1">
        <v>46182</v>
      </c>
      <c r="B780" t="s">
        <v>3245</v>
      </c>
      <c r="C780" t="s">
        <v>723</v>
      </c>
      <c r="D780" t="s">
        <v>724</v>
      </c>
      <c r="E780" t="s">
        <v>8</v>
      </c>
      <c r="F780" t="s">
        <v>10</v>
      </c>
      <c r="G780" s="16">
        <v>147</v>
      </c>
      <c r="H780" s="16">
        <v>169.05</v>
      </c>
      <c r="I780" s="1">
        <v>46177</v>
      </c>
      <c r="J780">
        <v>77</v>
      </c>
      <c r="K780" t="s">
        <v>3572</v>
      </c>
      <c r="L780" t="s">
        <v>4362</v>
      </c>
      <c r="M780">
        <v>10</v>
      </c>
      <c r="N780">
        <v>8</v>
      </c>
      <c r="O780" t="s">
        <v>1036</v>
      </c>
      <c r="P780" s="17"/>
      <c r="Q780" s="17" t="str">
        <f>_xlfn.XLOOKUP(Table2[[#This Row],[buyFromVendorNo]],'Next Day Scheduled'!A:A,'Pending Returns'!O:O,"NOT_FOUND")</f>
        <v>NOT_FOUND</v>
      </c>
    </row>
    <row r="781" spans="1:17" x14ac:dyDescent="0.3">
      <c r="A781" s="1">
        <v>46182</v>
      </c>
      <c r="B781" t="s">
        <v>3542</v>
      </c>
      <c r="C781" t="s">
        <v>884</v>
      </c>
      <c r="D781" t="s">
        <v>885</v>
      </c>
      <c r="E781" t="s">
        <v>8</v>
      </c>
      <c r="F781" t="s">
        <v>10</v>
      </c>
      <c r="G781" s="16">
        <v>3707.6</v>
      </c>
      <c r="H781" s="16">
        <v>4263.74</v>
      </c>
      <c r="I781" s="1">
        <v>46181</v>
      </c>
      <c r="J781">
        <v>77</v>
      </c>
      <c r="K781" t="s">
        <v>3543</v>
      </c>
      <c r="L781" t="s">
        <v>4334</v>
      </c>
      <c r="M781">
        <v>0</v>
      </c>
      <c r="N781">
        <v>226</v>
      </c>
      <c r="O781" t="s">
        <v>1036</v>
      </c>
      <c r="P781" s="17"/>
      <c r="Q781" s="17" t="str">
        <f>_xlfn.XLOOKUP(Table2[[#This Row],[buyFromVendorNo]],'Next Day Scheduled'!A:A,'Pending Returns'!O:O,"NOT_FOUND")</f>
        <v>NOT_FOUND</v>
      </c>
    </row>
    <row r="782" spans="1:17" x14ac:dyDescent="0.3">
      <c r="A782" s="1">
        <v>46182</v>
      </c>
      <c r="B782" t="s">
        <v>3391</v>
      </c>
      <c r="C782" t="s">
        <v>3177</v>
      </c>
      <c r="D782" t="s">
        <v>3178</v>
      </c>
      <c r="E782" t="s">
        <v>8</v>
      </c>
      <c r="F782" t="s">
        <v>10</v>
      </c>
      <c r="G782" s="16">
        <v>6362.4</v>
      </c>
      <c r="H782" s="16">
        <v>7316.76</v>
      </c>
      <c r="I782" s="1">
        <v>46181</v>
      </c>
      <c r="J782">
        <v>77</v>
      </c>
      <c r="K782" t="s">
        <v>3176</v>
      </c>
      <c r="L782" t="s">
        <v>4342</v>
      </c>
      <c r="M782">
        <v>4</v>
      </c>
      <c r="N782">
        <v>35</v>
      </c>
      <c r="O782" t="s">
        <v>1036</v>
      </c>
      <c r="P782" s="17"/>
      <c r="Q782" s="17" t="str">
        <f>_xlfn.XLOOKUP(Table2[[#This Row],[buyFromVendorNo]],'Next Day Scheduled'!A:A,'Pending Returns'!O:O,"NOT_FOUND")</f>
        <v>NOT_FOUND</v>
      </c>
    </row>
    <row r="783" spans="1:17" x14ac:dyDescent="0.3">
      <c r="A783" s="1">
        <v>46182</v>
      </c>
      <c r="B783" t="s">
        <v>3336</v>
      </c>
      <c r="C783" t="s">
        <v>362</v>
      </c>
      <c r="D783" t="s">
        <v>363</v>
      </c>
      <c r="E783" t="s">
        <v>8</v>
      </c>
      <c r="F783" t="s">
        <v>10</v>
      </c>
      <c r="G783" s="16">
        <v>324.5</v>
      </c>
      <c r="H783" s="16">
        <v>373.17500000000001</v>
      </c>
      <c r="I783" s="1">
        <v>46180</v>
      </c>
      <c r="J783">
        <v>77</v>
      </c>
      <c r="K783" t="s">
        <v>3639</v>
      </c>
      <c r="L783" t="s">
        <v>4323</v>
      </c>
      <c r="M783">
        <v>12</v>
      </c>
      <c r="N783">
        <v>1</v>
      </c>
      <c r="O783" t="s">
        <v>1036</v>
      </c>
      <c r="P783" s="17"/>
      <c r="Q783" s="17" t="str">
        <f>_xlfn.XLOOKUP(Table2[[#This Row],[buyFromVendorNo]],'Next Day Scheduled'!A:A,'Pending Returns'!O:O,"NOT_FOUND")</f>
        <v>NOT_FOUND</v>
      </c>
    </row>
    <row r="784" spans="1:17" x14ac:dyDescent="0.3">
      <c r="A784" s="1">
        <v>46182</v>
      </c>
      <c r="B784" t="s">
        <v>3305</v>
      </c>
      <c r="C784" t="s">
        <v>987</v>
      </c>
      <c r="D784" t="s">
        <v>988</v>
      </c>
      <c r="E784" t="s">
        <v>8</v>
      </c>
      <c r="F784" t="s">
        <v>10</v>
      </c>
      <c r="G784" s="16">
        <v>66.5</v>
      </c>
      <c r="H784" s="16">
        <v>76.474999999999994</v>
      </c>
      <c r="I784" s="1">
        <v>46177</v>
      </c>
      <c r="J784">
        <v>77</v>
      </c>
      <c r="K784" t="s">
        <v>3095</v>
      </c>
      <c r="L784" t="s">
        <v>4310</v>
      </c>
      <c r="M784">
        <v>0</v>
      </c>
      <c r="N784">
        <v>240</v>
      </c>
      <c r="O784" t="s">
        <v>1036</v>
      </c>
      <c r="P784" s="17"/>
      <c r="Q784" s="17" t="str">
        <f>_xlfn.XLOOKUP(Table2[[#This Row],[buyFromVendorNo]],'Next Day Scheduled'!A:A,'Pending Returns'!O:O,"NOT_FOUND")</f>
        <v>NOT_FOUND</v>
      </c>
    </row>
    <row r="785" spans="1:17" x14ac:dyDescent="0.3">
      <c r="A785" s="1">
        <v>46182</v>
      </c>
      <c r="B785" t="s">
        <v>642</v>
      </c>
      <c r="C785" t="s">
        <v>562</v>
      </c>
      <c r="D785" t="s">
        <v>563</v>
      </c>
      <c r="E785" t="s">
        <v>8</v>
      </c>
      <c r="F785" t="s">
        <v>38</v>
      </c>
      <c r="G785" s="16">
        <v>1492.365</v>
      </c>
      <c r="H785" s="16">
        <v>1716.2197000000001</v>
      </c>
      <c r="I785" s="1">
        <v>46181</v>
      </c>
      <c r="J785">
        <v>77</v>
      </c>
      <c r="K785" t="s">
        <v>3763</v>
      </c>
      <c r="L785" t="s">
        <v>4346</v>
      </c>
      <c r="M785">
        <v>32</v>
      </c>
      <c r="N785">
        <v>23</v>
      </c>
      <c r="O785" t="s">
        <v>1036</v>
      </c>
      <c r="P785" s="17"/>
      <c r="Q785" s="17" t="str">
        <f>_xlfn.XLOOKUP(Table2[[#This Row],[buyFromVendorNo]],'Next Day Scheduled'!A:A,'Pending Returns'!O:O,"NOT_FOUND")</f>
        <v>NOT_FOUND</v>
      </c>
    </row>
    <row r="786" spans="1:17" x14ac:dyDescent="0.3">
      <c r="A786" s="1">
        <v>46182</v>
      </c>
      <c r="B786" t="s">
        <v>3356</v>
      </c>
      <c r="C786" t="s">
        <v>462</v>
      </c>
      <c r="D786" t="s">
        <v>463</v>
      </c>
      <c r="E786" t="s">
        <v>8</v>
      </c>
      <c r="F786" t="s">
        <v>10</v>
      </c>
      <c r="G786" s="16">
        <v>2387.4937</v>
      </c>
      <c r="H786" s="16">
        <v>2745.6176999999998</v>
      </c>
      <c r="I786" s="1">
        <v>46181</v>
      </c>
      <c r="J786">
        <v>77</v>
      </c>
      <c r="K786" t="s">
        <v>3220</v>
      </c>
      <c r="L786" t="s">
        <v>4324</v>
      </c>
      <c r="M786">
        <v>9</v>
      </c>
      <c r="N786">
        <v>1</v>
      </c>
      <c r="O786" t="s">
        <v>1036</v>
      </c>
      <c r="P786" s="17"/>
      <c r="Q786" s="17" t="str">
        <f>_xlfn.XLOOKUP(Table2[[#This Row],[buyFromVendorNo]],'Next Day Scheduled'!A:A,'Pending Returns'!O:O,"NOT_FOUND")</f>
        <v>NOT_FOUND</v>
      </c>
    </row>
    <row r="787" spans="1:17" x14ac:dyDescent="0.3">
      <c r="A787" s="1">
        <v>46182</v>
      </c>
      <c r="B787" t="s">
        <v>3557</v>
      </c>
      <c r="C787" t="s">
        <v>781</v>
      </c>
      <c r="D787" t="s">
        <v>782</v>
      </c>
      <c r="E787" t="s">
        <v>8</v>
      </c>
      <c r="F787" t="s">
        <v>10</v>
      </c>
      <c r="G787" s="16">
        <v>48.75</v>
      </c>
      <c r="H787" s="16">
        <v>56.0625</v>
      </c>
      <c r="I787" s="1">
        <v>46180</v>
      </c>
      <c r="J787">
        <v>77</v>
      </c>
      <c r="K787" t="s">
        <v>3558</v>
      </c>
      <c r="L787" t="s">
        <v>4325</v>
      </c>
      <c r="M787">
        <v>11</v>
      </c>
      <c r="N787">
        <v>2</v>
      </c>
      <c r="O787" t="s">
        <v>1036</v>
      </c>
      <c r="P787" s="17"/>
      <c r="Q787" s="17" t="str">
        <f>_xlfn.XLOOKUP(Table2[[#This Row],[buyFromVendorNo]],'Next Day Scheduled'!A:A,'Pending Returns'!O:O,"NOT_FOUND")</f>
        <v>NOT_FOUND</v>
      </c>
    </row>
    <row r="788" spans="1:17" x14ac:dyDescent="0.3">
      <c r="A788" s="1">
        <v>46182</v>
      </c>
      <c r="B788" t="s">
        <v>2855</v>
      </c>
      <c r="C788" t="s">
        <v>1593</v>
      </c>
      <c r="D788" t="s">
        <v>1594</v>
      </c>
      <c r="E788" t="s">
        <v>8</v>
      </c>
      <c r="F788" t="s">
        <v>10</v>
      </c>
      <c r="G788" s="16">
        <v>5420.85</v>
      </c>
      <c r="H788" s="16">
        <v>6233.9775</v>
      </c>
      <c r="I788" s="1">
        <v>46175</v>
      </c>
      <c r="J788">
        <v>77</v>
      </c>
      <c r="K788" t="s">
        <v>2856</v>
      </c>
      <c r="L788" t="s">
        <v>4313</v>
      </c>
      <c r="M788">
        <v>10</v>
      </c>
      <c r="N788">
        <v>2</v>
      </c>
      <c r="O788" t="s">
        <v>1036</v>
      </c>
      <c r="P788" s="17"/>
      <c r="Q788" s="17" t="str">
        <f>_xlfn.XLOOKUP(Table2[[#This Row],[buyFromVendorNo]],'Next Day Scheduled'!A:A,'Pending Returns'!O:O,"NOT_FOUND")</f>
        <v>NOT_FOUND</v>
      </c>
    </row>
    <row r="789" spans="1:17" x14ac:dyDescent="0.3">
      <c r="A789" s="1">
        <v>46182</v>
      </c>
      <c r="B789" t="s">
        <v>2706</v>
      </c>
      <c r="C789" t="s">
        <v>462</v>
      </c>
      <c r="D789" t="s">
        <v>463</v>
      </c>
      <c r="E789" t="s">
        <v>8</v>
      </c>
      <c r="F789" t="s">
        <v>10</v>
      </c>
      <c r="G789" s="16">
        <v>6438.2380000000003</v>
      </c>
      <c r="H789" s="16">
        <v>7403.973</v>
      </c>
      <c r="I789" s="1">
        <v>46181</v>
      </c>
      <c r="J789">
        <v>77</v>
      </c>
      <c r="K789" t="s">
        <v>2707</v>
      </c>
      <c r="L789" t="s">
        <v>4330</v>
      </c>
      <c r="M789">
        <v>9</v>
      </c>
      <c r="N789">
        <v>1</v>
      </c>
      <c r="O789" t="s">
        <v>1036</v>
      </c>
      <c r="P789" s="17"/>
      <c r="Q789" s="17" t="str">
        <f>_xlfn.XLOOKUP(Table2[[#This Row],[buyFromVendorNo]],'Next Day Scheduled'!A:A,'Pending Returns'!O:O,"NOT_FOUND")</f>
        <v>NOT_FOUND</v>
      </c>
    </row>
    <row r="790" spans="1:17" x14ac:dyDescent="0.3">
      <c r="A790" s="1">
        <v>46182</v>
      </c>
      <c r="B790" t="s">
        <v>4157</v>
      </c>
      <c r="C790" t="s">
        <v>600</v>
      </c>
      <c r="D790" t="s">
        <v>601</v>
      </c>
      <c r="E790" t="s">
        <v>8</v>
      </c>
      <c r="F790" t="s">
        <v>169</v>
      </c>
      <c r="G790" s="16">
        <v>84</v>
      </c>
      <c r="H790" s="16">
        <v>96.6</v>
      </c>
      <c r="I790" s="1">
        <v>46180</v>
      </c>
      <c r="J790">
        <v>77</v>
      </c>
      <c r="K790" t="s">
        <v>4158</v>
      </c>
      <c r="L790" t="s">
        <v>4363</v>
      </c>
      <c r="M790">
        <v>11</v>
      </c>
      <c r="N790">
        <v>3</v>
      </c>
      <c r="O790" t="s">
        <v>1036</v>
      </c>
      <c r="P790" s="17"/>
      <c r="Q790" s="17" t="str">
        <f>_xlfn.XLOOKUP(Table2[[#This Row],[buyFromVendorNo]],'Next Day Scheduled'!A:A,'Pending Returns'!O:O,"NOT_FOUND")</f>
        <v>NOT_FOUND</v>
      </c>
    </row>
    <row r="791" spans="1:17" x14ac:dyDescent="0.3">
      <c r="A791" s="1">
        <v>46182</v>
      </c>
      <c r="B791" t="s">
        <v>1972</v>
      </c>
      <c r="C791" t="s">
        <v>3380</v>
      </c>
      <c r="D791" t="s">
        <v>3381</v>
      </c>
      <c r="E791" t="s">
        <v>8</v>
      </c>
      <c r="F791" t="s">
        <v>169</v>
      </c>
      <c r="G791" s="16">
        <v>130.9</v>
      </c>
      <c r="H791" s="16">
        <v>150.535</v>
      </c>
      <c r="I791" s="1">
        <v>46180</v>
      </c>
      <c r="J791">
        <v>77</v>
      </c>
      <c r="K791" t="s">
        <v>3382</v>
      </c>
      <c r="L791" t="s">
        <v>4344</v>
      </c>
      <c r="M791">
        <v>3</v>
      </c>
      <c r="N791">
        <v>19</v>
      </c>
      <c r="O791" t="s">
        <v>1036</v>
      </c>
      <c r="P791" s="17"/>
      <c r="Q791" s="17" t="str">
        <f>_xlfn.XLOOKUP(Table2[[#This Row],[buyFromVendorNo]],'Next Day Scheduled'!A:A,'Pending Returns'!O:O,"NOT_FOUND")</f>
        <v>NOT_FOUND</v>
      </c>
    </row>
    <row r="792" spans="1:17" x14ac:dyDescent="0.3">
      <c r="A792" s="1">
        <v>46182</v>
      </c>
      <c r="B792" t="s">
        <v>3961</v>
      </c>
      <c r="C792" t="s">
        <v>3962</v>
      </c>
      <c r="D792" t="s">
        <v>3963</v>
      </c>
      <c r="E792" t="s">
        <v>8</v>
      </c>
      <c r="F792" t="s">
        <v>10</v>
      </c>
      <c r="G792" s="16">
        <v>231</v>
      </c>
      <c r="H792" s="16">
        <v>265.64999999999998</v>
      </c>
      <c r="I792" s="1">
        <v>46182</v>
      </c>
      <c r="J792">
        <v>77</v>
      </c>
      <c r="K792" t="s">
        <v>3964</v>
      </c>
      <c r="L792" t="s">
        <v>4336</v>
      </c>
      <c r="M792">
        <v>6</v>
      </c>
      <c r="N792">
        <v>5</v>
      </c>
      <c r="O792" t="s">
        <v>1036</v>
      </c>
      <c r="P792" s="17"/>
      <c r="Q792" s="17" t="str">
        <f>_xlfn.XLOOKUP(Table2[[#This Row],[buyFromVendorNo]],'Next Day Scheduled'!A:A,'Pending Returns'!O:O,"NOT_FOUND")</f>
        <v>NOT_FOUND</v>
      </c>
    </row>
    <row r="793" spans="1:17" x14ac:dyDescent="0.3">
      <c r="A793" s="1">
        <v>46182</v>
      </c>
      <c r="B793" t="s">
        <v>3298</v>
      </c>
      <c r="C793" t="s">
        <v>884</v>
      </c>
      <c r="D793" t="s">
        <v>885</v>
      </c>
      <c r="E793" t="s">
        <v>8</v>
      </c>
      <c r="F793" t="s">
        <v>10</v>
      </c>
      <c r="G793" s="16">
        <v>546.66399999999999</v>
      </c>
      <c r="H793" s="16">
        <v>628.66359999999997</v>
      </c>
      <c r="I793" s="1">
        <v>46181</v>
      </c>
      <c r="J793">
        <v>77</v>
      </c>
      <c r="K793" t="s">
        <v>3118</v>
      </c>
      <c r="L793" t="s">
        <v>4355</v>
      </c>
      <c r="M793">
        <v>0</v>
      </c>
      <c r="N793">
        <v>226</v>
      </c>
      <c r="O793" t="s">
        <v>1036</v>
      </c>
      <c r="P793" s="17"/>
      <c r="Q793" s="17" t="str">
        <f>_xlfn.XLOOKUP(Table2[[#This Row],[buyFromVendorNo]],'Next Day Scheduled'!A:A,'Pending Returns'!O:O,"NOT_FOUND")</f>
        <v>NOT_FOUND</v>
      </c>
    </row>
    <row r="794" spans="1:17" x14ac:dyDescent="0.3">
      <c r="A794" s="1">
        <v>46182</v>
      </c>
      <c r="B794" t="s">
        <v>3314</v>
      </c>
      <c r="C794" t="s">
        <v>191</v>
      </c>
      <c r="D794" t="s">
        <v>192</v>
      </c>
      <c r="E794" t="s">
        <v>8</v>
      </c>
      <c r="F794" t="s">
        <v>10</v>
      </c>
      <c r="G794" s="16">
        <v>741.07659999999998</v>
      </c>
      <c r="H794" s="16">
        <v>852.23810000000003</v>
      </c>
      <c r="I794" s="1">
        <v>46177</v>
      </c>
      <c r="J794">
        <v>77</v>
      </c>
      <c r="K794" t="s">
        <v>3187</v>
      </c>
      <c r="L794" t="s">
        <v>4356</v>
      </c>
      <c r="M794">
        <v>11</v>
      </c>
      <c r="N794">
        <v>3</v>
      </c>
      <c r="O794" t="s">
        <v>1036</v>
      </c>
      <c r="P794" s="17"/>
      <c r="Q794" s="17" t="str">
        <f>_xlfn.XLOOKUP(Table2[[#This Row],[buyFromVendorNo]],'Next Day Scheduled'!A:A,'Pending Returns'!O:O,"NOT_FOUND")</f>
        <v>NOT_FOUND</v>
      </c>
    </row>
    <row r="795" spans="1:17" x14ac:dyDescent="0.3">
      <c r="A795" s="1">
        <v>46182</v>
      </c>
      <c r="B795" t="s">
        <v>4020</v>
      </c>
      <c r="C795" t="s">
        <v>2271</v>
      </c>
      <c r="D795" t="s">
        <v>2272</v>
      </c>
      <c r="E795" t="s">
        <v>8</v>
      </c>
      <c r="F795" t="s">
        <v>10</v>
      </c>
      <c r="G795" s="16">
        <v>1437.8</v>
      </c>
      <c r="H795" s="16">
        <v>1653.47</v>
      </c>
      <c r="I795" s="1">
        <v>46181</v>
      </c>
      <c r="J795">
        <v>77</v>
      </c>
      <c r="K795" t="s">
        <v>4021</v>
      </c>
      <c r="L795" t="s">
        <v>4315</v>
      </c>
      <c r="M795">
        <v>15</v>
      </c>
      <c r="N795">
        <v>2</v>
      </c>
      <c r="O795" t="s">
        <v>1036</v>
      </c>
      <c r="P795" s="17"/>
      <c r="Q795" s="17" t="str">
        <f>_xlfn.XLOOKUP(Table2[[#This Row],[buyFromVendorNo]],'Next Day Scheduled'!A:A,'Pending Returns'!O:O,"NOT_FOUND")</f>
        <v>NOT_FOUND</v>
      </c>
    </row>
    <row r="796" spans="1:17" x14ac:dyDescent="0.3">
      <c r="A796" s="1">
        <v>46182</v>
      </c>
      <c r="B796" t="s">
        <v>3967</v>
      </c>
      <c r="C796" t="s">
        <v>301</v>
      </c>
      <c r="D796" t="s">
        <v>370</v>
      </c>
      <c r="E796" t="s">
        <v>8</v>
      </c>
      <c r="F796" t="s">
        <v>10</v>
      </c>
      <c r="G796" s="16">
        <v>195.9</v>
      </c>
      <c r="H796" s="16">
        <v>225.285</v>
      </c>
      <c r="I796" s="1">
        <v>46182</v>
      </c>
      <c r="J796">
        <v>77</v>
      </c>
      <c r="K796" t="s">
        <v>3968</v>
      </c>
      <c r="L796" t="s">
        <v>4338</v>
      </c>
      <c r="M796">
        <v>22</v>
      </c>
      <c r="N796">
        <v>5</v>
      </c>
      <c r="O796" t="s">
        <v>1036</v>
      </c>
      <c r="P796" s="17"/>
      <c r="Q796" s="17" t="str">
        <f>_xlfn.XLOOKUP(Table2[[#This Row],[buyFromVendorNo]],'Next Day Scheduled'!A:A,'Pending Returns'!O:O,"NOT_FOUND")</f>
        <v>NOT_FOUND</v>
      </c>
    </row>
    <row r="797" spans="1:17" x14ac:dyDescent="0.3">
      <c r="A797" s="1">
        <v>46182</v>
      </c>
      <c r="B797" t="s">
        <v>642</v>
      </c>
      <c r="C797" t="s">
        <v>398</v>
      </c>
      <c r="D797" t="s">
        <v>399</v>
      </c>
      <c r="E797" t="s">
        <v>8</v>
      </c>
      <c r="F797" t="s">
        <v>38</v>
      </c>
      <c r="G797" s="16">
        <v>4745.6499999999996</v>
      </c>
      <c r="H797" s="16">
        <v>5457.4975999999997</v>
      </c>
      <c r="I797" s="1">
        <v>46177</v>
      </c>
      <c r="J797">
        <v>77</v>
      </c>
      <c r="K797" t="s">
        <v>646</v>
      </c>
      <c r="L797" t="s">
        <v>4327</v>
      </c>
      <c r="M797">
        <v>10</v>
      </c>
      <c r="N797">
        <v>12</v>
      </c>
      <c r="O797" t="s">
        <v>1036</v>
      </c>
      <c r="P797" s="17"/>
      <c r="Q797" s="17" t="str">
        <f>_xlfn.XLOOKUP(Table2[[#This Row],[buyFromVendorNo]],'Next Day Scheduled'!A:A,'Pending Returns'!O:O,"NOT_FOUND")</f>
        <v>Posted Credit Note</v>
      </c>
    </row>
    <row r="798" spans="1:17" x14ac:dyDescent="0.3">
      <c r="A798" s="1">
        <v>46182</v>
      </c>
      <c r="B798" t="s">
        <v>551</v>
      </c>
      <c r="C798" t="s">
        <v>329</v>
      </c>
      <c r="D798" t="s">
        <v>320</v>
      </c>
      <c r="E798" t="s">
        <v>8</v>
      </c>
      <c r="F798" t="s">
        <v>38</v>
      </c>
      <c r="G798" s="16">
        <v>11686.5</v>
      </c>
      <c r="H798" s="16">
        <v>13439.475</v>
      </c>
      <c r="I798" s="1">
        <v>46180</v>
      </c>
      <c r="J798">
        <v>77</v>
      </c>
      <c r="K798" t="s">
        <v>408</v>
      </c>
      <c r="L798" t="s">
        <v>4358</v>
      </c>
      <c r="M798">
        <v>8</v>
      </c>
      <c r="N798">
        <v>2</v>
      </c>
      <c r="O798" t="s">
        <v>1036</v>
      </c>
      <c r="P798" s="17"/>
      <c r="Q798" s="17" t="str">
        <f>_xlfn.XLOOKUP(Table2[[#This Row],[buyFromVendorNo]],'Next Day Scheduled'!A:A,'Pending Returns'!O:O,"NOT_FOUND")</f>
        <v>NOT_FOUND</v>
      </c>
    </row>
    <row r="799" spans="1:17" x14ac:dyDescent="0.3">
      <c r="A799" s="1">
        <v>46182</v>
      </c>
      <c r="B799" t="s">
        <v>219</v>
      </c>
      <c r="C799" t="s">
        <v>2244</v>
      </c>
      <c r="D799" t="s">
        <v>2245</v>
      </c>
      <c r="E799" t="s">
        <v>8</v>
      </c>
      <c r="F799" t="s">
        <v>10</v>
      </c>
      <c r="G799" s="16">
        <v>88</v>
      </c>
      <c r="H799" s="16">
        <v>101.2</v>
      </c>
      <c r="I799" s="1">
        <v>46182</v>
      </c>
      <c r="J799">
        <v>77</v>
      </c>
      <c r="K799" t="s">
        <v>3069</v>
      </c>
      <c r="L799" t="s">
        <v>4350</v>
      </c>
      <c r="M799">
        <v>4</v>
      </c>
      <c r="N799">
        <v>16</v>
      </c>
      <c r="O799" t="s">
        <v>1036</v>
      </c>
      <c r="P799" s="17"/>
      <c r="Q799" s="17" t="str">
        <f>_xlfn.XLOOKUP(Table2[[#This Row],[buyFromVendorNo]],'Next Day Scheduled'!A:A,'Pending Returns'!O:O,"NOT_FOUND")</f>
        <v>NOT_FOUND</v>
      </c>
    </row>
    <row r="800" spans="1:17" x14ac:dyDescent="0.3">
      <c r="A800" s="1">
        <v>46182</v>
      </c>
      <c r="B800" t="s">
        <v>3959</v>
      </c>
      <c r="C800" t="s">
        <v>462</v>
      </c>
      <c r="D800" t="s">
        <v>463</v>
      </c>
      <c r="E800" t="s">
        <v>8</v>
      </c>
      <c r="F800" t="s">
        <v>10</v>
      </c>
      <c r="G800" s="16">
        <v>222.13650000000001</v>
      </c>
      <c r="H800" s="16">
        <v>255.45698999999999</v>
      </c>
      <c r="I800" s="1">
        <v>46181</v>
      </c>
      <c r="J800">
        <v>77</v>
      </c>
      <c r="K800" t="s">
        <v>3960</v>
      </c>
      <c r="L800" t="s">
        <v>4351</v>
      </c>
      <c r="M800">
        <v>9</v>
      </c>
      <c r="N800">
        <v>1</v>
      </c>
      <c r="O800" t="s">
        <v>1036</v>
      </c>
      <c r="P800" s="17"/>
      <c r="Q800" s="17" t="str">
        <f>_xlfn.XLOOKUP(Table2[[#This Row],[buyFromVendorNo]],'Next Day Scheduled'!A:A,'Pending Returns'!O:O,"NOT_FOUND")</f>
        <v>NOT_FOUND</v>
      </c>
    </row>
    <row r="801" spans="1:17" x14ac:dyDescent="0.3">
      <c r="A801" s="1">
        <v>46182</v>
      </c>
      <c r="B801" t="s">
        <v>2841</v>
      </c>
      <c r="C801" t="s">
        <v>1639</v>
      </c>
      <c r="D801" t="s">
        <v>1640</v>
      </c>
      <c r="E801" t="s">
        <v>8</v>
      </c>
      <c r="F801" t="s">
        <v>10</v>
      </c>
      <c r="G801" s="16">
        <v>2482.9499999999998</v>
      </c>
      <c r="H801" s="16">
        <v>2855.3926000000001</v>
      </c>
      <c r="I801" s="1">
        <v>46176</v>
      </c>
      <c r="J801">
        <v>77</v>
      </c>
      <c r="K801" t="s">
        <v>2842</v>
      </c>
      <c r="L801" t="s">
        <v>4339</v>
      </c>
      <c r="M801">
        <v>11</v>
      </c>
      <c r="N801">
        <v>7</v>
      </c>
      <c r="O801" t="s">
        <v>1036</v>
      </c>
      <c r="P801" s="17"/>
      <c r="Q801" s="17" t="str">
        <f>_xlfn.XLOOKUP(Table2[[#This Row],[buyFromVendorNo]],'Next Day Scheduled'!A:A,'Pending Returns'!O:O,"NOT_FOUND")</f>
        <v>Posted Credit Note</v>
      </c>
    </row>
    <row r="802" spans="1:17" x14ac:dyDescent="0.3">
      <c r="A802" s="1">
        <v>46182</v>
      </c>
      <c r="B802" t="s">
        <v>396</v>
      </c>
      <c r="C802" t="s">
        <v>16</v>
      </c>
      <c r="D802" t="s">
        <v>17</v>
      </c>
      <c r="E802" t="s">
        <v>8</v>
      </c>
      <c r="F802" t="s">
        <v>10</v>
      </c>
      <c r="G802" s="16">
        <v>2960.5972000000002</v>
      </c>
      <c r="H802" s="16">
        <v>3404.6867999999999</v>
      </c>
      <c r="I802" s="1">
        <v>46154</v>
      </c>
      <c r="J802">
        <v>77</v>
      </c>
      <c r="K802" t="s">
        <v>4393</v>
      </c>
      <c r="L802" t="s">
        <v>4394</v>
      </c>
      <c r="M802">
        <v>11</v>
      </c>
      <c r="N802">
        <v>3</v>
      </c>
      <c r="O802" t="s">
        <v>1036</v>
      </c>
      <c r="P802" s="17"/>
      <c r="Q802" s="17" t="str">
        <f>_xlfn.XLOOKUP(Table2[[#This Row],[buyFromVendorNo]],'Next Day Scheduled'!A:A,'Pending Returns'!O:O,"NOT_FOUND")</f>
        <v>Posted Credit Note</v>
      </c>
    </row>
    <row r="803" spans="1:17" x14ac:dyDescent="0.3">
      <c r="A803" s="1">
        <v>46182</v>
      </c>
      <c r="B803" t="s">
        <v>3526</v>
      </c>
      <c r="C803" t="s">
        <v>362</v>
      </c>
      <c r="D803" t="s">
        <v>363</v>
      </c>
      <c r="E803" t="s">
        <v>8</v>
      </c>
      <c r="F803" t="s">
        <v>10</v>
      </c>
      <c r="G803" s="16">
        <v>508</v>
      </c>
      <c r="H803" s="16">
        <v>584.20000000000005</v>
      </c>
      <c r="I803" s="1">
        <v>46180</v>
      </c>
      <c r="J803">
        <v>77</v>
      </c>
      <c r="K803" t="s">
        <v>3527</v>
      </c>
      <c r="L803" t="s">
        <v>4353</v>
      </c>
      <c r="M803">
        <v>12</v>
      </c>
      <c r="N803">
        <v>1</v>
      </c>
      <c r="O803" t="s">
        <v>1036</v>
      </c>
      <c r="P803" s="17"/>
      <c r="Q803" s="17" t="str">
        <f>_xlfn.XLOOKUP(Table2[[#This Row],[buyFromVendorNo]],'Next Day Scheduled'!A:A,'Pending Returns'!O:O,"NOT_FOUND")</f>
        <v>NOT_FOUND</v>
      </c>
    </row>
    <row r="804" spans="1:17" x14ac:dyDescent="0.3">
      <c r="A804" s="1">
        <v>46182</v>
      </c>
      <c r="B804" t="s">
        <v>1558</v>
      </c>
      <c r="C804" t="s">
        <v>191</v>
      </c>
      <c r="D804" t="s">
        <v>192</v>
      </c>
      <c r="E804" t="s">
        <v>8</v>
      </c>
      <c r="F804" t="s">
        <v>10</v>
      </c>
      <c r="G804" s="16">
        <v>3178.2060000000001</v>
      </c>
      <c r="H804" s="16">
        <v>3654.9369999999999</v>
      </c>
      <c r="I804" s="1">
        <v>46174</v>
      </c>
      <c r="J804">
        <v>77</v>
      </c>
      <c r="K804" t="s">
        <v>2436</v>
      </c>
      <c r="L804" t="s">
        <v>4352</v>
      </c>
      <c r="M804">
        <v>11</v>
      </c>
      <c r="N804">
        <v>3</v>
      </c>
      <c r="O804" t="s">
        <v>1036</v>
      </c>
      <c r="P804" s="17"/>
      <c r="Q804" s="17" t="str">
        <f>_xlfn.XLOOKUP(Table2[[#This Row],[buyFromVendorNo]],'Next Day Scheduled'!A:A,'Pending Returns'!O:O,"NOT_FOUND")</f>
        <v>NOT_FOUND</v>
      </c>
    </row>
    <row r="805" spans="1:17" x14ac:dyDescent="0.3">
      <c r="A805" s="1">
        <v>46182</v>
      </c>
      <c r="B805" t="s">
        <v>2747</v>
      </c>
      <c r="C805" t="s">
        <v>546</v>
      </c>
      <c r="D805" t="s">
        <v>547</v>
      </c>
      <c r="E805" t="s">
        <v>8</v>
      </c>
      <c r="F805" t="s">
        <v>10</v>
      </c>
      <c r="G805" s="16">
        <v>786.59990000000005</v>
      </c>
      <c r="H805" s="16">
        <v>904.58989999999994</v>
      </c>
      <c r="I805" s="1">
        <v>46182</v>
      </c>
      <c r="J805">
        <v>77</v>
      </c>
      <c r="K805" t="s">
        <v>2748</v>
      </c>
      <c r="L805" t="s">
        <v>4331</v>
      </c>
      <c r="M805">
        <v>0</v>
      </c>
      <c r="N805">
        <v>78</v>
      </c>
      <c r="O805" t="s">
        <v>1036</v>
      </c>
      <c r="P805" s="17"/>
      <c r="Q805" s="17" t="str">
        <f>_xlfn.XLOOKUP(Table2[[#This Row],[buyFromVendorNo]],'Next Day Scheduled'!A:A,'Pending Returns'!O:O,"NOT_FOUND")</f>
        <v>NOT_FOUND</v>
      </c>
    </row>
    <row r="806" spans="1:17" x14ac:dyDescent="0.3">
      <c r="A806" s="1">
        <v>46182</v>
      </c>
      <c r="B806" t="s">
        <v>1724</v>
      </c>
      <c r="C806" t="s">
        <v>884</v>
      </c>
      <c r="D806" t="s">
        <v>885</v>
      </c>
      <c r="E806" t="s">
        <v>8</v>
      </c>
      <c r="F806" t="s">
        <v>10</v>
      </c>
      <c r="G806" s="16">
        <v>10189</v>
      </c>
      <c r="H806" s="16">
        <v>11717.35</v>
      </c>
      <c r="I806" s="1">
        <v>46181</v>
      </c>
      <c r="J806">
        <v>77</v>
      </c>
      <c r="K806" t="s">
        <v>1006</v>
      </c>
      <c r="L806" t="s">
        <v>4333</v>
      </c>
      <c r="M806">
        <v>0</v>
      </c>
      <c r="N806">
        <v>226</v>
      </c>
      <c r="O806" t="s">
        <v>1036</v>
      </c>
      <c r="P806" s="17"/>
      <c r="Q806" s="17" t="str">
        <f>_xlfn.XLOOKUP(Table2[[#This Row],[buyFromVendorNo]],'Next Day Scheduled'!A:A,'Pending Returns'!O:O,"NOT_FOUND")</f>
        <v>NOT_FOUND</v>
      </c>
    </row>
    <row r="807" spans="1:17" x14ac:dyDescent="0.3">
      <c r="A807" s="1">
        <v>46182</v>
      </c>
      <c r="B807" t="s">
        <v>330</v>
      </c>
      <c r="C807" t="s">
        <v>158</v>
      </c>
      <c r="D807" t="s">
        <v>159</v>
      </c>
      <c r="E807" t="s">
        <v>8</v>
      </c>
      <c r="F807" t="s">
        <v>10</v>
      </c>
      <c r="G807" s="16">
        <v>4926.8670000000002</v>
      </c>
      <c r="H807" s="16">
        <v>5665.8969999999999</v>
      </c>
      <c r="I807" s="1">
        <v>46160</v>
      </c>
      <c r="J807">
        <v>77</v>
      </c>
      <c r="K807" t="s">
        <v>1932</v>
      </c>
      <c r="L807" t="s">
        <v>4343</v>
      </c>
      <c r="M807">
        <v>10</v>
      </c>
      <c r="N807">
        <v>6</v>
      </c>
      <c r="O807" t="s">
        <v>1036</v>
      </c>
      <c r="P807" s="17"/>
      <c r="Q807" s="17" t="str">
        <f>_xlfn.XLOOKUP(Table2[[#This Row],[buyFromVendorNo]],'Next Day Scheduled'!A:A,'Pending Returns'!O:O,"NOT_FOUND")</f>
        <v>Posted Credit Note</v>
      </c>
    </row>
    <row r="808" spans="1:17" x14ac:dyDescent="0.3">
      <c r="A808" s="1">
        <v>46182</v>
      </c>
      <c r="B808" t="s">
        <v>642</v>
      </c>
      <c r="C808" t="s">
        <v>810</v>
      </c>
      <c r="D808" t="s">
        <v>811</v>
      </c>
      <c r="E808" t="s">
        <v>8</v>
      </c>
      <c r="F808" t="s">
        <v>38</v>
      </c>
      <c r="G808" s="16">
        <v>577</v>
      </c>
      <c r="H808" s="16">
        <v>663.55</v>
      </c>
      <c r="I808" s="1">
        <v>46179</v>
      </c>
      <c r="J808">
        <v>77</v>
      </c>
      <c r="K808" t="s">
        <v>2062</v>
      </c>
      <c r="L808" t="s">
        <v>4345</v>
      </c>
      <c r="M808">
        <v>10</v>
      </c>
      <c r="N808">
        <v>7</v>
      </c>
      <c r="O808" t="s">
        <v>1036</v>
      </c>
      <c r="P808" s="17"/>
      <c r="Q808" s="17" t="str">
        <f>_xlfn.XLOOKUP(Table2[[#This Row],[buyFromVendorNo]],'Next Day Scheduled'!A:A,'Pending Returns'!O:O,"NOT_FOUND")</f>
        <v>NOT_FOUND</v>
      </c>
    </row>
    <row r="809" spans="1:17" x14ac:dyDescent="0.3">
      <c r="A809" s="1">
        <v>46182</v>
      </c>
      <c r="B809" t="s">
        <v>4239</v>
      </c>
      <c r="C809" t="s">
        <v>301</v>
      </c>
      <c r="D809" t="s">
        <v>370</v>
      </c>
      <c r="E809" t="s">
        <v>8</v>
      </c>
      <c r="F809" t="s">
        <v>10</v>
      </c>
      <c r="G809" s="16">
        <v>35.44</v>
      </c>
      <c r="H809" s="16">
        <v>40.756</v>
      </c>
      <c r="I809" s="1">
        <v>46182</v>
      </c>
      <c r="J809">
        <v>77</v>
      </c>
      <c r="K809" t="s">
        <v>4240</v>
      </c>
      <c r="L809" t="s">
        <v>4357</v>
      </c>
      <c r="M809">
        <v>22</v>
      </c>
      <c r="N809">
        <v>5</v>
      </c>
      <c r="O809" t="s">
        <v>1036</v>
      </c>
      <c r="P809" s="17"/>
      <c r="Q809" s="17" t="str">
        <f>_xlfn.XLOOKUP(Table2[[#This Row],[buyFromVendorNo]],'Next Day Scheduled'!A:A,'Pending Returns'!O:O,"NOT_FOUND")</f>
        <v>NOT_FOUND</v>
      </c>
    </row>
    <row r="810" spans="1:17" x14ac:dyDescent="0.3">
      <c r="A810" s="1">
        <v>46182</v>
      </c>
      <c r="B810" t="s">
        <v>3063</v>
      </c>
      <c r="C810" t="s">
        <v>809</v>
      </c>
      <c r="D810" t="s">
        <v>360</v>
      </c>
      <c r="E810" t="s">
        <v>8</v>
      </c>
      <c r="F810" t="s">
        <v>10</v>
      </c>
      <c r="G810" s="16">
        <v>2034.71</v>
      </c>
      <c r="H810" s="16">
        <v>2339.9164999999998</v>
      </c>
      <c r="I810" s="1">
        <v>46181</v>
      </c>
      <c r="J810">
        <v>77</v>
      </c>
      <c r="K810" t="s">
        <v>3064</v>
      </c>
      <c r="L810" t="s">
        <v>4347</v>
      </c>
      <c r="M810">
        <v>10</v>
      </c>
      <c r="N810">
        <v>6</v>
      </c>
      <c r="O810" t="s">
        <v>1036</v>
      </c>
      <c r="P810" s="17"/>
      <c r="Q810" s="17" t="str">
        <f>_xlfn.XLOOKUP(Table2[[#This Row],[buyFromVendorNo]],'Next Day Scheduled'!A:A,'Pending Returns'!O:O,"NOT_FOUND")</f>
        <v>Posted Credit Note</v>
      </c>
    </row>
    <row r="811" spans="1:17" x14ac:dyDescent="0.3">
      <c r="A811" s="1">
        <v>46182</v>
      </c>
      <c r="B811" t="s">
        <v>642</v>
      </c>
      <c r="C811" t="s">
        <v>562</v>
      </c>
      <c r="D811" t="s">
        <v>563</v>
      </c>
      <c r="E811" t="s">
        <v>8</v>
      </c>
      <c r="F811" t="s">
        <v>38</v>
      </c>
      <c r="G811" s="16">
        <v>801.4973</v>
      </c>
      <c r="H811" s="16">
        <v>921.72190000000001</v>
      </c>
      <c r="I811" s="1">
        <v>46181</v>
      </c>
      <c r="J811">
        <v>77</v>
      </c>
      <c r="K811" t="s">
        <v>3601</v>
      </c>
      <c r="L811" t="s">
        <v>4348</v>
      </c>
      <c r="M811">
        <v>32</v>
      </c>
      <c r="N811">
        <v>23</v>
      </c>
      <c r="O811" t="s">
        <v>1036</v>
      </c>
      <c r="P811" s="17"/>
      <c r="Q811" s="17" t="str">
        <f>_xlfn.XLOOKUP(Table2[[#This Row],[buyFromVendorNo]],'Next Day Scheduled'!A:A,'Pending Returns'!O:O,"NOT_FOUND")</f>
        <v>NOT_FOUND</v>
      </c>
    </row>
    <row r="812" spans="1:17" x14ac:dyDescent="0.3">
      <c r="A812" s="1">
        <v>46182</v>
      </c>
      <c r="B812" t="s">
        <v>3407</v>
      </c>
      <c r="C812" t="s">
        <v>947</v>
      </c>
      <c r="D812" t="s">
        <v>948</v>
      </c>
      <c r="E812" t="s">
        <v>8</v>
      </c>
      <c r="F812" t="s">
        <v>10</v>
      </c>
      <c r="G812" s="16">
        <v>10208</v>
      </c>
      <c r="H812" s="16">
        <v>10208</v>
      </c>
      <c r="I812" s="1">
        <v>46176</v>
      </c>
      <c r="J812">
        <v>77</v>
      </c>
      <c r="K812" t="s">
        <v>3167</v>
      </c>
      <c r="L812" t="s">
        <v>4328</v>
      </c>
      <c r="M812">
        <v>7</v>
      </c>
      <c r="N812">
        <v>1</v>
      </c>
      <c r="O812" t="s">
        <v>1036</v>
      </c>
      <c r="P812" s="17"/>
      <c r="Q812" s="17" t="str">
        <f>_xlfn.XLOOKUP(Table2[[#This Row],[buyFromVendorNo]],'Next Day Scheduled'!A:A,'Pending Returns'!O:O,"NOT_FOUND")</f>
        <v>NOT_FOUND</v>
      </c>
    </row>
    <row r="813" spans="1:17" x14ac:dyDescent="0.3">
      <c r="A813" s="1">
        <v>46182</v>
      </c>
      <c r="B813" t="s">
        <v>3841</v>
      </c>
      <c r="C813" t="s">
        <v>2244</v>
      </c>
      <c r="D813" t="s">
        <v>2245</v>
      </c>
      <c r="E813" t="s">
        <v>8</v>
      </c>
      <c r="F813" t="s">
        <v>10</v>
      </c>
      <c r="G813" s="16">
        <v>54.98</v>
      </c>
      <c r="H813" s="16">
        <v>63.226999999999997</v>
      </c>
      <c r="I813" s="1">
        <v>46182</v>
      </c>
      <c r="J813">
        <v>77</v>
      </c>
      <c r="K813" t="s">
        <v>3842</v>
      </c>
      <c r="L813" t="s">
        <v>4340</v>
      </c>
      <c r="M813">
        <v>4</v>
      </c>
      <c r="N813">
        <v>16</v>
      </c>
      <c r="O813" t="s">
        <v>1036</v>
      </c>
      <c r="P813" s="17"/>
      <c r="Q813" s="17" t="str">
        <f>_xlfn.XLOOKUP(Table2[[#This Row],[buyFromVendorNo]],'Next Day Scheduled'!A:A,'Pending Returns'!O:O,"NOT_FOUND")</f>
        <v>NOT_FOUND</v>
      </c>
    </row>
    <row r="814" spans="1:17" x14ac:dyDescent="0.3">
      <c r="A814" s="1">
        <v>46182</v>
      </c>
      <c r="B814" t="s">
        <v>637</v>
      </c>
      <c r="C814" t="s">
        <v>43</v>
      </c>
      <c r="D814" t="s">
        <v>44</v>
      </c>
      <c r="E814" t="s">
        <v>8</v>
      </c>
      <c r="F814" t="s">
        <v>38</v>
      </c>
      <c r="G814" s="16">
        <v>9078.4660000000003</v>
      </c>
      <c r="H814" s="16">
        <v>10440.236000000001</v>
      </c>
      <c r="I814" s="1">
        <v>46180</v>
      </c>
      <c r="J814">
        <v>77</v>
      </c>
      <c r="K814" t="s">
        <v>4262</v>
      </c>
      <c r="L814" t="s">
        <v>4329</v>
      </c>
      <c r="M814">
        <v>71</v>
      </c>
      <c r="N814">
        <v>1</v>
      </c>
      <c r="O814" t="s">
        <v>1036</v>
      </c>
      <c r="P814" s="17"/>
      <c r="Q814" s="17" t="str">
        <f>_xlfn.XLOOKUP(Table2[[#This Row],[buyFromVendorNo]],'Next Day Scheduled'!A:A,'Pending Returns'!O:O,"NOT_FOUND")</f>
        <v>Posted Credit Note</v>
      </c>
    </row>
    <row r="815" spans="1:17" x14ac:dyDescent="0.3">
      <c r="A815" s="1">
        <v>46182</v>
      </c>
      <c r="B815" t="s">
        <v>3977</v>
      </c>
      <c r="C815" t="s">
        <v>301</v>
      </c>
      <c r="D815" t="s">
        <v>370</v>
      </c>
      <c r="E815" t="s">
        <v>8</v>
      </c>
      <c r="F815" t="s">
        <v>10</v>
      </c>
      <c r="G815" s="16">
        <v>465.92500000000001</v>
      </c>
      <c r="H815" s="16">
        <v>535.81370000000004</v>
      </c>
      <c r="I815" s="1">
        <v>46182</v>
      </c>
      <c r="J815">
        <v>77</v>
      </c>
      <c r="K815" t="s">
        <v>3978</v>
      </c>
      <c r="L815" t="s">
        <v>4361</v>
      </c>
      <c r="M815">
        <v>22</v>
      </c>
      <c r="N815">
        <v>5</v>
      </c>
      <c r="O815" t="s">
        <v>1036</v>
      </c>
      <c r="P815" s="17"/>
      <c r="Q815" s="17" t="str">
        <f>_xlfn.XLOOKUP(Table2[[#This Row],[buyFromVendorNo]],'Next Day Scheduled'!A:A,'Pending Returns'!O:O,"NOT_FOUND")</f>
        <v>NOT_FOUND</v>
      </c>
    </row>
    <row r="816" spans="1:17" x14ac:dyDescent="0.3">
      <c r="A816" s="1">
        <v>46182</v>
      </c>
      <c r="B816" t="s">
        <v>4268</v>
      </c>
      <c r="C816" t="s">
        <v>785</v>
      </c>
      <c r="D816" t="s">
        <v>786</v>
      </c>
      <c r="E816" t="s">
        <v>8</v>
      </c>
      <c r="F816" t="s">
        <v>10</v>
      </c>
      <c r="G816" s="16">
        <v>55.5</v>
      </c>
      <c r="H816" s="16">
        <v>63.825000000000003</v>
      </c>
      <c r="I816" s="1">
        <v>46182</v>
      </c>
      <c r="J816">
        <v>77</v>
      </c>
      <c r="K816" t="s">
        <v>4269</v>
      </c>
      <c r="L816" t="s">
        <v>4354</v>
      </c>
      <c r="M816">
        <v>12</v>
      </c>
      <c r="N816">
        <v>5</v>
      </c>
      <c r="O816" t="s">
        <v>1036</v>
      </c>
      <c r="P816" s="17"/>
      <c r="Q816" s="17" t="str">
        <f>_xlfn.XLOOKUP(Table2[[#This Row],[buyFromVendorNo]],'Next Day Scheduled'!A:A,'Pending Returns'!O:O,"NOT_FOUND")</f>
        <v>NOT_FOUND</v>
      </c>
    </row>
    <row r="817" spans="1:17" x14ac:dyDescent="0.3">
      <c r="A817" s="1">
        <v>46182</v>
      </c>
      <c r="B817" t="s">
        <v>731</v>
      </c>
      <c r="C817" t="s">
        <v>304</v>
      </c>
      <c r="D817" t="s">
        <v>307</v>
      </c>
      <c r="E817" t="s">
        <v>8</v>
      </c>
      <c r="F817" t="s">
        <v>10</v>
      </c>
      <c r="G817" s="16">
        <v>3629.7654000000002</v>
      </c>
      <c r="H817" s="16">
        <v>4174.2304999999997</v>
      </c>
      <c r="I817" s="1">
        <v>46177</v>
      </c>
      <c r="J817">
        <v>77</v>
      </c>
      <c r="K817" t="s">
        <v>2405</v>
      </c>
      <c r="L817" t="s">
        <v>4335</v>
      </c>
      <c r="M817">
        <v>13</v>
      </c>
      <c r="N817">
        <v>6</v>
      </c>
      <c r="O817" t="s">
        <v>1036</v>
      </c>
      <c r="P817" s="17"/>
      <c r="Q817" s="17" t="str">
        <f>_xlfn.XLOOKUP(Table2[[#This Row],[buyFromVendorNo]],'Next Day Scheduled'!A:A,'Pending Returns'!O:O,"NOT_FOUND")</f>
        <v>NOT_FOUND</v>
      </c>
    </row>
    <row r="818" spans="1:17" x14ac:dyDescent="0.3">
      <c r="A818" s="1">
        <v>46183</v>
      </c>
      <c r="B818" t="s">
        <v>2638</v>
      </c>
      <c r="C818" t="s">
        <v>164</v>
      </c>
      <c r="D818" t="s">
        <v>165</v>
      </c>
      <c r="E818" t="s">
        <v>8</v>
      </c>
      <c r="F818" t="s">
        <v>10</v>
      </c>
      <c r="G818" s="16">
        <v>500.96496999999999</v>
      </c>
      <c r="H818" s="16">
        <v>576.10973999999999</v>
      </c>
      <c r="I818" s="1">
        <v>46177</v>
      </c>
      <c r="J818">
        <v>76</v>
      </c>
      <c r="K818" t="s">
        <v>2639</v>
      </c>
      <c r="L818" t="s">
        <v>4456</v>
      </c>
      <c r="M818">
        <v>12</v>
      </c>
      <c r="N818">
        <v>3</v>
      </c>
      <c r="O818" t="s">
        <v>1036</v>
      </c>
      <c r="P818" s="17"/>
      <c r="Q818" s="17" t="str">
        <f>_xlfn.XLOOKUP(Table2[[#This Row],[buyFromVendorNo]],'Next Day Scheduled'!A:A,'Pending Returns'!O:O,"NOT_FOUND")</f>
        <v>NOT_FOUND</v>
      </c>
    </row>
    <row r="819" spans="1:17" x14ac:dyDescent="0.3">
      <c r="A819" s="1">
        <v>46183</v>
      </c>
      <c r="B819" t="s">
        <v>638</v>
      </c>
      <c r="C819" t="s">
        <v>173</v>
      </c>
      <c r="D819" t="s">
        <v>174</v>
      </c>
      <c r="E819" t="s">
        <v>8</v>
      </c>
      <c r="F819" t="s">
        <v>10</v>
      </c>
      <c r="G819" s="16">
        <v>3750.59</v>
      </c>
      <c r="H819" s="16">
        <v>4313.1787000000004</v>
      </c>
      <c r="I819" s="1">
        <v>46148</v>
      </c>
      <c r="J819">
        <v>76</v>
      </c>
      <c r="K819" t="s">
        <v>627</v>
      </c>
      <c r="L819" t="s">
        <v>4422</v>
      </c>
      <c r="M819">
        <v>17</v>
      </c>
      <c r="N819">
        <v>1</v>
      </c>
      <c r="O819" t="s">
        <v>1036</v>
      </c>
      <c r="P819" s="17"/>
      <c r="Q819" s="17" t="str">
        <f>_xlfn.XLOOKUP(Table2[[#This Row],[buyFromVendorNo]],'Next Day Scheduled'!A:A,'Pending Returns'!O:O,"NOT_FOUND")</f>
        <v>NOT_FOUND</v>
      </c>
    </row>
    <row r="820" spans="1:17" x14ac:dyDescent="0.3">
      <c r="A820" s="1">
        <v>46183</v>
      </c>
      <c r="B820" t="s">
        <v>2138</v>
      </c>
      <c r="C820" t="s">
        <v>304</v>
      </c>
      <c r="D820" t="s">
        <v>307</v>
      </c>
      <c r="E820" t="s">
        <v>8</v>
      </c>
      <c r="F820" t="s">
        <v>10</v>
      </c>
      <c r="G820" s="16">
        <v>17509.657999999999</v>
      </c>
      <c r="H820" s="16">
        <v>20136.107</v>
      </c>
      <c r="I820" s="1">
        <v>46167</v>
      </c>
      <c r="J820">
        <v>76</v>
      </c>
      <c r="K820" t="s">
        <v>2139</v>
      </c>
      <c r="L820" t="s">
        <v>4462</v>
      </c>
      <c r="M820">
        <v>12</v>
      </c>
      <c r="N820">
        <v>6</v>
      </c>
      <c r="O820" t="s">
        <v>1036</v>
      </c>
      <c r="P820" s="17"/>
      <c r="Q820" s="17" t="str">
        <f>_xlfn.XLOOKUP(Table2[[#This Row],[buyFromVendorNo]],'Next Day Scheduled'!A:A,'Pending Returns'!O:O,"NOT_FOUND")</f>
        <v>NOT_FOUND</v>
      </c>
    </row>
    <row r="821" spans="1:17" x14ac:dyDescent="0.3">
      <c r="A821" s="1">
        <v>46183</v>
      </c>
      <c r="B821" t="s">
        <v>2839</v>
      </c>
      <c r="C821" t="s">
        <v>824</v>
      </c>
      <c r="D821" t="s">
        <v>825</v>
      </c>
      <c r="E821" t="s">
        <v>8</v>
      </c>
      <c r="F821" t="s">
        <v>10</v>
      </c>
      <c r="G821" s="16">
        <v>2759.2359999999999</v>
      </c>
      <c r="H821" s="16">
        <v>3173.1212999999998</v>
      </c>
      <c r="I821" s="1">
        <v>46177</v>
      </c>
      <c r="J821">
        <v>76</v>
      </c>
      <c r="K821" t="s">
        <v>2840</v>
      </c>
      <c r="L821" t="s">
        <v>4470</v>
      </c>
      <c r="M821">
        <v>10</v>
      </c>
      <c r="N821">
        <v>6</v>
      </c>
      <c r="O821" t="s">
        <v>1036</v>
      </c>
      <c r="P821" s="17"/>
      <c r="Q821" s="17" t="str">
        <f>_xlfn.XLOOKUP(Table2[[#This Row],[buyFromVendorNo]],'Next Day Scheduled'!A:A,'Pending Returns'!O:O,"NOT_FOUND")</f>
        <v>NOT_FOUND</v>
      </c>
    </row>
    <row r="822" spans="1:17" x14ac:dyDescent="0.3">
      <c r="A822" s="1">
        <v>46183</v>
      </c>
      <c r="B822" t="s">
        <v>3952</v>
      </c>
      <c r="C822" t="s">
        <v>3453</v>
      </c>
      <c r="D822" t="s">
        <v>3454</v>
      </c>
      <c r="E822" t="s">
        <v>8</v>
      </c>
      <c r="F822" t="s">
        <v>10</v>
      </c>
      <c r="G822" s="16">
        <v>150.1</v>
      </c>
      <c r="H822" s="16">
        <v>172.61500000000001</v>
      </c>
      <c r="I822" s="1">
        <v>46183</v>
      </c>
      <c r="J822">
        <v>76</v>
      </c>
      <c r="K822" t="s">
        <v>4237</v>
      </c>
      <c r="L822" t="s">
        <v>4412</v>
      </c>
      <c r="M822">
        <v>9</v>
      </c>
      <c r="N822">
        <v>5</v>
      </c>
      <c r="O822" t="s">
        <v>1036</v>
      </c>
      <c r="P822" s="17"/>
      <c r="Q822" s="17" t="str">
        <f>_xlfn.XLOOKUP(Table2[[#This Row],[buyFromVendorNo]],'Next Day Scheduled'!A:A,'Pending Returns'!O:O,"NOT_FOUND")</f>
        <v>NOT_FOUND</v>
      </c>
    </row>
    <row r="823" spans="1:17" x14ac:dyDescent="0.3">
      <c r="A823" s="1">
        <v>46183</v>
      </c>
      <c r="B823" t="s">
        <v>2611</v>
      </c>
      <c r="C823" t="s">
        <v>1161</v>
      </c>
      <c r="D823" t="s">
        <v>1162</v>
      </c>
      <c r="E823" t="s">
        <v>8</v>
      </c>
      <c r="F823" t="s">
        <v>10</v>
      </c>
      <c r="G823" s="16">
        <v>1744.64</v>
      </c>
      <c r="H823" s="16">
        <v>2006.336</v>
      </c>
      <c r="I823" s="1">
        <v>46182</v>
      </c>
      <c r="J823">
        <v>76</v>
      </c>
      <c r="K823" t="s">
        <v>4106</v>
      </c>
      <c r="L823" t="s">
        <v>4476</v>
      </c>
      <c r="M823">
        <v>10</v>
      </c>
      <c r="N823">
        <v>6</v>
      </c>
      <c r="O823" t="s">
        <v>1036</v>
      </c>
      <c r="P823" s="17"/>
      <c r="Q823" s="17" t="str">
        <f>_xlfn.XLOOKUP(Table2[[#This Row],[buyFromVendorNo]],'Next Day Scheduled'!A:A,'Pending Returns'!O:O,"NOT_FOUND")</f>
        <v>NOT_FOUND</v>
      </c>
    </row>
    <row r="824" spans="1:17" x14ac:dyDescent="0.3">
      <c r="A824" s="1">
        <v>46183</v>
      </c>
      <c r="B824" t="s">
        <v>3746</v>
      </c>
      <c r="C824" t="s">
        <v>29</v>
      </c>
      <c r="D824" t="s">
        <v>30</v>
      </c>
      <c r="E824" t="s">
        <v>8</v>
      </c>
      <c r="F824" t="s">
        <v>10</v>
      </c>
      <c r="G824" s="16">
        <v>479.84500000000003</v>
      </c>
      <c r="H824" s="16">
        <v>545.99274000000003</v>
      </c>
      <c r="I824" s="1">
        <v>46181</v>
      </c>
      <c r="J824">
        <v>76</v>
      </c>
      <c r="K824" t="s">
        <v>3663</v>
      </c>
      <c r="L824" t="s">
        <v>4455</v>
      </c>
      <c r="M824">
        <v>11</v>
      </c>
      <c r="N824">
        <v>2</v>
      </c>
      <c r="O824" t="s">
        <v>1036</v>
      </c>
      <c r="P824" s="17"/>
      <c r="Q824" s="17" t="str">
        <f>_xlfn.XLOOKUP(Table2[[#This Row],[buyFromVendorNo]],'Next Day Scheduled'!A:A,'Pending Returns'!O:O,"NOT_FOUND")</f>
        <v>NOT_FOUND</v>
      </c>
    </row>
    <row r="825" spans="1:17" x14ac:dyDescent="0.3">
      <c r="A825" s="1">
        <v>46183</v>
      </c>
      <c r="B825" t="s">
        <v>1790</v>
      </c>
      <c r="C825" t="s">
        <v>122</v>
      </c>
      <c r="D825" t="s">
        <v>123</v>
      </c>
      <c r="E825" t="s">
        <v>8</v>
      </c>
      <c r="F825" t="s">
        <v>10</v>
      </c>
      <c r="G825" s="16">
        <v>356.25</v>
      </c>
      <c r="H825" s="16">
        <v>409.6875</v>
      </c>
      <c r="I825" s="1">
        <v>46182</v>
      </c>
      <c r="J825">
        <v>76</v>
      </c>
      <c r="K825" t="s">
        <v>4129</v>
      </c>
      <c r="L825" t="s">
        <v>4458</v>
      </c>
      <c r="M825">
        <v>26</v>
      </c>
      <c r="N825">
        <v>1</v>
      </c>
      <c r="O825" t="s">
        <v>1036</v>
      </c>
      <c r="P825" s="17"/>
      <c r="Q825" s="17" t="str">
        <f>_xlfn.XLOOKUP(Table2[[#This Row],[buyFromVendorNo]],'Next Day Scheduled'!A:A,'Pending Returns'!O:O,"NOT_FOUND")</f>
        <v>NOT_FOUND</v>
      </c>
    </row>
    <row r="826" spans="1:17" x14ac:dyDescent="0.3">
      <c r="A826" s="1">
        <v>46183</v>
      </c>
      <c r="B826" t="s">
        <v>3456</v>
      </c>
      <c r="C826" t="s">
        <v>2976</v>
      </c>
      <c r="D826" t="s">
        <v>2977</v>
      </c>
      <c r="E826" t="s">
        <v>8</v>
      </c>
      <c r="F826" t="s">
        <v>10</v>
      </c>
      <c r="G826" s="16">
        <v>301.16663</v>
      </c>
      <c r="H826" s="16">
        <v>346.34163999999998</v>
      </c>
      <c r="I826" s="1">
        <v>46177</v>
      </c>
      <c r="J826">
        <v>76</v>
      </c>
      <c r="K826" t="s">
        <v>2978</v>
      </c>
      <c r="L826" t="s">
        <v>4404</v>
      </c>
      <c r="M826">
        <v>5</v>
      </c>
      <c r="N826">
        <v>7</v>
      </c>
      <c r="O826" t="s">
        <v>1036</v>
      </c>
      <c r="P826" s="17"/>
      <c r="Q826" s="17" t="str">
        <f>_xlfn.XLOOKUP(Table2[[#This Row],[buyFromVendorNo]],'Next Day Scheduled'!A:A,'Pending Returns'!O:O,"NOT_FOUND")</f>
        <v>NOT_FOUND</v>
      </c>
    </row>
    <row r="827" spans="1:17" x14ac:dyDescent="0.3">
      <c r="A827" s="1">
        <v>46183</v>
      </c>
      <c r="B827" t="s">
        <v>4241</v>
      </c>
      <c r="C827" t="s">
        <v>3453</v>
      </c>
      <c r="D827" t="s">
        <v>3454</v>
      </c>
      <c r="E827" t="s">
        <v>8</v>
      </c>
      <c r="F827" t="s">
        <v>10</v>
      </c>
      <c r="G827" s="16">
        <v>66.3</v>
      </c>
      <c r="H827" s="16">
        <v>76.245000000000005</v>
      </c>
      <c r="I827" s="1">
        <v>46183</v>
      </c>
      <c r="J827">
        <v>76</v>
      </c>
      <c r="K827" t="s">
        <v>4242</v>
      </c>
      <c r="L827" t="s">
        <v>4459</v>
      </c>
      <c r="M827">
        <v>9</v>
      </c>
      <c r="N827">
        <v>5</v>
      </c>
      <c r="O827" t="s">
        <v>1036</v>
      </c>
      <c r="P827" s="17"/>
      <c r="Q827" s="17" t="str">
        <f>_xlfn.XLOOKUP(Table2[[#This Row],[buyFromVendorNo]],'Next Day Scheduled'!A:A,'Pending Returns'!O:O,"NOT_FOUND")</f>
        <v>NOT_FOUND</v>
      </c>
    </row>
    <row r="828" spans="1:17" x14ac:dyDescent="0.3">
      <c r="A828" s="1">
        <v>46183</v>
      </c>
      <c r="B828" t="s">
        <v>3313</v>
      </c>
      <c r="C828" t="s">
        <v>107</v>
      </c>
      <c r="D828" t="s">
        <v>108</v>
      </c>
      <c r="E828" t="s">
        <v>8</v>
      </c>
      <c r="F828" t="s">
        <v>10</v>
      </c>
      <c r="G828" s="16">
        <v>362.79462000000001</v>
      </c>
      <c r="H828" s="16">
        <v>417.21379999999999</v>
      </c>
      <c r="I828" s="1">
        <v>46177</v>
      </c>
      <c r="J828">
        <v>76</v>
      </c>
      <c r="K828" t="s">
        <v>3182</v>
      </c>
      <c r="L828" t="s">
        <v>4425</v>
      </c>
      <c r="M828">
        <v>13</v>
      </c>
      <c r="N828">
        <v>5</v>
      </c>
      <c r="O828" t="s">
        <v>1036</v>
      </c>
      <c r="P828" s="17"/>
      <c r="Q828" s="17" t="str">
        <f>_xlfn.XLOOKUP(Table2[[#This Row],[buyFromVendorNo]],'Next Day Scheduled'!A:A,'Pending Returns'!O:O,"NOT_FOUND")</f>
        <v>NOT_FOUND</v>
      </c>
    </row>
    <row r="829" spans="1:17" x14ac:dyDescent="0.3">
      <c r="A829" s="1">
        <v>46183</v>
      </c>
      <c r="B829" t="s">
        <v>2821</v>
      </c>
      <c r="C829" t="s">
        <v>122</v>
      </c>
      <c r="D829" t="s">
        <v>123</v>
      </c>
      <c r="E829" t="s">
        <v>8</v>
      </c>
      <c r="F829" t="s">
        <v>10</v>
      </c>
      <c r="G829" s="16">
        <v>644.41999999999996</v>
      </c>
      <c r="H829" s="16">
        <v>741.08299999999997</v>
      </c>
      <c r="I829" s="1">
        <v>46182</v>
      </c>
      <c r="J829">
        <v>76</v>
      </c>
      <c r="K829" t="s">
        <v>2822</v>
      </c>
      <c r="L829" t="s">
        <v>4446</v>
      </c>
      <c r="M829">
        <v>26</v>
      </c>
      <c r="N829">
        <v>1</v>
      </c>
      <c r="O829" t="s">
        <v>1036</v>
      </c>
      <c r="P829" s="17"/>
      <c r="Q829" s="17" t="str">
        <f>_xlfn.XLOOKUP(Table2[[#This Row],[buyFromVendorNo]],'Next Day Scheduled'!A:A,'Pending Returns'!O:O,"NOT_FOUND")</f>
        <v>NOT_FOUND</v>
      </c>
    </row>
    <row r="830" spans="1:17" x14ac:dyDescent="0.3">
      <c r="A830" s="1">
        <v>46183</v>
      </c>
      <c r="B830" t="s">
        <v>3060</v>
      </c>
      <c r="C830" t="s">
        <v>2252</v>
      </c>
      <c r="D830" t="s">
        <v>2253</v>
      </c>
      <c r="E830" t="s">
        <v>8</v>
      </c>
      <c r="F830" t="s">
        <v>10</v>
      </c>
      <c r="G830" s="16">
        <v>414</v>
      </c>
      <c r="H830" s="16">
        <v>476.1</v>
      </c>
      <c r="I830" s="1">
        <v>46181</v>
      </c>
      <c r="J830">
        <v>76</v>
      </c>
      <c r="K830" t="s">
        <v>3061</v>
      </c>
      <c r="L830" t="s">
        <v>4474</v>
      </c>
      <c r="M830">
        <v>10</v>
      </c>
      <c r="N830">
        <v>2</v>
      </c>
      <c r="O830" t="s">
        <v>1036</v>
      </c>
      <c r="P830" s="17"/>
      <c r="Q830" s="17" t="str">
        <f>_xlfn.XLOOKUP(Table2[[#This Row],[buyFromVendorNo]],'Next Day Scheduled'!A:A,'Pending Returns'!O:O,"NOT_FOUND")</f>
        <v>NOT_FOUND</v>
      </c>
    </row>
    <row r="831" spans="1:17" x14ac:dyDescent="0.3">
      <c r="A831" s="1">
        <v>46183</v>
      </c>
      <c r="B831" t="s">
        <v>2117</v>
      </c>
      <c r="C831" t="s">
        <v>1161</v>
      </c>
      <c r="D831" t="s">
        <v>1162</v>
      </c>
      <c r="E831" t="s">
        <v>8</v>
      </c>
      <c r="F831" t="s">
        <v>10</v>
      </c>
      <c r="G831" s="16">
        <v>1614</v>
      </c>
      <c r="H831" s="16">
        <v>1856.1</v>
      </c>
      <c r="I831" s="1">
        <v>46182</v>
      </c>
      <c r="J831">
        <v>76</v>
      </c>
      <c r="K831" t="s">
        <v>4220</v>
      </c>
      <c r="L831" t="s">
        <v>4419</v>
      </c>
      <c r="M831">
        <v>10</v>
      </c>
      <c r="N831">
        <v>6</v>
      </c>
      <c r="O831" t="s">
        <v>1036</v>
      </c>
      <c r="P831" s="17"/>
      <c r="Q831" s="17" t="str">
        <f>_xlfn.XLOOKUP(Table2[[#This Row],[buyFromVendorNo]],'Next Day Scheduled'!A:A,'Pending Returns'!O:O,"NOT_FOUND")</f>
        <v>NOT_FOUND</v>
      </c>
    </row>
    <row r="832" spans="1:17" x14ac:dyDescent="0.3">
      <c r="A832" s="1">
        <v>46183</v>
      </c>
      <c r="B832" t="s">
        <v>3384</v>
      </c>
      <c r="C832" t="s">
        <v>2275</v>
      </c>
      <c r="D832" t="s">
        <v>2323</v>
      </c>
      <c r="E832" t="s">
        <v>8</v>
      </c>
      <c r="F832" t="s">
        <v>10</v>
      </c>
      <c r="G832" s="16">
        <v>126.9</v>
      </c>
      <c r="H832" s="16">
        <v>145.935</v>
      </c>
      <c r="I832" s="1">
        <v>46183</v>
      </c>
      <c r="J832">
        <v>76</v>
      </c>
      <c r="K832" t="s">
        <v>4267</v>
      </c>
      <c r="L832" t="s">
        <v>4418</v>
      </c>
      <c r="M832">
        <v>0</v>
      </c>
      <c r="N832">
        <v>92</v>
      </c>
      <c r="O832" t="s">
        <v>1036</v>
      </c>
      <c r="P832" s="17"/>
      <c r="Q832" s="17" t="str">
        <f>_xlfn.XLOOKUP(Table2[[#This Row],[buyFromVendorNo]],'Next Day Scheduled'!A:A,'Pending Returns'!O:O,"NOT_FOUND")</f>
        <v>NOT_FOUND</v>
      </c>
    </row>
    <row r="833" spans="1:17" x14ac:dyDescent="0.3">
      <c r="A833" s="1">
        <v>46183</v>
      </c>
      <c r="B833" t="s">
        <v>472</v>
      </c>
      <c r="C833" t="s">
        <v>880</v>
      </c>
      <c r="D833" t="s">
        <v>881</v>
      </c>
      <c r="E833" t="s">
        <v>8</v>
      </c>
      <c r="F833" t="s">
        <v>10</v>
      </c>
      <c r="G833" s="16">
        <v>926.68</v>
      </c>
      <c r="H833" s="16">
        <v>1065.682</v>
      </c>
      <c r="I833" s="1">
        <v>46183</v>
      </c>
      <c r="J833">
        <v>76</v>
      </c>
      <c r="K833" t="s">
        <v>4314</v>
      </c>
      <c r="L833" t="s">
        <v>4431</v>
      </c>
      <c r="M833">
        <v>6</v>
      </c>
      <c r="N833">
        <v>13</v>
      </c>
      <c r="O833" t="s">
        <v>1036</v>
      </c>
      <c r="P833" s="17"/>
      <c r="Q833" s="17" t="str">
        <f>_xlfn.XLOOKUP(Table2[[#This Row],[buyFromVendorNo]],'Next Day Scheduled'!A:A,'Pending Returns'!O:O,"NOT_FOUND")</f>
        <v>NOT_FOUND</v>
      </c>
    </row>
    <row r="834" spans="1:17" x14ac:dyDescent="0.3">
      <c r="A834" s="1">
        <v>46183</v>
      </c>
      <c r="B834" t="s">
        <v>246</v>
      </c>
      <c r="C834" t="s">
        <v>107</v>
      </c>
      <c r="D834" t="s">
        <v>108</v>
      </c>
      <c r="E834" t="s">
        <v>8</v>
      </c>
      <c r="F834" t="s">
        <v>10</v>
      </c>
      <c r="G834" s="16">
        <v>1671.7362000000001</v>
      </c>
      <c r="H834" s="16">
        <v>1922.4966999999999</v>
      </c>
      <c r="I834" s="1">
        <v>46177</v>
      </c>
      <c r="J834">
        <v>76</v>
      </c>
      <c r="K834" t="s">
        <v>2181</v>
      </c>
      <c r="L834" t="s">
        <v>4434</v>
      </c>
      <c r="M834">
        <v>13</v>
      </c>
      <c r="N834">
        <v>5</v>
      </c>
      <c r="O834" t="s">
        <v>1036</v>
      </c>
      <c r="P834" s="17"/>
      <c r="Q834" s="17" t="str">
        <f>_xlfn.XLOOKUP(Table2[[#This Row],[buyFromVendorNo]],'Next Day Scheduled'!A:A,'Pending Returns'!O:O,"NOT_FOUND")</f>
        <v>NOT_FOUND</v>
      </c>
    </row>
    <row r="835" spans="1:17" x14ac:dyDescent="0.3">
      <c r="A835" s="1">
        <v>46183</v>
      </c>
      <c r="B835" t="s">
        <v>3702</v>
      </c>
      <c r="C835" t="s">
        <v>29</v>
      </c>
      <c r="D835" t="s">
        <v>30</v>
      </c>
      <c r="E835" t="s">
        <v>8</v>
      </c>
      <c r="F835" t="s">
        <v>10</v>
      </c>
      <c r="G835" s="16">
        <v>247.57599999999999</v>
      </c>
      <c r="H835" s="16">
        <v>284.7124</v>
      </c>
      <c r="I835" s="1">
        <v>46181</v>
      </c>
      <c r="J835">
        <v>76</v>
      </c>
      <c r="K835" t="s">
        <v>3652</v>
      </c>
      <c r="L835" t="s">
        <v>4467</v>
      </c>
      <c r="M835">
        <v>11</v>
      </c>
      <c r="N835">
        <v>2</v>
      </c>
      <c r="O835" t="s">
        <v>1036</v>
      </c>
      <c r="P835" s="17"/>
      <c r="Q835" s="17" t="str">
        <f>_xlfn.XLOOKUP(Table2[[#This Row],[buyFromVendorNo]],'Next Day Scheduled'!A:A,'Pending Returns'!O:O,"NOT_FOUND")</f>
        <v>NOT_FOUND</v>
      </c>
    </row>
    <row r="836" spans="1:17" x14ac:dyDescent="0.3">
      <c r="A836" s="1">
        <v>46183</v>
      </c>
      <c r="B836" t="s">
        <v>4022</v>
      </c>
      <c r="C836" t="s">
        <v>3948</v>
      </c>
      <c r="D836" t="s">
        <v>3949</v>
      </c>
      <c r="E836" t="s">
        <v>8</v>
      </c>
      <c r="F836" t="s">
        <v>10</v>
      </c>
      <c r="G836" s="16">
        <v>272</v>
      </c>
      <c r="H836" s="16">
        <v>272</v>
      </c>
      <c r="I836" s="1">
        <v>46181</v>
      </c>
      <c r="J836">
        <v>76</v>
      </c>
      <c r="K836" t="s">
        <v>4023</v>
      </c>
      <c r="L836" t="s">
        <v>4439</v>
      </c>
      <c r="M836">
        <v>11</v>
      </c>
      <c r="N836">
        <v>1</v>
      </c>
      <c r="O836" t="s">
        <v>1036</v>
      </c>
      <c r="P836" s="17"/>
      <c r="Q836" s="17" t="str">
        <f>_xlfn.XLOOKUP(Table2[[#This Row],[buyFromVendorNo]],'Next Day Scheduled'!A:A,'Pending Returns'!O:O,"NOT_FOUND")</f>
        <v>NOT_FOUND</v>
      </c>
    </row>
    <row r="837" spans="1:17" x14ac:dyDescent="0.3">
      <c r="A837" s="1">
        <v>46183</v>
      </c>
      <c r="B837" t="s">
        <v>3268</v>
      </c>
      <c r="C837" t="s">
        <v>2359</v>
      </c>
      <c r="D837" t="s">
        <v>2360</v>
      </c>
      <c r="E837" t="s">
        <v>8</v>
      </c>
      <c r="F837" t="s">
        <v>10</v>
      </c>
      <c r="G837" s="16">
        <v>461</v>
      </c>
      <c r="H837" s="16">
        <v>530.15</v>
      </c>
      <c r="I837" s="1">
        <v>46181</v>
      </c>
      <c r="J837">
        <v>76</v>
      </c>
      <c r="K837" t="s">
        <v>3544</v>
      </c>
      <c r="L837" t="s">
        <v>4443</v>
      </c>
      <c r="M837">
        <v>6</v>
      </c>
      <c r="N837">
        <v>22</v>
      </c>
      <c r="O837" t="s">
        <v>1036</v>
      </c>
      <c r="P837" s="17"/>
      <c r="Q837" s="17" t="str">
        <f>_xlfn.XLOOKUP(Table2[[#This Row],[buyFromVendorNo]],'Next Day Scheduled'!A:A,'Pending Returns'!O:O,"NOT_FOUND")</f>
        <v>NOT_FOUND</v>
      </c>
    </row>
    <row r="838" spans="1:17" x14ac:dyDescent="0.3">
      <c r="A838" s="1">
        <v>46183</v>
      </c>
      <c r="B838" t="s">
        <v>3426</v>
      </c>
      <c r="C838" t="s">
        <v>819</v>
      </c>
      <c r="D838" t="s">
        <v>820</v>
      </c>
      <c r="E838" t="s">
        <v>8</v>
      </c>
      <c r="F838" t="s">
        <v>10</v>
      </c>
      <c r="G838" s="16">
        <v>2050.989</v>
      </c>
      <c r="H838" s="16">
        <v>2222.4375</v>
      </c>
      <c r="I838" s="1">
        <v>46183</v>
      </c>
      <c r="J838">
        <v>76</v>
      </c>
      <c r="K838" t="s">
        <v>3230</v>
      </c>
      <c r="L838" t="s">
        <v>4426</v>
      </c>
      <c r="M838">
        <v>10</v>
      </c>
      <c r="N838">
        <v>7</v>
      </c>
      <c r="O838" t="s">
        <v>1036</v>
      </c>
      <c r="P838" s="17"/>
      <c r="Q838" s="17" t="str">
        <f>_xlfn.XLOOKUP(Table2[[#This Row],[buyFromVendorNo]],'Next Day Scheduled'!A:A,'Pending Returns'!O:O,"NOT_FOUND")</f>
        <v>Posted Credit Note</v>
      </c>
    </row>
    <row r="839" spans="1:17" x14ac:dyDescent="0.3">
      <c r="A839" s="1">
        <v>46183</v>
      </c>
      <c r="B839" t="s">
        <v>340</v>
      </c>
      <c r="C839" t="s">
        <v>98</v>
      </c>
      <c r="D839" t="s">
        <v>99</v>
      </c>
      <c r="E839" t="s">
        <v>8</v>
      </c>
      <c r="F839" t="s">
        <v>10</v>
      </c>
      <c r="G839" s="16">
        <v>5727.91</v>
      </c>
      <c r="H839" s="16">
        <v>6587.0967000000001</v>
      </c>
      <c r="I839" s="1">
        <v>46183</v>
      </c>
      <c r="J839">
        <v>76</v>
      </c>
      <c r="K839" t="s">
        <v>2144</v>
      </c>
      <c r="L839" t="s">
        <v>4471</v>
      </c>
      <c r="M839">
        <v>11</v>
      </c>
      <c r="N839">
        <v>6</v>
      </c>
      <c r="O839" t="s">
        <v>1036</v>
      </c>
      <c r="P839" s="17"/>
      <c r="Q839" s="17" t="str">
        <f>_xlfn.XLOOKUP(Table2[[#This Row],[buyFromVendorNo]],'Next Day Scheduled'!A:A,'Pending Returns'!O:O,"NOT_FOUND")</f>
        <v>NOT_FOUND</v>
      </c>
    </row>
    <row r="840" spans="1:17" x14ac:dyDescent="0.3">
      <c r="A840" s="1">
        <v>46183</v>
      </c>
      <c r="B840" t="s">
        <v>396</v>
      </c>
      <c r="C840" t="s">
        <v>173</v>
      </c>
      <c r="D840" t="s">
        <v>174</v>
      </c>
      <c r="E840" t="s">
        <v>8</v>
      </c>
      <c r="F840" t="s">
        <v>10</v>
      </c>
      <c r="G840" s="16">
        <v>10118.09</v>
      </c>
      <c r="H840" s="16">
        <v>11635.804</v>
      </c>
      <c r="I840" s="1">
        <v>46148</v>
      </c>
      <c r="J840">
        <v>76</v>
      </c>
      <c r="K840" t="s">
        <v>476</v>
      </c>
      <c r="L840" t="s">
        <v>4448</v>
      </c>
      <c r="M840">
        <v>17</v>
      </c>
      <c r="N840">
        <v>1</v>
      </c>
      <c r="O840" t="s">
        <v>1036</v>
      </c>
      <c r="P840" s="17"/>
      <c r="Q840" s="17" t="str">
        <f>_xlfn.XLOOKUP(Table2[[#This Row],[buyFromVendorNo]],'Next Day Scheduled'!A:A,'Pending Returns'!O:O,"NOT_FOUND")</f>
        <v>NOT_FOUND</v>
      </c>
    </row>
    <row r="841" spans="1:17" x14ac:dyDescent="0.3">
      <c r="A841" s="1">
        <v>46183</v>
      </c>
      <c r="B841" t="s">
        <v>3696</v>
      </c>
      <c r="C841" t="s">
        <v>2275</v>
      </c>
      <c r="D841" t="s">
        <v>2323</v>
      </c>
      <c r="E841" t="s">
        <v>8</v>
      </c>
      <c r="F841" t="s">
        <v>10</v>
      </c>
      <c r="G841" s="16">
        <v>83.67</v>
      </c>
      <c r="H841" s="16">
        <v>96.220500000000001</v>
      </c>
      <c r="I841" s="1">
        <v>46183</v>
      </c>
      <c r="J841">
        <v>76</v>
      </c>
      <c r="K841" t="s">
        <v>3642</v>
      </c>
      <c r="L841" t="s">
        <v>4450</v>
      </c>
      <c r="M841">
        <v>0</v>
      </c>
      <c r="N841">
        <v>92</v>
      </c>
      <c r="O841" t="s">
        <v>1036</v>
      </c>
      <c r="P841" s="17"/>
      <c r="Q841" s="17" t="str">
        <f>_xlfn.XLOOKUP(Table2[[#This Row],[buyFromVendorNo]],'Next Day Scheduled'!A:A,'Pending Returns'!O:O,"NOT_FOUND")</f>
        <v>NOT_FOUND</v>
      </c>
    </row>
    <row r="842" spans="1:17" x14ac:dyDescent="0.3">
      <c r="A842" s="1">
        <v>46183</v>
      </c>
      <c r="B842" t="s">
        <v>3279</v>
      </c>
      <c r="C842" t="s">
        <v>122</v>
      </c>
      <c r="D842" t="s">
        <v>123</v>
      </c>
      <c r="E842" t="s">
        <v>8</v>
      </c>
      <c r="F842" t="s">
        <v>10</v>
      </c>
      <c r="G842" s="16">
        <v>15.2</v>
      </c>
      <c r="H842" s="16">
        <v>17.48</v>
      </c>
      <c r="I842" s="1">
        <v>46182</v>
      </c>
      <c r="J842">
        <v>76</v>
      </c>
      <c r="K842" t="s">
        <v>3101</v>
      </c>
      <c r="L842" t="s">
        <v>4421</v>
      </c>
      <c r="M842">
        <v>26</v>
      </c>
      <c r="N842">
        <v>1</v>
      </c>
      <c r="O842" t="s">
        <v>1036</v>
      </c>
      <c r="P842" s="17"/>
      <c r="Q842" s="17" t="str">
        <f>_xlfn.XLOOKUP(Table2[[#This Row],[buyFromVendorNo]],'Next Day Scheduled'!A:A,'Pending Returns'!O:O,"NOT_FOUND")</f>
        <v>NOT_FOUND</v>
      </c>
    </row>
    <row r="843" spans="1:17" x14ac:dyDescent="0.3">
      <c r="A843" s="1">
        <v>46183</v>
      </c>
      <c r="B843" t="s">
        <v>2723</v>
      </c>
      <c r="C843" t="s">
        <v>98</v>
      </c>
      <c r="D843" t="s">
        <v>99</v>
      </c>
      <c r="E843" t="s">
        <v>8</v>
      </c>
      <c r="F843" t="s">
        <v>10</v>
      </c>
      <c r="G843" s="16">
        <v>337.9</v>
      </c>
      <c r="H843" s="16">
        <v>388.58499999999998</v>
      </c>
      <c r="I843" s="1">
        <v>46183</v>
      </c>
      <c r="J843">
        <v>76</v>
      </c>
      <c r="K843" t="s">
        <v>2724</v>
      </c>
      <c r="L843" t="s">
        <v>4432</v>
      </c>
      <c r="M843">
        <v>11</v>
      </c>
      <c r="N843">
        <v>6</v>
      </c>
      <c r="O843" t="s">
        <v>1036</v>
      </c>
      <c r="P843" s="17"/>
      <c r="Q843" s="17" t="str">
        <f>_xlfn.XLOOKUP(Table2[[#This Row],[buyFromVendorNo]],'Next Day Scheduled'!A:A,'Pending Returns'!O:O,"NOT_FOUND")</f>
        <v>NOT_FOUND</v>
      </c>
    </row>
    <row r="844" spans="1:17" x14ac:dyDescent="0.3">
      <c r="A844" s="1">
        <v>46183</v>
      </c>
      <c r="B844" t="s">
        <v>3284</v>
      </c>
      <c r="C844" t="s">
        <v>304</v>
      </c>
      <c r="D844" t="s">
        <v>307</v>
      </c>
      <c r="E844" t="s">
        <v>8</v>
      </c>
      <c r="F844" t="s">
        <v>10</v>
      </c>
      <c r="G844" s="16">
        <v>1150.3687</v>
      </c>
      <c r="H844" s="16">
        <v>1322.9238</v>
      </c>
      <c r="I844" s="1">
        <v>46177</v>
      </c>
      <c r="J844">
        <v>76</v>
      </c>
      <c r="K844" t="s">
        <v>3120</v>
      </c>
      <c r="L844" t="s">
        <v>4433</v>
      </c>
      <c r="M844">
        <v>12</v>
      </c>
      <c r="N844">
        <v>6</v>
      </c>
      <c r="O844" t="s">
        <v>1036</v>
      </c>
      <c r="P844" s="17"/>
      <c r="Q844" s="17" t="str">
        <f>_xlfn.XLOOKUP(Table2[[#This Row],[buyFromVendorNo]],'Next Day Scheduled'!A:A,'Pending Returns'!O:O,"NOT_FOUND")</f>
        <v>NOT_FOUND</v>
      </c>
    </row>
    <row r="845" spans="1:17" x14ac:dyDescent="0.3">
      <c r="A845" s="1">
        <v>46183</v>
      </c>
      <c r="B845" t="s">
        <v>3701</v>
      </c>
      <c r="C845" t="s">
        <v>824</v>
      </c>
      <c r="D845" t="s">
        <v>825</v>
      </c>
      <c r="E845" t="s">
        <v>8</v>
      </c>
      <c r="F845" t="s">
        <v>10</v>
      </c>
      <c r="G845" s="16">
        <v>2485.35</v>
      </c>
      <c r="H845" s="16">
        <v>2858.1525999999999</v>
      </c>
      <c r="I845" s="1">
        <v>46177</v>
      </c>
      <c r="J845">
        <v>76</v>
      </c>
      <c r="K845" t="s">
        <v>3622</v>
      </c>
      <c r="L845" t="s">
        <v>4436</v>
      </c>
      <c r="M845">
        <v>10</v>
      </c>
      <c r="N845">
        <v>6</v>
      </c>
      <c r="O845" t="s">
        <v>1036</v>
      </c>
      <c r="P845" s="17"/>
      <c r="Q845" s="17" t="str">
        <f>_xlfn.XLOOKUP(Table2[[#This Row],[buyFromVendorNo]],'Next Day Scheduled'!A:A,'Pending Returns'!O:O,"NOT_FOUND")</f>
        <v>NOT_FOUND</v>
      </c>
    </row>
    <row r="846" spans="1:17" x14ac:dyDescent="0.3">
      <c r="A846" s="1">
        <v>46183</v>
      </c>
      <c r="B846" t="s">
        <v>4191</v>
      </c>
      <c r="C846" t="s">
        <v>822</v>
      </c>
      <c r="D846" t="s">
        <v>823</v>
      </c>
      <c r="E846" t="s">
        <v>8</v>
      </c>
      <c r="F846" t="s">
        <v>10</v>
      </c>
      <c r="G846" s="16">
        <v>262.5</v>
      </c>
      <c r="H846" s="16">
        <v>301.875</v>
      </c>
      <c r="I846" s="1">
        <v>46183</v>
      </c>
      <c r="J846">
        <v>76</v>
      </c>
      <c r="K846" t="s">
        <v>4192</v>
      </c>
      <c r="L846" t="s">
        <v>4428</v>
      </c>
      <c r="M846">
        <v>3</v>
      </c>
      <c r="N846">
        <v>37</v>
      </c>
      <c r="O846" t="s">
        <v>1036</v>
      </c>
      <c r="P846" s="17"/>
      <c r="Q846" s="17" t="str">
        <f>_xlfn.XLOOKUP(Table2[[#This Row],[buyFromVendorNo]],'Next Day Scheduled'!A:A,'Pending Returns'!O:O,"NOT_FOUND")</f>
        <v>Pending for Collection</v>
      </c>
    </row>
    <row r="847" spans="1:17" x14ac:dyDescent="0.3">
      <c r="A847" s="1">
        <v>46183</v>
      </c>
      <c r="B847" t="s">
        <v>3468</v>
      </c>
      <c r="C847" t="s">
        <v>464</v>
      </c>
      <c r="D847" t="s">
        <v>465</v>
      </c>
      <c r="E847" t="s">
        <v>8</v>
      </c>
      <c r="F847" t="s">
        <v>10</v>
      </c>
      <c r="G847" s="16">
        <v>305.35000000000002</v>
      </c>
      <c r="H847" s="16">
        <v>351.15249999999997</v>
      </c>
      <c r="I847" s="1">
        <v>46177</v>
      </c>
      <c r="J847">
        <v>76</v>
      </c>
      <c r="K847" t="s">
        <v>3648</v>
      </c>
      <c r="L847" t="s">
        <v>4414</v>
      </c>
      <c r="M847">
        <v>11</v>
      </c>
      <c r="N847">
        <v>6</v>
      </c>
      <c r="O847" t="s">
        <v>1036</v>
      </c>
      <c r="P847" s="17"/>
      <c r="Q847" s="17" t="str">
        <f>_xlfn.XLOOKUP(Table2[[#This Row],[buyFromVendorNo]],'Next Day Scheduled'!A:A,'Pending Returns'!O:O,"NOT_FOUND")</f>
        <v>NOT_FOUND</v>
      </c>
    </row>
    <row r="848" spans="1:17" x14ac:dyDescent="0.3">
      <c r="A848" s="1">
        <v>46183</v>
      </c>
      <c r="B848" t="s">
        <v>3706</v>
      </c>
      <c r="C848" t="s">
        <v>824</v>
      </c>
      <c r="D848" t="s">
        <v>825</v>
      </c>
      <c r="E848" t="s">
        <v>8</v>
      </c>
      <c r="F848" t="s">
        <v>10</v>
      </c>
      <c r="G848" s="16">
        <v>697.75</v>
      </c>
      <c r="H848" s="16">
        <v>802.41250000000002</v>
      </c>
      <c r="I848" s="1">
        <v>46177</v>
      </c>
      <c r="J848">
        <v>76</v>
      </c>
      <c r="K848" t="s">
        <v>3646</v>
      </c>
      <c r="L848" t="s">
        <v>4413</v>
      </c>
      <c r="M848">
        <v>10</v>
      </c>
      <c r="N848">
        <v>6</v>
      </c>
      <c r="O848" t="s">
        <v>1036</v>
      </c>
      <c r="P848" s="17"/>
      <c r="Q848" s="17" t="str">
        <f>_xlfn.XLOOKUP(Table2[[#This Row],[buyFromVendorNo]],'Next Day Scheduled'!A:A,'Pending Returns'!O:O,"NOT_FOUND")</f>
        <v>NOT_FOUND</v>
      </c>
    </row>
    <row r="849" spans="1:17" x14ac:dyDescent="0.3">
      <c r="A849" s="1">
        <v>46183</v>
      </c>
      <c r="B849" t="s">
        <v>1844</v>
      </c>
      <c r="C849" t="s">
        <v>109</v>
      </c>
      <c r="D849" t="s">
        <v>110</v>
      </c>
      <c r="E849" t="s">
        <v>8</v>
      </c>
      <c r="F849" t="s">
        <v>10</v>
      </c>
      <c r="G849" s="16">
        <v>8674.5300000000007</v>
      </c>
      <c r="H849" s="16">
        <v>9975.7099999999991</v>
      </c>
      <c r="I849" s="1">
        <v>46160</v>
      </c>
      <c r="J849">
        <v>76</v>
      </c>
      <c r="K849" t="s">
        <v>1845</v>
      </c>
      <c r="L849" t="s">
        <v>4447</v>
      </c>
      <c r="M849">
        <v>8</v>
      </c>
      <c r="N849">
        <v>7</v>
      </c>
      <c r="O849" t="s">
        <v>1036</v>
      </c>
      <c r="P849" s="17"/>
      <c r="Q849" s="17" t="str">
        <f>_xlfn.XLOOKUP(Table2[[#This Row],[buyFromVendorNo]],'Next Day Scheduled'!A:A,'Pending Returns'!O:O,"NOT_FOUND")</f>
        <v>NOT_FOUND</v>
      </c>
    </row>
    <row r="850" spans="1:17" x14ac:dyDescent="0.3">
      <c r="A850" s="1">
        <v>46183</v>
      </c>
      <c r="B850" t="s">
        <v>2760</v>
      </c>
      <c r="C850" t="s">
        <v>621</v>
      </c>
      <c r="D850" t="s">
        <v>622</v>
      </c>
      <c r="E850" t="s">
        <v>8</v>
      </c>
      <c r="F850" t="s">
        <v>10</v>
      </c>
      <c r="G850" s="16">
        <v>2537.5825</v>
      </c>
      <c r="H850" s="16">
        <v>2918.2197000000001</v>
      </c>
      <c r="I850" s="1">
        <v>46183</v>
      </c>
      <c r="J850">
        <v>76</v>
      </c>
      <c r="K850" t="s">
        <v>4238</v>
      </c>
      <c r="L850" t="s">
        <v>4420</v>
      </c>
      <c r="M850">
        <v>10</v>
      </c>
      <c r="N850">
        <v>3</v>
      </c>
      <c r="O850" t="s">
        <v>1036</v>
      </c>
      <c r="P850" s="17"/>
      <c r="Q850" s="17" t="str">
        <f>_xlfn.XLOOKUP(Table2[[#This Row],[buyFromVendorNo]],'Next Day Scheduled'!A:A,'Pending Returns'!O:O,"NOT_FOUND")</f>
        <v>NOT_FOUND</v>
      </c>
    </row>
    <row r="851" spans="1:17" x14ac:dyDescent="0.3">
      <c r="A851" s="1">
        <v>46184</v>
      </c>
      <c r="B851" t="s">
        <v>1844</v>
      </c>
      <c r="C851" t="s">
        <v>1749</v>
      </c>
      <c r="D851" t="s">
        <v>1750</v>
      </c>
      <c r="E851" t="s">
        <v>8</v>
      </c>
      <c r="F851" t="s">
        <v>10</v>
      </c>
      <c r="G851" s="16">
        <v>9721.8559999999998</v>
      </c>
      <c r="H851" s="16">
        <v>9768.32</v>
      </c>
      <c r="I851" s="1">
        <v>46177</v>
      </c>
      <c r="J851">
        <v>75</v>
      </c>
      <c r="K851" t="s">
        <v>2112</v>
      </c>
      <c r="L851" t="s">
        <v>4536</v>
      </c>
      <c r="M851">
        <v>8</v>
      </c>
      <c r="N851">
        <v>6</v>
      </c>
      <c r="O851" t="s">
        <v>1036</v>
      </c>
      <c r="P851" s="17"/>
      <c r="Q851" s="17" t="str">
        <f>_xlfn.XLOOKUP(Table2[[#This Row],[buyFromVendorNo]],'Next Day Scheduled'!A:A,'Pending Returns'!O:O,"NOT_FOUND")</f>
        <v>NOT_FOUND</v>
      </c>
    </row>
    <row r="852" spans="1:17" x14ac:dyDescent="0.3">
      <c r="A852" s="1">
        <v>46184</v>
      </c>
      <c r="B852" t="s">
        <v>764</v>
      </c>
      <c r="C852" t="s">
        <v>325</v>
      </c>
      <c r="D852" t="s">
        <v>326</v>
      </c>
      <c r="E852" t="s">
        <v>8</v>
      </c>
      <c r="F852" t="s">
        <v>10</v>
      </c>
      <c r="G852" s="16">
        <v>754</v>
      </c>
      <c r="H852" s="16">
        <v>867.1</v>
      </c>
      <c r="I852" s="1">
        <v>46177</v>
      </c>
      <c r="J852">
        <v>75</v>
      </c>
      <c r="K852" t="s">
        <v>1984</v>
      </c>
      <c r="L852" t="s">
        <v>4502</v>
      </c>
      <c r="M852">
        <v>27</v>
      </c>
      <c r="N852">
        <v>1</v>
      </c>
      <c r="O852" t="s">
        <v>1036</v>
      </c>
      <c r="P852" s="17"/>
      <c r="Q852" s="17" t="str">
        <f>_xlfn.XLOOKUP(Table2[[#This Row],[buyFromVendorNo]],'Next Day Scheduled'!A:A,'Pending Returns'!O:O,"NOT_FOUND")</f>
        <v>Posted Credit Note</v>
      </c>
    </row>
    <row r="853" spans="1:17" x14ac:dyDescent="0.3">
      <c r="A853" s="1">
        <v>46184</v>
      </c>
      <c r="B853" t="s">
        <v>3315</v>
      </c>
      <c r="C853" t="s">
        <v>2334</v>
      </c>
      <c r="D853" t="s">
        <v>2335</v>
      </c>
      <c r="E853" t="s">
        <v>8</v>
      </c>
      <c r="F853" t="s">
        <v>10</v>
      </c>
      <c r="G853" s="16">
        <v>183.30500000000001</v>
      </c>
      <c r="H853" s="16">
        <v>210.80074999999999</v>
      </c>
      <c r="I853" s="1">
        <v>46181</v>
      </c>
      <c r="J853">
        <v>75</v>
      </c>
      <c r="K853" t="s">
        <v>3175</v>
      </c>
      <c r="L853" t="s">
        <v>4504</v>
      </c>
      <c r="M853">
        <v>12</v>
      </c>
      <c r="N853">
        <v>1</v>
      </c>
      <c r="O853" t="s">
        <v>1036</v>
      </c>
      <c r="P853" s="17"/>
      <c r="Q853" s="17" t="str">
        <f>_xlfn.XLOOKUP(Table2[[#This Row],[buyFromVendorNo]],'Next Day Scheduled'!A:A,'Pending Returns'!O:O,"NOT_FOUND")</f>
        <v>NOT_FOUND</v>
      </c>
    </row>
    <row r="854" spans="1:17" x14ac:dyDescent="0.3">
      <c r="A854" s="1">
        <v>46184</v>
      </c>
      <c r="B854" t="s">
        <v>3422</v>
      </c>
      <c r="C854" t="s">
        <v>935</v>
      </c>
      <c r="D854" t="s">
        <v>936</v>
      </c>
      <c r="E854" t="s">
        <v>8</v>
      </c>
      <c r="F854" t="s">
        <v>10</v>
      </c>
      <c r="G854" s="16">
        <v>2566</v>
      </c>
      <c r="H854" s="16">
        <v>2950.9</v>
      </c>
      <c r="I854" s="1">
        <v>46177</v>
      </c>
      <c r="J854">
        <v>75</v>
      </c>
      <c r="K854" t="s">
        <v>3423</v>
      </c>
      <c r="L854" t="s">
        <v>4521</v>
      </c>
      <c r="M854">
        <v>11</v>
      </c>
      <c r="N854">
        <v>6</v>
      </c>
      <c r="O854" t="s">
        <v>1036</v>
      </c>
      <c r="P854" s="17"/>
      <c r="Q854" s="17" t="str">
        <f>_xlfn.XLOOKUP(Table2[[#This Row],[buyFromVendorNo]],'Next Day Scheduled'!A:A,'Pending Returns'!O:O,"NOT_FOUND")</f>
        <v>NOT_FOUND</v>
      </c>
    </row>
    <row r="855" spans="1:17" x14ac:dyDescent="0.3">
      <c r="A855" s="1">
        <v>46184</v>
      </c>
      <c r="B855" t="s">
        <v>3715</v>
      </c>
      <c r="C855" t="s">
        <v>425</v>
      </c>
      <c r="D855" t="s">
        <v>426</v>
      </c>
      <c r="E855" t="s">
        <v>8</v>
      </c>
      <c r="F855" t="s">
        <v>169</v>
      </c>
      <c r="G855" s="16">
        <v>2074.3083000000001</v>
      </c>
      <c r="H855" s="16">
        <v>2385.4546</v>
      </c>
      <c r="I855" s="1">
        <v>46176</v>
      </c>
      <c r="J855">
        <v>75</v>
      </c>
      <c r="K855" t="s">
        <v>3731</v>
      </c>
      <c r="L855" t="s">
        <v>4505</v>
      </c>
      <c r="M855">
        <v>9</v>
      </c>
      <c r="N855">
        <v>10</v>
      </c>
      <c r="O855" t="s">
        <v>1036</v>
      </c>
      <c r="P855" s="17"/>
      <c r="Q855" s="17" t="str">
        <f>_xlfn.XLOOKUP(Table2[[#This Row],[buyFromVendorNo]],'Next Day Scheduled'!A:A,'Pending Returns'!O:O,"NOT_FOUND")</f>
        <v>Posted Credit Note</v>
      </c>
    </row>
    <row r="856" spans="1:17" x14ac:dyDescent="0.3">
      <c r="A856" s="1">
        <v>46184</v>
      </c>
      <c r="B856" t="s">
        <v>4096</v>
      </c>
      <c r="C856" t="s">
        <v>65</v>
      </c>
      <c r="D856" t="s">
        <v>66</v>
      </c>
      <c r="E856" t="s">
        <v>8</v>
      </c>
      <c r="F856" t="s">
        <v>10</v>
      </c>
      <c r="G856" s="16">
        <v>4159.7007000000003</v>
      </c>
      <c r="H856" s="16">
        <v>4783.6559999999999</v>
      </c>
      <c r="I856" s="1">
        <v>46183</v>
      </c>
      <c r="J856">
        <v>75</v>
      </c>
      <c r="K856" t="s">
        <v>4097</v>
      </c>
      <c r="L856" t="s">
        <v>4538</v>
      </c>
      <c r="M856">
        <v>25</v>
      </c>
      <c r="N856">
        <v>5</v>
      </c>
      <c r="O856" t="s">
        <v>1036</v>
      </c>
      <c r="P856" s="17"/>
      <c r="Q856" s="17" t="str">
        <f>_xlfn.XLOOKUP(Table2[[#This Row],[buyFromVendorNo]],'Next Day Scheduled'!A:A,'Pending Returns'!O:O,"NOT_FOUND")</f>
        <v>Posted Credit Note</v>
      </c>
    </row>
    <row r="857" spans="1:17" x14ac:dyDescent="0.3">
      <c r="A857" s="1">
        <v>46184</v>
      </c>
      <c r="B857" t="s">
        <v>2885</v>
      </c>
      <c r="C857" t="s">
        <v>935</v>
      </c>
      <c r="D857" t="s">
        <v>936</v>
      </c>
      <c r="E857" t="s">
        <v>8</v>
      </c>
      <c r="F857" t="s">
        <v>10</v>
      </c>
      <c r="G857" s="16">
        <v>1422</v>
      </c>
      <c r="H857" s="16">
        <v>1635.3</v>
      </c>
      <c r="I857" s="1">
        <v>46177</v>
      </c>
      <c r="J857">
        <v>75</v>
      </c>
      <c r="K857" t="s">
        <v>2886</v>
      </c>
      <c r="L857" t="s">
        <v>4524</v>
      </c>
      <c r="M857">
        <v>11</v>
      </c>
      <c r="N857">
        <v>6</v>
      </c>
      <c r="O857" t="s">
        <v>1036</v>
      </c>
      <c r="P857" s="17"/>
      <c r="Q857" s="17" t="str">
        <f>_xlfn.XLOOKUP(Table2[[#This Row],[buyFromVendorNo]],'Next Day Scheduled'!A:A,'Pending Returns'!O:O,"NOT_FOUND")</f>
        <v>NOT_FOUND</v>
      </c>
    </row>
    <row r="858" spans="1:17" x14ac:dyDescent="0.3">
      <c r="A858" s="1">
        <v>46184</v>
      </c>
      <c r="B858" t="s">
        <v>3291</v>
      </c>
      <c r="C858" t="s">
        <v>318</v>
      </c>
      <c r="D858" t="s">
        <v>319</v>
      </c>
      <c r="E858" t="s">
        <v>8</v>
      </c>
      <c r="F858" t="s">
        <v>10</v>
      </c>
      <c r="G858" s="16">
        <v>840.73334</v>
      </c>
      <c r="H858" s="16">
        <v>966.8433</v>
      </c>
      <c r="I858" s="1">
        <v>46176</v>
      </c>
      <c r="J858">
        <v>75</v>
      </c>
      <c r="K858" t="s">
        <v>3521</v>
      </c>
      <c r="L858" t="s">
        <v>4483</v>
      </c>
      <c r="M858">
        <v>11</v>
      </c>
      <c r="N858">
        <v>2</v>
      </c>
      <c r="O858" t="s">
        <v>1036</v>
      </c>
      <c r="P858" s="17"/>
      <c r="Q858" s="17" t="str">
        <f>_xlfn.XLOOKUP(Table2[[#This Row],[buyFromVendorNo]],'Next Day Scheduled'!A:A,'Pending Returns'!O:O,"NOT_FOUND")</f>
        <v>NOT_FOUND</v>
      </c>
    </row>
    <row r="859" spans="1:17" x14ac:dyDescent="0.3">
      <c r="A859" s="1">
        <v>46184</v>
      </c>
      <c r="B859" t="s">
        <v>3787</v>
      </c>
      <c r="C859" t="s">
        <v>2604</v>
      </c>
      <c r="D859" t="s">
        <v>2605</v>
      </c>
      <c r="E859" t="s">
        <v>8</v>
      </c>
      <c r="F859" t="s">
        <v>10</v>
      </c>
      <c r="G859" s="16">
        <v>41.52</v>
      </c>
      <c r="H859" s="16">
        <v>47.747999999999998</v>
      </c>
      <c r="I859" s="1">
        <v>46184</v>
      </c>
      <c r="J859">
        <v>75</v>
      </c>
      <c r="K859" t="s">
        <v>3788</v>
      </c>
      <c r="L859" t="s">
        <v>4528</v>
      </c>
      <c r="M859">
        <v>1</v>
      </c>
      <c r="N859">
        <v>26</v>
      </c>
      <c r="O859" t="s">
        <v>1036</v>
      </c>
      <c r="P859" s="17"/>
      <c r="Q859" s="17" t="str">
        <f>_xlfn.XLOOKUP(Table2[[#This Row],[buyFromVendorNo]],'Next Day Scheduled'!A:A,'Pending Returns'!O:O,"NOT_FOUND")</f>
        <v>NOT_FOUND</v>
      </c>
    </row>
    <row r="860" spans="1:17" x14ac:dyDescent="0.3">
      <c r="A860" s="1">
        <v>46184</v>
      </c>
      <c r="B860" t="s">
        <v>3705</v>
      </c>
      <c r="C860" t="s">
        <v>972</v>
      </c>
      <c r="D860" t="s">
        <v>973</v>
      </c>
      <c r="E860" t="s">
        <v>8</v>
      </c>
      <c r="F860" t="s">
        <v>10</v>
      </c>
      <c r="G860" s="16">
        <v>3263.4512</v>
      </c>
      <c r="H860" s="16">
        <v>3752.9688000000001</v>
      </c>
      <c r="I860" s="1">
        <v>46184</v>
      </c>
      <c r="J860">
        <v>75</v>
      </c>
      <c r="K860" t="s">
        <v>3640</v>
      </c>
      <c r="L860" t="s">
        <v>4533</v>
      </c>
      <c r="M860">
        <v>11</v>
      </c>
      <c r="N860">
        <v>5</v>
      </c>
      <c r="O860" t="s">
        <v>1036</v>
      </c>
      <c r="P860" s="17"/>
      <c r="Q860" s="17" t="str">
        <f>_xlfn.XLOOKUP(Table2[[#This Row],[buyFromVendorNo]],'Next Day Scheduled'!A:A,'Pending Returns'!O:O,"NOT_FOUND")</f>
        <v>Posted Credit Note</v>
      </c>
    </row>
    <row r="861" spans="1:17" x14ac:dyDescent="0.3">
      <c r="A861" s="1">
        <v>46184</v>
      </c>
      <c r="B861" t="s">
        <v>3026</v>
      </c>
      <c r="C861" t="s">
        <v>935</v>
      </c>
      <c r="D861" t="s">
        <v>936</v>
      </c>
      <c r="E861" t="s">
        <v>8</v>
      </c>
      <c r="F861" t="s">
        <v>10</v>
      </c>
      <c r="G861" s="16">
        <v>1896</v>
      </c>
      <c r="H861" s="16">
        <v>2180.4</v>
      </c>
      <c r="I861" s="1">
        <v>46177</v>
      </c>
      <c r="J861">
        <v>75</v>
      </c>
      <c r="K861" t="s">
        <v>3027</v>
      </c>
      <c r="L861" t="s">
        <v>4534</v>
      </c>
      <c r="M861">
        <v>11</v>
      </c>
      <c r="N861">
        <v>6</v>
      </c>
      <c r="O861" t="s">
        <v>1036</v>
      </c>
      <c r="P861" s="17"/>
      <c r="Q861" s="17" t="str">
        <f>_xlfn.XLOOKUP(Table2[[#This Row],[buyFromVendorNo]],'Next Day Scheduled'!A:A,'Pending Returns'!O:O,"NOT_FOUND")</f>
        <v>NOT_FOUND</v>
      </c>
    </row>
    <row r="862" spans="1:17" x14ac:dyDescent="0.3">
      <c r="A862" s="1">
        <v>46184</v>
      </c>
      <c r="B862" t="s">
        <v>834</v>
      </c>
      <c r="C862" t="s">
        <v>329</v>
      </c>
      <c r="D862" t="s">
        <v>320</v>
      </c>
      <c r="E862" t="s">
        <v>8</v>
      </c>
      <c r="F862" t="s">
        <v>38</v>
      </c>
      <c r="G862" s="16">
        <v>7587</v>
      </c>
      <c r="H862" s="16">
        <v>8725.0499999999993</v>
      </c>
      <c r="I862" s="1">
        <v>46180</v>
      </c>
      <c r="J862">
        <v>75</v>
      </c>
      <c r="K862" t="s">
        <v>383</v>
      </c>
      <c r="L862" t="s">
        <v>4519</v>
      </c>
      <c r="M862">
        <v>8</v>
      </c>
      <c r="N862">
        <v>2</v>
      </c>
      <c r="O862" t="s">
        <v>1036</v>
      </c>
      <c r="P862" s="17"/>
      <c r="Q862" s="17" t="str">
        <f>_xlfn.XLOOKUP(Table2[[#This Row],[buyFromVendorNo]],'Next Day Scheduled'!A:A,'Pending Returns'!O:O,"NOT_FOUND")</f>
        <v>NOT_FOUND</v>
      </c>
    </row>
    <row r="863" spans="1:17" x14ac:dyDescent="0.3">
      <c r="A863" s="1">
        <v>46184</v>
      </c>
      <c r="B863" t="s">
        <v>3692</v>
      </c>
      <c r="C863" t="s">
        <v>2250</v>
      </c>
      <c r="D863" t="s">
        <v>2251</v>
      </c>
      <c r="E863" t="s">
        <v>8</v>
      </c>
      <c r="F863" t="s">
        <v>10</v>
      </c>
      <c r="G863" s="16">
        <v>746.15</v>
      </c>
      <c r="H863" s="16">
        <v>858.07249999999999</v>
      </c>
      <c r="I863" s="1">
        <v>46184</v>
      </c>
      <c r="J863">
        <v>75</v>
      </c>
      <c r="K863" t="s">
        <v>3644</v>
      </c>
      <c r="L863" t="s">
        <v>4491</v>
      </c>
      <c r="M863">
        <v>11</v>
      </c>
      <c r="N863">
        <v>5</v>
      </c>
      <c r="O863" t="s">
        <v>1036</v>
      </c>
      <c r="P863" s="17"/>
      <c r="Q863" s="17" t="str">
        <f>_xlfn.XLOOKUP(Table2[[#This Row],[buyFromVendorNo]],'Next Day Scheduled'!A:A,'Pending Returns'!O:O,"NOT_FOUND")</f>
        <v>NOT_FOUND</v>
      </c>
    </row>
    <row r="864" spans="1:17" x14ac:dyDescent="0.3">
      <c r="A864" s="1">
        <v>46184</v>
      </c>
      <c r="B864" t="s">
        <v>2619</v>
      </c>
      <c r="C864" t="s">
        <v>65</v>
      </c>
      <c r="D864" t="s">
        <v>66</v>
      </c>
      <c r="E864" t="s">
        <v>8</v>
      </c>
      <c r="F864" t="s">
        <v>10</v>
      </c>
      <c r="G864" s="16">
        <v>3644.7080000000001</v>
      </c>
      <c r="H864" s="16">
        <v>4191.4139999999998</v>
      </c>
      <c r="I864" s="1">
        <v>46183</v>
      </c>
      <c r="J864">
        <v>75</v>
      </c>
      <c r="K864" t="s">
        <v>3545</v>
      </c>
      <c r="L864" t="s">
        <v>4492</v>
      </c>
      <c r="M864">
        <v>25</v>
      </c>
      <c r="N864">
        <v>5</v>
      </c>
      <c r="O864" t="s">
        <v>1036</v>
      </c>
      <c r="P864" s="17"/>
      <c r="Q864" s="17" t="str">
        <f>_xlfn.XLOOKUP(Table2[[#This Row],[buyFromVendorNo]],'Next Day Scheduled'!A:A,'Pending Returns'!O:O,"NOT_FOUND")</f>
        <v>Posted Credit Note</v>
      </c>
    </row>
    <row r="865" spans="1:17" x14ac:dyDescent="0.3">
      <c r="A865" s="1">
        <v>46184</v>
      </c>
      <c r="B865" t="s">
        <v>999</v>
      </c>
      <c r="C865" t="s">
        <v>2955</v>
      </c>
      <c r="D865" t="s">
        <v>2956</v>
      </c>
      <c r="E865" t="s">
        <v>8</v>
      </c>
      <c r="F865" t="s">
        <v>10</v>
      </c>
      <c r="G865" s="16">
        <v>10263.69</v>
      </c>
      <c r="H865" s="16">
        <v>11803.243</v>
      </c>
      <c r="I865" s="1">
        <v>46184</v>
      </c>
      <c r="J865">
        <v>75</v>
      </c>
      <c r="K865" t="s">
        <v>4493</v>
      </c>
      <c r="L865" t="s">
        <v>4494</v>
      </c>
      <c r="M865">
        <v>8</v>
      </c>
      <c r="N865">
        <v>1</v>
      </c>
      <c r="O865" t="s">
        <v>1036</v>
      </c>
      <c r="P865" s="17"/>
      <c r="Q865" s="17" t="str">
        <f>_xlfn.XLOOKUP(Table2[[#This Row],[buyFromVendorNo]],'Next Day Scheduled'!A:A,'Pending Returns'!O:O,"NOT_FOUND")</f>
        <v>NOT_FOUND</v>
      </c>
    </row>
    <row r="866" spans="1:17" x14ac:dyDescent="0.3">
      <c r="A866" s="1">
        <v>46184</v>
      </c>
      <c r="B866" t="s">
        <v>3296</v>
      </c>
      <c r="C866" t="s">
        <v>858</v>
      </c>
      <c r="D866" t="s">
        <v>2336</v>
      </c>
      <c r="E866" t="s">
        <v>8</v>
      </c>
      <c r="F866" t="s">
        <v>10</v>
      </c>
      <c r="G866" s="16">
        <v>7053.5280000000002</v>
      </c>
      <c r="H866" s="16">
        <v>8111.5569999999998</v>
      </c>
      <c r="I866" s="1">
        <v>46181</v>
      </c>
      <c r="J866">
        <v>75</v>
      </c>
      <c r="K866" t="s">
        <v>3081</v>
      </c>
      <c r="L866" t="s">
        <v>4527</v>
      </c>
      <c r="M866">
        <v>8</v>
      </c>
      <c r="N866">
        <v>1</v>
      </c>
      <c r="O866" t="s">
        <v>1036</v>
      </c>
      <c r="P866" s="17"/>
      <c r="Q866" s="17" t="str">
        <f>_xlfn.XLOOKUP(Table2[[#This Row],[buyFromVendorNo]],'Next Day Scheduled'!A:A,'Pending Returns'!O:O,"NOT_FOUND")</f>
        <v>NOT_FOUND</v>
      </c>
    </row>
    <row r="867" spans="1:17" x14ac:dyDescent="0.3">
      <c r="A867" s="1">
        <v>46184</v>
      </c>
      <c r="B867" t="s">
        <v>315</v>
      </c>
      <c r="C867" t="s">
        <v>919</v>
      </c>
      <c r="D867" t="s">
        <v>920</v>
      </c>
      <c r="E867" t="s">
        <v>8</v>
      </c>
      <c r="F867" t="s">
        <v>10</v>
      </c>
      <c r="G867" s="16">
        <v>703.70447000000001</v>
      </c>
      <c r="H867" s="16">
        <v>809.26013</v>
      </c>
      <c r="J867">
        <v>75</v>
      </c>
      <c r="K867" t="s">
        <v>4482</v>
      </c>
      <c r="M867">
        <v>2</v>
      </c>
      <c r="N867">
        <v>56</v>
      </c>
      <c r="O867" t="s">
        <v>216</v>
      </c>
      <c r="P867" s="17"/>
      <c r="Q867" s="17" t="str">
        <f>_xlfn.XLOOKUP(Table2[[#This Row],[buyFromVendorNo]],'Next Day Scheduled'!A:A,'Pending Returns'!O:O,"NOT_FOUND")</f>
        <v>NOT_FOUND</v>
      </c>
    </row>
    <row r="868" spans="1:17" x14ac:dyDescent="0.3">
      <c r="A868" s="1">
        <v>46184</v>
      </c>
      <c r="B868" t="s">
        <v>2165</v>
      </c>
      <c r="C868" t="s">
        <v>2166</v>
      </c>
      <c r="D868" t="s">
        <v>2167</v>
      </c>
      <c r="E868" t="s">
        <v>8</v>
      </c>
      <c r="F868" t="s">
        <v>10</v>
      </c>
      <c r="G868" s="16">
        <v>21445.125</v>
      </c>
      <c r="H868" s="16">
        <v>24661.893</v>
      </c>
      <c r="I868" s="1">
        <v>46180</v>
      </c>
      <c r="J868">
        <v>75</v>
      </c>
      <c r="K868" t="s">
        <v>2168</v>
      </c>
      <c r="L868" t="s">
        <v>4516</v>
      </c>
      <c r="M868">
        <v>6</v>
      </c>
      <c r="N868">
        <v>8</v>
      </c>
      <c r="O868" t="s">
        <v>1036</v>
      </c>
      <c r="P868" s="17"/>
      <c r="Q868" s="17" t="str">
        <f>_xlfn.XLOOKUP(Table2[[#This Row],[buyFromVendorNo]],'Next Day Scheduled'!A:A,'Pending Returns'!O:O,"NOT_FOUND")</f>
        <v>NOT_FOUND</v>
      </c>
    </row>
    <row r="869" spans="1:17" x14ac:dyDescent="0.3">
      <c r="A869" s="1">
        <v>46184</v>
      </c>
      <c r="B869" t="s">
        <v>2429</v>
      </c>
      <c r="C869" t="s">
        <v>65</v>
      </c>
      <c r="D869" t="s">
        <v>66</v>
      </c>
      <c r="E869" t="s">
        <v>8</v>
      </c>
      <c r="F869" t="s">
        <v>10</v>
      </c>
      <c r="G869" s="16">
        <v>4953.6419999999998</v>
      </c>
      <c r="H869" s="16">
        <v>5696.6885000000002</v>
      </c>
      <c r="I869" s="1">
        <v>46183</v>
      </c>
      <c r="J869">
        <v>75</v>
      </c>
      <c r="K869" t="s">
        <v>3844</v>
      </c>
      <c r="L869" t="s">
        <v>4518</v>
      </c>
      <c r="M869">
        <v>25</v>
      </c>
      <c r="N869">
        <v>5</v>
      </c>
      <c r="O869" t="s">
        <v>1036</v>
      </c>
      <c r="P869" s="17"/>
      <c r="Q869" s="17" t="str">
        <f>_xlfn.XLOOKUP(Table2[[#This Row],[buyFromVendorNo]],'Next Day Scheduled'!A:A,'Pending Returns'!O:O,"NOT_FOUND")</f>
        <v>Posted Credit Note</v>
      </c>
    </row>
    <row r="870" spans="1:17" x14ac:dyDescent="0.3">
      <c r="A870" s="1">
        <v>46184</v>
      </c>
      <c r="B870" t="s">
        <v>2716</v>
      </c>
      <c r="C870" t="s">
        <v>1222</v>
      </c>
      <c r="D870" t="s">
        <v>1223</v>
      </c>
      <c r="E870" t="s">
        <v>8</v>
      </c>
      <c r="F870" t="s">
        <v>10</v>
      </c>
      <c r="G870" s="16">
        <v>414</v>
      </c>
      <c r="H870" s="16">
        <v>476.1</v>
      </c>
      <c r="I870" s="1">
        <v>46184</v>
      </c>
      <c r="J870">
        <v>75</v>
      </c>
      <c r="K870" t="s">
        <v>4230</v>
      </c>
      <c r="L870" t="s">
        <v>4501</v>
      </c>
      <c r="M870">
        <v>11</v>
      </c>
      <c r="N870">
        <v>3</v>
      </c>
      <c r="O870" t="s">
        <v>1036</v>
      </c>
      <c r="P870" s="17"/>
      <c r="Q870" s="17" t="str">
        <f>_xlfn.XLOOKUP(Table2[[#This Row],[buyFromVendorNo]],'Next Day Scheduled'!A:A,'Pending Returns'!O:O,"NOT_FOUND")</f>
        <v>NOT_FOUND</v>
      </c>
    </row>
    <row r="871" spans="1:17" x14ac:dyDescent="0.3">
      <c r="A871" s="1">
        <v>46184</v>
      </c>
      <c r="B871" t="s">
        <v>3772</v>
      </c>
      <c r="C871" t="s">
        <v>972</v>
      </c>
      <c r="D871" t="s">
        <v>973</v>
      </c>
      <c r="E871" t="s">
        <v>8</v>
      </c>
      <c r="F871" t="s">
        <v>10</v>
      </c>
      <c r="G871" s="16">
        <v>363.47109999999998</v>
      </c>
      <c r="H871" s="16">
        <v>417.99176</v>
      </c>
      <c r="I871" s="1">
        <v>46184</v>
      </c>
      <c r="J871">
        <v>75</v>
      </c>
      <c r="K871" t="s">
        <v>4259</v>
      </c>
      <c r="L871" t="s">
        <v>4520</v>
      </c>
      <c r="M871">
        <v>11</v>
      </c>
      <c r="N871">
        <v>5</v>
      </c>
      <c r="O871" t="s">
        <v>1036</v>
      </c>
      <c r="P871" s="17"/>
      <c r="Q871" s="17" t="str">
        <f>_xlfn.XLOOKUP(Table2[[#This Row],[buyFromVendorNo]],'Next Day Scheduled'!A:A,'Pending Returns'!O:O,"NOT_FOUND")</f>
        <v>Posted Credit Note</v>
      </c>
    </row>
    <row r="872" spans="1:17" x14ac:dyDescent="0.3">
      <c r="A872" s="1">
        <v>46184</v>
      </c>
      <c r="B872" t="s">
        <v>3355</v>
      </c>
      <c r="C872" t="s">
        <v>1749</v>
      </c>
      <c r="D872" t="s">
        <v>1750</v>
      </c>
      <c r="E872" t="s">
        <v>8</v>
      </c>
      <c r="F872" t="s">
        <v>10</v>
      </c>
      <c r="G872" s="16">
        <v>2750.2</v>
      </c>
      <c r="H872" s="16">
        <v>2796.28</v>
      </c>
      <c r="I872" s="1">
        <v>46177</v>
      </c>
      <c r="J872">
        <v>75</v>
      </c>
      <c r="K872" t="s">
        <v>3188</v>
      </c>
      <c r="L872" t="s">
        <v>4481</v>
      </c>
      <c r="M872">
        <v>8</v>
      </c>
      <c r="N872">
        <v>6</v>
      </c>
      <c r="O872" t="s">
        <v>1036</v>
      </c>
      <c r="P872" s="17"/>
      <c r="Q872" s="17" t="str">
        <f>_xlfn.XLOOKUP(Table2[[#This Row],[buyFromVendorNo]],'Next Day Scheduled'!A:A,'Pending Returns'!O:O,"NOT_FOUND")</f>
        <v>NOT_FOUND</v>
      </c>
    </row>
    <row r="873" spans="1:17" x14ac:dyDescent="0.3">
      <c r="A873" s="1">
        <v>46184</v>
      </c>
      <c r="B873" t="s">
        <v>2685</v>
      </c>
      <c r="C873" t="s">
        <v>201</v>
      </c>
      <c r="D873" t="s">
        <v>202</v>
      </c>
      <c r="E873" t="s">
        <v>8</v>
      </c>
      <c r="F873" t="s">
        <v>10</v>
      </c>
      <c r="G873" s="16">
        <v>3800.9672999999998</v>
      </c>
      <c r="H873" s="16">
        <v>4371.1122999999998</v>
      </c>
      <c r="I873" s="1">
        <v>46181</v>
      </c>
      <c r="J873">
        <v>75</v>
      </c>
      <c r="K873" t="s">
        <v>2686</v>
      </c>
      <c r="L873" t="s">
        <v>4506</v>
      </c>
      <c r="M873">
        <v>10</v>
      </c>
      <c r="N873">
        <v>1</v>
      </c>
      <c r="O873" t="s">
        <v>1036</v>
      </c>
      <c r="P873" s="17"/>
      <c r="Q873" s="17" t="str">
        <f>_xlfn.XLOOKUP(Table2[[#This Row],[buyFromVendorNo]],'Next Day Scheduled'!A:A,'Pending Returns'!O:O,"NOT_FOUND")</f>
        <v>Pending for Collection</v>
      </c>
    </row>
    <row r="874" spans="1:17" x14ac:dyDescent="0.3">
      <c r="A874" s="1">
        <v>46184</v>
      </c>
      <c r="B874" t="s">
        <v>3441</v>
      </c>
      <c r="C874" t="s">
        <v>2304</v>
      </c>
      <c r="D874" t="s">
        <v>2305</v>
      </c>
      <c r="E874" t="s">
        <v>8</v>
      </c>
      <c r="F874" t="s">
        <v>10</v>
      </c>
      <c r="G874" s="16">
        <v>469.75366000000002</v>
      </c>
      <c r="H874" s="16">
        <v>540.21673999999996</v>
      </c>
      <c r="I874" s="1">
        <v>46177</v>
      </c>
      <c r="J874">
        <v>75</v>
      </c>
      <c r="K874" t="s">
        <v>3238</v>
      </c>
      <c r="L874" t="s">
        <v>4525</v>
      </c>
      <c r="M874">
        <v>7</v>
      </c>
      <c r="N874">
        <v>14</v>
      </c>
      <c r="O874" t="s">
        <v>1036</v>
      </c>
      <c r="P874" s="17"/>
      <c r="Q874" s="17" t="str">
        <f>_xlfn.XLOOKUP(Table2[[#This Row],[buyFromVendorNo]],'Next Day Scheduled'!A:A,'Pending Returns'!O:O,"NOT_FOUND")</f>
        <v>NOT_FOUND</v>
      </c>
    </row>
    <row r="875" spans="1:17" x14ac:dyDescent="0.3">
      <c r="A875" s="1">
        <v>46184</v>
      </c>
      <c r="B875" t="s">
        <v>2203</v>
      </c>
      <c r="C875" t="s">
        <v>935</v>
      </c>
      <c r="D875" t="s">
        <v>936</v>
      </c>
      <c r="E875" t="s">
        <v>8</v>
      </c>
      <c r="F875" t="s">
        <v>10</v>
      </c>
      <c r="G875" s="16">
        <v>2160</v>
      </c>
      <c r="H875" s="16">
        <v>2484</v>
      </c>
      <c r="I875" s="1">
        <v>46177</v>
      </c>
      <c r="J875">
        <v>75</v>
      </c>
      <c r="K875" t="s">
        <v>2699</v>
      </c>
      <c r="L875" t="s">
        <v>4508</v>
      </c>
      <c r="M875">
        <v>11</v>
      </c>
      <c r="N875">
        <v>6</v>
      </c>
      <c r="O875" t="s">
        <v>1036</v>
      </c>
      <c r="P875" s="17"/>
      <c r="Q875" s="17" t="str">
        <f>_xlfn.XLOOKUP(Table2[[#This Row],[buyFromVendorNo]],'Next Day Scheduled'!A:A,'Pending Returns'!O:O,"NOT_FOUND")</f>
        <v>NOT_FOUND</v>
      </c>
    </row>
    <row r="876" spans="1:17" x14ac:dyDescent="0.3">
      <c r="A876" s="1">
        <v>46184</v>
      </c>
      <c r="B876" t="s">
        <v>2796</v>
      </c>
      <c r="C876" t="s">
        <v>2166</v>
      </c>
      <c r="D876" t="s">
        <v>2167</v>
      </c>
      <c r="E876" t="s">
        <v>8</v>
      </c>
      <c r="F876" t="s">
        <v>10</v>
      </c>
      <c r="G876" s="16">
        <v>1148.7083</v>
      </c>
      <c r="H876" s="16">
        <v>1321.0144</v>
      </c>
      <c r="I876" s="1">
        <v>46180</v>
      </c>
      <c r="J876">
        <v>75</v>
      </c>
      <c r="K876" t="s">
        <v>2797</v>
      </c>
      <c r="L876" t="s">
        <v>4509</v>
      </c>
      <c r="M876">
        <v>6</v>
      </c>
      <c r="N876">
        <v>8</v>
      </c>
      <c r="O876" t="s">
        <v>1036</v>
      </c>
      <c r="P876" s="17"/>
      <c r="Q876" s="17" t="str">
        <f>_xlfn.XLOOKUP(Table2[[#This Row],[buyFromVendorNo]],'Next Day Scheduled'!A:A,'Pending Returns'!O:O,"NOT_FOUND")</f>
        <v>NOT_FOUND</v>
      </c>
    </row>
    <row r="877" spans="1:17" x14ac:dyDescent="0.3">
      <c r="A877" s="1">
        <v>46184</v>
      </c>
      <c r="B877" t="s">
        <v>642</v>
      </c>
      <c r="C877" t="s">
        <v>57</v>
      </c>
      <c r="D877" t="s">
        <v>58</v>
      </c>
      <c r="E877" t="s">
        <v>8</v>
      </c>
      <c r="F877" t="s">
        <v>38</v>
      </c>
      <c r="G877" s="16">
        <v>470</v>
      </c>
      <c r="H877" s="16">
        <v>540.5</v>
      </c>
      <c r="I877" s="1">
        <v>46181</v>
      </c>
      <c r="J877">
        <v>75</v>
      </c>
      <c r="K877" t="s">
        <v>2068</v>
      </c>
      <c r="L877" t="s">
        <v>4541</v>
      </c>
      <c r="M877">
        <v>0</v>
      </c>
      <c r="N877">
        <v>191</v>
      </c>
      <c r="O877" t="s">
        <v>1036</v>
      </c>
      <c r="P877" s="17"/>
      <c r="Q877" s="17" t="str">
        <f>_xlfn.XLOOKUP(Table2[[#This Row],[buyFromVendorNo]],'Next Day Scheduled'!A:A,'Pending Returns'!O:O,"NOT_FOUND")</f>
        <v>Posted Credit Note</v>
      </c>
    </row>
    <row r="878" spans="1:17" x14ac:dyDescent="0.3">
      <c r="A878" s="1">
        <v>46184</v>
      </c>
      <c r="B878" t="s">
        <v>2909</v>
      </c>
      <c r="C878" t="s">
        <v>2334</v>
      </c>
      <c r="D878" t="s">
        <v>2335</v>
      </c>
      <c r="E878" t="s">
        <v>8</v>
      </c>
      <c r="F878" t="s">
        <v>10</v>
      </c>
      <c r="G878" s="16">
        <v>1132.925</v>
      </c>
      <c r="H878" s="16">
        <v>1302.8638000000001</v>
      </c>
      <c r="I878" s="1">
        <v>46181</v>
      </c>
      <c r="J878">
        <v>75</v>
      </c>
      <c r="K878" t="s">
        <v>2910</v>
      </c>
      <c r="L878" t="s">
        <v>4544</v>
      </c>
      <c r="M878">
        <v>12</v>
      </c>
      <c r="N878">
        <v>1</v>
      </c>
      <c r="O878" t="s">
        <v>1036</v>
      </c>
      <c r="P878" s="17"/>
      <c r="Q878" s="17" t="str">
        <f>_xlfn.XLOOKUP(Table2[[#This Row],[buyFromVendorNo]],'Next Day Scheduled'!A:A,'Pending Returns'!O:O,"NOT_FOUND")</f>
        <v>NOT_FOUND</v>
      </c>
    </row>
    <row r="879" spans="1:17" x14ac:dyDescent="0.3">
      <c r="A879" s="1">
        <v>46184</v>
      </c>
      <c r="B879" t="s">
        <v>224</v>
      </c>
      <c r="C879" t="s">
        <v>71</v>
      </c>
      <c r="D879" t="s">
        <v>72</v>
      </c>
      <c r="E879" t="s">
        <v>8</v>
      </c>
      <c r="F879" t="s">
        <v>38</v>
      </c>
      <c r="G879" s="16">
        <v>4478.3999999999996</v>
      </c>
      <c r="H879" s="16">
        <v>5150.16</v>
      </c>
      <c r="I879" s="1">
        <v>46183</v>
      </c>
      <c r="J879">
        <v>75</v>
      </c>
      <c r="K879" t="s">
        <v>2199</v>
      </c>
      <c r="L879" t="s">
        <v>4511</v>
      </c>
      <c r="M879">
        <v>13</v>
      </c>
      <c r="N879">
        <v>7</v>
      </c>
      <c r="O879" t="s">
        <v>1036</v>
      </c>
      <c r="P879" s="17"/>
      <c r="Q879" s="17" t="str">
        <f>_xlfn.XLOOKUP(Table2[[#This Row],[buyFromVendorNo]],'Next Day Scheduled'!A:A,'Pending Returns'!O:O,"NOT_FOUND")</f>
        <v>Posted Credit Note</v>
      </c>
    </row>
    <row r="880" spans="1:17" x14ac:dyDescent="0.3">
      <c r="A880" s="1">
        <v>46184</v>
      </c>
      <c r="B880" t="s">
        <v>515</v>
      </c>
      <c r="C880" t="s">
        <v>2166</v>
      </c>
      <c r="D880" t="s">
        <v>2167</v>
      </c>
      <c r="E880" t="s">
        <v>8</v>
      </c>
      <c r="F880" t="s">
        <v>10</v>
      </c>
      <c r="G880" s="16">
        <v>114</v>
      </c>
      <c r="H880" s="16">
        <v>131.1</v>
      </c>
      <c r="I880" s="1">
        <v>46180</v>
      </c>
      <c r="J880">
        <v>75</v>
      </c>
      <c r="K880" t="s">
        <v>3638</v>
      </c>
      <c r="L880" t="s">
        <v>4540</v>
      </c>
      <c r="M880">
        <v>6</v>
      </c>
      <c r="N880">
        <v>8</v>
      </c>
      <c r="O880" t="s">
        <v>1036</v>
      </c>
      <c r="P880" s="17"/>
      <c r="Q880" s="17" t="str">
        <f>_xlfn.XLOOKUP(Table2[[#This Row],[buyFromVendorNo]],'Next Day Scheduled'!A:A,'Pending Returns'!O:O,"NOT_FOUND")</f>
        <v>NOT_FOUND</v>
      </c>
    </row>
    <row r="881" spans="1:17" x14ac:dyDescent="0.3">
      <c r="A881" s="1">
        <v>46184</v>
      </c>
      <c r="B881" t="s">
        <v>1357</v>
      </c>
      <c r="C881" t="s">
        <v>972</v>
      </c>
      <c r="D881" t="s">
        <v>973</v>
      </c>
      <c r="E881" t="s">
        <v>8</v>
      </c>
      <c r="F881" t="s">
        <v>10</v>
      </c>
      <c r="G881" s="16">
        <v>7725.43</v>
      </c>
      <c r="H881" s="16">
        <v>8884.2440000000006</v>
      </c>
      <c r="I881" s="1">
        <v>46184</v>
      </c>
      <c r="J881">
        <v>75</v>
      </c>
      <c r="K881" t="s">
        <v>2187</v>
      </c>
      <c r="L881" t="s">
        <v>4507</v>
      </c>
      <c r="M881">
        <v>11</v>
      </c>
      <c r="N881">
        <v>5</v>
      </c>
      <c r="O881" t="s">
        <v>1036</v>
      </c>
      <c r="P881" s="17"/>
      <c r="Q881" s="17" t="str">
        <f>_xlfn.XLOOKUP(Table2[[#This Row],[buyFromVendorNo]],'Next Day Scheduled'!A:A,'Pending Returns'!O:O,"NOT_FOUND")</f>
        <v>Posted Credit Note</v>
      </c>
    </row>
    <row r="882" spans="1:17" x14ac:dyDescent="0.3">
      <c r="A882" s="1">
        <v>46184</v>
      </c>
      <c r="B882" t="s">
        <v>234</v>
      </c>
      <c r="C882" t="s">
        <v>65</v>
      </c>
      <c r="D882" t="s">
        <v>66</v>
      </c>
      <c r="E882" t="s">
        <v>8</v>
      </c>
      <c r="F882" t="s">
        <v>10</v>
      </c>
      <c r="G882" s="16">
        <v>4597.1553000000004</v>
      </c>
      <c r="H882" s="16">
        <v>5286.7285000000002</v>
      </c>
      <c r="I882" s="1">
        <v>46183</v>
      </c>
      <c r="J882">
        <v>75</v>
      </c>
      <c r="K882" t="s">
        <v>4285</v>
      </c>
      <c r="L882" t="s">
        <v>4484</v>
      </c>
      <c r="M882">
        <v>25</v>
      </c>
      <c r="N882">
        <v>5</v>
      </c>
      <c r="O882" t="s">
        <v>1036</v>
      </c>
      <c r="P882" s="17"/>
      <c r="Q882" s="17" t="str">
        <f>_xlfn.XLOOKUP(Table2[[#This Row],[buyFromVendorNo]],'Next Day Scheduled'!A:A,'Pending Returns'!O:O,"NOT_FOUND")</f>
        <v>Posted Credit Note</v>
      </c>
    </row>
    <row r="883" spans="1:17" x14ac:dyDescent="0.3">
      <c r="A883" s="1">
        <v>46184</v>
      </c>
      <c r="B883" t="s">
        <v>4026</v>
      </c>
      <c r="C883" t="s">
        <v>972</v>
      </c>
      <c r="D883" t="s">
        <v>973</v>
      </c>
      <c r="E883" t="s">
        <v>8</v>
      </c>
      <c r="F883" t="s">
        <v>10</v>
      </c>
      <c r="G883" s="16">
        <v>433.16793999999999</v>
      </c>
      <c r="H883" s="16">
        <v>498.1431</v>
      </c>
      <c r="I883" s="1">
        <v>46184</v>
      </c>
      <c r="J883">
        <v>75</v>
      </c>
      <c r="K883" t="s">
        <v>4027</v>
      </c>
      <c r="L883" t="s">
        <v>4512</v>
      </c>
      <c r="M883">
        <v>11</v>
      </c>
      <c r="N883">
        <v>5</v>
      </c>
      <c r="O883" t="s">
        <v>1036</v>
      </c>
      <c r="P883" s="17"/>
      <c r="Q883" s="17" t="str">
        <f>_xlfn.XLOOKUP(Table2[[#This Row],[buyFromVendorNo]],'Next Day Scheduled'!A:A,'Pending Returns'!O:O,"NOT_FOUND")</f>
        <v>Posted Credit Note</v>
      </c>
    </row>
    <row r="884" spans="1:17" x14ac:dyDescent="0.3">
      <c r="A884" s="1">
        <v>46184</v>
      </c>
      <c r="B884" t="s">
        <v>2847</v>
      </c>
      <c r="C884" t="s">
        <v>325</v>
      </c>
      <c r="D884" t="s">
        <v>326</v>
      </c>
      <c r="E884" t="s">
        <v>8</v>
      </c>
      <c r="F884" t="s">
        <v>10</v>
      </c>
      <c r="G884" s="16">
        <v>246.5</v>
      </c>
      <c r="H884" s="16">
        <v>283.47500000000002</v>
      </c>
      <c r="I884" s="1">
        <v>46177</v>
      </c>
      <c r="J884">
        <v>75</v>
      </c>
      <c r="K884" t="s">
        <v>2848</v>
      </c>
      <c r="L884" t="s">
        <v>4546</v>
      </c>
      <c r="M884">
        <v>27</v>
      </c>
      <c r="N884">
        <v>1</v>
      </c>
      <c r="O884" t="s">
        <v>1036</v>
      </c>
      <c r="P884" s="17"/>
      <c r="Q884" s="17" t="str">
        <f>_xlfn.XLOOKUP(Table2[[#This Row],[buyFromVendorNo]],'Next Day Scheduled'!A:A,'Pending Returns'!O:O,"NOT_FOUND")</f>
        <v>Posted Credit Note</v>
      </c>
    </row>
    <row r="885" spans="1:17" x14ac:dyDescent="0.3">
      <c r="A885" s="1">
        <v>46184</v>
      </c>
      <c r="B885" t="s">
        <v>3435</v>
      </c>
      <c r="C885" t="s">
        <v>2166</v>
      </c>
      <c r="D885" t="s">
        <v>2167</v>
      </c>
      <c r="E885" t="s">
        <v>8</v>
      </c>
      <c r="F885" t="s">
        <v>10</v>
      </c>
      <c r="G885" s="16">
        <v>56.152000000000001</v>
      </c>
      <c r="H885" s="16">
        <v>64.574799999999996</v>
      </c>
      <c r="I885" s="1">
        <v>46180</v>
      </c>
      <c r="J885">
        <v>75</v>
      </c>
      <c r="K885" t="s">
        <v>3676</v>
      </c>
      <c r="L885" t="s">
        <v>4497</v>
      </c>
      <c r="M885">
        <v>6</v>
      </c>
      <c r="N885">
        <v>8</v>
      </c>
      <c r="O885" t="s">
        <v>1036</v>
      </c>
      <c r="P885" s="17"/>
      <c r="Q885" s="17" t="str">
        <f>_xlfn.XLOOKUP(Table2[[#This Row],[buyFromVendorNo]],'Next Day Scheduled'!A:A,'Pending Returns'!O:O,"NOT_FOUND")</f>
        <v>NOT_FOUND</v>
      </c>
    </row>
    <row r="886" spans="1:17" x14ac:dyDescent="0.3">
      <c r="A886" s="1">
        <v>46184</v>
      </c>
      <c r="B886" t="s">
        <v>3435</v>
      </c>
      <c r="C886" t="s">
        <v>2604</v>
      </c>
      <c r="D886" t="s">
        <v>2605</v>
      </c>
      <c r="E886" t="s">
        <v>8</v>
      </c>
      <c r="F886" t="s">
        <v>10</v>
      </c>
      <c r="G886" s="16">
        <v>347.1</v>
      </c>
      <c r="H886" s="16">
        <v>399.16500000000002</v>
      </c>
      <c r="I886" s="1">
        <v>46175</v>
      </c>
      <c r="J886">
        <v>75</v>
      </c>
      <c r="K886" t="s">
        <v>3212</v>
      </c>
      <c r="L886" t="s">
        <v>4530</v>
      </c>
      <c r="M886">
        <v>1</v>
      </c>
      <c r="N886">
        <v>26</v>
      </c>
      <c r="O886" t="s">
        <v>1036</v>
      </c>
      <c r="P886" s="17"/>
      <c r="Q886" s="17" t="str">
        <f>_xlfn.XLOOKUP(Table2[[#This Row],[buyFromVendorNo]],'Next Day Scheduled'!A:A,'Pending Returns'!O:O,"NOT_FOUND")</f>
        <v>NOT_FOUND</v>
      </c>
    </row>
    <row r="887" spans="1:17" x14ac:dyDescent="0.3">
      <c r="A887" s="1">
        <v>46184</v>
      </c>
      <c r="B887" t="s">
        <v>3299</v>
      </c>
      <c r="C887" t="s">
        <v>201</v>
      </c>
      <c r="D887" t="s">
        <v>202</v>
      </c>
      <c r="E887" t="s">
        <v>8</v>
      </c>
      <c r="F887" t="s">
        <v>10</v>
      </c>
      <c r="G887" s="16">
        <v>38.380000000000003</v>
      </c>
      <c r="H887" s="16">
        <v>44.137</v>
      </c>
      <c r="I887" s="1">
        <v>46181</v>
      </c>
      <c r="J887">
        <v>75</v>
      </c>
      <c r="K887" t="s">
        <v>3116</v>
      </c>
      <c r="L887" t="s">
        <v>4513</v>
      </c>
      <c r="M887">
        <v>10</v>
      </c>
      <c r="N887">
        <v>1</v>
      </c>
      <c r="O887" t="s">
        <v>1036</v>
      </c>
      <c r="P887" s="17"/>
      <c r="Q887" s="17" t="str">
        <f>_xlfn.XLOOKUP(Table2[[#This Row],[buyFromVendorNo]],'Next Day Scheduled'!A:A,'Pending Returns'!O:O,"NOT_FOUND")</f>
        <v>Pending for Collection</v>
      </c>
    </row>
    <row r="888" spans="1:17" x14ac:dyDescent="0.3">
      <c r="A888" s="1">
        <v>46184</v>
      </c>
      <c r="B888" t="s">
        <v>2574</v>
      </c>
      <c r="C888" t="s">
        <v>935</v>
      </c>
      <c r="D888" t="s">
        <v>936</v>
      </c>
      <c r="E888" t="s">
        <v>8</v>
      </c>
      <c r="F888" t="s">
        <v>10</v>
      </c>
      <c r="G888" s="16">
        <v>10494</v>
      </c>
      <c r="H888" s="16">
        <v>12068.1</v>
      </c>
      <c r="I888" s="1">
        <v>46177</v>
      </c>
      <c r="J888">
        <v>75</v>
      </c>
      <c r="K888" t="s">
        <v>2488</v>
      </c>
      <c r="L888" t="s">
        <v>4514</v>
      </c>
      <c r="M888">
        <v>11</v>
      </c>
      <c r="N888">
        <v>6</v>
      </c>
      <c r="O888" t="s">
        <v>1036</v>
      </c>
      <c r="P888" s="17"/>
      <c r="Q888" s="17" t="str">
        <f>_xlfn.XLOOKUP(Table2[[#This Row],[buyFromVendorNo]],'Next Day Scheduled'!A:A,'Pending Returns'!O:O,"NOT_FOUND")</f>
        <v>NOT_FOUND</v>
      </c>
    </row>
    <row r="889" spans="1:17" x14ac:dyDescent="0.3">
      <c r="A889" s="1">
        <v>46184</v>
      </c>
      <c r="B889" t="s">
        <v>2210</v>
      </c>
      <c r="C889" t="s">
        <v>318</v>
      </c>
      <c r="D889" t="s">
        <v>319</v>
      </c>
      <c r="E889" t="s">
        <v>8</v>
      </c>
      <c r="F889" t="s">
        <v>10</v>
      </c>
      <c r="G889" s="16">
        <v>8977.5920000000006</v>
      </c>
      <c r="H889" s="16">
        <v>10324.23</v>
      </c>
      <c r="I889" s="1">
        <v>46176</v>
      </c>
      <c r="J889">
        <v>75</v>
      </c>
      <c r="K889" t="s">
        <v>2109</v>
      </c>
      <c r="L889" t="s">
        <v>4498</v>
      </c>
      <c r="M889">
        <v>11</v>
      </c>
      <c r="N889">
        <v>2</v>
      </c>
      <c r="O889" t="s">
        <v>1036</v>
      </c>
      <c r="P889" s="17"/>
      <c r="Q889" s="17" t="str">
        <f>_xlfn.XLOOKUP(Table2[[#This Row],[buyFromVendorNo]],'Next Day Scheduled'!A:A,'Pending Returns'!O:O,"NOT_FOUND")</f>
        <v>NOT_FOUND</v>
      </c>
    </row>
    <row r="890" spans="1:17" x14ac:dyDescent="0.3">
      <c r="A890" s="1">
        <v>46184</v>
      </c>
      <c r="B890" t="s">
        <v>3269</v>
      </c>
      <c r="C890" t="s">
        <v>2166</v>
      </c>
      <c r="D890" t="s">
        <v>2167</v>
      </c>
      <c r="E890" t="s">
        <v>8</v>
      </c>
      <c r="F890" t="s">
        <v>10</v>
      </c>
      <c r="G890" s="16">
        <v>871.36069999999995</v>
      </c>
      <c r="H890" s="16">
        <v>1002.0648</v>
      </c>
      <c r="I890" s="1">
        <v>46180</v>
      </c>
      <c r="J890">
        <v>75</v>
      </c>
      <c r="K890" t="s">
        <v>3112</v>
      </c>
      <c r="L890" t="s">
        <v>4535</v>
      </c>
      <c r="M890">
        <v>6</v>
      </c>
      <c r="N890">
        <v>8</v>
      </c>
      <c r="O890" t="s">
        <v>1036</v>
      </c>
      <c r="P890" s="17"/>
      <c r="Q890" s="17" t="str">
        <f>_xlfn.XLOOKUP(Table2[[#This Row],[buyFromVendorNo]],'Next Day Scheduled'!A:A,'Pending Returns'!O:O,"NOT_FOUND")</f>
        <v>NOT_FOUND</v>
      </c>
    </row>
    <row r="891" spans="1:17" x14ac:dyDescent="0.3">
      <c r="A891" s="1">
        <v>46185</v>
      </c>
      <c r="B891" t="s">
        <v>7468</v>
      </c>
      <c r="C891" t="s">
        <v>854</v>
      </c>
      <c r="D891" t="s">
        <v>855</v>
      </c>
      <c r="E891" t="s">
        <v>8</v>
      </c>
      <c r="F891" t="s">
        <v>10</v>
      </c>
      <c r="G891" s="16">
        <v>271.06473</v>
      </c>
      <c r="H891" s="16">
        <v>285.35714999999999</v>
      </c>
      <c r="J891">
        <v>74</v>
      </c>
      <c r="K891" t="s">
        <v>4559</v>
      </c>
      <c r="M891">
        <v>15</v>
      </c>
      <c r="N891">
        <v>6</v>
      </c>
      <c r="O891" t="s">
        <v>216</v>
      </c>
      <c r="P891" s="17"/>
      <c r="Q891" s="17" t="str">
        <f>_xlfn.XLOOKUP(Table2[[#This Row],[buyFromVendorNo]],'Next Day Scheduled'!A:A,'Pending Returns'!O:O,"NOT_FOUND")</f>
        <v>Posted Credit Note</v>
      </c>
    </row>
    <row r="892" spans="1:17" x14ac:dyDescent="0.3">
      <c r="A892" s="1">
        <v>46185</v>
      </c>
      <c r="B892" t="s">
        <v>242</v>
      </c>
      <c r="C892" t="s">
        <v>69</v>
      </c>
      <c r="D892" t="s">
        <v>70</v>
      </c>
      <c r="E892" t="s">
        <v>8</v>
      </c>
      <c r="F892" t="s">
        <v>10</v>
      </c>
      <c r="G892" s="16">
        <v>8326.08</v>
      </c>
      <c r="H892" s="16">
        <v>9574.9920000000002</v>
      </c>
      <c r="J892">
        <v>74</v>
      </c>
      <c r="K892" t="s">
        <v>4549</v>
      </c>
      <c r="M892">
        <v>38</v>
      </c>
      <c r="N892">
        <v>1</v>
      </c>
      <c r="O892" t="s">
        <v>216</v>
      </c>
      <c r="P892" s="17"/>
      <c r="Q892" s="17" t="str">
        <f>_xlfn.XLOOKUP(Table2[[#This Row],[buyFromVendorNo]],'Next Day Scheduled'!A:A,'Pending Returns'!O:O,"NOT_FOUND")</f>
        <v>Posted Credit Note</v>
      </c>
    </row>
    <row r="893" spans="1:17" x14ac:dyDescent="0.3">
      <c r="A893" s="1">
        <v>46185</v>
      </c>
      <c r="B893" t="s">
        <v>2745</v>
      </c>
      <c r="C893" t="s">
        <v>613</v>
      </c>
      <c r="D893" t="s">
        <v>614</v>
      </c>
      <c r="E893" t="s">
        <v>8</v>
      </c>
      <c r="F893" t="s">
        <v>10</v>
      </c>
      <c r="G893" s="16">
        <v>30106.393</v>
      </c>
      <c r="H893" s="16">
        <v>34622.35</v>
      </c>
      <c r="J893">
        <v>74</v>
      </c>
      <c r="K893" t="s">
        <v>4570</v>
      </c>
      <c r="M893">
        <v>8</v>
      </c>
      <c r="N893">
        <v>2</v>
      </c>
      <c r="O893" t="s">
        <v>216</v>
      </c>
      <c r="P893" s="17"/>
      <c r="Q893" s="17" t="str">
        <f>_xlfn.XLOOKUP(Table2[[#This Row],[buyFromVendorNo]],'Next Day Scheduled'!A:A,'Pending Returns'!O:O,"NOT_FOUND")</f>
        <v>NOT_FOUND</v>
      </c>
    </row>
    <row r="894" spans="1:17" x14ac:dyDescent="0.3">
      <c r="A894" s="1">
        <v>46186</v>
      </c>
      <c r="B894" t="s">
        <v>4320</v>
      </c>
      <c r="C894" t="s">
        <v>43</v>
      </c>
      <c r="D894" t="s">
        <v>44</v>
      </c>
      <c r="E894" t="s">
        <v>8</v>
      </c>
      <c r="F894" t="s">
        <v>38</v>
      </c>
      <c r="G894" s="16">
        <v>9299.848</v>
      </c>
      <c r="H894" s="16">
        <v>10694.824000000001</v>
      </c>
      <c r="I894" s="1">
        <v>46182</v>
      </c>
      <c r="J894">
        <v>73</v>
      </c>
      <c r="K894" t="s">
        <v>4341</v>
      </c>
      <c r="L894" t="s">
        <v>4674</v>
      </c>
      <c r="M894">
        <v>67</v>
      </c>
      <c r="N894">
        <v>1</v>
      </c>
      <c r="O894" t="s">
        <v>1036</v>
      </c>
      <c r="P894" s="17"/>
      <c r="Q894" s="17" t="str">
        <f>_xlfn.XLOOKUP(Table2[[#This Row],[buyFromVendorNo]],'Next Day Scheduled'!A:A,'Pending Returns'!O:O,"NOT_FOUND")</f>
        <v>Posted Credit Note</v>
      </c>
    </row>
    <row r="895" spans="1:17" x14ac:dyDescent="0.3">
      <c r="A895" s="1">
        <v>46186</v>
      </c>
      <c r="B895" t="s">
        <v>4223</v>
      </c>
      <c r="C895" t="s">
        <v>204</v>
      </c>
      <c r="D895" t="s">
        <v>205</v>
      </c>
      <c r="E895" t="s">
        <v>8</v>
      </c>
      <c r="F895" t="s">
        <v>10</v>
      </c>
      <c r="G895" s="16">
        <v>2522.67</v>
      </c>
      <c r="H895" s="16">
        <v>2901.0706</v>
      </c>
      <c r="I895" s="1">
        <v>46184</v>
      </c>
      <c r="J895">
        <v>73</v>
      </c>
      <c r="K895" t="s">
        <v>2233</v>
      </c>
      <c r="L895" t="s">
        <v>4695</v>
      </c>
      <c r="M895">
        <v>0</v>
      </c>
      <c r="N895">
        <v>163</v>
      </c>
      <c r="O895" t="s">
        <v>1036</v>
      </c>
      <c r="P895" s="17"/>
      <c r="Q895" s="17" t="str">
        <f>_xlfn.XLOOKUP(Table2[[#This Row],[buyFromVendorNo]],'Next Day Scheduled'!A:A,'Pending Returns'!O:O,"NOT_FOUND")</f>
        <v>NOT_FOUND</v>
      </c>
    </row>
    <row r="896" spans="1:17" x14ac:dyDescent="0.3">
      <c r="A896" s="1">
        <v>46186</v>
      </c>
      <c r="B896" t="s">
        <v>413</v>
      </c>
      <c r="C896" t="s">
        <v>204</v>
      </c>
      <c r="D896" t="s">
        <v>205</v>
      </c>
      <c r="E896" t="s">
        <v>8</v>
      </c>
      <c r="F896" t="s">
        <v>38</v>
      </c>
      <c r="G896" s="16">
        <v>5692.15</v>
      </c>
      <c r="H896" s="16">
        <v>6545.9727000000003</v>
      </c>
      <c r="I896" s="1">
        <v>46184</v>
      </c>
      <c r="J896">
        <v>73</v>
      </c>
      <c r="K896" t="s">
        <v>2104</v>
      </c>
      <c r="L896" t="s">
        <v>4676</v>
      </c>
      <c r="M896">
        <v>11</v>
      </c>
      <c r="N896">
        <v>5</v>
      </c>
      <c r="O896" t="s">
        <v>1036</v>
      </c>
      <c r="P896" s="17"/>
      <c r="Q896" s="17" t="str">
        <f>_xlfn.XLOOKUP(Table2[[#This Row],[buyFromVendorNo]],'Next Day Scheduled'!A:A,'Pending Returns'!O:O,"NOT_FOUND")</f>
        <v>NOT_FOUND</v>
      </c>
    </row>
    <row r="897" spans="1:17" x14ac:dyDescent="0.3">
      <c r="A897" s="1">
        <v>46186</v>
      </c>
      <c r="B897" t="s">
        <v>2517</v>
      </c>
      <c r="C897" t="s">
        <v>578</v>
      </c>
      <c r="D897" t="s">
        <v>579</v>
      </c>
      <c r="E897" t="s">
        <v>8</v>
      </c>
      <c r="F897" t="s">
        <v>10</v>
      </c>
      <c r="G897" s="16">
        <v>2408.4499999999998</v>
      </c>
      <c r="H897" s="16">
        <v>2769.7175000000002</v>
      </c>
      <c r="I897" s="1">
        <v>46177</v>
      </c>
      <c r="J897">
        <v>73</v>
      </c>
      <c r="K897" t="s">
        <v>2484</v>
      </c>
      <c r="L897" t="s">
        <v>4574</v>
      </c>
      <c r="M897">
        <v>10</v>
      </c>
      <c r="N897">
        <v>2</v>
      </c>
      <c r="O897" t="s">
        <v>1036</v>
      </c>
      <c r="P897" s="17"/>
      <c r="Q897" s="17" t="str">
        <f>_xlfn.XLOOKUP(Table2[[#This Row],[buyFromVendorNo]],'Next Day Scheduled'!A:A,'Pending Returns'!O:O,"NOT_FOUND")</f>
        <v>NOT_FOUND</v>
      </c>
    </row>
    <row r="898" spans="1:17" x14ac:dyDescent="0.3">
      <c r="A898" s="1">
        <v>46186</v>
      </c>
      <c r="B898" t="s">
        <v>1527</v>
      </c>
      <c r="C898" t="s">
        <v>832</v>
      </c>
      <c r="D898" t="s">
        <v>833</v>
      </c>
      <c r="E898" t="s">
        <v>8</v>
      </c>
      <c r="F898" t="s">
        <v>38</v>
      </c>
      <c r="G898" s="16">
        <v>4176.4399999999996</v>
      </c>
      <c r="H898" s="16">
        <v>4802.9059999999999</v>
      </c>
      <c r="I898" s="1">
        <v>46184</v>
      </c>
      <c r="J898">
        <v>73</v>
      </c>
      <c r="K898" t="s">
        <v>2081</v>
      </c>
      <c r="L898" t="s">
        <v>4605</v>
      </c>
      <c r="M898">
        <v>0</v>
      </c>
      <c r="N898">
        <v>76</v>
      </c>
      <c r="O898" t="s">
        <v>1036</v>
      </c>
      <c r="P898" s="17"/>
      <c r="Q898" s="17" t="str">
        <f>_xlfn.XLOOKUP(Table2[[#This Row],[buyFromVendorNo]],'Next Day Scheduled'!A:A,'Pending Returns'!O:O,"NOT_FOUND")</f>
        <v>NOT_FOUND</v>
      </c>
    </row>
    <row r="899" spans="1:17" x14ac:dyDescent="0.3">
      <c r="A899" s="1">
        <v>46186</v>
      </c>
      <c r="B899" t="s">
        <v>280</v>
      </c>
      <c r="C899" t="s">
        <v>937</v>
      </c>
      <c r="D899" t="s">
        <v>938</v>
      </c>
      <c r="E899" t="s">
        <v>8</v>
      </c>
      <c r="F899" t="s">
        <v>10</v>
      </c>
      <c r="G899" s="16">
        <v>715.60249999999996</v>
      </c>
      <c r="H899" s="16">
        <v>822.94290000000001</v>
      </c>
      <c r="J899">
        <v>73</v>
      </c>
      <c r="K899" t="s">
        <v>4604</v>
      </c>
      <c r="M899">
        <v>8</v>
      </c>
      <c r="N899">
        <v>12</v>
      </c>
      <c r="O899" t="s">
        <v>216</v>
      </c>
      <c r="P899" s="17"/>
      <c r="Q899" s="17" t="str">
        <f>_xlfn.XLOOKUP(Table2[[#This Row],[buyFromVendorNo]],'Next Day Scheduled'!A:A,'Pending Returns'!O:O,"NOT_FOUND")</f>
        <v>NOT_FOUND</v>
      </c>
    </row>
    <row r="900" spans="1:17" x14ac:dyDescent="0.3">
      <c r="A900" s="1">
        <v>46186</v>
      </c>
      <c r="B900" t="s">
        <v>2119</v>
      </c>
      <c r="C900" t="s">
        <v>158</v>
      </c>
      <c r="D900" t="s">
        <v>159</v>
      </c>
      <c r="E900" t="s">
        <v>8</v>
      </c>
      <c r="F900" t="s">
        <v>10</v>
      </c>
      <c r="G900" s="16">
        <v>7203.1530000000002</v>
      </c>
      <c r="H900" s="16">
        <v>8283.6260000000002</v>
      </c>
      <c r="I900" s="1">
        <v>46175</v>
      </c>
      <c r="J900">
        <v>73</v>
      </c>
      <c r="K900" t="s">
        <v>2120</v>
      </c>
      <c r="L900" t="s">
        <v>4581</v>
      </c>
      <c r="M900">
        <v>10</v>
      </c>
      <c r="N900">
        <v>6</v>
      </c>
      <c r="O900" t="s">
        <v>1036</v>
      </c>
      <c r="P900" s="17"/>
      <c r="Q900" s="17" t="str">
        <f>_xlfn.XLOOKUP(Table2[[#This Row],[buyFromVendorNo]],'Next Day Scheduled'!A:A,'Pending Returns'!O:O,"NOT_FOUND")</f>
        <v>Posted Credit Note</v>
      </c>
    </row>
    <row r="901" spans="1:17" x14ac:dyDescent="0.3">
      <c r="A901" s="1">
        <v>46186</v>
      </c>
      <c r="B901" t="s">
        <v>217</v>
      </c>
      <c r="C901" t="s">
        <v>4575</v>
      </c>
      <c r="D901" t="s">
        <v>4576</v>
      </c>
      <c r="E901" t="s">
        <v>8</v>
      </c>
      <c r="F901" t="s">
        <v>10</v>
      </c>
      <c r="G901" s="16">
        <v>1570.4348</v>
      </c>
      <c r="H901" s="16">
        <v>1806</v>
      </c>
      <c r="J901">
        <v>73</v>
      </c>
      <c r="K901" t="s">
        <v>4577</v>
      </c>
      <c r="M901">
        <v>0</v>
      </c>
      <c r="N901">
        <v>174</v>
      </c>
      <c r="O901" t="s">
        <v>216</v>
      </c>
      <c r="P901" s="17"/>
      <c r="Q901" s="17" t="str">
        <f>_xlfn.XLOOKUP(Table2[[#This Row],[buyFromVendorNo]],'Next Day Scheduled'!A:A,'Pending Returns'!O:O,"NOT_FOUND")</f>
        <v>NOT_FOUND</v>
      </c>
    </row>
    <row r="902" spans="1:17" x14ac:dyDescent="0.3">
      <c r="A902" s="1">
        <v>46186</v>
      </c>
      <c r="B902" t="s">
        <v>3957</v>
      </c>
      <c r="C902" t="s">
        <v>3239</v>
      </c>
      <c r="D902" t="s">
        <v>3632</v>
      </c>
      <c r="E902" t="s">
        <v>8</v>
      </c>
      <c r="F902" t="s">
        <v>10</v>
      </c>
      <c r="G902" s="16">
        <v>98</v>
      </c>
      <c r="H902" s="16">
        <v>112.7</v>
      </c>
      <c r="I902" s="1">
        <v>46186</v>
      </c>
      <c r="J902">
        <v>73</v>
      </c>
      <c r="K902" t="s">
        <v>3958</v>
      </c>
      <c r="L902" t="s">
        <v>4582</v>
      </c>
      <c r="M902">
        <v>8</v>
      </c>
      <c r="N902">
        <v>14</v>
      </c>
      <c r="O902" t="s">
        <v>1036</v>
      </c>
      <c r="P902" s="17"/>
      <c r="Q902" s="17" t="str">
        <f>_xlfn.XLOOKUP(Table2[[#This Row],[buyFromVendorNo]],'Next Day Scheduled'!A:A,'Pending Returns'!O:O,"NOT_FOUND")</f>
        <v>Posted Credit Note</v>
      </c>
    </row>
    <row r="903" spans="1:17" x14ac:dyDescent="0.3">
      <c r="A903" s="1">
        <v>46186</v>
      </c>
      <c r="B903" t="s">
        <v>2506</v>
      </c>
      <c r="C903" t="s">
        <v>204</v>
      </c>
      <c r="D903" t="s">
        <v>205</v>
      </c>
      <c r="E903" t="s">
        <v>8</v>
      </c>
      <c r="F903" t="s">
        <v>38</v>
      </c>
      <c r="G903" s="16">
        <v>2000.52</v>
      </c>
      <c r="H903" s="16">
        <v>2300.598</v>
      </c>
      <c r="I903" s="1">
        <v>46184</v>
      </c>
      <c r="J903">
        <v>73</v>
      </c>
      <c r="K903" t="s">
        <v>2481</v>
      </c>
      <c r="L903" t="s">
        <v>4701</v>
      </c>
      <c r="M903">
        <v>11</v>
      </c>
      <c r="N903">
        <v>5</v>
      </c>
      <c r="O903" t="s">
        <v>1036</v>
      </c>
      <c r="P903" s="17"/>
      <c r="Q903" s="17" t="str">
        <f>_xlfn.XLOOKUP(Table2[[#This Row],[buyFromVendorNo]],'Next Day Scheduled'!A:A,'Pending Returns'!O:O,"NOT_FOUND")</f>
        <v>NOT_FOUND</v>
      </c>
    </row>
    <row r="904" spans="1:17" x14ac:dyDescent="0.3">
      <c r="A904" s="1">
        <v>46186</v>
      </c>
      <c r="B904" t="s">
        <v>4048</v>
      </c>
      <c r="C904" t="s">
        <v>941</v>
      </c>
      <c r="D904" t="s">
        <v>942</v>
      </c>
      <c r="E904" t="s">
        <v>8</v>
      </c>
      <c r="F904" t="s">
        <v>38</v>
      </c>
      <c r="G904" s="16">
        <v>4399.1400000000003</v>
      </c>
      <c r="H904" s="16">
        <v>5059.0110000000004</v>
      </c>
      <c r="I904" s="1">
        <v>46183</v>
      </c>
      <c r="J904">
        <v>73</v>
      </c>
      <c r="K904" t="s">
        <v>4049</v>
      </c>
      <c r="L904" t="s">
        <v>4599</v>
      </c>
      <c r="M904">
        <v>11</v>
      </c>
      <c r="N904">
        <v>1</v>
      </c>
      <c r="O904" t="s">
        <v>1036</v>
      </c>
      <c r="P904" s="17"/>
      <c r="Q904" s="17" t="str">
        <f>_xlfn.XLOOKUP(Table2[[#This Row],[buyFromVendorNo]],'Next Day Scheduled'!A:A,'Pending Returns'!O:O,"NOT_FOUND")</f>
        <v>NOT_FOUND</v>
      </c>
    </row>
    <row r="905" spans="1:17" x14ac:dyDescent="0.3">
      <c r="A905" s="1">
        <v>46186</v>
      </c>
      <c r="B905" t="s">
        <v>4063</v>
      </c>
      <c r="C905" t="s">
        <v>1643</v>
      </c>
      <c r="D905" t="s">
        <v>1644</v>
      </c>
      <c r="E905" t="s">
        <v>8</v>
      </c>
      <c r="F905" t="s">
        <v>38</v>
      </c>
      <c r="G905" s="16">
        <v>1290.154</v>
      </c>
      <c r="H905" s="16">
        <v>1483.6771000000001</v>
      </c>
      <c r="I905" s="1">
        <v>46185</v>
      </c>
      <c r="J905">
        <v>73</v>
      </c>
      <c r="K905" t="s">
        <v>4064</v>
      </c>
      <c r="L905" t="s">
        <v>4693</v>
      </c>
      <c r="M905">
        <v>11</v>
      </c>
      <c r="N905">
        <v>2</v>
      </c>
      <c r="O905" t="s">
        <v>1036</v>
      </c>
      <c r="P905" s="17"/>
      <c r="Q905" s="17" t="str">
        <f>_xlfn.XLOOKUP(Table2[[#This Row],[buyFromVendorNo]],'Next Day Scheduled'!A:A,'Pending Returns'!O:O,"NOT_FOUND")</f>
        <v>NOT_FOUND</v>
      </c>
    </row>
    <row r="906" spans="1:17" x14ac:dyDescent="0.3">
      <c r="A906" s="1">
        <v>46186</v>
      </c>
      <c r="B906" t="s">
        <v>2891</v>
      </c>
      <c r="C906" t="s">
        <v>329</v>
      </c>
      <c r="D906" t="s">
        <v>320</v>
      </c>
      <c r="E906" t="s">
        <v>8</v>
      </c>
      <c r="F906" t="s">
        <v>38</v>
      </c>
      <c r="G906" s="16">
        <v>5763.5</v>
      </c>
      <c r="H906" s="16">
        <v>6628.0249999999996</v>
      </c>
      <c r="I906" s="1">
        <v>46180</v>
      </c>
      <c r="J906">
        <v>73</v>
      </c>
      <c r="K906" t="s">
        <v>2892</v>
      </c>
      <c r="L906" t="s">
        <v>4702</v>
      </c>
      <c r="M906">
        <v>8</v>
      </c>
      <c r="N906">
        <v>2</v>
      </c>
      <c r="O906" t="s">
        <v>1036</v>
      </c>
      <c r="P906" s="17"/>
      <c r="Q906" s="17" t="str">
        <f>_xlfn.XLOOKUP(Table2[[#This Row],[buyFromVendorNo]],'Next Day Scheduled'!A:A,'Pending Returns'!O:O,"NOT_FOUND")</f>
        <v>NOT_FOUND</v>
      </c>
    </row>
    <row r="907" spans="1:17" x14ac:dyDescent="0.3">
      <c r="A907" s="1">
        <v>46186</v>
      </c>
      <c r="B907" t="s">
        <v>488</v>
      </c>
      <c r="C907" t="s">
        <v>1018</v>
      </c>
      <c r="D907" t="s">
        <v>1019</v>
      </c>
      <c r="E907" t="s">
        <v>8</v>
      </c>
      <c r="F907" t="s">
        <v>10</v>
      </c>
      <c r="G907" s="16">
        <v>6406.2030000000004</v>
      </c>
      <c r="H907" s="16">
        <v>7367.134</v>
      </c>
      <c r="I907" s="1">
        <v>46185</v>
      </c>
      <c r="J907">
        <v>73</v>
      </c>
      <c r="K907" t="s">
        <v>4548</v>
      </c>
      <c r="L907" t="s">
        <v>4687</v>
      </c>
      <c r="M907">
        <v>11</v>
      </c>
      <c r="N907">
        <v>3</v>
      </c>
      <c r="O907" t="s">
        <v>1036</v>
      </c>
      <c r="P907" s="17"/>
      <c r="Q907" s="17" t="str">
        <f>_xlfn.XLOOKUP(Table2[[#This Row],[buyFromVendorNo]],'Next Day Scheduled'!A:A,'Pending Returns'!O:O,"NOT_FOUND")</f>
        <v>NOT_FOUND</v>
      </c>
    </row>
    <row r="908" spans="1:17" x14ac:dyDescent="0.3">
      <c r="A908" s="1">
        <v>46186</v>
      </c>
      <c r="B908" t="s">
        <v>2621</v>
      </c>
      <c r="C908" t="s">
        <v>832</v>
      </c>
      <c r="D908" t="s">
        <v>833</v>
      </c>
      <c r="E908" t="s">
        <v>8</v>
      </c>
      <c r="F908" t="s">
        <v>38</v>
      </c>
      <c r="G908" s="16">
        <v>5852.57</v>
      </c>
      <c r="H908" s="16">
        <v>6730.4556000000002</v>
      </c>
      <c r="I908" s="1">
        <v>46184</v>
      </c>
      <c r="J908">
        <v>73</v>
      </c>
      <c r="K908" t="s">
        <v>2622</v>
      </c>
      <c r="L908" t="s">
        <v>4606</v>
      </c>
      <c r="M908">
        <v>0</v>
      </c>
      <c r="N908">
        <v>76</v>
      </c>
      <c r="O908" t="s">
        <v>1036</v>
      </c>
      <c r="P908" s="17"/>
      <c r="Q908" s="17" t="str">
        <f>_xlfn.XLOOKUP(Table2[[#This Row],[buyFromVendorNo]],'Next Day Scheduled'!A:A,'Pending Returns'!O:O,"NOT_FOUND")</f>
        <v>NOT_FOUND</v>
      </c>
    </row>
    <row r="909" spans="1:17" x14ac:dyDescent="0.3">
      <c r="A909" s="1">
        <v>46186</v>
      </c>
      <c r="B909" t="s">
        <v>5064</v>
      </c>
      <c r="C909" t="s">
        <v>534</v>
      </c>
      <c r="D909" t="s">
        <v>535</v>
      </c>
      <c r="E909" t="s">
        <v>8</v>
      </c>
      <c r="F909" t="s">
        <v>10</v>
      </c>
      <c r="G909" s="16">
        <v>1536.2362000000001</v>
      </c>
      <c r="H909" s="16">
        <v>1766.6715999999999</v>
      </c>
      <c r="J909">
        <v>73</v>
      </c>
      <c r="K909" t="s">
        <v>4607</v>
      </c>
      <c r="M909">
        <v>7</v>
      </c>
      <c r="N909">
        <v>2</v>
      </c>
      <c r="O909" t="s">
        <v>216</v>
      </c>
      <c r="P909" s="17"/>
      <c r="Q909" s="17" t="str">
        <f>_xlfn.XLOOKUP(Table2[[#This Row],[buyFromVendorNo]],'Next Day Scheduled'!A:A,'Pending Returns'!O:O,"NOT_FOUND")</f>
        <v>NOT_FOUND</v>
      </c>
    </row>
    <row r="910" spans="1:17" x14ac:dyDescent="0.3">
      <c r="A910" s="1">
        <v>46186</v>
      </c>
      <c r="B910" t="s">
        <v>4675</v>
      </c>
      <c r="C910" t="s">
        <v>179</v>
      </c>
      <c r="D910" t="s">
        <v>180</v>
      </c>
      <c r="E910" t="s">
        <v>8</v>
      </c>
      <c r="F910" t="s">
        <v>169</v>
      </c>
      <c r="G910" s="16">
        <v>671.46600000000001</v>
      </c>
      <c r="H910" s="16">
        <v>772.18589999999995</v>
      </c>
      <c r="J910">
        <v>73</v>
      </c>
      <c r="K910" t="s">
        <v>4670</v>
      </c>
      <c r="M910">
        <v>0</v>
      </c>
      <c r="N910">
        <v>360</v>
      </c>
      <c r="O910" t="s">
        <v>216</v>
      </c>
      <c r="P910" s="17"/>
      <c r="Q910" s="17" t="str">
        <f>_xlfn.XLOOKUP(Table2[[#This Row],[buyFromVendorNo]],'Next Day Scheduled'!A:A,'Pending Returns'!O:O,"NOT_FOUND")</f>
        <v>NOT_FOUND</v>
      </c>
    </row>
    <row r="911" spans="1:17" x14ac:dyDescent="0.3">
      <c r="A911" s="1">
        <v>46186</v>
      </c>
      <c r="B911" t="s">
        <v>2569</v>
      </c>
      <c r="C911" t="s">
        <v>204</v>
      </c>
      <c r="D911" t="s">
        <v>205</v>
      </c>
      <c r="E911" t="s">
        <v>8</v>
      </c>
      <c r="F911" t="s">
        <v>38</v>
      </c>
      <c r="G911" s="16">
        <v>6325.9290000000001</v>
      </c>
      <c r="H911" s="16">
        <v>7274.8184000000001</v>
      </c>
      <c r="I911" s="1">
        <v>46184</v>
      </c>
      <c r="J911">
        <v>73</v>
      </c>
      <c r="K911" t="s">
        <v>4083</v>
      </c>
      <c r="L911" t="s">
        <v>4689</v>
      </c>
      <c r="M911">
        <v>11</v>
      </c>
      <c r="N911">
        <v>5</v>
      </c>
      <c r="O911" t="s">
        <v>1036</v>
      </c>
      <c r="P911" s="17"/>
      <c r="Q911" s="17" t="str">
        <f>_xlfn.XLOOKUP(Table2[[#This Row],[buyFromVendorNo]],'Next Day Scheduled'!A:A,'Pending Returns'!O:O,"NOT_FOUND")</f>
        <v>NOT_FOUND</v>
      </c>
    </row>
    <row r="912" spans="1:17" x14ac:dyDescent="0.3">
      <c r="A912" s="1">
        <v>46186</v>
      </c>
      <c r="B912" t="s">
        <v>3592</v>
      </c>
      <c r="C912" t="s">
        <v>991</v>
      </c>
      <c r="D912" t="s">
        <v>992</v>
      </c>
      <c r="E912" t="s">
        <v>8</v>
      </c>
      <c r="F912" t="s">
        <v>10</v>
      </c>
      <c r="G912" s="16">
        <v>174.45</v>
      </c>
      <c r="H912" s="16">
        <v>200.61750000000001</v>
      </c>
      <c r="I912" s="1">
        <v>46181</v>
      </c>
      <c r="J912">
        <v>73</v>
      </c>
      <c r="K912" t="s">
        <v>3593</v>
      </c>
      <c r="L912" t="s">
        <v>4691</v>
      </c>
      <c r="M912">
        <v>11</v>
      </c>
      <c r="N912">
        <v>1</v>
      </c>
      <c r="O912" t="s">
        <v>1036</v>
      </c>
      <c r="P912" s="17"/>
      <c r="Q912" s="17" t="str">
        <f>_xlfn.XLOOKUP(Table2[[#This Row],[buyFromVendorNo]],'Next Day Scheduled'!A:A,'Pending Returns'!O:O,"NOT_FOUND")</f>
        <v>NOT_FOUND</v>
      </c>
    </row>
    <row r="913" spans="1:17" x14ac:dyDescent="0.3">
      <c r="A913" s="1">
        <v>46186</v>
      </c>
      <c r="B913" t="s">
        <v>3300</v>
      </c>
      <c r="C913" t="s">
        <v>943</v>
      </c>
      <c r="D913" t="s">
        <v>944</v>
      </c>
      <c r="E913" t="s">
        <v>8</v>
      </c>
      <c r="F913" t="s">
        <v>10</v>
      </c>
      <c r="G913" s="16">
        <v>283.46929999999998</v>
      </c>
      <c r="H913" s="16">
        <v>325.98970000000003</v>
      </c>
      <c r="I913" s="1">
        <v>46176</v>
      </c>
      <c r="J913">
        <v>73</v>
      </c>
      <c r="K913" t="s">
        <v>3125</v>
      </c>
      <c r="L913" t="s">
        <v>4699</v>
      </c>
      <c r="M913">
        <v>6</v>
      </c>
      <c r="N913">
        <v>23</v>
      </c>
      <c r="O913" t="s">
        <v>1036</v>
      </c>
      <c r="P913" s="17"/>
      <c r="Q913" s="17" t="str">
        <f>_xlfn.XLOOKUP(Table2[[#This Row],[buyFromVendorNo]],'Next Day Scheduled'!A:A,'Pending Returns'!O:O,"NOT_FOUND")</f>
        <v>NOT_FOUND</v>
      </c>
    </row>
    <row r="914" spans="1:17" x14ac:dyDescent="0.3">
      <c r="A914" s="1">
        <v>46186</v>
      </c>
      <c r="B914" t="s">
        <v>2437</v>
      </c>
      <c r="C914" t="s">
        <v>420</v>
      </c>
      <c r="D914" t="s">
        <v>421</v>
      </c>
      <c r="E914" t="s">
        <v>8</v>
      </c>
      <c r="F914" t="s">
        <v>10</v>
      </c>
      <c r="G914" s="16">
        <v>4065.5495999999998</v>
      </c>
      <c r="H914" s="16">
        <v>4675.3823000000002</v>
      </c>
      <c r="I914" s="1">
        <v>46181</v>
      </c>
      <c r="J914">
        <v>73</v>
      </c>
      <c r="K914" t="s">
        <v>2830</v>
      </c>
      <c r="L914" t="s">
        <v>4683</v>
      </c>
      <c r="M914">
        <v>10</v>
      </c>
      <c r="N914">
        <v>3</v>
      </c>
      <c r="O914" t="s">
        <v>1036</v>
      </c>
      <c r="P914" s="17"/>
      <c r="Q914" s="17" t="str">
        <f>_xlfn.XLOOKUP(Table2[[#This Row],[buyFromVendorNo]],'Next Day Scheduled'!A:A,'Pending Returns'!O:O,"NOT_FOUND")</f>
        <v>NOT_FOUND</v>
      </c>
    </row>
    <row r="915" spans="1:17" x14ac:dyDescent="0.3">
      <c r="A915" s="1">
        <v>46186</v>
      </c>
      <c r="B915" t="s">
        <v>271</v>
      </c>
      <c r="C915" t="s">
        <v>2277</v>
      </c>
      <c r="D915" t="s">
        <v>2278</v>
      </c>
      <c r="E915" t="s">
        <v>8</v>
      </c>
      <c r="F915" t="s">
        <v>10</v>
      </c>
      <c r="G915" s="16">
        <v>1185.5</v>
      </c>
      <c r="H915" s="16">
        <v>1363.325</v>
      </c>
      <c r="I915" s="1">
        <v>46186</v>
      </c>
      <c r="J915">
        <v>73</v>
      </c>
      <c r="K915" t="s">
        <v>3681</v>
      </c>
      <c r="L915" t="s">
        <v>4688</v>
      </c>
      <c r="M915">
        <v>8</v>
      </c>
      <c r="N915">
        <v>7</v>
      </c>
      <c r="O915" t="s">
        <v>1036</v>
      </c>
      <c r="P915" s="17"/>
      <c r="Q915" s="17" t="str">
        <f>_xlfn.XLOOKUP(Table2[[#This Row],[buyFromVendorNo]],'Next Day Scheduled'!A:A,'Pending Returns'!O:O,"NOT_FOUND")</f>
        <v>NOT_FOUND</v>
      </c>
    </row>
    <row r="916" spans="1:17" x14ac:dyDescent="0.3">
      <c r="A916" s="1">
        <v>46186</v>
      </c>
      <c r="B916" t="s">
        <v>1575</v>
      </c>
      <c r="C916" t="s">
        <v>832</v>
      </c>
      <c r="D916" t="s">
        <v>833</v>
      </c>
      <c r="E916" t="s">
        <v>8</v>
      </c>
      <c r="F916" t="s">
        <v>38</v>
      </c>
      <c r="G916" s="16">
        <v>1557.81</v>
      </c>
      <c r="H916" s="16">
        <v>1791.4813999999999</v>
      </c>
      <c r="I916" s="1">
        <v>46184</v>
      </c>
      <c r="J916">
        <v>73</v>
      </c>
      <c r="K916" t="s">
        <v>4019</v>
      </c>
      <c r="L916" t="s">
        <v>4594</v>
      </c>
      <c r="M916">
        <v>0</v>
      </c>
      <c r="N916">
        <v>76</v>
      </c>
      <c r="O916" t="s">
        <v>1036</v>
      </c>
      <c r="P916" s="17"/>
      <c r="Q916" s="17" t="str">
        <f>_xlfn.XLOOKUP(Table2[[#This Row],[buyFromVendorNo]],'Next Day Scheduled'!A:A,'Pending Returns'!O:O,"NOT_FOUND")</f>
        <v>NOT_FOUND</v>
      </c>
    </row>
    <row r="917" spans="1:17" x14ac:dyDescent="0.3">
      <c r="A917" s="1">
        <v>46186</v>
      </c>
      <c r="B917" t="s">
        <v>3704</v>
      </c>
      <c r="C917" t="s">
        <v>578</v>
      </c>
      <c r="D917" t="s">
        <v>579</v>
      </c>
      <c r="E917" t="s">
        <v>8</v>
      </c>
      <c r="F917" t="s">
        <v>10</v>
      </c>
      <c r="G917" s="16">
        <v>139.15</v>
      </c>
      <c r="H917" s="16">
        <v>160.02250000000001</v>
      </c>
      <c r="I917" s="1">
        <v>46180</v>
      </c>
      <c r="J917">
        <v>73</v>
      </c>
      <c r="K917" t="s">
        <v>3637</v>
      </c>
      <c r="L917" t="s">
        <v>4595</v>
      </c>
      <c r="M917">
        <v>10</v>
      </c>
      <c r="N917">
        <v>2</v>
      </c>
      <c r="O917" t="s">
        <v>1036</v>
      </c>
      <c r="P917" s="17"/>
      <c r="Q917" s="17" t="str">
        <f>_xlfn.XLOOKUP(Table2[[#This Row],[buyFromVendorNo]],'Next Day Scheduled'!A:A,'Pending Returns'!O:O,"NOT_FOUND")</f>
        <v>NOT_FOUND</v>
      </c>
    </row>
    <row r="918" spans="1:17" x14ac:dyDescent="0.3">
      <c r="A918" s="1">
        <v>46186</v>
      </c>
      <c r="B918" t="s">
        <v>317</v>
      </c>
      <c r="C918" t="s">
        <v>832</v>
      </c>
      <c r="D918" t="s">
        <v>833</v>
      </c>
      <c r="E918" t="s">
        <v>8</v>
      </c>
      <c r="F918" t="s">
        <v>38</v>
      </c>
      <c r="G918" s="16">
        <v>829.72</v>
      </c>
      <c r="H918" s="16">
        <v>954.178</v>
      </c>
      <c r="I918" s="1">
        <v>46184</v>
      </c>
      <c r="J918">
        <v>73</v>
      </c>
      <c r="K918" t="s">
        <v>4060</v>
      </c>
      <c r="L918" t="s">
        <v>4585</v>
      </c>
      <c r="M918">
        <v>0</v>
      </c>
      <c r="N918">
        <v>76</v>
      </c>
      <c r="O918" t="s">
        <v>1036</v>
      </c>
      <c r="P918" s="17"/>
      <c r="Q918" s="17" t="str">
        <f>_xlfn.XLOOKUP(Table2[[#This Row],[buyFromVendorNo]],'Next Day Scheduled'!A:A,'Pending Returns'!O:O,"NOT_FOUND")</f>
        <v>NOT_FOUND</v>
      </c>
    </row>
    <row r="919" spans="1:17" x14ac:dyDescent="0.3">
      <c r="A919" s="1">
        <v>46186</v>
      </c>
      <c r="B919" t="s">
        <v>3028</v>
      </c>
      <c r="C919" t="s">
        <v>2287</v>
      </c>
      <c r="D919" t="s">
        <v>2351</v>
      </c>
      <c r="E919" t="s">
        <v>8</v>
      </c>
      <c r="F919" t="s">
        <v>10</v>
      </c>
      <c r="G919" s="16">
        <v>384.35422</v>
      </c>
      <c r="H919" s="16">
        <v>386.75423999999998</v>
      </c>
      <c r="I919" s="1">
        <v>46181</v>
      </c>
      <c r="J919">
        <v>73</v>
      </c>
      <c r="K919" t="s">
        <v>3029</v>
      </c>
      <c r="L919" t="s">
        <v>4681</v>
      </c>
      <c r="M919">
        <v>10</v>
      </c>
      <c r="N919">
        <v>7</v>
      </c>
      <c r="O919" t="s">
        <v>1036</v>
      </c>
      <c r="P919" s="17"/>
      <c r="Q919" s="17" t="str">
        <f>_xlfn.XLOOKUP(Table2[[#This Row],[buyFromVendorNo]],'Next Day Scheduled'!A:A,'Pending Returns'!O:O,"NOT_FOUND")</f>
        <v>Posted Credit Note</v>
      </c>
    </row>
    <row r="920" spans="1:17" x14ac:dyDescent="0.3">
      <c r="A920" s="1">
        <v>46186</v>
      </c>
      <c r="B920" t="s">
        <v>2452</v>
      </c>
      <c r="C920" t="s">
        <v>304</v>
      </c>
      <c r="D920" t="s">
        <v>307</v>
      </c>
      <c r="E920" t="s">
        <v>8</v>
      </c>
      <c r="F920" t="s">
        <v>10</v>
      </c>
      <c r="G920" s="16">
        <v>6435.4966000000004</v>
      </c>
      <c r="H920" s="16">
        <v>7400.8212999999996</v>
      </c>
      <c r="I920" s="1">
        <v>46183</v>
      </c>
      <c r="J920">
        <v>73</v>
      </c>
      <c r="K920" t="s">
        <v>3937</v>
      </c>
      <c r="L920" t="s">
        <v>4685</v>
      </c>
      <c r="M920">
        <v>12</v>
      </c>
      <c r="N920">
        <v>6</v>
      </c>
      <c r="O920" t="s">
        <v>1036</v>
      </c>
      <c r="P920" s="17"/>
      <c r="Q920" s="17" t="str">
        <f>_xlfn.XLOOKUP(Table2[[#This Row],[buyFromVendorNo]],'Next Day Scheduled'!A:A,'Pending Returns'!O:O,"NOT_FOUND")</f>
        <v>NOT_FOUND</v>
      </c>
    </row>
    <row r="921" spans="1:17" x14ac:dyDescent="0.3">
      <c r="A921" s="1">
        <v>46186</v>
      </c>
      <c r="B921" t="s">
        <v>3992</v>
      </c>
      <c r="C921" t="s">
        <v>578</v>
      </c>
      <c r="D921" t="s">
        <v>579</v>
      </c>
      <c r="E921" t="s">
        <v>8</v>
      </c>
      <c r="F921" t="s">
        <v>10</v>
      </c>
      <c r="G921" s="16">
        <v>217.25</v>
      </c>
      <c r="H921" s="16">
        <v>249.83750000000001</v>
      </c>
      <c r="I921" s="1">
        <v>46180</v>
      </c>
      <c r="J921">
        <v>73</v>
      </c>
      <c r="K921" t="s">
        <v>4082</v>
      </c>
      <c r="L921" t="s">
        <v>4590</v>
      </c>
      <c r="M921">
        <v>10</v>
      </c>
      <c r="N921">
        <v>2</v>
      </c>
      <c r="O921" t="s">
        <v>1036</v>
      </c>
      <c r="P921" s="17"/>
      <c r="Q921" s="17" t="str">
        <f>_xlfn.XLOOKUP(Table2[[#This Row],[buyFromVendorNo]],'Next Day Scheduled'!A:A,'Pending Returns'!O:O,"NOT_FOUND")</f>
        <v>NOT_FOUND</v>
      </c>
    </row>
    <row r="922" spans="1:17" x14ac:dyDescent="0.3">
      <c r="A922" s="1">
        <v>46186</v>
      </c>
      <c r="B922" t="s">
        <v>4320</v>
      </c>
      <c r="C922" t="s">
        <v>43</v>
      </c>
      <c r="D922" t="s">
        <v>44</v>
      </c>
      <c r="E922" t="s">
        <v>8</v>
      </c>
      <c r="F922" t="s">
        <v>38</v>
      </c>
      <c r="G922" s="16">
        <v>11455.514999999999</v>
      </c>
      <c r="H922" s="16">
        <v>13173.842000000001</v>
      </c>
      <c r="I922" s="1">
        <v>46181</v>
      </c>
      <c r="J922">
        <v>73</v>
      </c>
      <c r="K922" t="s">
        <v>4321</v>
      </c>
      <c r="L922" t="s">
        <v>4684</v>
      </c>
      <c r="M922">
        <v>67</v>
      </c>
      <c r="N922">
        <v>1</v>
      </c>
      <c r="O922" t="s">
        <v>1036</v>
      </c>
      <c r="P922" s="17"/>
      <c r="Q922" s="17" t="str">
        <f>_xlfn.XLOOKUP(Table2[[#This Row],[buyFromVendorNo]],'Next Day Scheduled'!A:A,'Pending Returns'!O:O,"NOT_FOUND")</f>
        <v>Posted Credit Note</v>
      </c>
    </row>
    <row r="923" spans="1:17" x14ac:dyDescent="0.3">
      <c r="A923" s="1">
        <v>46186</v>
      </c>
      <c r="B923" t="s">
        <v>3775</v>
      </c>
      <c r="C923" t="s">
        <v>578</v>
      </c>
      <c r="D923" t="s">
        <v>579</v>
      </c>
      <c r="E923" t="s">
        <v>8</v>
      </c>
      <c r="F923" t="s">
        <v>10</v>
      </c>
      <c r="G923" s="16">
        <v>842.6</v>
      </c>
      <c r="H923" s="16">
        <v>968.99</v>
      </c>
      <c r="I923" s="1">
        <v>46180</v>
      </c>
      <c r="J923">
        <v>73</v>
      </c>
      <c r="K923" t="s">
        <v>3629</v>
      </c>
      <c r="L923" t="s">
        <v>4586</v>
      </c>
      <c r="M923">
        <v>10</v>
      </c>
      <c r="N923">
        <v>2</v>
      </c>
      <c r="O923" t="s">
        <v>1036</v>
      </c>
      <c r="P923" s="17"/>
      <c r="Q923" s="17" t="str">
        <f>_xlfn.XLOOKUP(Table2[[#This Row],[buyFromVendorNo]],'Next Day Scheduled'!A:A,'Pending Returns'!O:O,"NOT_FOUND")</f>
        <v>NOT_FOUND</v>
      </c>
    </row>
    <row r="924" spans="1:17" x14ac:dyDescent="0.3">
      <c r="A924" s="1">
        <v>46186</v>
      </c>
      <c r="B924" t="s">
        <v>2851</v>
      </c>
      <c r="C924" t="s">
        <v>204</v>
      </c>
      <c r="D924" t="s">
        <v>205</v>
      </c>
      <c r="E924" t="s">
        <v>8</v>
      </c>
      <c r="F924" t="s">
        <v>38</v>
      </c>
      <c r="G924" s="16">
        <v>6287.0727999999999</v>
      </c>
      <c r="H924" s="16">
        <v>7230.1333000000004</v>
      </c>
      <c r="I924" s="1">
        <v>46184</v>
      </c>
      <c r="J924">
        <v>73</v>
      </c>
      <c r="K924" t="s">
        <v>2852</v>
      </c>
      <c r="L924" t="s">
        <v>4697</v>
      </c>
      <c r="M924">
        <v>11</v>
      </c>
      <c r="N924">
        <v>5</v>
      </c>
      <c r="O924" t="s">
        <v>1036</v>
      </c>
      <c r="P924" s="17"/>
      <c r="Q924" s="17" t="str">
        <f>_xlfn.XLOOKUP(Table2[[#This Row],[buyFromVendorNo]],'Next Day Scheduled'!A:A,'Pending Returns'!O:O,"NOT_FOUND")</f>
        <v>NOT_FOUND</v>
      </c>
    </row>
    <row r="925" spans="1:17" x14ac:dyDescent="0.3">
      <c r="A925" s="1">
        <v>46186</v>
      </c>
      <c r="B925" t="s">
        <v>451</v>
      </c>
      <c r="C925" t="s">
        <v>204</v>
      </c>
      <c r="D925" t="s">
        <v>205</v>
      </c>
      <c r="E925" t="s">
        <v>8</v>
      </c>
      <c r="F925" t="s">
        <v>38</v>
      </c>
      <c r="G925" s="16">
        <v>9893.36</v>
      </c>
      <c r="H925" s="16">
        <v>11377.364</v>
      </c>
      <c r="I925" s="1">
        <v>46184</v>
      </c>
      <c r="J925">
        <v>73</v>
      </c>
      <c r="K925" t="s">
        <v>2124</v>
      </c>
      <c r="L925" t="s">
        <v>4700</v>
      </c>
      <c r="M925">
        <v>11</v>
      </c>
      <c r="N925">
        <v>5</v>
      </c>
      <c r="O925" t="s">
        <v>1036</v>
      </c>
      <c r="P925" s="17"/>
      <c r="Q925" s="17" t="str">
        <f>_xlfn.XLOOKUP(Table2[[#This Row],[buyFromVendorNo]],'Next Day Scheduled'!A:A,'Pending Returns'!O:O,"NOT_FOUND")</f>
        <v>NOT_FOUND</v>
      </c>
    </row>
    <row r="926" spans="1:17" x14ac:dyDescent="0.3">
      <c r="A926" s="1">
        <v>46187</v>
      </c>
      <c r="B926" t="s">
        <v>1661</v>
      </c>
      <c r="C926" t="s">
        <v>633</v>
      </c>
      <c r="D926" t="s">
        <v>690</v>
      </c>
      <c r="E926" t="s">
        <v>8</v>
      </c>
      <c r="F926" t="s">
        <v>10</v>
      </c>
      <c r="G926" s="16">
        <v>1170</v>
      </c>
      <c r="H926" s="16">
        <v>1345.5</v>
      </c>
      <c r="I926" s="1">
        <v>46177</v>
      </c>
      <c r="J926">
        <v>72</v>
      </c>
      <c r="K926" t="s">
        <v>3878</v>
      </c>
      <c r="L926" t="s">
        <v>4775</v>
      </c>
      <c r="M926">
        <v>10</v>
      </c>
      <c r="N926">
        <v>6</v>
      </c>
      <c r="O926" t="s">
        <v>1036</v>
      </c>
      <c r="P926" s="17"/>
      <c r="Q926" s="17" t="str">
        <f>_xlfn.XLOOKUP(Table2[[#This Row],[buyFromVendorNo]],'Next Day Scheduled'!A:A,'Pending Returns'!O:O,"NOT_FOUND")</f>
        <v>NOT_FOUND</v>
      </c>
    </row>
    <row r="927" spans="1:17" x14ac:dyDescent="0.3">
      <c r="A927" s="1">
        <v>46187</v>
      </c>
      <c r="B927" t="s">
        <v>4231</v>
      </c>
      <c r="C927" t="s">
        <v>2304</v>
      </c>
      <c r="D927" t="s">
        <v>2305</v>
      </c>
      <c r="E927" t="s">
        <v>8</v>
      </c>
      <c r="F927" t="s">
        <v>10</v>
      </c>
      <c r="G927" s="16">
        <v>112.42034</v>
      </c>
      <c r="H927" s="16">
        <v>129.28339</v>
      </c>
      <c r="I927" s="1">
        <v>46187</v>
      </c>
      <c r="J927">
        <v>72</v>
      </c>
      <c r="K927" t="s">
        <v>4127</v>
      </c>
      <c r="L927" t="s">
        <v>4764</v>
      </c>
      <c r="M927">
        <v>7</v>
      </c>
      <c r="N927">
        <v>14</v>
      </c>
      <c r="O927" t="s">
        <v>1036</v>
      </c>
      <c r="P927" s="17"/>
      <c r="Q927" s="17" t="str">
        <f>_xlfn.XLOOKUP(Table2[[#This Row],[buyFromVendorNo]],'Next Day Scheduled'!A:A,'Pending Returns'!O:O,"NOT_FOUND")</f>
        <v>NOT_FOUND</v>
      </c>
    </row>
    <row r="928" spans="1:17" x14ac:dyDescent="0.3">
      <c r="A928" s="1">
        <v>46187</v>
      </c>
      <c r="B928" t="s">
        <v>3318</v>
      </c>
      <c r="C928" t="s">
        <v>364</v>
      </c>
      <c r="D928" t="s">
        <v>375</v>
      </c>
      <c r="E928" t="s">
        <v>8</v>
      </c>
      <c r="F928" t="s">
        <v>10</v>
      </c>
      <c r="G928" s="16">
        <v>1528.4749999999999</v>
      </c>
      <c r="H928" s="16">
        <v>1748.0938000000001</v>
      </c>
      <c r="I928" s="1">
        <v>46177</v>
      </c>
      <c r="J928">
        <v>72</v>
      </c>
      <c r="K928" t="s">
        <v>3319</v>
      </c>
      <c r="L928" t="s">
        <v>4805</v>
      </c>
      <c r="M928">
        <v>10</v>
      </c>
      <c r="N928">
        <v>5</v>
      </c>
      <c r="O928" t="s">
        <v>1036</v>
      </c>
      <c r="P928" s="17"/>
      <c r="Q928" s="17" t="str">
        <f>_xlfn.XLOOKUP(Table2[[#This Row],[buyFromVendorNo]],'Next Day Scheduled'!A:A,'Pending Returns'!O:O,"NOT_FOUND")</f>
        <v>NOT_FOUND</v>
      </c>
    </row>
    <row r="929" spans="1:17" x14ac:dyDescent="0.3">
      <c r="A929" s="1">
        <v>46187</v>
      </c>
      <c r="B929" t="s">
        <v>2682</v>
      </c>
      <c r="C929" t="s">
        <v>158</v>
      </c>
      <c r="D929" t="s">
        <v>159</v>
      </c>
      <c r="E929" t="s">
        <v>8</v>
      </c>
      <c r="F929" t="s">
        <v>10</v>
      </c>
      <c r="G929" s="16">
        <v>3098.1849999999999</v>
      </c>
      <c r="H929" s="16">
        <v>3562.9128000000001</v>
      </c>
      <c r="I929" s="1">
        <v>46175</v>
      </c>
      <c r="J929">
        <v>72</v>
      </c>
      <c r="K929" t="s">
        <v>2683</v>
      </c>
      <c r="L929" t="s">
        <v>4806</v>
      </c>
      <c r="M929">
        <v>9</v>
      </c>
      <c r="N929">
        <v>6</v>
      </c>
      <c r="O929" t="s">
        <v>1036</v>
      </c>
      <c r="P929" s="17"/>
      <c r="Q929" s="17" t="str">
        <f>_xlfn.XLOOKUP(Table2[[#This Row],[buyFromVendorNo]],'Next Day Scheduled'!A:A,'Pending Returns'!O:O,"NOT_FOUND")</f>
        <v>Posted Credit Note</v>
      </c>
    </row>
    <row r="930" spans="1:17" x14ac:dyDescent="0.3">
      <c r="A930" s="1">
        <v>46187</v>
      </c>
      <c r="B930" t="s">
        <v>1234</v>
      </c>
      <c r="C930" t="s">
        <v>302</v>
      </c>
      <c r="D930" t="s">
        <v>303</v>
      </c>
      <c r="E930" t="s">
        <v>8</v>
      </c>
      <c r="F930" t="s">
        <v>10</v>
      </c>
      <c r="G930" s="16">
        <v>858.06110000000001</v>
      </c>
      <c r="H930" s="16">
        <v>985.57024999999999</v>
      </c>
      <c r="I930" s="1">
        <v>46177</v>
      </c>
      <c r="J930">
        <v>72</v>
      </c>
      <c r="K930" t="s">
        <v>3042</v>
      </c>
      <c r="L930" t="s">
        <v>4789</v>
      </c>
      <c r="M930">
        <v>7</v>
      </c>
      <c r="N930">
        <v>1</v>
      </c>
      <c r="O930" t="s">
        <v>1036</v>
      </c>
      <c r="P930" s="17"/>
      <c r="Q930" s="17" t="str">
        <f>_xlfn.XLOOKUP(Table2[[#This Row],[buyFromVendorNo]],'Next Day Scheduled'!A:A,'Pending Returns'!O:O,"NOT_FOUND")</f>
        <v>NOT_FOUND</v>
      </c>
    </row>
    <row r="931" spans="1:17" x14ac:dyDescent="0.3">
      <c r="A931" s="1">
        <v>46187</v>
      </c>
      <c r="B931" t="s">
        <v>3461</v>
      </c>
      <c r="C931" t="s">
        <v>2499</v>
      </c>
      <c r="D931" t="s">
        <v>2500</v>
      </c>
      <c r="E931" t="s">
        <v>8</v>
      </c>
      <c r="F931" t="s">
        <v>10</v>
      </c>
      <c r="G931" s="16">
        <v>931.81910000000005</v>
      </c>
      <c r="H931" s="16">
        <v>1071.5920000000001</v>
      </c>
      <c r="I931" s="1">
        <v>46184</v>
      </c>
      <c r="J931">
        <v>72</v>
      </c>
      <c r="K931" t="s">
        <v>3462</v>
      </c>
      <c r="L931" t="s">
        <v>4811</v>
      </c>
      <c r="M931">
        <v>10</v>
      </c>
      <c r="N931">
        <v>6</v>
      </c>
      <c r="O931" t="s">
        <v>1036</v>
      </c>
      <c r="P931" s="17"/>
      <c r="Q931" s="17" t="str">
        <f>_xlfn.XLOOKUP(Table2[[#This Row],[buyFromVendorNo]],'Next Day Scheduled'!A:A,'Pending Returns'!O:O,"NOT_FOUND")</f>
        <v>NOT_FOUND</v>
      </c>
    </row>
    <row r="932" spans="1:17" x14ac:dyDescent="0.3">
      <c r="A932" s="1">
        <v>46187</v>
      </c>
      <c r="B932" t="s">
        <v>3477</v>
      </c>
      <c r="C932" t="s">
        <v>364</v>
      </c>
      <c r="D932" t="s">
        <v>375</v>
      </c>
      <c r="E932" t="s">
        <v>8</v>
      </c>
      <c r="F932" t="s">
        <v>10</v>
      </c>
      <c r="G932" s="16">
        <v>1131</v>
      </c>
      <c r="H932" s="16">
        <v>1300.6500000000001</v>
      </c>
      <c r="I932" s="1">
        <v>46177</v>
      </c>
      <c r="J932">
        <v>72</v>
      </c>
      <c r="K932" t="s">
        <v>3478</v>
      </c>
      <c r="L932" t="s">
        <v>4816</v>
      </c>
      <c r="M932">
        <v>10</v>
      </c>
      <c r="N932">
        <v>5</v>
      </c>
      <c r="O932" t="s">
        <v>1036</v>
      </c>
      <c r="P932" s="17"/>
      <c r="Q932" s="17" t="str">
        <f>_xlfn.XLOOKUP(Table2[[#This Row],[buyFromVendorNo]],'Next Day Scheduled'!A:A,'Pending Returns'!O:O,"NOT_FOUND")</f>
        <v>NOT_FOUND</v>
      </c>
    </row>
    <row r="933" spans="1:17" x14ac:dyDescent="0.3">
      <c r="A933" s="1">
        <v>46187</v>
      </c>
      <c r="B933" t="s">
        <v>3306</v>
      </c>
      <c r="C933" t="s">
        <v>2304</v>
      </c>
      <c r="D933" t="s">
        <v>2305</v>
      </c>
      <c r="E933" t="s">
        <v>8</v>
      </c>
      <c r="F933" t="s">
        <v>10</v>
      </c>
      <c r="G933" s="16">
        <v>292.33699999999999</v>
      </c>
      <c r="H933" s="16">
        <v>336.18756000000002</v>
      </c>
      <c r="I933" s="1">
        <v>46177</v>
      </c>
      <c r="J933">
        <v>72</v>
      </c>
      <c r="K933" t="s">
        <v>3227</v>
      </c>
      <c r="L933" t="s">
        <v>4817</v>
      </c>
      <c r="M933">
        <v>7</v>
      </c>
      <c r="N933">
        <v>14</v>
      </c>
      <c r="O933" t="s">
        <v>1036</v>
      </c>
      <c r="P933" s="17"/>
      <c r="Q933" s="17" t="str">
        <f>_xlfn.XLOOKUP(Table2[[#This Row],[buyFromVendorNo]],'Next Day Scheduled'!A:A,'Pending Returns'!O:O,"NOT_FOUND")</f>
        <v>NOT_FOUND</v>
      </c>
    </row>
    <row r="934" spans="1:17" x14ac:dyDescent="0.3">
      <c r="A934" s="1">
        <v>46187</v>
      </c>
      <c r="B934" t="s">
        <v>2882</v>
      </c>
      <c r="C934" t="s">
        <v>364</v>
      </c>
      <c r="D934" t="s">
        <v>375</v>
      </c>
      <c r="E934" t="s">
        <v>8</v>
      </c>
      <c r="F934" t="s">
        <v>10</v>
      </c>
      <c r="G934" s="16">
        <v>1777.1</v>
      </c>
      <c r="H934" s="16">
        <v>2025.7249999999999</v>
      </c>
      <c r="I934" s="1">
        <v>46177</v>
      </c>
      <c r="J934">
        <v>72</v>
      </c>
      <c r="K934" t="s">
        <v>2883</v>
      </c>
      <c r="L934" t="s">
        <v>4767</v>
      </c>
      <c r="M934">
        <v>10</v>
      </c>
      <c r="N934">
        <v>5</v>
      </c>
      <c r="O934" t="s">
        <v>1036</v>
      </c>
      <c r="P934" s="17"/>
      <c r="Q934" s="17" t="str">
        <f>_xlfn.XLOOKUP(Table2[[#This Row],[buyFromVendorNo]],'Next Day Scheduled'!A:A,'Pending Returns'!O:O,"NOT_FOUND")</f>
        <v>NOT_FOUND</v>
      </c>
    </row>
    <row r="935" spans="1:17" x14ac:dyDescent="0.3">
      <c r="A935" s="1">
        <v>46187</v>
      </c>
      <c r="B935" t="s">
        <v>1997</v>
      </c>
      <c r="C935" t="s">
        <v>199</v>
      </c>
      <c r="D935" t="s">
        <v>200</v>
      </c>
      <c r="E935" t="s">
        <v>8</v>
      </c>
      <c r="F935" t="s">
        <v>10</v>
      </c>
      <c r="G935" s="16">
        <v>556.79999999999995</v>
      </c>
      <c r="H935" s="16">
        <v>640.32000000000005</v>
      </c>
      <c r="I935" s="1">
        <v>46183</v>
      </c>
      <c r="J935">
        <v>72</v>
      </c>
      <c r="K935" t="s">
        <v>3540</v>
      </c>
      <c r="L935" t="s">
        <v>4819</v>
      </c>
      <c r="M935">
        <v>10</v>
      </c>
      <c r="N935">
        <v>6</v>
      </c>
      <c r="O935" t="s">
        <v>1036</v>
      </c>
      <c r="P935" s="17"/>
      <c r="Q935" s="17" t="str">
        <f>_xlfn.XLOOKUP(Table2[[#This Row],[buyFromVendorNo]],'Next Day Scheduled'!A:A,'Pending Returns'!O:O,"NOT_FOUND")</f>
        <v>NOT_FOUND</v>
      </c>
    </row>
    <row r="936" spans="1:17" x14ac:dyDescent="0.3">
      <c r="A936" s="1">
        <v>46187</v>
      </c>
      <c r="B936" t="s">
        <v>3030</v>
      </c>
      <c r="C936" t="s">
        <v>1222</v>
      </c>
      <c r="D936" t="s">
        <v>1223</v>
      </c>
      <c r="E936" t="s">
        <v>8</v>
      </c>
      <c r="F936" t="s">
        <v>10</v>
      </c>
      <c r="G936" s="16">
        <v>455</v>
      </c>
      <c r="H936" s="16">
        <v>523.25</v>
      </c>
      <c r="I936" s="1">
        <v>46187</v>
      </c>
      <c r="J936">
        <v>72</v>
      </c>
      <c r="K936" t="s">
        <v>4714</v>
      </c>
      <c r="L936" t="s">
        <v>4820</v>
      </c>
      <c r="M936">
        <v>10</v>
      </c>
      <c r="N936">
        <v>3</v>
      </c>
      <c r="O936" t="s">
        <v>1036</v>
      </c>
      <c r="P936" s="17"/>
      <c r="Q936" s="17" t="str">
        <f>_xlfn.XLOOKUP(Table2[[#This Row],[buyFromVendorNo]],'Next Day Scheduled'!A:A,'Pending Returns'!O:O,"NOT_FOUND")</f>
        <v>NOT_FOUND</v>
      </c>
    </row>
    <row r="937" spans="1:17" x14ac:dyDescent="0.3">
      <c r="A937" s="1">
        <v>46187</v>
      </c>
      <c r="B937" t="s">
        <v>669</v>
      </c>
      <c r="C937" t="s">
        <v>139</v>
      </c>
      <c r="D937" t="s">
        <v>140</v>
      </c>
      <c r="E937" t="s">
        <v>8</v>
      </c>
      <c r="F937" t="s">
        <v>10</v>
      </c>
      <c r="G937" s="16">
        <v>2212.5684000000001</v>
      </c>
      <c r="H937" s="16">
        <v>2544.4535999999998</v>
      </c>
      <c r="I937" s="1">
        <v>46184</v>
      </c>
      <c r="J937">
        <v>72</v>
      </c>
      <c r="K937" t="s">
        <v>2395</v>
      </c>
      <c r="L937" t="s">
        <v>4709</v>
      </c>
      <c r="M937">
        <v>12</v>
      </c>
      <c r="N937">
        <v>7</v>
      </c>
      <c r="O937" t="s">
        <v>1036</v>
      </c>
      <c r="P937" s="17"/>
      <c r="Q937" s="17" t="str">
        <f>_xlfn.XLOOKUP(Table2[[#This Row],[buyFromVendorNo]],'Next Day Scheduled'!A:A,'Pending Returns'!O:O,"NOT_FOUND")</f>
        <v>NOT_FOUND</v>
      </c>
    </row>
    <row r="938" spans="1:17" x14ac:dyDescent="0.3">
      <c r="A938" s="1">
        <v>46187</v>
      </c>
      <c r="B938" t="s">
        <v>4159</v>
      </c>
      <c r="C938" t="s">
        <v>175</v>
      </c>
      <c r="D938" t="s">
        <v>176</v>
      </c>
      <c r="E938" t="s">
        <v>8</v>
      </c>
      <c r="F938" t="s">
        <v>10</v>
      </c>
      <c r="G938" s="16">
        <v>80</v>
      </c>
      <c r="H938" s="16">
        <v>92</v>
      </c>
      <c r="I938" s="1">
        <v>46185</v>
      </c>
      <c r="J938">
        <v>72</v>
      </c>
      <c r="K938" t="s">
        <v>4160</v>
      </c>
      <c r="L938" t="s">
        <v>4769</v>
      </c>
      <c r="M938">
        <v>10</v>
      </c>
      <c r="N938">
        <v>6</v>
      </c>
      <c r="O938" t="s">
        <v>1036</v>
      </c>
      <c r="P938" s="17"/>
      <c r="Q938" s="17" t="str">
        <f>_xlfn.XLOOKUP(Table2[[#This Row],[buyFromVendorNo]],'Next Day Scheduled'!A:A,'Pending Returns'!O:O,"NOT_FOUND")</f>
        <v>Posted Credit Note</v>
      </c>
    </row>
    <row r="939" spans="1:17" x14ac:dyDescent="0.3">
      <c r="A939" s="1">
        <v>46187</v>
      </c>
      <c r="B939" t="s">
        <v>3470</v>
      </c>
      <c r="C939" t="s">
        <v>2294</v>
      </c>
      <c r="D939" t="s">
        <v>2295</v>
      </c>
      <c r="E939" t="s">
        <v>8</v>
      </c>
      <c r="F939" t="s">
        <v>10</v>
      </c>
      <c r="G939" s="16">
        <v>1240.9655</v>
      </c>
      <c r="H939" s="16">
        <v>1427.1104</v>
      </c>
      <c r="I939" s="1">
        <v>46177</v>
      </c>
      <c r="J939">
        <v>72</v>
      </c>
      <c r="K939" t="s">
        <v>3471</v>
      </c>
      <c r="L939" t="s">
        <v>4823</v>
      </c>
      <c r="M939">
        <v>9</v>
      </c>
      <c r="N939">
        <v>14</v>
      </c>
      <c r="O939" t="s">
        <v>1036</v>
      </c>
      <c r="P939" s="17"/>
      <c r="Q939" s="17" t="str">
        <f>_xlfn.XLOOKUP(Table2[[#This Row],[buyFromVendorNo]],'Next Day Scheduled'!A:A,'Pending Returns'!O:O,"NOT_FOUND")</f>
        <v>NOT_FOUND</v>
      </c>
    </row>
    <row r="940" spans="1:17" x14ac:dyDescent="0.3">
      <c r="A940" s="1">
        <v>46187</v>
      </c>
      <c r="B940" t="s">
        <v>309</v>
      </c>
      <c r="C940" t="s">
        <v>576</v>
      </c>
      <c r="D940" t="s">
        <v>577</v>
      </c>
      <c r="E940" t="s">
        <v>8</v>
      </c>
      <c r="F940" t="s">
        <v>10</v>
      </c>
      <c r="G940" s="16">
        <v>4563.7964000000002</v>
      </c>
      <c r="H940" s="16">
        <v>5248.3657000000003</v>
      </c>
      <c r="I940" s="1">
        <v>46180</v>
      </c>
      <c r="J940">
        <v>72</v>
      </c>
      <c r="K940" t="s">
        <v>2238</v>
      </c>
      <c r="L940" t="s">
        <v>4786</v>
      </c>
      <c r="M940">
        <v>11</v>
      </c>
      <c r="N940">
        <v>3</v>
      </c>
      <c r="O940" t="s">
        <v>1036</v>
      </c>
      <c r="P940" s="17"/>
      <c r="Q940" s="17" t="str">
        <f>_xlfn.XLOOKUP(Table2[[#This Row],[buyFromVendorNo]],'Next Day Scheduled'!A:A,'Pending Returns'!O:O,"NOT_FOUND")</f>
        <v>NOT_FOUND</v>
      </c>
    </row>
    <row r="941" spans="1:17" x14ac:dyDescent="0.3">
      <c r="A941" s="1">
        <v>46187</v>
      </c>
      <c r="B941" t="s">
        <v>3737</v>
      </c>
      <c r="C941" t="s">
        <v>139</v>
      </c>
      <c r="D941" t="s">
        <v>140</v>
      </c>
      <c r="E941" t="s">
        <v>8</v>
      </c>
      <c r="F941" t="s">
        <v>10</v>
      </c>
      <c r="G941" s="16">
        <v>131.14879999999999</v>
      </c>
      <c r="H941" s="16">
        <v>150.82112000000001</v>
      </c>
      <c r="I941" s="1">
        <v>46184</v>
      </c>
      <c r="J941">
        <v>72</v>
      </c>
      <c r="K941" t="s">
        <v>3682</v>
      </c>
      <c r="L941" t="s">
        <v>4717</v>
      </c>
      <c r="M941">
        <v>12</v>
      </c>
      <c r="N941">
        <v>7</v>
      </c>
      <c r="O941" t="s">
        <v>1036</v>
      </c>
      <c r="P941" s="17"/>
      <c r="Q941" s="17" t="str">
        <f>_xlfn.XLOOKUP(Table2[[#This Row],[buyFromVendorNo]],'Next Day Scheduled'!A:A,'Pending Returns'!O:O,"NOT_FOUND")</f>
        <v>NOT_FOUND</v>
      </c>
    </row>
    <row r="942" spans="1:17" x14ac:dyDescent="0.3">
      <c r="A942" s="1">
        <v>46187</v>
      </c>
      <c r="B942" t="s">
        <v>3890</v>
      </c>
      <c r="C942" t="s">
        <v>2296</v>
      </c>
      <c r="D942" t="s">
        <v>2297</v>
      </c>
      <c r="E942" t="s">
        <v>8</v>
      </c>
      <c r="F942" t="s">
        <v>10</v>
      </c>
      <c r="G942" s="16">
        <v>240</v>
      </c>
      <c r="H942" s="16">
        <v>276</v>
      </c>
      <c r="I942" s="1">
        <v>46184</v>
      </c>
      <c r="J942">
        <v>72</v>
      </c>
      <c r="K942" t="s">
        <v>4000</v>
      </c>
      <c r="L942" t="s">
        <v>4804</v>
      </c>
      <c r="M942">
        <v>10</v>
      </c>
      <c r="N942">
        <v>7</v>
      </c>
      <c r="O942" t="s">
        <v>1036</v>
      </c>
      <c r="P942" s="17"/>
      <c r="Q942" s="17" t="str">
        <f>_xlfn.XLOOKUP(Table2[[#This Row],[buyFromVendorNo]],'Next Day Scheduled'!A:A,'Pending Returns'!O:O,"NOT_FOUND")</f>
        <v>NOT_FOUND</v>
      </c>
    </row>
    <row r="943" spans="1:17" x14ac:dyDescent="0.3">
      <c r="A943" s="1">
        <v>46187</v>
      </c>
      <c r="B943" t="s">
        <v>3399</v>
      </c>
      <c r="C943" t="s">
        <v>2313</v>
      </c>
      <c r="D943" t="s">
        <v>2314</v>
      </c>
      <c r="E943" t="s">
        <v>8</v>
      </c>
      <c r="F943" t="s">
        <v>10</v>
      </c>
      <c r="G943" s="16">
        <v>308</v>
      </c>
      <c r="H943" s="16">
        <v>354.2</v>
      </c>
      <c r="I943" s="1">
        <v>46181</v>
      </c>
      <c r="J943">
        <v>72</v>
      </c>
      <c r="K943" t="s">
        <v>3400</v>
      </c>
      <c r="L943" t="s">
        <v>4765</v>
      </c>
      <c r="M943">
        <v>11</v>
      </c>
      <c r="N943">
        <v>3</v>
      </c>
      <c r="O943" t="s">
        <v>1036</v>
      </c>
      <c r="P943" s="17"/>
      <c r="Q943" s="17" t="str">
        <f>_xlfn.XLOOKUP(Table2[[#This Row],[buyFromVendorNo]],'Next Day Scheduled'!A:A,'Pending Returns'!O:O,"NOT_FOUND")</f>
        <v>NOT_FOUND</v>
      </c>
    </row>
    <row r="944" spans="1:17" x14ac:dyDescent="0.3">
      <c r="A944" s="1">
        <v>46187</v>
      </c>
      <c r="B944" t="s">
        <v>3240</v>
      </c>
      <c r="C944" t="s">
        <v>310</v>
      </c>
      <c r="D944" t="s">
        <v>311</v>
      </c>
      <c r="E944" t="s">
        <v>8</v>
      </c>
      <c r="F944" t="s">
        <v>10</v>
      </c>
      <c r="G944" s="16">
        <v>124.8</v>
      </c>
      <c r="H944" s="16">
        <v>143.52000000000001</v>
      </c>
      <c r="I944" s="1">
        <v>46177</v>
      </c>
      <c r="J944">
        <v>72</v>
      </c>
      <c r="K944" t="s">
        <v>3076</v>
      </c>
      <c r="L944" t="s">
        <v>4810</v>
      </c>
      <c r="M944">
        <v>9</v>
      </c>
      <c r="N944">
        <v>2</v>
      </c>
      <c r="O944" t="s">
        <v>1036</v>
      </c>
      <c r="P944" s="17"/>
      <c r="Q944" s="17" t="str">
        <f>_xlfn.XLOOKUP(Table2[[#This Row],[buyFromVendorNo]],'Next Day Scheduled'!A:A,'Pending Returns'!O:O,"NOT_FOUND")</f>
        <v>NOT_FOUND</v>
      </c>
    </row>
    <row r="945" spans="1:17" x14ac:dyDescent="0.3">
      <c r="A945" s="1">
        <v>46187</v>
      </c>
      <c r="B945" t="s">
        <v>2205</v>
      </c>
      <c r="C945" t="s">
        <v>139</v>
      </c>
      <c r="D945" t="s">
        <v>140</v>
      </c>
      <c r="E945" t="s">
        <v>8</v>
      </c>
      <c r="F945" t="s">
        <v>10</v>
      </c>
      <c r="G945" s="16">
        <v>1204.9423999999999</v>
      </c>
      <c r="H945" s="16">
        <v>1385.6837</v>
      </c>
      <c r="I945" s="1">
        <v>46184</v>
      </c>
      <c r="J945">
        <v>72</v>
      </c>
      <c r="K945" t="s">
        <v>4036</v>
      </c>
      <c r="L945" t="s">
        <v>4713</v>
      </c>
      <c r="M945">
        <v>12</v>
      </c>
      <c r="N945">
        <v>7</v>
      </c>
      <c r="O945" t="s">
        <v>1036</v>
      </c>
      <c r="P945" s="17"/>
      <c r="Q945" s="17" t="str">
        <f>_xlfn.XLOOKUP(Table2[[#This Row],[buyFromVendorNo]],'Next Day Scheduled'!A:A,'Pending Returns'!O:O,"NOT_FOUND")</f>
        <v>NOT_FOUND</v>
      </c>
    </row>
    <row r="946" spans="1:17" x14ac:dyDescent="0.3">
      <c r="A946" s="1">
        <v>46187</v>
      </c>
      <c r="B946" t="s">
        <v>3391</v>
      </c>
      <c r="C946" t="s">
        <v>301</v>
      </c>
      <c r="D946" t="s">
        <v>370</v>
      </c>
      <c r="E946" t="s">
        <v>8</v>
      </c>
      <c r="F946" t="s">
        <v>10</v>
      </c>
      <c r="G946" s="16">
        <v>320.476</v>
      </c>
      <c r="H946" s="16">
        <v>368.54739999999998</v>
      </c>
      <c r="I946" s="1">
        <v>46185</v>
      </c>
      <c r="J946">
        <v>72</v>
      </c>
      <c r="K946" t="s">
        <v>4557</v>
      </c>
      <c r="L946" t="s">
        <v>4809</v>
      </c>
      <c r="M946">
        <v>19</v>
      </c>
      <c r="N946">
        <v>5</v>
      </c>
      <c r="O946" t="s">
        <v>1036</v>
      </c>
      <c r="P946" s="17"/>
      <c r="Q946" s="17" t="str">
        <f>_xlfn.XLOOKUP(Table2[[#This Row],[buyFromVendorNo]],'Next Day Scheduled'!A:A,'Pending Returns'!O:O,"NOT_FOUND")</f>
        <v>NOT_FOUND</v>
      </c>
    </row>
    <row r="947" spans="1:17" x14ac:dyDescent="0.3">
      <c r="A947" s="1">
        <v>46187</v>
      </c>
      <c r="B947" t="s">
        <v>3912</v>
      </c>
      <c r="C947" t="s">
        <v>175</v>
      </c>
      <c r="D947" t="s">
        <v>176</v>
      </c>
      <c r="E947" t="s">
        <v>8</v>
      </c>
      <c r="F947" t="s">
        <v>10</v>
      </c>
      <c r="G947" s="16">
        <v>59.5</v>
      </c>
      <c r="H947" s="16">
        <v>68.424999999999997</v>
      </c>
      <c r="I947" s="1">
        <v>46185</v>
      </c>
      <c r="J947">
        <v>72</v>
      </c>
      <c r="K947" t="s">
        <v>3913</v>
      </c>
      <c r="L947" t="s">
        <v>4814</v>
      </c>
      <c r="M947">
        <v>10</v>
      </c>
      <c r="N947">
        <v>6</v>
      </c>
      <c r="O947" t="s">
        <v>1036</v>
      </c>
      <c r="P947" s="17"/>
      <c r="Q947" s="17" t="str">
        <f>_xlfn.XLOOKUP(Table2[[#This Row],[buyFromVendorNo]],'Next Day Scheduled'!A:A,'Pending Returns'!O:O,"NOT_FOUND")</f>
        <v>Posted Credit Note</v>
      </c>
    </row>
    <row r="948" spans="1:17" x14ac:dyDescent="0.3">
      <c r="A948" s="1">
        <v>46187</v>
      </c>
      <c r="B948" t="s">
        <v>3258</v>
      </c>
      <c r="C948" t="s">
        <v>576</v>
      </c>
      <c r="D948" t="s">
        <v>577</v>
      </c>
      <c r="E948" t="s">
        <v>8</v>
      </c>
      <c r="F948" t="s">
        <v>10</v>
      </c>
      <c r="G948" s="16">
        <v>83.065160000000006</v>
      </c>
      <c r="H948" s="16">
        <v>95.524940000000001</v>
      </c>
      <c r="I948" s="1">
        <v>46180</v>
      </c>
      <c r="J948">
        <v>72</v>
      </c>
      <c r="K948" t="s">
        <v>3122</v>
      </c>
      <c r="L948" t="s">
        <v>4815</v>
      </c>
      <c r="M948">
        <v>11</v>
      </c>
      <c r="N948">
        <v>3</v>
      </c>
      <c r="O948" t="s">
        <v>1036</v>
      </c>
      <c r="P948" s="17"/>
      <c r="Q948" s="17" t="str">
        <f>_xlfn.XLOOKUP(Table2[[#This Row],[buyFromVendorNo]],'Next Day Scheduled'!A:A,'Pending Returns'!O:O,"NOT_FOUND")</f>
        <v>NOT_FOUND</v>
      </c>
    </row>
    <row r="949" spans="1:17" x14ac:dyDescent="0.3">
      <c r="A949" s="1">
        <v>46187</v>
      </c>
      <c r="B949" t="s">
        <v>3985</v>
      </c>
      <c r="C949" t="s">
        <v>3986</v>
      </c>
      <c r="D949" t="s">
        <v>3987</v>
      </c>
      <c r="E949" t="s">
        <v>8</v>
      </c>
      <c r="F949" t="s">
        <v>10</v>
      </c>
      <c r="G949" s="16">
        <v>1223.211</v>
      </c>
      <c r="H949" s="16">
        <v>1406.6926000000001</v>
      </c>
      <c r="I949" s="1">
        <v>46184</v>
      </c>
      <c r="J949">
        <v>72</v>
      </c>
      <c r="K949" t="s">
        <v>3988</v>
      </c>
      <c r="L949" t="s">
        <v>4778</v>
      </c>
      <c r="M949">
        <v>0</v>
      </c>
      <c r="N949">
        <v>124</v>
      </c>
      <c r="O949" t="s">
        <v>1036</v>
      </c>
      <c r="P949" s="17"/>
      <c r="Q949" s="17" t="str">
        <f>_xlfn.XLOOKUP(Table2[[#This Row],[buyFromVendorNo]],'Next Day Scheduled'!A:A,'Pending Returns'!O:O,"NOT_FOUND")</f>
        <v>NOT_FOUND</v>
      </c>
    </row>
    <row r="950" spans="1:17" x14ac:dyDescent="0.3">
      <c r="A950" s="1">
        <v>46187</v>
      </c>
      <c r="B950" t="s">
        <v>4460</v>
      </c>
      <c r="C950" t="s">
        <v>65</v>
      </c>
      <c r="D950" t="s">
        <v>66</v>
      </c>
      <c r="E950" t="s">
        <v>8</v>
      </c>
      <c r="F950" t="s">
        <v>169</v>
      </c>
      <c r="G950" s="16">
        <v>1000.5225</v>
      </c>
      <c r="H950" s="16">
        <v>1150.6007999999999</v>
      </c>
      <c r="I950" s="1">
        <v>46183</v>
      </c>
      <c r="J950">
        <v>72</v>
      </c>
      <c r="K950" t="s">
        <v>4461</v>
      </c>
      <c r="L950" t="s">
        <v>4777</v>
      </c>
      <c r="M950">
        <v>20</v>
      </c>
      <c r="N950">
        <v>5</v>
      </c>
      <c r="O950" t="s">
        <v>1036</v>
      </c>
      <c r="P950" s="17"/>
      <c r="Q950" s="17" t="str">
        <f>_xlfn.XLOOKUP(Table2[[#This Row],[buyFromVendorNo]],'Next Day Scheduled'!A:A,'Pending Returns'!O:O,"NOT_FOUND")</f>
        <v>Posted Credit Note</v>
      </c>
    </row>
    <row r="951" spans="1:17" x14ac:dyDescent="0.3">
      <c r="A951" s="1">
        <v>46187</v>
      </c>
      <c r="B951" t="s">
        <v>2088</v>
      </c>
      <c r="C951" t="s">
        <v>154</v>
      </c>
      <c r="D951" t="s">
        <v>155</v>
      </c>
      <c r="E951" t="s">
        <v>8</v>
      </c>
      <c r="F951" t="s">
        <v>38</v>
      </c>
      <c r="G951" s="16">
        <v>765.79</v>
      </c>
      <c r="H951" s="16">
        <v>880.6585</v>
      </c>
      <c r="I951" s="1">
        <v>46177</v>
      </c>
      <c r="J951">
        <v>72</v>
      </c>
      <c r="K951" t="s">
        <v>2089</v>
      </c>
      <c r="L951" t="s">
        <v>4779</v>
      </c>
      <c r="M951">
        <v>6</v>
      </c>
      <c r="N951">
        <v>7</v>
      </c>
      <c r="O951" t="s">
        <v>1036</v>
      </c>
      <c r="P951" s="17"/>
      <c r="Q951" s="17" t="str">
        <f>_xlfn.XLOOKUP(Table2[[#This Row],[buyFromVendorNo]],'Next Day Scheduled'!A:A,'Pending Returns'!O:O,"NOT_FOUND")</f>
        <v>NOT_FOUND</v>
      </c>
    </row>
    <row r="952" spans="1:17" x14ac:dyDescent="0.3">
      <c r="A952" s="1">
        <v>46187</v>
      </c>
      <c r="B952" t="s">
        <v>1319</v>
      </c>
      <c r="C952" t="s">
        <v>139</v>
      </c>
      <c r="D952" t="s">
        <v>140</v>
      </c>
      <c r="E952" t="s">
        <v>8</v>
      </c>
      <c r="F952" t="s">
        <v>10</v>
      </c>
      <c r="G952" s="16">
        <v>195.91220000000001</v>
      </c>
      <c r="H952" s="16">
        <v>225.29906</v>
      </c>
      <c r="I952" s="1">
        <v>46184</v>
      </c>
      <c r="J952">
        <v>72</v>
      </c>
      <c r="K952" t="s">
        <v>2990</v>
      </c>
      <c r="L952" t="s">
        <v>4725</v>
      </c>
      <c r="M952">
        <v>12</v>
      </c>
      <c r="N952">
        <v>7</v>
      </c>
      <c r="O952" t="s">
        <v>1036</v>
      </c>
      <c r="P952" s="17"/>
      <c r="Q952" s="17" t="str">
        <f>_xlfn.XLOOKUP(Table2[[#This Row],[buyFromVendorNo]],'Next Day Scheduled'!A:A,'Pending Returns'!O:O,"NOT_FOUND")</f>
        <v>NOT_FOUND</v>
      </c>
    </row>
    <row r="953" spans="1:17" x14ac:dyDescent="0.3">
      <c r="A953" s="1">
        <v>46187</v>
      </c>
      <c r="B953" t="s">
        <v>3516</v>
      </c>
      <c r="C953" t="s">
        <v>302</v>
      </c>
      <c r="D953" t="s">
        <v>303</v>
      </c>
      <c r="E953" t="s">
        <v>8</v>
      </c>
      <c r="F953" t="s">
        <v>10</v>
      </c>
      <c r="G953" s="16">
        <v>883.46123999999998</v>
      </c>
      <c r="H953" s="16">
        <v>1015.9804</v>
      </c>
      <c r="I953" s="1">
        <v>46177</v>
      </c>
      <c r="J953">
        <v>72</v>
      </c>
      <c r="K953" t="s">
        <v>3517</v>
      </c>
      <c r="L953" t="s">
        <v>4780</v>
      </c>
      <c r="M953">
        <v>7</v>
      </c>
      <c r="N953">
        <v>1</v>
      </c>
      <c r="O953" t="s">
        <v>1036</v>
      </c>
      <c r="P953" s="17"/>
      <c r="Q953" s="17" t="str">
        <f>_xlfn.XLOOKUP(Table2[[#This Row],[buyFromVendorNo]],'Next Day Scheduled'!A:A,'Pending Returns'!O:O,"NOT_FOUND")</f>
        <v>NOT_FOUND</v>
      </c>
    </row>
    <row r="954" spans="1:17" x14ac:dyDescent="0.3">
      <c r="A954" s="1">
        <v>46187</v>
      </c>
      <c r="B954" t="s">
        <v>2704</v>
      </c>
      <c r="C954" t="s">
        <v>576</v>
      </c>
      <c r="D954" t="s">
        <v>577</v>
      </c>
      <c r="E954" t="s">
        <v>8</v>
      </c>
      <c r="F954" t="s">
        <v>10</v>
      </c>
      <c r="G954" s="16">
        <v>107.23895</v>
      </c>
      <c r="H954" s="16">
        <v>123.32478999999999</v>
      </c>
      <c r="I954" s="1">
        <v>46187</v>
      </c>
      <c r="J954">
        <v>72</v>
      </c>
      <c r="K954" t="s">
        <v>2705</v>
      </c>
      <c r="L954" t="s">
        <v>4768</v>
      </c>
      <c r="M954">
        <v>11</v>
      </c>
      <c r="N954">
        <v>3</v>
      </c>
      <c r="O954" t="s">
        <v>1036</v>
      </c>
      <c r="P954" s="17"/>
      <c r="Q954" s="17" t="str">
        <f>_xlfn.XLOOKUP(Table2[[#This Row],[buyFromVendorNo]],'Next Day Scheduled'!A:A,'Pending Returns'!O:O,"NOT_FOUND")</f>
        <v>NOT_FOUND</v>
      </c>
    </row>
    <row r="955" spans="1:17" x14ac:dyDescent="0.3">
      <c r="A955" s="1">
        <v>46187</v>
      </c>
      <c r="B955" t="s">
        <v>283</v>
      </c>
      <c r="C955" t="s">
        <v>1031</v>
      </c>
      <c r="D955" t="s">
        <v>1032</v>
      </c>
      <c r="E955" t="s">
        <v>8</v>
      </c>
      <c r="F955" t="s">
        <v>10</v>
      </c>
      <c r="G955" s="16">
        <v>447.3</v>
      </c>
      <c r="H955" s="16">
        <v>514.39499999999998</v>
      </c>
      <c r="I955" s="1">
        <v>46177</v>
      </c>
      <c r="J955">
        <v>72</v>
      </c>
      <c r="K955" t="s">
        <v>3158</v>
      </c>
      <c r="L955" t="s">
        <v>4782</v>
      </c>
      <c r="M955">
        <v>8</v>
      </c>
      <c r="N955">
        <v>7</v>
      </c>
      <c r="O955" t="s">
        <v>1036</v>
      </c>
      <c r="P955" s="17"/>
      <c r="Q955" s="17" t="str">
        <f>_xlfn.XLOOKUP(Table2[[#This Row],[buyFromVendorNo]],'Next Day Scheduled'!A:A,'Pending Returns'!O:O,"NOT_FOUND")</f>
        <v>Pending for Collection</v>
      </c>
    </row>
    <row r="956" spans="1:17" x14ac:dyDescent="0.3">
      <c r="A956" s="1">
        <v>46187</v>
      </c>
      <c r="B956" t="s">
        <v>3251</v>
      </c>
      <c r="C956" t="s">
        <v>633</v>
      </c>
      <c r="D956" t="s">
        <v>690</v>
      </c>
      <c r="E956" t="s">
        <v>8</v>
      </c>
      <c r="F956" t="s">
        <v>10</v>
      </c>
      <c r="G956" s="16">
        <v>292.48599999999999</v>
      </c>
      <c r="H956" s="16">
        <v>336.35890000000001</v>
      </c>
      <c r="I956" s="1">
        <v>46174</v>
      </c>
      <c r="J956">
        <v>72</v>
      </c>
      <c r="K956" t="s">
        <v>3078</v>
      </c>
      <c r="L956" t="s">
        <v>4797</v>
      </c>
      <c r="M956">
        <v>10</v>
      </c>
      <c r="N956">
        <v>6</v>
      </c>
      <c r="O956" t="s">
        <v>1036</v>
      </c>
      <c r="P956" s="17"/>
      <c r="Q956" s="17" t="str">
        <f>_xlfn.XLOOKUP(Table2[[#This Row],[buyFromVendorNo]],'Next Day Scheduled'!A:A,'Pending Returns'!O:O,"NOT_FOUND")</f>
        <v>NOT_FOUND</v>
      </c>
    </row>
    <row r="957" spans="1:17" x14ac:dyDescent="0.3">
      <c r="A957" s="1">
        <v>46187</v>
      </c>
      <c r="B957" t="s">
        <v>3972</v>
      </c>
      <c r="C957" t="s">
        <v>139</v>
      </c>
      <c r="D957" t="s">
        <v>140</v>
      </c>
      <c r="E957" t="s">
        <v>8</v>
      </c>
      <c r="F957" t="s">
        <v>10</v>
      </c>
      <c r="G957" s="16">
        <v>32.787199999999999</v>
      </c>
      <c r="H957" s="16">
        <v>37.705280000000002</v>
      </c>
      <c r="I957" s="1">
        <v>46184</v>
      </c>
      <c r="J957">
        <v>72</v>
      </c>
      <c r="K957" t="s">
        <v>3973</v>
      </c>
      <c r="L957" t="s">
        <v>4729</v>
      </c>
      <c r="M957">
        <v>12</v>
      </c>
      <c r="N957">
        <v>7</v>
      </c>
      <c r="O957" t="s">
        <v>1036</v>
      </c>
      <c r="P957" s="17"/>
      <c r="Q957" s="17" t="str">
        <f>_xlfn.XLOOKUP(Table2[[#This Row],[buyFromVendorNo]],'Next Day Scheduled'!A:A,'Pending Returns'!O:O,"NOT_FOUND")</f>
        <v>NOT_FOUND</v>
      </c>
    </row>
    <row r="958" spans="1:17" x14ac:dyDescent="0.3">
      <c r="A958" s="1">
        <v>46187</v>
      </c>
      <c r="B958" t="s">
        <v>3324</v>
      </c>
      <c r="C958" t="s">
        <v>2276</v>
      </c>
      <c r="D958" t="s">
        <v>2698</v>
      </c>
      <c r="E958" t="s">
        <v>8</v>
      </c>
      <c r="F958" t="s">
        <v>10</v>
      </c>
      <c r="G958" s="16">
        <v>233.54</v>
      </c>
      <c r="H958" s="16">
        <v>268.57100000000003</v>
      </c>
      <c r="I958" s="1">
        <v>46187</v>
      </c>
      <c r="J958">
        <v>72</v>
      </c>
      <c r="K958" t="s">
        <v>4248</v>
      </c>
      <c r="L958" t="s">
        <v>4825</v>
      </c>
      <c r="M958">
        <v>9</v>
      </c>
      <c r="N958">
        <v>9</v>
      </c>
      <c r="O958" t="s">
        <v>1036</v>
      </c>
      <c r="P958" s="17"/>
      <c r="Q958" s="17" t="str">
        <f>_xlfn.XLOOKUP(Table2[[#This Row],[buyFromVendorNo]],'Next Day Scheduled'!A:A,'Pending Returns'!O:O,"NOT_FOUND")</f>
        <v>NOT_FOUND</v>
      </c>
    </row>
    <row r="959" spans="1:17" x14ac:dyDescent="0.3">
      <c r="A959" s="1">
        <v>46187</v>
      </c>
      <c r="B959" t="s">
        <v>642</v>
      </c>
      <c r="C959" t="s">
        <v>562</v>
      </c>
      <c r="D959" t="s">
        <v>563</v>
      </c>
      <c r="E959" t="s">
        <v>8</v>
      </c>
      <c r="F959" t="s">
        <v>38</v>
      </c>
      <c r="G959" s="16">
        <v>5229.799</v>
      </c>
      <c r="H959" s="16">
        <v>6014.2686000000003</v>
      </c>
      <c r="I959" s="1">
        <v>46187</v>
      </c>
      <c r="J959">
        <v>72</v>
      </c>
      <c r="K959" t="s">
        <v>4496</v>
      </c>
      <c r="L959" t="s">
        <v>4787</v>
      </c>
      <c r="M959">
        <v>29</v>
      </c>
      <c r="N959">
        <v>23</v>
      </c>
      <c r="O959" t="s">
        <v>1036</v>
      </c>
      <c r="P959" s="17"/>
      <c r="Q959" s="17" t="str">
        <f>_xlfn.XLOOKUP(Table2[[#This Row],[buyFromVendorNo]],'Next Day Scheduled'!A:A,'Pending Returns'!O:O,"NOT_FOUND")</f>
        <v>NOT_FOUND</v>
      </c>
    </row>
    <row r="960" spans="1:17" x14ac:dyDescent="0.3">
      <c r="A960" s="1">
        <v>46187</v>
      </c>
      <c r="B960" t="s">
        <v>3338</v>
      </c>
      <c r="C960" t="s">
        <v>364</v>
      </c>
      <c r="D960" t="s">
        <v>375</v>
      </c>
      <c r="E960" t="s">
        <v>8</v>
      </c>
      <c r="F960" t="s">
        <v>10</v>
      </c>
      <c r="G960" s="16">
        <v>951.21789999999999</v>
      </c>
      <c r="H960" s="16">
        <v>1082.3566000000001</v>
      </c>
      <c r="I960" s="1">
        <v>46177</v>
      </c>
      <c r="J960">
        <v>72</v>
      </c>
      <c r="K960" t="s">
        <v>3186</v>
      </c>
      <c r="L960" t="s">
        <v>4788</v>
      </c>
      <c r="M960">
        <v>10</v>
      </c>
      <c r="N960">
        <v>5</v>
      </c>
      <c r="O960" t="s">
        <v>1036</v>
      </c>
      <c r="P960" s="17"/>
      <c r="Q960" s="17" t="str">
        <f>_xlfn.XLOOKUP(Table2[[#This Row],[buyFromVendorNo]],'Next Day Scheduled'!A:A,'Pending Returns'!O:O,"NOT_FOUND")</f>
        <v>NOT_FOUND</v>
      </c>
    </row>
    <row r="961" spans="1:17" x14ac:dyDescent="0.3">
      <c r="A961" s="1">
        <v>46187</v>
      </c>
      <c r="B961" t="s">
        <v>677</v>
      </c>
      <c r="C961" t="s">
        <v>318</v>
      </c>
      <c r="D961" t="s">
        <v>319</v>
      </c>
      <c r="E961" t="s">
        <v>8</v>
      </c>
      <c r="F961" t="s">
        <v>10</v>
      </c>
      <c r="G961" s="16">
        <v>7850.9785000000002</v>
      </c>
      <c r="H961" s="16">
        <v>9028.625</v>
      </c>
      <c r="I961" s="1">
        <v>46176</v>
      </c>
      <c r="J961">
        <v>72</v>
      </c>
      <c r="K961" t="s">
        <v>675</v>
      </c>
      <c r="L961" t="s">
        <v>4774</v>
      </c>
      <c r="M961">
        <v>11</v>
      </c>
      <c r="N961">
        <v>2</v>
      </c>
      <c r="O961" t="s">
        <v>1036</v>
      </c>
      <c r="P961" s="17"/>
      <c r="Q961" s="17" t="str">
        <f>_xlfn.XLOOKUP(Table2[[#This Row],[buyFromVendorNo]],'Next Day Scheduled'!A:A,'Pending Returns'!O:O,"NOT_FOUND")</f>
        <v>NOT_FOUND</v>
      </c>
    </row>
    <row r="962" spans="1:17" x14ac:dyDescent="0.3">
      <c r="A962" s="1">
        <v>46187</v>
      </c>
      <c r="B962" t="s">
        <v>4465</v>
      </c>
      <c r="C962" t="s">
        <v>160</v>
      </c>
      <c r="D962" t="s">
        <v>161</v>
      </c>
      <c r="E962" t="s">
        <v>8</v>
      </c>
      <c r="F962" t="s">
        <v>10</v>
      </c>
      <c r="G962" s="16">
        <v>246.4</v>
      </c>
      <c r="H962" s="16">
        <v>281.56</v>
      </c>
      <c r="I962" s="1">
        <v>46184</v>
      </c>
      <c r="J962">
        <v>72</v>
      </c>
      <c r="K962" t="s">
        <v>4466</v>
      </c>
      <c r="L962" t="s">
        <v>4703</v>
      </c>
      <c r="M962">
        <v>10</v>
      </c>
      <c r="N962">
        <v>5</v>
      </c>
      <c r="O962" t="s">
        <v>1036</v>
      </c>
      <c r="P962" s="17"/>
      <c r="Q962" s="17" t="str">
        <f>_xlfn.XLOOKUP(Table2[[#This Row],[buyFromVendorNo]],'Next Day Scheduled'!A:A,'Pending Returns'!O:O,"NOT_FOUND")</f>
        <v>NOT_FOUND</v>
      </c>
    </row>
    <row r="963" spans="1:17" x14ac:dyDescent="0.3">
      <c r="A963" s="1">
        <v>46187</v>
      </c>
      <c r="B963" t="s">
        <v>3898</v>
      </c>
      <c r="C963" t="s">
        <v>160</v>
      </c>
      <c r="D963" t="s">
        <v>161</v>
      </c>
      <c r="E963" t="s">
        <v>8</v>
      </c>
      <c r="F963" t="s">
        <v>10</v>
      </c>
      <c r="G963" s="16">
        <v>145.6</v>
      </c>
      <c r="H963" s="16">
        <v>153.4</v>
      </c>
      <c r="I963" s="1">
        <v>46184</v>
      </c>
      <c r="J963">
        <v>72</v>
      </c>
      <c r="K963" t="s">
        <v>3974</v>
      </c>
      <c r="L963" t="s">
        <v>4718</v>
      </c>
      <c r="M963">
        <v>10</v>
      </c>
      <c r="N963">
        <v>5</v>
      </c>
      <c r="O963" t="s">
        <v>1036</v>
      </c>
      <c r="P963" s="17"/>
      <c r="Q963" s="17" t="str">
        <f>_xlfn.XLOOKUP(Table2[[#This Row],[buyFromVendorNo]],'Next Day Scheduled'!A:A,'Pending Returns'!O:O,"NOT_FOUND")</f>
        <v>NOT_FOUND</v>
      </c>
    </row>
    <row r="964" spans="1:17" x14ac:dyDescent="0.3">
      <c r="A964" s="1">
        <v>46187</v>
      </c>
      <c r="B964" t="s">
        <v>3383</v>
      </c>
      <c r="C964" t="s">
        <v>633</v>
      </c>
      <c r="D964" t="s">
        <v>690</v>
      </c>
      <c r="E964" t="s">
        <v>8</v>
      </c>
      <c r="F964" t="s">
        <v>10</v>
      </c>
      <c r="G964" s="16">
        <v>53.674999999999997</v>
      </c>
      <c r="H964" s="16">
        <v>61.72625</v>
      </c>
      <c r="I964" s="1">
        <v>46177</v>
      </c>
      <c r="J964">
        <v>72</v>
      </c>
      <c r="K964" t="s">
        <v>3196</v>
      </c>
      <c r="L964" t="s">
        <v>4776</v>
      </c>
      <c r="M964">
        <v>10</v>
      </c>
      <c r="N964">
        <v>6</v>
      </c>
      <c r="O964" t="s">
        <v>1036</v>
      </c>
      <c r="P964" s="17"/>
      <c r="Q964" s="17" t="str">
        <f>_xlfn.XLOOKUP(Table2[[#This Row],[buyFromVendorNo]],'Next Day Scheduled'!A:A,'Pending Returns'!O:O,"NOT_FOUND")</f>
        <v>NOT_FOUND</v>
      </c>
    </row>
    <row r="965" spans="1:17" x14ac:dyDescent="0.3">
      <c r="A965" s="1">
        <v>46187</v>
      </c>
      <c r="B965" t="s">
        <v>1996</v>
      </c>
      <c r="C965" t="s">
        <v>318</v>
      </c>
      <c r="D965" t="s">
        <v>319</v>
      </c>
      <c r="E965" t="s">
        <v>8</v>
      </c>
      <c r="F965" t="s">
        <v>10</v>
      </c>
      <c r="G965" s="16">
        <v>9135.3379999999997</v>
      </c>
      <c r="H965" s="16">
        <v>10505.638999999999</v>
      </c>
      <c r="I965" s="1">
        <v>46176</v>
      </c>
      <c r="J965">
        <v>72</v>
      </c>
      <c r="K965" t="s">
        <v>1902</v>
      </c>
      <c r="L965" t="s">
        <v>4808</v>
      </c>
      <c r="M965">
        <v>11</v>
      </c>
      <c r="N965">
        <v>2</v>
      </c>
      <c r="O965" t="s">
        <v>1036</v>
      </c>
      <c r="P965" s="17"/>
      <c r="Q965" s="17" t="str">
        <f>_xlfn.XLOOKUP(Table2[[#This Row],[buyFromVendorNo]],'Next Day Scheduled'!A:A,'Pending Returns'!O:O,"NOT_FOUND")</f>
        <v>NOT_FOUND</v>
      </c>
    </row>
    <row r="966" spans="1:17" x14ac:dyDescent="0.3">
      <c r="A966" s="1">
        <v>46187</v>
      </c>
      <c r="B966" t="s">
        <v>3703</v>
      </c>
      <c r="C966" t="s">
        <v>364</v>
      </c>
      <c r="D966" t="s">
        <v>375</v>
      </c>
      <c r="E966" t="s">
        <v>8</v>
      </c>
      <c r="F966" t="s">
        <v>10</v>
      </c>
      <c r="G966" s="16">
        <v>2060.2139999999999</v>
      </c>
      <c r="H966" s="16">
        <v>2327.4187000000002</v>
      </c>
      <c r="I966" s="1">
        <v>46177</v>
      </c>
      <c r="J966">
        <v>72</v>
      </c>
      <c r="K966" t="s">
        <v>3655</v>
      </c>
      <c r="L966" t="s">
        <v>4790</v>
      </c>
      <c r="M966">
        <v>10</v>
      </c>
      <c r="N966">
        <v>5</v>
      </c>
      <c r="O966" t="s">
        <v>1036</v>
      </c>
      <c r="P966" s="17"/>
      <c r="Q966" s="17" t="str">
        <f>_xlfn.XLOOKUP(Table2[[#This Row],[buyFromVendorNo]],'Next Day Scheduled'!A:A,'Pending Returns'!O:O,"NOT_FOUND")</f>
        <v>NOT_FOUND</v>
      </c>
    </row>
    <row r="967" spans="1:17" x14ac:dyDescent="0.3">
      <c r="A967" s="1">
        <v>46187</v>
      </c>
      <c r="B967" t="s">
        <v>1656</v>
      </c>
      <c r="C967" t="s">
        <v>1031</v>
      </c>
      <c r="D967" t="s">
        <v>1032</v>
      </c>
      <c r="E967" t="s">
        <v>8</v>
      </c>
      <c r="F967" t="s">
        <v>38</v>
      </c>
      <c r="G967" s="16">
        <v>9396.73</v>
      </c>
      <c r="H967" s="16">
        <v>10806.239</v>
      </c>
      <c r="I967" s="1">
        <v>46177</v>
      </c>
      <c r="J967">
        <v>72</v>
      </c>
      <c r="K967" t="s">
        <v>2905</v>
      </c>
      <c r="L967" t="s">
        <v>4791</v>
      </c>
      <c r="M967">
        <v>8</v>
      </c>
      <c r="N967">
        <v>7</v>
      </c>
      <c r="O967" t="s">
        <v>1036</v>
      </c>
      <c r="P967" s="17"/>
      <c r="Q967" s="17" t="str">
        <f>_xlfn.XLOOKUP(Table2[[#This Row],[buyFromVendorNo]],'Next Day Scheduled'!A:A,'Pending Returns'!O:O,"NOT_FOUND")</f>
        <v>Pending for Collection</v>
      </c>
    </row>
    <row r="968" spans="1:17" x14ac:dyDescent="0.3">
      <c r="A968" s="1">
        <v>46187</v>
      </c>
      <c r="B968" t="s">
        <v>3285</v>
      </c>
      <c r="C968" t="s">
        <v>199</v>
      </c>
      <c r="D968" t="s">
        <v>200</v>
      </c>
      <c r="E968" t="s">
        <v>8</v>
      </c>
      <c r="F968" t="s">
        <v>10</v>
      </c>
      <c r="G968" s="16">
        <v>534.6</v>
      </c>
      <c r="H968" s="16">
        <v>614.79</v>
      </c>
      <c r="I968" s="1">
        <v>46183</v>
      </c>
      <c r="J968">
        <v>72</v>
      </c>
      <c r="K968" t="s">
        <v>3093</v>
      </c>
      <c r="L968" t="s">
        <v>4812</v>
      </c>
      <c r="M968">
        <v>10</v>
      </c>
      <c r="N968">
        <v>6</v>
      </c>
      <c r="O968" t="s">
        <v>1036</v>
      </c>
      <c r="P968" s="17"/>
      <c r="Q968" s="17" t="str">
        <f>_xlfn.XLOOKUP(Table2[[#This Row],[buyFromVendorNo]],'Next Day Scheduled'!A:A,'Pending Returns'!O:O,"NOT_FOUND")</f>
        <v>NOT_FOUND</v>
      </c>
    </row>
    <row r="969" spans="1:17" x14ac:dyDescent="0.3">
      <c r="A969" s="1">
        <v>46187</v>
      </c>
      <c r="B969" t="s">
        <v>4175</v>
      </c>
      <c r="C969" t="s">
        <v>815</v>
      </c>
      <c r="D969" t="s">
        <v>816</v>
      </c>
      <c r="E969" t="s">
        <v>8</v>
      </c>
      <c r="F969" t="s">
        <v>10</v>
      </c>
      <c r="G969" s="16">
        <v>124.08</v>
      </c>
      <c r="H969" s="16">
        <v>142.69200000000001</v>
      </c>
      <c r="I969" s="1">
        <v>46187</v>
      </c>
      <c r="J969">
        <v>72</v>
      </c>
      <c r="K969" t="s">
        <v>4128</v>
      </c>
      <c r="L969" t="s">
        <v>4766</v>
      </c>
      <c r="M969">
        <v>13</v>
      </c>
      <c r="N969">
        <v>1</v>
      </c>
      <c r="O969" t="s">
        <v>1036</v>
      </c>
      <c r="P969" s="17"/>
      <c r="Q969" s="17" t="str">
        <f>_xlfn.XLOOKUP(Table2[[#This Row],[buyFromVendorNo]],'Next Day Scheduled'!A:A,'Pending Returns'!O:O,"NOT_FOUND")</f>
        <v>NOT_FOUND</v>
      </c>
    </row>
    <row r="970" spans="1:17" x14ac:dyDescent="0.3">
      <c r="A970" s="1">
        <v>46187</v>
      </c>
      <c r="B970" t="s">
        <v>4279</v>
      </c>
      <c r="C970" t="s">
        <v>139</v>
      </c>
      <c r="D970" t="s">
        <v>140</v>
      </c>
      <c r="E970" t="s">
        <v>8</v>
      </c>
      <c r="F970" t="s">
        <v>10</v>
      </c>
      <c r="G970" s="16">
        <v>82.513000000000005</v>
      </c>
      <c r="H970" s="16">
        <v>94.889949999999999</v>
      </c>
      <c r="I970" s="1">
        <v>46184</v>
      </c>
      <c r="J970">
        <v>72</v>
      </c>
      <c r="K970" t="s">
        <v>4280</v>
      </c>
      <c r="L970" t="s">
        <v>4707</v>
      </c>
      <c r="M970">
        <v>12</v>
      </c>
      <c r="N970">
        <v>7</v>
      </c>
      <c r="O970" t="s">
        <v>1036</v>
      </c>
      <c r="P970" s="17"/>
      <c r="Q970" s="17" t="str">
        <f>_xlfn.XLOOKUP(Table2[[#This Row],[buyFromVendorNo]],'Next Day Scheduled'!A:A,'Pending Returns'!O:O,"NOT_FOUND")</f>
        <v>NOT_FOUND</v>
      </c>
    </row>
    <row r="971" spans="1:17" x14ac:dyDescent="0.3">
      <c r="A971" s="1">
        <v>46187</v>
      </c>
      <c r="B971" t="s">
        <v>3826</v>
      </c>
      <c r="C971" t="s">
        <v>160</v>
      </c>
      <c r="D971" t="s">
        <v>161</v>
      </c>
      <c r="E971" t="s">
        <v>8</v>
      </c>
      <c r="F971" t="s">
        <v>10</v>
      </c>
      <c r="G971" s="16">
        <v>260</v>
      </c>
      <c r="H971" s="16">
        <v>299</v>
      </c>
      <c r="I971" s="1">
        <v>46184</v>
      </c>
      <c r="J971">
        <v>72</v>
      </c>
      <c r="K971" t="s">
        <v>3827</v>
      </c>
      <c r="L971" t="s">
        <v>4708</v>
      </c>
      <c r="M971">
        <v>10</v>
      </c>
      <c r="N971">
        <v>5</v>
      </c>
      <c r="O971" t="s">
        <v>1036</v>
      </c>
      <c r="P971" s="17"/>
      <c r="Q971" s="17" t="str">
        <f>_xlfn.XLOOKUP(Table2[[#This Row],[buyFromVendorNo]],'Next Day Scheduled'!A:A,'Pending Returns'!O:O,"NOT_FOUND")</f>
        <v>NOT_FOUND</v>
      </c>
    </row>
    <row r="972" spans="1:17" x14ac:dyDescent="0.3">
      <c r="A972" s="1">
        <v>46187</v>
      </c>
      <c r="B972" t="s">
        <v>4472</v>
      </c>
      <c r="C972" t="s">
        <v>139</v>
      </c>
      <c r="D972" t="s">
        <v>140</v>
      </c>
      <c r="E972" t="s">
        <v>8</v>
      </c>
      <c r="F972" t="s">
        <v>10</v>
      </c>
      <c r="G972" s="16">
        <v>44.275799999999997</v>
      </c>
      <c r="H972" s="16">
        <v>50.917169999999999</v>
      </c>
      <c r="I972" s="1">
        <v>46184</v>
      </c>
      <c r="J972">
        <v>72</v>
      </c>
      <c r="K972" t="s">
        <v>4473</v>
      </c>
      <c r="L972" t="s">
        <v>4720</v>
      </c>
      <c r="M972">
        <v>12</v>
      </c>
      <c r="N972">
        <v>7</v>
      </c>
      <c r="O972" t="s">
        <v>1036</v>
      </c>
      <c r="P972" s="17"/>
      <c r="Q972" s="17" t="str">
        <f>_xlfn.XLOOKUP(Table2[[#This Row],[buyFromVendorNo]],'Next Day Scheduled'!A:A,'Pending Returns'!O:O,"NOT_FOUND")</f>
        <v>NOT_FOUND</v>
      </c>
    </row>
    <row r="973" spans="1:17" x14ac:dyDescent="0.3">
      <c r="A973" s="1">
        <v>46187</v>
      </c>
      <c r="B973" t="s">
        <v>2562</v>
      </c>
      <c r="C973" t="s">
        <v>364</v>
      </c>
      <c r="D973" t="s">
        <v>375</v>
      </c>
      <c r="E973" t="s">
        <v>8</v>
      </c>
      <c r="F973" t="s">
        <v>10</v>
      </c>
      <c r="G973" s="16">
        <v>7527</v>
      </c>
      <c r="H973" s="16">
        <v>8627.0930000000008</v>
      </c>
      <c r="I973" s="1">
        <v>46177</v>
      </c>
      <c r="J973">
        <v>72</v>
      </c>
      <c r="K973" t="s">
        <v>2494</v>
      </c>
      <c r="L973" t="s">
        <v>4781</v>
      </c>
      <c r="M973">
        <v>10</v>
      </c>
      <c r="N973">
        <v>5</v>
      </c>
      <c r="O973" t="s">
        <v>1036</v>
      </c>
      <c r="P973" s="17"/>
      <c r="Q973" s="17" t="str">
        <f>_xlfn.XLOOKUP(Table2[[#This Row],[buyFromVendorNo]],'Next Day Scheduled'!A:A,'Pending Returns'!O:O,"NOT_FOUND")</f>
        <v>NOT_FOUND</v>
      </c>
    </row>
    <row r="974" spans="1:17" x14ac:dyDescent="0.3">
      <c r="A974" s="1">
        <v>46187</v>
      </c>
      <c r="B974" t="s">
        <v>3916</v>
      </c>
      <c r="C974" t="s">
        <v>175</v>
      </c>
      <c r="D974" t="s">
        <v>176</v>
      </c>
      <c r="E974" t="s">
        <v>8</v>
      </c>
      <c r="F974" t="s">
        <v>10</v>
      </c>
      <c r="G974" s="16">
        <v>134.5</v>
      </c>
      <c r="H974" s="16">
        <v>154.67500000000001</v>
      </c>
      <c r="I974" s="1">
        <v>46185</v>
      </c>
      <c r="J974">
        <v>72</v>
      </c>
      <c r="K974" t="s">
        <v>3917</v>
      </c>
      <c r="L974" t="s">
        <v>4822</v>
      </c>
      <c r="M974">
        <v>10</v>
      </c>
      <c r="N974">
        <v>6</v>
      </c>
      <c r="O974" t="s">
        <v>1036</v>
      </c>
      <c r="P974" s="17"/>
      <c r="Q974" s="17" t="str">
        <f>_xlfn.XLOOKUP(Table2[[#This Row],[buyFromVendorNo]],'Next Day Scheduled'!A:A,'Pending Returns'!O:O,"NOT_FOUND")</f>
        <v>Posted Credit Note</v>
      </c>
    </row>
    <row r="975" spans="1:17" x14ac:dyDescent="0.3">
      <c r="A975" s="1">
        <v>46187</v>
      </c>
      <c r="B975" t="s">
        <v>2825</v>
      </c>
      <c r="C975" t="s">
        <v>2826</v>
      </c>
      <c r="D975" t="s">
        <v>2827</v>
      </c>
      <c r="E975" t="s">
        <v>8</v>
      </c>
      <c r="F975" t="s">
        <v>10</v>
      </c>
      <c r="G975" s="16">
        <v>4635.3599999999997</v>
      </c>
      <c r="H975" s="16">
        <v>5330.6639999999998</v>
      </c>
      <c r="I975" s="1">
        <v>46181</v>
      </c>
      <c r="J975">
        <v>72</v>
      </c>
      <c r="K975" t="s">
        <v>2828</v>
      </c>
      <c r="L975" t="s">
        <v>4722</v>
      </c>
      <c r="M975">
        <v>0</v>
      </c>
      <c r="N975">
        <v>163</v>
      </c>
      <c r="O975" t="s">
        <v>1036</v>
      </c>
      <c r="P975" s="17"/>
      <c r="Q975" s="17" t="str">
        <f>_xlfn.XLOOKUP(Table2[[#This Row],[buyFromVendorNo]],'Next Day Scheduled'!A:A,'Pending Returns'!O:O,"NOT_FOUND")</f>
        <v>NOT_FOUND</v>
      </c>
    </row>
    <row r="976" spans="1:17" x14ac:dyDescent="0.3">
      <c r="A976" s="1">
        <v>46187</v>
      </c>
      <c r="B976" t="s">
        <v>1705</v>
      </c>
      <c r="C976" t="s">
        <v>302</v>
      </c>
      <c r="D976" t="s">
        <v>303</v>
      </c>
      <c r="E976" t="s">
        <v>8</v>
      </c>
      <c r="F976" t="s">
        <v>10</v>
      </c>
      <c r="G976" s="16">
        <v>12606.169</v>
      </c>
      <c r="H976" s="16">
        <v>14485.165000000001</v>
      </c>
      <c r="I976" s="1">
        <v>46177</v>
      </c>
      <c r="J976">
        <v>72</v>
      </c>
      <c r="K976" t="s">
        <v>2125</v>
      </c>
      <c r="L976" t="s">
        <v>4785</v>
      </c>
      <c r="M976">
        <v>7</v>
      </c>
      <c r="N976">
        <v>1</v>
      </c>
      <c r="O976" t="s">
        <v>1036</v>
      </c>
      <c r="P976" s="17"/>
      <c r="Q976" s="17" t="str">
        <f>_xlfn.XLOOKUP(Table2[[#This Row],[buyFromVendorNo]],'Next Day Scheduled'!A:A,'Pending Returns'!O:O,"NOT_FOUND")</f>
        <v>NOT_FOUND</v>
      </c>
    </row>
    <row r="977" spans="1:17" x14ac:dyDescent="0.3">
      <c r="A977" s="1">
        <v>46187</v>
      </c>
      <c r="B977" t="s">
        <v>3845</v>
      </c>
      <c r="C977" t="s">
        <v>867</v>
      </c>
      <c r="D977" t="s">
        <v>868</v>
      </c>
      <c r="E977" t="s">
        <v>8</v>
      </c>
      <c r="F977" t="s">
        <v>10</v>
      </c>
      <c r="G977" s="16">
        <v>21.36</v>
      </c>
      <c r="H977" s="16">
        <v>24.564</v>
      </c>
      <c r="I977" s="1">
        <v>46177</v>
      </c>
      <c r="J977">
        <v>72</v>
      </c>
      <c r="K977" t="s">
        <v>3846</v>
      </c>
      <c r="L977" t="s">
        <v>4798</v>
      </c>
      <c r="M977">
        <v>11</v>
      </c>
      <c r="N977">
        <v>7</v>
      </c>
      <c r="O977" t="s">
        <v>1036</v>
      </c>
      <c r="P977" s="17"/>
      <c r="Q977" s="17" t="str">
        <f>_xlfn.XLOOKUP(Table2[[#This Row],[buyFromVendorNo]],'Next Day Scheduled'!A:A,'Pending Returns'!O:O,"NOT_FOUND")</f>
        <v>Posted Credit Note</v>
      </c>
    </row>
    <row r="978" spans="1:17" x14ac:dyDescent="0.3">
      <c r="A978" s="1">
        <v>46187</v>
      </c>
      <c r="B978" t="s">
        <v>3327</v>
      </c>
      <c r="C978" t="s">
        <v>3194</v>
      </c>
      <c r="D978" t="s">
        <v>3195</v>
      </c>
      <c r="E978" t="s">
        <v>8</v>
      </c>
      <c r="F978" t="s">
        <v>10</v>
      </c>
      <c r="G978" s="16">
        <v>650.4</v>
      </c>
      <c r="H978" s="16">
        <v>747.96</v>
      </c>
      <c r="I978" s="1">
        <v>46175</v>
      </c>
      <c r="J978">
        <v>72</v>
      </c>
      <c r="K978" t="s">
        <v>3193</v>
      </c>
      <c r="L978" t="s">
        <v>4824</v>
      </c>
      <c r="M978">
        <v>10</v>
      </c>
      <c r="N978">
        <v>5</v>
      </c>
      <c r="O978" t="s">
        <v>1036</v>
      </c>
      <c r="P978" s="17"/>
      <c r="Q978" s="17" t="str">
        <f>_xlfn.XLOOKUP(Table2[[#This Row],[buyFromVendorNo]],'Next Day Scheduled'!A:A,'Pending Returns'!O:O,"NOT_FOUND")</f>
        <v>NOT_FOUND</v>
      </c>
    </row>
    <row r="979" spans="1:17" x14ac:dyDescent="0.3">
      <c r="A979" s="1">
        <v>46187</v>
      </c>
      <c r="B979" t="s">
        <v>2657</v>
      </c>
      <c r="C979" t="s">
        <v>139</v>
      </c>
      <c r="D979" t="s">
        <v>140</v>
      </c>
      <c r="E979" t="s">
        <v>8</v>
      </c>
      <c r="F979" t="s">
        <v>10</v>
      </c>
      <c r="G979" s="16">
        <v>626.23519999999996</v>
      </c>
      <c r="H979" s="16">
        <v>720.17049999999995</v>
      </c>
      <c r="I979" s="1">
        <v>46184</v>
      </c>
      <c r="J979">
        <v>72</v>
      </c>
      <c r="K979" t="s">
        <v>4232</v>
      </c>
      <c r="L979" t="s">
        <v>4716</v>
      </c>
      <c r="M979">
        <v>12</v>
      </c>
      <c r="N979">
        <v>7</v>
      </c>
      <c r="O979" t="s">
        <v>1036</v>
      </c>
      <c r="P979" s="17"/>
      <c r="Q979" s="17" t="str">
        <f>_xlfn.XLOOKUP(Table2[[#This Row],[buyFromVendorNo]],'Next Day Scheduled'!A:A,'Pending Returns'!O:O,"NOT_FOUND")</f>
        <v>NOT_FOUND</v>
      </c>
    </row>
    <row r="980" spans="1:17" x14ac:dyDescent="0.3">
      <c r="A980" s="1">
        <v>46187</v>
      </c>
      <c r="B980" t="s">
        <v>4017</v>
      </c>
      <c r="C980" t="s">
        <v>815</v>
      </c>
      <c r="D980" t="s">
        <v>816</v>
      </c>
      <c r="E980" t="s">
        <v>8</v>
      </c>
      <c r="F980" t="s">
        <v>10</v>
      </c>
      <c r="G980" s="16">
        <v>46.08</v>
      </c>
      <c r="H980" s="16">
        <v>52.991999999999997</v>
      </c>
      <c r="I980" s="1">
        <v>46187</v>
      </c>
      <c r="J980">
        <v>72</v>
      </c>
      <c r="K980" t="s">
        <v>4018</v>
      </c>
      <c r="L980" t="s">
        <v>4803</v>
      </c>
      <c r="M980">
        <v>13</v>
      </c>
      <c r="N980">
        <v>1</v>
      </c>
      <c r="O980" t="s">
        <v>1036</v>
      </c>
      <c r="P980" s="17"/>
      <c r="Q980" s="17" t="str">
        <f>_xlfn.XLOOKUP(Table2[[#This Row],[buyFromVendorNo]],'Next Day Scheduled'!A:A,'Pending Returns'!O:O,"NOT_FOUND")</f>
        <v>NOT_FOUND</v>
      </c>
    </row>
    <row r="981" spans="1:17" x14ac:dyDescent="0.3">
      <c r="A981" s="1">
        <v>46187</v>
      </c>
      <c r="B981" t="s">
        <v>3385</v>
      </c>
      <c r="C981" t="s">
        <v>828</v>
      </c>
      <c r="D981" t="s">
        <v>829</v>
      </c>
      <c r="E981" t="s">
        <v>8</v>
      </c>
      <c r="F981" t="s">
        <v>10</v>
      </c>
      <c r="G981" s="16">
        <v>404.5</v>
      </c>
      <c r="H981" s="16">
        <v>465.17500000000001</v>
      </c>
      <c r="I981" s="1">
        <v>46181</v>
      </c>
      <c r="J981">
        <v>72</v>
      </c>
      <c r="K981" t="s">
        <v>3838</v>
      </c>
      <c r="L981" t="s">
        <v>4802</v>
      </c>
      <c r="M981">
        <v>4</v>
      </c>
      <c r="N981">
        <v>16</v>
      </c>
      <c r="O981" t="s">
        <v>1036</v>
      </c>
      <c r="P981" s="17"/>
      <c r="Q981" s="17" t="str">
        <f>_xlfn.XLOOKUP(Table2[[#This Row],[buyFromVendorNo]],'Next Day Scheduled'!A:A,'Pending Returns'!O:O,"NOT_FOUND")</f>
        <v>NOT_FOUND</v>
      </c>
    </row>
    <row r="982" spans="1:17" x14ac:dyDescent="0.3">
      <c r="A982" s="1">
        <v>46187</v>
      </c>
      <c r="B982" t="s">
        <v>4460</v>
      </c>
      <c r="C982" t="s">
        <v>500</v>
      </c>
      <c r="D982" t="s">
        <v>501</v>
      </c>
      <c r="E982" t="s">
        <v>8</v>
      </c>
      <c r="F982" t="s">
        <v>169</v>
      </c>
      <c r="G982" s="16">
        <v>824.72</v>
      </c>
      <c r="H982" s="16">
        <v>948.428</v>
      </c>
      <c r="J982">
        <v>72</v>
      </c>
      <c r="K982" t="s">
        <v>4760</v>
      </c>
      <c r="M982">
        <v>1</v>
      </c>
      <c r="N982">
        <v>35</v>
      </c>
      <c r="O982" t="s">
        <v>216</v>
      </c>
      <c r="P982" s="17"/>
      <c r="Q982" s="17" t="str">
        <f>_xlfn.XLOOKUP(Table2[[#This Row],[buyFromVendorNo]],'Next Day Scheduled'!A:A,'Pending Returns'!O:O,"NOT_FOUND")</f>
        <v>NOT_FOUND</v>
      </c>
    </row>
    <row r="983" spans="1:17" x14ac:dyDescent="0.3">
      <c r="A983" s="1">
        <v>46187</v>
      </c>
      <c r="B983" t="s">
        <v>4008</v>
      </c>
      <c r="C983" t="s">
        <v>3770</v>
      </c>
      <c r="D983" t="s">
        <v>3771</v>
      </c>
      <c r="E983" t="s">
        <v>8</v>
      </c>
      <c r="F983" t="s">
        <v>10</v>
      </c>
      <c r="G983" s="16">
        <v>339</v>
      </c>
      <c r="H983" s="16">
        <v>339</v>
      </c>
      <c r="I983" s="1">
        <v>46187</v>
      </c>
      <c r="J983">
        <v>72</v>
      </c>
      <c r="K983" t="s">
        <v>4009</v>
      </c>
      <c r="L983" t="s">
        <v>4807</v>
      </c>
      <c r="M983">
        <v>7</v>
      </c>
      <c r="N983">
        <v>6</v>
      </c>
      <c r="O983" t="s">
        <v>1036</v>
      </c>
      <c r="P983" s="17"/>
      <c r="Q983" s="17" t="str">
        <f>_xlfn.XLOOKUP(Table2[[#This Row],[buyFromVendorNo]],'Next Day Scheduled'!A:A,'Pending Returns'!O:O,"NOT_FOUND")</f>
        <v>NOT_FOUND</v>
      </c>
    </row>
    <row r="984" spans="1:17" x14ac:dyDescent="0.3">
      <c r="A984" s="1">
        <v>46187</v>
      </c>
      <c r="B984" t="s">
        <v>2429</v>
      </c>
      <c r="C984" t="s">
        <v>364</v>
      </c>
      <c r="D984" t="s">
        <v>375</v>
      </c>
      <c r="E984" t="s">
        <v>8</v>
      </c>
      <c r="F984" t="s">
        <v>10</v>
      </c>
      <c r="G984" s="16">
        <v>8061.7420000000002</v>
      </c>
      <c r="H984" s="16">
        <v>9213.0879999999997</v>
      </c>
      <c r="I984" s="1">
        <v>46177</v>
      </c>
      <c r="J984">
        <v>72</v>
      </c>
      <c r="K984" t="s">
        <v>2637</v>
      </c>
      <c r="L984" t="s">
        <v>4818</v>
      </c>
      <c r="M984">
        <v>10</v>
      </c>
      <c r="N984">
        <v>5</v>
      </c>
      <c r="O984" t="s">
        <v>1036</v>
      </c>
      <c r="P984" s="17"/>
      <c r="Q984" s="17" t="str">
        <f>_xlfn.XLOOKUP(Table2[[#This Row],[buyFromVendorNo]],'Next Day Scheduled'!A:A,'Pending Returns'!O:O,"NOT_FOUND")</f>
        <v>NOT_FOUND</v>
      </c>
    </row>
    <row r="985" spans="1:17" x14ac:dyDescent="0.3">
      <c r="A985" s="1">
        <v>46187</v>
      </c>
      <c r="B985" t="s">
        <v>3442</v>
      </c>
      <c r="C985" t="s">
        <v>302</v>
      </c>
      <c r="D985" t="s">
        <v>303</v>
      </c>
      <c r="E985" t="s">
        <v>8</v>
      </c>
      <c r="F985" t="s">
        <v>10</v>
      </c>
      <c r="G985" s="16">
        <v>1717.8246999999999</v>
      </c>
      <c r="H985" s="16">
        <v>1944.58</v>
      </c>
      <c r="I985" s="1">
        <v>46177</v>
      </c>
      <c r="J985">
        <v>72</v>
      </c>
      <c r="K985" t="s">
        <v>3206</v>
      </c>
      <c r="L985" t="s">
        <v>4792</v>
      </c>
      <c r="M985">
        <v>7</v>
      </c>
      <c r="N985">
        <v>1</v>
      </c>
      <c r="O985" t="s">
        <v>1036</v>
      </c>
      <c r="P985" s="17"/>
      <c r="Q985" s="17" t="str">
        <f>_xlfn.XLOOKUP(Table2[[#This Row],[buyFromVendorNo]],'Next Day Scheduled'!A:A,'Pending Returns'!O:O,"NOT_FOUND")</f>
        <v>NOT_FOUND</v>
      </c>
    </row>
    <row r="986" spans="1:17" x14ac:dyDescent="0.3">
      <c r="A986" s="1">
        <v>46187</v>
      </c>
      <c r="B986" t="s">
        <v>640</v>
      </c>
      <c r="C986" t="s">
        <v>880</v>
      </c>
      <c r="D986" t="s">
        <v>881</v>
      </c>
      <c r="E986" t="s">
        <v>8</v>
      </c>
      <c r="F986" t="s">
        <v>10</v>
      </c>
      <c r="G986" s="16">
        <v>218.26</v>
      </c>
      <c r="H986" s="16">
        <v>250.999</v>
      </c>
      <c r="I986" s="1">
        <v>46187</v>
      </c>
      <c r="J986">
        <v>72</v>
      </c>
      <c r="K986" t="s">
        <v>4580</v>
      </c>
      <c r="L986" t="s">
        <v>4793</v>
      </c>
      <c r="M986">
        <v>5</v>
      </c>
      <c r="N986">
        <v>13</v>
      </c>
      <c r="O986" t="s">
        <v>1036</v>
      </c>
      <c r="P986" s="17"/>
      <c r="Q986" s="17" t="str">
        <f>_xlfn.XLOOKUP(Table2[[#This Row],[buyFromVendorNo]],'Next Day Scheduled'!A:A,'Pending Returns'!O:O,"NOT_FOUND")</f>
        <v>NOT_FOUND</v>
      </c>
    </row>
    <row r="987" spans="1:17" x14ac:dyDescent="0.3">
      <c r="A987" s="1">
        <v>46187</v>
      </c>
      <c r="B987" t="s">
        <v>483</v>
      </c>
      <c r="C987" t="s">
        <v>880</v>
      </c>
      <c r="D987" t="s">
        <v>881</v>
      </c>
      <c r="E987" t="s">
        <v>8</v>
      </c>
      <c r="F987" t="s">
        <v>10</v>
      </c>
      <c r="G987" s="16">
        <v>628.86</v>
      </c>
      <c r="H987" s="16">
        <v>723.18899999999996</v>
      </c>
      <c r="I987" s="1">
        <v>46187</v>
      </c>
      <c r="J987">
        <v>72</v>
      </c>
      <c r="K987" t="s">
        <v>4532</v>
      </c>
      <c r="L987" t="s">
        <v>4794</v>
      </c>
      <c r="M987">
        <v>5</v>
      </c>
      <c r="N987">
        <v>13</v>
      </c>
      <c r="O987" t="s">
        <v>1036</v>
      </c>
      <c r="P987" s="17"/>
      <c r="Q987" s="17" t="str">
        <f>_xlfn.XLOOKUP(Table2[[#This Row],[buyFromVendorNo]],'Next Day Scheduled'!A:A,'Pending Returns'!O:O,"NOT_FOUND")</f>
        <v>NOT_FOUND</v>
      </c>
    </row>
    <row r="988" spans="1:17" x14ac:dyDescent="0.3">
      <c r="A988" s="1">
        <v>46187</v>
      </c>
      <c r="B988" t="s">
        <v>3898</v>
      </c>
      <c r="C988" t="s">
        <v>3688</v>
      </c>
      <c r="D988" t="s">
        <v>3899</v>
      </c>
      <c r="E988" t="s">
        <v>8</v>
      </c>
      <c r="F988" t="s">
        <v>10</v>
      </c>
      <c r="G988" s="16">
        <v>540.5</v>
      </c>
      <c r="H988" s="16">
        <v>621.57500000000005</v>
      </c>
      <c r="I988" s="1">
        <v>46180</v>
      </c>
      <c r="J988">
        <v>72</v>
      </c>
      <c r="K988" t="s">
        <v>3900</v>
      </c>
      <c r="L988" t="s">
        <v>4795</v>
      </c>
      <c r="M988">
        <v>7</v>
      </c>
      <c r="N988">
        <v>5</v>
      </c>
      <c r="O988" t="s">
        <v>1036</v>
      </c>
      <c r="P988" s="17"/>
      <c r="Q988" s="17" t="str">
        <f>_xlfn.XLOOKUP(Table2[[#This Row],[buyFromVendorNo]],'Next Day Scheduled'!A:A,'Pending Returns'!O:O,"NOT_FOUND")</f>
        <v>Posted Credit Note</v>
      </c>
    </row>
    <row r="989" spans="1:17" x14ac:dyDescent="0.3">
      <c r="A989" s="1">
        <v>46187</v>
      </c>
      <c r="B989" t="s">
        <v>3802</v>
      </c>
      <c r="C989" t="s">
        <v>3803</v>
      </c>
      <c r="D989" t="s">
        <v>3804</v>
      </c>
      <c r="E989" t="s">
        <v>8</v>
      </c>
      <c r="F989" t="s">
        <v>10</v>
      </c>
      <c r="G989" s="16">
        <v>99.130409999999998</v>
      </c>
      <c r="H989" s="16">
        <v>113.99996</v>
      </c>
      <c r="I989" s="1">
        <v>46181</v>
      </c>
      <c r="J989">
        <v>72</v>
      </c>
      <c r="K989" t="s">
        <v>3805</v>
      </c>
      <c r="L989" t="s">
        <v>4821</v>
      </c>
      <c r="M989">
        <v>10</v>
      </c>
      <c r="N989">
        <v>6</v>
      </c>
      <c r="O989" t="s">
        <v>1036</v>
      </c>
      <c r="P989" s="17"/>
      <c r="Q989" s="17" t="str">
        <f>_xlfn.XLOOKUP(Table2[[#This Row],[buyFromVendorNo]],'Next Day Scheduled'!A:A,'Pending Returns'!O:O,"NOT_FOUND")</f>
        <v>NOT_FOUND</v>
      </c>
    </row>
    <row r="990" spans="1:17" x14ac:dyDescent="0.3">
      <c r="A990" s="1">
        <v>46187</v>
      </c>
      <c r="B990" t="s">
        <v>4468</v>
      </c>
      <c r="C990" t="s">
        <v>815</v>
      </c>
      <c r="D990" t="s">
        <v>816</v>
      </c>
      <c r="E990" t="s">
        <v>8</v>
      </c>
      <c r="F990" t="s">
        <v>10</v>
      </c>
      <c r="G990" s="16">
        <v>37</v>
      </c>
      <c r="H990" s="16">
        <v>42.55</v>
      </c>
      <c r="I990" s="1">
        <v>46187</v>
      </c>
      <c r="J990">
        <v>72</v>
      </c>
      <c r="K990" t="s">
        <v>4469</v>
      </c>
      <c r="L990" t="s">
        <v>4796</v>
      </c>
      <c r="M990">
        <v>13</v>
      </c>
      <c r="N990">
        <v>1</v>
      </c>
      <c r="O990" t="s">
        <v>1036</v>
      </c>
      <c r="P990" s="17"/>
      <c r="Q990" s="17" t="str">
        <f>_xlfn.XLOOKUP(Table2[[#This Row],[buyFromVendorNo]],'Next Day Scheduled'!A:A,'Pending Returns'!O:O,"NOT_FOUND")</f>
        <v>NOT_FOUND</v>
      </c>
    </row>
    <row r="991" spans="1:17" x14ac:dyDescent="0.3">
      <c r="A991" s="1">
        <v>46187</v>
      </c>
      <c r="B991" t="s">
        <v>2880</v>
      </c>
      <c r="C991" t="s">
        <v>302</v>
      </c>
      <c r="D991" t="s">
        <v>303</v>
      </c>
      <c r="E991" t="s">
        <v>8</v>
      </c>
      <c r="F991" t="s">
        <v>10</v>
      </c>
      <c r="G991" s="16">
        <v>1834.0671</v>
      </c>
      <c r="H991" s="16">
        <v>2107.7654000000002</v>
      </c>
      <c r="I991" s="1">
        <v>46177</v>
      </c>
      <c r="J991">
        <v>72</v>
      </c>
      <c r="K991" t="s">
        <v>2881</v>
      </c>
      <c r="L991" t="s">
        <v>4783</v>
      </c>
      <c r="M991">
        <v>7</v>
      </c>
      <c r="N991">
        <v>1</v>
      </c>
      <c r="O991" t="s">
        <v>1036</v>
      </c>
      <c r="P991" s="17"/>
      <c r="Q991" s="17" t="str">
        <f>_xlfn.XLOOKUP(Table2[[#This Row],[buyFromVendorNo]],'Next Day Scheduled'!A:A,'Pending Returns'!O:O,"NOT_FOUND")</f>
        <v>NOT_FOUND</v>
      </c>
    </row>
    <row r="992" spans="1:17" x14ac:dyDescent="0.3">
      <c r="A992" s="1">
        <v>46187</v>
      </c>
      <c r="B992" t="s">
        <v>283</v>
      </c>
      <c r="C992" t="s">
        <v>2344</v>
      </c>
      <c r="D992" t="s">
        <v>2345</v>
      </c>
      <c r="E992" t="s">
        <v>8</v>
      </c>
      <c r="F992" t="s">
        <v>10</v>
      </c>
      <c r="G992" s="16">
        <v>563.5</v>
      </c>
      <c r="H992" s="16">
        <v>648.02499999999998</v>
      </c>
      <c r="I992" s="1">
        <v>46183</v>
      </c>
      <c r="J992">
        <v>72</v>
      </c>
      <c r="K992" t="s">
        <v>2974</v>
      </c>
      <c r="L992" t="s">
        <v>4799</v>
      </c>
      <c r="M992">
        <v>6</v>
      </c>
      <c r="N992">
        <v>1</v>
      </c>
      <c r="O992" t="s">
        <v>1036</v>
      </c>
      <c r="P992" s="17"/>
      <c r="Q992" s="17" t="str">
        <f>_xlfn.XLOOKUP(Table2[[#This Row],[buyFromVendorNo]],'Next Day Scheduled'!A:A,'Pending Returns'!O:O,"NOT_FOUND")</f>
        <v>NOT_FOUND</v>
      </c>
    </row>
    <row r="993" spans="1:17" x14ac:dyDescent="0.3">
      <c r="A993" s="1">
        <v>46187</v>
      </c>
      <c r="B993" t="s">
        <v>3044</v>
      </c>
      <c r="C993" t="s">
        <v>302</v>
      </c>
      <c r="D993" t="s">
        <v>303</v>
      </c>
      <c r="E993" t="s">
        <v>8</v>
      </c>
      <c r="F993" t="s">
        <v>10</v>
      </c>
      <c r="G993" s="16">
        <v>257.97329999999999</v>
      </c>
      <c r="H993" s="16">
        <v>296.66930000000002</v>
      </c>
      <c r="I993" s="1">
        <v>46177</v>
      </c>
      <c r="J993">
        <v>72</v>
      </c>
      <c r="K993" t="s">
        <v>3437</v>
      </c>
      <c r="L993" t="s">
        <v>4770</v>
      </c>
      <c r="M993">
        <v>7</v>
      </c>
      <c r="N993">
        <v>1</v>
      </c>
      <c r="O993" t="s">
        <v>1036</v>
      </c>
      <c r="P993" s="17"/>
      <c r="Q993" s="17" t="str">
        <f>_xlfn.XLOOKUP(Table2[[#This Row],[buyFromVendorNo]],'Next Day Scheduled'!A:A,'Pending Returns'!O:O,"NOT_FOUND")</f>
        <v>NOT_FOUND</v>
      </c>
    </row>
    <row r="994" spans="1:17" x14ac:dyDescent="0.3">
      <c r="A994" s="1">
        <v>46187</v>
      </c>
      <c r="B994" t="s">
        <v>3303</v>
      </c>
      <c r="C994" t="s">
        <v>3103</v>
      </c>
      <c r="D994" t="s">
        <v>3104</v>
      </c>
      <c r="E994" t="s">
        <v>8</v>
      </c>
      <c r="F994" t="s">
        <v>10</v>
      </c>
      <c r="G994" s="16">
        <v>10</v>
      </c>
      <c r="H994" s="16">
        <v>11.5</v>
      </c>
      <c r="I994" s="1">
        <v>46176</v>
      </c>
      <c r="J994">
        <v>72</v>
      </c>
      <c r="K994" t="s">
        <v>3102</v>
      </c>
      <c r="L994" t="s">
        <v>4771</v>
      </c>
      <c r="M994">
        <v>0</v>
      </c>
      <c r="N994">
        <v>216</v>
      </c>
      <c r="O994" t="s">
        <v>1036</v>
      </c>
      <c r="P994" s="17"/>
      <c r="Q994" s="17" t="str">
        <f>_xlfn.XLOOKUP(Table2[[#This Row],[buyFromVendorNo]],'Next Day Scheduled'!A:A,'Pending Returns'!O:O,"NOT_FOUND")</f>
        <v>NOT_FOUND</v>
      </c>
    </row>
    <row r="995" spans="1:17" x14ac:dyDescent="0.3">
      <c r="A995" s="1">
        <v>46187</v>
      </c>
      <c r="B995" t="s">
        <v>3362</v>
      </c>
      <c r="C995" t="s">
        <v>3169</v>
      </c>
      <c r="D995" t="s">
        <v>3170</v>
      </c>
      <c r="E995" t="s">
        <v>8</v>
      </c>
      <c r="F995" t="s">
        <v>10</v>
      </c>
      <c r="G995" s="16">
        <v>12.16667</v>
      </c>
      <c r="H995" s="16">
        <v>13.991669999999999</v>
      </c>
      <c r="I995" s="1">
        <v>46185</v>
      </c>
      <c r="J995">
        <v>72</v>
      </c>
      <c r="K995" t="s">
        <v>3168</v>
      </c>
      <c r="L995" t="s">
        <v>4801</v>
      </c>
      <c r="M995">
        <v>12</v>
      </c>
      <c r="N995">
        <v>2</v>
      </c>
      <c r="O995" t="s">
        <v>1036</v>
      </c>
      <c r="P995" s="17"/>
      <c r="Q995" s="17" t="str">
        <f>_xlfn.XLOOKUP(Table2[[#This Row],[buyFromVendorNo]],'Next Day Scheduled'!A:A,'Pending Returns'!O:O,"NOT_FOUND")</f>
        <v>NOT_FOUND</v>
      </c>
    </row>
    <row r="996" spans="1:17" x14ac:dyDescent="0.3">
      <c r="A996" s="1">
        <v>46188</v>
      </c>
      <c r="B996" t="s">
        <v>224</v>
      </c>
      <c r="C996" t="s">
        <v>886</v>
      </c>
      <c r="D996" t="s">
        <v>887</v>
      </c>
      <c r="E996" t="s">
        <v>8</v>
      </c>
      <c r="F996" t="s">
        <v>38</v>
      </c>
      <c r="G996" s="16">
        <v>766.62</v>
      </c>
      <c r="H996" s="16">
        <v>881.61300000000006</v>
      </c>
      <c r="I996" s="1">
        <v>46183</v>
      </c>
      <c r="J996">
        <v>71</v>
      </c>
      <c r="K996" t="s">
        <v>4402</v>
      </c>
      <c r="L996" t="s">
        <v>4884</v>
      </c>
      <c r="M996">
        <v>10</v>
      </c>
      <c r="N996">
        <v>6</v>
      </c>
      <c r="O996" t="s">
        <v>1036</v>
      </c>
      <c r="P996" s="17"/>
      <c r="Q996" s="17" t="str">
        <f>_xlfn.XLOOKUP(Table2[[#This Row],[buyFromVendorNo]],'Next Day Scheduled'!A:A,'Pending Returns'!O:O,"NOT_FOUND")</f>
        <v>NOT_FOUND</v>
      </c>
    </row>
    <row r="997" spans="1:17" x14ac:dyDescent="0.3">
      <c r="A997" s="1">
        <v>46188</v>
      </c>
      <c r="B997" t="s">
        <v>3483</v>
      </c>
      <c r="C997" t="s">
        <v>945</v>
      </c>
      <c r="D997" t="s">
        <v>946</v>
      </c>
      <c r="E997" t="s">
        <v>8</v>
      </c>
      <c r="F997" t="s">
        <v>10</v>
      </c>
      <c r="G997" s="16">
        <v>123.48</v>
      </c>
      <c r="H997" s="16">
        <v>142.00200000000001</v>
      </c>
      <c r="I997" s="1">
        <v>46184</v>
      </c>
      <c r="J997">
        <v>71</v>
      </c>
      <c r="K997" t="s">
        <v>3484</v>
      </c>
      <c r="L997" t="s">
        <v>4885</v>
      </c>
      <c r="M997">
        <v>5</v>
      </c>
      <c r="N997">
        <v>20</v>
      </c>
      <c r="O997" t="s">
        <v>1036</v>
      </c>
      <c r="P997" s="17"/>
      <c r="Q997" s="17" t="str">
        <f>_xlfn.XLOOKUP(Table2[[#This Row],[buyFromVendorNo]],'Next Day Scheduled'!A:A,'Pending Returns'!O:O,"NOT_FOUND")</f>
        <v>NOT_FOUND</v>
      </c>
    </row>
    <row r="998" spans="1:17" x14ac:dyDescent="0.3">
      <c r="A998" s="1">
        <v>46188</v>
      </c>
      <c r="B998" t="s">
        <v>4031</v>
      </c>
      <c r="C998" t="s">
        <v>34</v>
      </c>
      <c r="D998" t="s">
        <v>35</v>
      </c>
      <c r="E998" t="s">
        <v>8</v>
      </c>
      <c r="F998" t="s">
        <v>169</v>
      </c>
      <c r="G998" s="16">
        <v>68.67</v>
      </c>
      <c r="H998" s="16">
        <v>78.970500000000001</v>
      </c>
      <c r="I998" s="1">
        <v>46179</v>
      </c>
      <c r="J998">
        <v>71</v>
      </c>
      <c r="K998" t="s">
        <v>4072</v>
      </c>
      <c r="L998" t="s">
        <v>4894</v>
      </c>
      <c r="M998">
        <v>8</v>
      </c>
      <c r="N998">
        <v>3</v>
      </c>
      <c r="O998" t="s">
        <v>1036</v>
      </c>
      <c r="P998" s="17"/>
      <c r="Q998" s="17" t="str">
        <f>_xlfn.XLOOKUP(Table2[[#This Row],[buyFromVendorNo]],'Next Day Scheduled'!A:A,'Pending Returns'!O:O,"NOT_FOUND")</f>
        <v>Posted Credit Note</v>
      </c>
    </row>
    <row r="999" spans="1:17" x14ac:dyDescent="0.3">
      <c r="A999" s="1">
        <v>46188</v>
      </c>
      <c r="B999" t="s">
        <v>2663</v>
      </c>
      <c r="C999" t="s">
        <v>812</v>
      </c>
      <c r="D999" t="s">
        <v>2394</v>
      </c>
      <c r="E999" t="s">
        <v>8</v>
      </c>
      <c r="F999" t="s">
        <v>10</v>
      </c>
      <c r="G999" s="16">
        <v>775.5</v>
      </c>
      <c r="H999" s="16">
        <v>891.82500000000005</v>
      </c>
      <c r="I999" s="1">
        <v>46182</v>
      </c>
      <c r="J999">
        <v>71</v>
      </c>
      <c r="K999" t="s">
        <v>2664</v>
      </c>
      <c r="L999" t="s">
        <v>4832</v>
      </c>
      <c r="M999">
        <v>12</v>
      </c>
      <c r="N999">
        <v>3</v>
      </c>
      <c r="O999" t="s">
        <v>1036</v>
      </c>
      <c r="P999" s="17"/>
      <c r="Q999" s="17" t="str">
        <f>_xlfn.XLOOKUP(Table2[[#This Row],[buyFromVendorNo]],'Next Day Scheduled'!A:A,'Pending Returns'!O:O,"NOT_FOUND")</f>
        <v>NOT_FOUND</v>
      </c>
    </row>
    <row r="1000" spans="1:17" x14ac:dyDescent="0.3">
      <c r="A1000" s="1">
        <v>46188</v>
      </c>
      <c r="B1000" t="s">
        <v>3357</v>
      </c>
      <c r="C1000" t="s">
        <v>871</v>
      </c>
      <c r="D1000" t="s">
        <v>872</v>
      </c>
      <c r="E1000" t="s">
        <v>8</v>
      </c>
      <c r="F1000" t="s">
        <v>10</v>
      </c>
      <c r="G1000" s="16">
        <v>634.08000000000004</v>
      </c>
      <c r="H1000" s="16">
        <v>729.19200000000001</v>
      </c>
      <c r="I1000" s="1">
        <v>46175</v>
      </c>
      <c r="J1000">
        <v>71</v>
      </c>
      <c r="K1000" t="s">
        <v>3236</v>
      </c>
      <c r="L1000" t="s">
        <v>4838</v>
      </c>
      <c r="M1000">
        <v>11</v>
      </c>
      <c r="N1000">
        <v>6</v>
      </c>
      <c r="O1000" t="s">
        <v>1036</v>
      </c>
      <c r="P1000" s="17"/>
      <c r="Q1000" s="17" t="str">
        <f>_xlfn.XLOOKUP(Table2[[#This Row],[buyFromVendorNo]],'Next Day Scheduled'!A:A,'Pending Returns'!O:O,"NOT_FOUND")</f>
        <v>Posted Credit Note</v>
      </c>
    </row>
    <row r="1001" spans="1:17" x14ac:dyDescent="0.3">
      <c r="A1001" s="1">
        <v>46188</v>
      </c>
      <c r="B1001" t="s">
        <v>642</v>
      </c>
      <c r="C1001" t="s">
        <v>173</v>
      </c>
      <c r="D1001" t="s">
        <v>174</v>
      </c>
      <c r="E1001" t="s">
        <v>8</v>
      </c>
      <c r="F1001" t="s">
        <v>38</v>
      </c>
      <c r="G1001" s="16">
        <v>992.04</v>
      </c>
      <c r="H1001" s="16">
        <v>1140.846</v>
      </c>
      <c r="I1001" s="1">
        <v>46186</v>
      </c>
      <c r="J1001">
        <v>71</v>
      </c>
      <c r="K1001" t="s">
        <v>3744</v>
      </c>
      <c r="L1001" t="s">
        <v>4906</v>
      </c>
      <c r="M1001">
        <v>18</v>
      </c>
      <c r="N1001">
        <v>24</v>
      </c>
      <c r="O1001" t="s">
        <v>1036</v>
      </c>
      <c r="P1001" s="17"/>
      <c r="Q1001" s="17" t="str">
        <f>_xlfn.XLOOKUP(Table2[[#This Row],[buyFromVendorNo]],'Next Day Scheduled'!A:A,'Pending Returns'!O:O,"NOT_FOUND")</f>
        <v>NOT_FOUND</v>
      </c>
    </row>
    <row r="1002" spans="1:17" x14ac:dyDescent="0.3">
      <c r="A1002" s="1">
        <v>46188</v>
      </c>
      <c r="B1002" t="s">
        <v>3259</v>
      </c>
      <c r="C1002" t="s">
        <v>107</v>
      </c>
      <c r="D1002" t="s">
        <v>3864</v>
      </c>
      <c r="E1002" t="s">
        <v>8</v>
      </c>
      <c r="F1002" t="s">
        <v>10</v>
      </c>
      <c r="G1002" s="16">
        <v>979.89490000000001</v>
      </c>
      <c r="H1002" s="16">
        <v>1126.8792000000001</v>
      </c>
      <c r="I1002" s="1">
        <v>46185</v>
      </c>
      <c r="J1002">
        <v>71</v>
      </c>
      <c r="K1002" t="s">
        <v>4258</v>
      </c>
      <c r="L1002" t="s">
        <v>4897</v>
      </c>
      <c r="M1002">
        <v>12</v>
      </c>
      <c r="N1002">
        <v>5</v>
      </c>
      <c r="O1002" t="s">
        <v>1036</v>
      </c>
      <c r="P1002" s="17"/>
      <c r="Q1002" s="17" t="str">
        <f>_xlfn.XLOOKUP(Table2[[#This Row],[buyFromVendorNo]],'Next Day Scheduled'!A:A,'Pending Returns'!O:O,"NOT_FOUND")</f>
        <v>NOT_FOUND</v>
      </c>
    </row>
    <row r="1003" spans="1:17" x14ac:dyDescent="0.3">
      <c r="A1003" s="1">
        <v>46188</v>
      </c>
      <c r="B1003" t="s">
        <v>3702</v>
      </c>
      <c r="C1003" t="s">
        <v>175</v>
      </c>
      <c r="D1003" t="s">
        <v>176</v>
      </c>
      <c r="E1003" t="s">
        <v>8</v>
      </c>
      <c r="F1003" t="s">
        <v>10</v>
      </c>
      <c r="G1003" s="16">
        <v>108</v>
      </c>
      <c r="H1003" s="16">
        <v>124.2</v>
      </c>
      <c r="I1003" s="1">
        <v>46185</v>
      </c>
      <c r="J1003">
        <v>71</v>
      </c>
      <c r="K1003" t="s">
        <v>4553</v>
      </c>
      <c r="L1003" t="s">
        <v>4900</v>
      </c>
      <c r="M1003">
        <v>10</v>
      </c>
      <c r="N1003">
        <v>6</v>
      </c>
      <c r="O1003" t="s">
        <v>1036</v>
      </c>
      <c r="P1003" s="17"/>
      <c r="Q1003" s="17" t="str">
        <f>_xlfn.XLOOKUP(Table2[[#This Row],[buyFromVendorNo]],'Next Day Scheduled'!A:A,'Pending Returns'!O:O,"NOT_FOUND")</f>
        <v>Posted Credit Note</v>
      </c>
    </row>
    <row r="1004" spans="1:17" x14ac:dyDescent="0.3">
      <c r="A1004" s="1">
        <v>46188</v>
      </c>
      <c r="B1004" t="s">
        <v>3315</v>
      </c>
      <c r="C1004" t="s">
        <v>919</v>
      </c>
      <c r="D1004" t="s">
        <v>920</v>
      </c>
      <c r="E1004" t="s">
        <v>8</v>
      </c>
      <c r="F1004" t="s">
        <v>10</v>
      </c>
      <c r="G1004" s="16">
        <v>559.23400000000004</v>
      </c>
      <c r="H1004" s="16">
        <v>643.1191</v>
      </c>
      <c r="J1004">
        <v>71</v>
      </c>
      <c r="K1004" t="s">
        <v>4861</v>
      </c>
      <c r="M1004">
        <v>1</v>
      </c>
      <c r="N1004">
        <v>56</v>
      </c>
      <c r="O1004" t="s">
        <v>216</v>
      </c>
      <c r="P1004" s="17"/>
      <c r="Q1004" s="17" t="str">
        <f>_xlfn.XLOOKUP(Table2[[#This Row],[buyFromVendorNo]],'Next Day Scheduled'!A:A,'Pending Returns'!O:O,"NOT_FOUND")</f>
        <v>NOT_FOUND</v>
      </c>
    </row>
    <row r="1005" spans="1:17" x14ac:dyDescent="0.3">
      <c r="A1005" s="1">
        <v>46188</v>
      </c>
      <c r="B1005" t="s">
        <v>3248</v>
      </c>
      <c r="C1005" t="s">
        <v>580</v>
      </c>
      <c r="D1005" t="s">
        <v>581</v>
      </c>
      <c r="E1005" t="s">
        <v>8</v>
      </c>
      <c r="F1005" t="s">
        <v>10</v>
      </c>
      <c r="G1005" s="16">
        <v>4828.75</v>
      </c>
      <c r="H1005" s="16">
        <v>5553.0625</v>
      </c>
      <c r="J1005">
        <v>71</v>
      </c>
      <c r="K1005" t="s">
        <v>4854</v>
      </c>
      <c r="M1005">
        <v>6</v>
      </c>
      <c r="N1005">
        <v>3</v>
      </c>
      <c r="O1005" t="s">
        <v>216</v>
      </c>
      <c r="P1005" s="17"/>
      <c r="Q1005" s="17" t="str">
        <f>_xlfn.XLOOKUP(Table2[[#This Row],[buyFromVendorNo]],'Next Day Scheduled'!A:A,'Pending Returns'!O:O,"NOT_FOUND")</f>
        <v>NOT_FOUND</v>
      </c>
    </row>
    <row r="1006" spans="1:17" x14ac:dyDescent="0.3">
      <c r="A1006" s="1">
        <v>46188</v>
      </c>
      <c r="B1006" t="s">
        <v>3690</v>
      </c>
      <c r="C1006" t="s">
        <v>2193</v>
      </c>
      <c r="D1006" t="s">
        <v>2482</v>
      </c>
      <c r="E1006" t="s">
        <v>8</v>
      </c>
      <c r="F1006" t="s">
        <v>10</v>
      </c>
      <c r="G1006" s="16">
        <v>253.52395999999999</v>
      </c>
      <c r="H1006" s="16">
        <v>282.29977000000002</v>
      </c>
      <c r="I1006" s="1">
        <v>46188</v>
      </c>
      <c r="J1006">
        <v>71</v>
      </c>
      <c r="K1006" t="s">
        <v>4445</v>
      </c>
      <c r="L1006" t="s">
        <v>4890</v>
      </c>
      <c r="M1006">
        <v>6</v>
      </c>
      <c r="N1006">
        <v>1</v>
      </c>
      <c r="O1006" t="s">
        <v>1036</v>
      </c>
      <c r="P1006" s="17"/>
      <c r="Q1006" s="17" t="str">
        <f>_xlfn.XLOOKUP(Table2[[#This Row],[buyFromVendorNo]],'Next Day Scheduled'!A:A,'Pending Returns'!O:O,"NOT_FOUND")</f>
        <v>NOT_FOUND</v>
      </c>
    </row>
    <row r="1007" spans="1:17" x14ac:dyDescent="0.3">
      <c r="A1007" s="1">
        <v>46188</v>
      </c>
      <c r="B1007" t="s">
        <v>642</v>
      </c>
      <c r="C1007" t="s">
        <v>173</v>
      </c>
      <c r="D1007" t="s">
        <v>174</v>
      </c>
      <c r="E1007" t="s">
        <v>8</v>
      </c>
      <c r="F1007" t="s">
        <v>38</v>
      </c>
      <c r="G1007" s="16">
        <v>2442.2399999999998</v>
      </c>
      <c r="H1007" s="16">
        <v>2808.576</v>
      </c>
      <c r="I1007" s="1">
        <v>46186</v>
      </c>
      <c r="J1007">
        <v>71</v>
      </c>
      <c r="K1007" t="s">
        <v>3721</v>
      </c>
      <c r="L1007" t="s">
        <v>4886</v>
      </c>
      <c r="M1007">
        <v>18</v>
      </c>
      <c r="N1007">
        <v>24</v>
      </c>
      <c r="O1007" t="s">
        <v>1036</v>
      </c>
      <c r="P1007" s="17"/>
      <c r="Q1007" s="17" t="str">
        <f>_xlfn.XLOOKUP(Table2[[#This Row],[buyFromVendorNo]],'Next Day Scheduled'!A:A,'Pending Returns'!O:O,"NOT_FOUND")</f>
        <v>NOT_FOUND</v>
      </c>
    </row>
    <row r="1008" spans="1:17" x14ac:dyDescent="0.3">
      <c r="A1008" s="1">
        <v>46188</v>
      </c>
      <c r="B1008" t="s">
        <v>521</v>
      </c>
      <c r="C1008" t="s">
        <v>173</v>
      </c>
      <c r="D1008" t="s">
        <v>174</v>
      </c>
      <c r="E1008" t="s">
        <v>8</v>
      </c>
      <c r="F1008" t="s">
        <v>10</v>
      </c>
      <c r="G1008" s="16">
        <v>1963.58</v>
      </c>
      <c r="H1008" s="16">
        <v>2258.1170000000002</v>
      </c>
      <c r="I1008" s="1">
        <v>46187</v>
      </c>
      <c r="J1008">
        <v>71</v>
      </c>
      <c r="K1008" t="s">
        <v>4588</v>
      </c>
      <c r="L1008" t="s">
        <v>4905</v>
      </c>
      <c r="M1008">
        <v>17</v>
      </c>
      <c r="N1008">
        <v>1</v>
      </c>
      <c r="O1008" t="s">
        <v>1036</v>
      </c>
      <c r="P1008" s="17"/>
      <c r="Q1008" s="17" t="str">
        <f>_xlfn.XLOOKUP(Table2[[#This Row],[buyFromVendorNo]],'Next Day Scheduled'!A:A,'Pending Returns'!O:O,"NOT_FOUND")</f>
        <v>NOT_FOUND</v>
      </c>
    </row>
    <row r="1009" spans="1:17" x14ac:dyDescent="0.3">
      <c r="A1009" s="1">
        <v>46188</v>
      </c>
      <c r="B1009" t="s">
        <v>3952</v>
      </c>
      <c r="C1009" t="s">
        <v>2248</v>
      </c>
      <c r="D1009" t="s">
        <v>2249</v>
      </c>
      <c r="E1009" t="s">
        <v>8</v>
      </c>
      <c r="F1009" t="s">
        <v>10</v>
      </c>
      <c r="G1009" s="16">
        <v>517.8904</v>
      </c>
      <c r="H1009" s="16">
        <v>595.57399999999996</v>
      </c>
      <c r="I1009" s="1">
        <v>46181</v>
      </c>
      <c r="J1009">
        <v>71</v>
      </c>
      <c r="K1009" t="s">
        <v>3953</v>
      </c>
      <c r="L1009" t="s">
        <v>4833</v>
      </c>
      <c r="M1009">
        <v>6</v>
      </c>
      <c r="N1009">
        <v>5</v>
      </c>
      <c r="O1009" t="s">
        <v>1036</v>
      </c>
      <c r="P1009" s="17"/>
      <c r="Q1009" s="17" t="str">
        <f>_xlfn.XLOOKUP(Table2[[#This Row],[buyFromVendorNo]],'Next Day Scheduled'!A:A,'Pending Returns'!O:O,"NOT_FOUND")</f>
        <v>NOT_FOUND</v>
      </c>
    </row>
    <row r="1010" spans="1:17" x14ac:dyDescent="0.3">
      <c r="A1010" s="1">
        <v>46188</v>
      </c>
      <c r="B1010" t="s">
        <v>2520</v>
      </c>
      <c r="C1010" t="s">
        <v>302</v>
      </c>
      <c r="D1010" t="s">
        <v>303</v>
      </c>
      <c r="E1010" t="s">
        <v>8</v>
      </c>
      <c r="F1010" t="s">
        <v>10</v>
      </c>
      <c r="G1010" s="16">
        <v>8803.0969999999998</v>
      </c>
      <c r="H1010" s="16">
        <v>10092.558999999999</v>
      </c>
      <c r="I1010" s="1">
        <v>46177</v>
      </c>
      <c r="J1010">
        <v>71</v>
      </c>
      <c r="K1010" t="s">
        <v>2443</v>
      </c>
      <c r="L1010" t="s">
        <v>4836</v>
      </c>
      <c r="M1010">
        <v>7</v>
      </c>
      <c r="N1010">
        <v>1</v>
      </c>
      <c r="O1010" t="s">
        <v>1036</v>
      </c>
      <c r="P1010" s="17"/>
      <c r="Q1010" s="17" t="str">
        <f>_xlfn.XLOOKUP(Table2[[#This Row],[buyFromVendorNo]],'Next Day Scheduled'!A:A,'Pending Returns'!O:O,"NOT_FOUND")</f>
        <v>NOT_FOUND</v>
      </c>
    </row>
    <row r="1011" spans="1:17" x14ac:dyDescent="0.3">
      <c r="A1011" s="1">
        <v>46188</v>
      </c>
      <c r="B1011" t="s">
        <v>3401</v>
      </c>
      <c r="C1011" t="s">
        <v>2248</v>
      </c>
      <c r="D1011" t="s">
        <v>2249</v>
      </c>
      <c r="E1011" t="s">
        <v>8</v>
      </c>
      <c r="F1011" t="s">
        <v>10</v>
      </c>
      <c r="G1011" s="16">
        <v>2191.5425</v>
      </c>
      <c r="H1011" s="16">
        <v>2520.2737000000002</v>
      </c>
      <c r="I1011" s="1">
        <v>46181</v>
      </c>
      <c r="J1011">
        <v>71</v>
      </c>
      <c r="K1011" t="s">
        <v>3204</v>
      </c>
      <c r="L1011" t="s">
        <v>4826</v>
      </c>
      <c r="M1011">
        <v>6</v>
      </c>
      <c r="N1011">
        <v>5</v>
      </c>
      <c r="O1011" t="s">
        <v>1036</v>
      </c>
      <c r="P1011" s="17"/>
      <c r="Q1011" s="17" t="str">
        <f>_xlfn.XLOOKUP(Table2[[#This Row],[buyFromVendorNo]],'Next Day Scheduled'!A:A,'Pending Returns'!O:O,"NOT_FOUND")</f>
        <v>NOT_FOUND</v>
      </c>
    </row>
    <row r="1012" spans="1:17" x14ac:dyDescent="0.3">
      <c r="A1012" s="1">
        <v>46188</v>
      </c>
      <c r="B1012" t="s">
        <v>642</v>
      </c>
      <c r="C1012" t="s">
        <v>173</v>
      </c>
      <c r="D1012" t="s">
        <v>174</v>
      </c>
      <c r="E1012" t="s">
        <v>8</v>
      </c>
      <c r="F1012" t="s">
        <v>38</v>
      </c>
      <c r="G1012" s="16">
        <v>2567.3200000000002</v>
      </c>
      <c r="H1012" s="16">
        <v>2952.4180000000001</v>
      </c>
      <c r="I1012" s="1">
        <v>46186</v>
      </c>
      <c r="J1012">
        <v>71</v>
      </c>
      <c r="K1012" t="s">
        <v>3725</v>
      </c>
      <c r="L1012" t="s">
        <v>4888</v>
      </c>
      <c r="M1012">
        <v>18</v>
      </c>
      <c r="N1012">
        <v>24</v>
      </c>
      <c r="O1012" t="s">
        <v>1036</v>
      </c>
      <c r="P1012" s="17"/>
      <c r="Q1012" s="17" t="str">
        <f>_xlfn.XLOOKUP(Table2[[#This Row],[buyFromVendorNo]],'Next Day Scheduled'!A:A,'Pending Returns'!O:O,"NOT_FOUND")</f>
        <v>NOT_FOUND</v>
      </c>
    </row>
    <row r="1013" spans="1:17" x14ac:dyDescent="0.3">
      <c r="A1013" s="1">
        <v>46188</v>
      </c>
      <c r="B1013" t="s">
        <v>2949</v>
      </c>
      <c r="C1013" t="s">
        <v>871</v>
      </c>
      <c r="D1013" t="s">
        <v>872</v>
      </c>
      <c r="E1013" t="s">
        <v>8</v>
      </c>
      <c r="F1013" t="s">
        <v>10</v>
      </c>
      <c r="G1013" s="16">
        <v>688</v>
      </c>
      <c r="H1013" s="16">
        <v>791.2</v>
      </c>
      <c r="I1013" s="1">
        <v>46176</v>
      </c>
      <c r="J1013">
        <v>71</v>
      </c>
      <c r="K1013" t="s">
        <v>2950</v>
      </c>
      <c r="L1013" t="s">
        <v>4828</v>
      </c>
      <c r="M1013">
        <v>11</v>
      </c>
      <c r="N1013">
        <v>6</v>
      </c>
      <c r="O1013" t="s">
        <v>1036</v>
      </c>
      <c r="P1013" s="17"/>
      <c r="Q1013" s="17" t="str">
        <f>_xlfn.XLOOKUP(Table2[[#This Row],[buyFromVendorNo]],'Next Day Scheduled'!A:A,'Pending Returns'!O:O,"NOT_FOUND")</f>
        <v>Posted Credit Note</v>
      </c>
    </row>
    <row r="1014" spans="1:17" x14ac:dyDescent="0.3">
      <c r="A1014" s="1">
        <v>46188</v>
      </c>
      <c r="B1014" t="s">
        <v>2818</v>
      </c>
      <c r="C1014" t="s">
        <v>1879</v>
      </c>
      <c r="D1014" t="s">
        <v>1880</v>
      </c>
      <c r="E1014" t="s">
        <v>8</v>
      </c>
      <c r="F1014" t="s">
        <v>10</v>
      </c>
      <c r="G1014" s="16">
        <v>577.17409999999995</v>
      </c>
      <c r="H1014" s="16">
        <v>663.75009999999997</v>
      </c>
      <c r="I1014" s="1">
        <v>46188</v>
      </c>
      <c r="J1014">
        <v>71</v>
      </c>
      <c r="K1014" t="s">
        <v>2819</v>
      </c>
      <c r="L1014" t="s">
        <v>4829</v>
      </c>
      <c r="M1014">
        <v>6</v>
      </c>
      <c r="N1014">
        <v>8</v>
      </c>
      <c r="O1014" t="s">
        <v>1036</v>
      </c>
      <c r="P1014" s="17"/>
      <c r="Q1014" s="17" t="str">
        <f>_xlfn.XLOOKUP(Table2[[#This Row],[buyFromVendorNo]],'Next Day Scheduled'!A:A,'Pending Returns'!O:O,"NOT_FOUND")</f>
        <v>NOT_FOUND</v>
      </c>
    </row>
    <row r="1015" spans="1:17" x14ac:dyDescent="0.3">
      <c r="A1015" s="1">
        <v>46188</v>
      </c>
      <c r="B1015" t="s">
        <v>4162</v>
      </c>
      <c r="C1015" t="s">
        <v>785</v>
      </c>
      <c r="D1015" t="s">
        <v>786</v>
      </c>
      <c r="E1015" t="s">
        <v>8</v>
      </c>
      <c r="F1015" t="s">
        <v>10</v>
      </c>
      <c r="G1015" s="16">
        <v>69</v>
      </c>
      <c r="H1015" s="16">
        <v>79.349999999999994</v>
      </c>
      <c r="I1015" s="1">
        <v>46188</v>
      </c>
      <c r="J1015">
        <v>71</v>
      </c>
      <c r="K1015" t="s">
        <v>4747</v>
      </c>
      <c r="L1015" t="s">
        <v>4903</v>
      </c>
      <c r="M1015">
        <v>11</v>
      </c>
      <c r="N1015">
        <v>5</v>
      </c>
      <c r="O1015" t="s">
        <v>1036</v>
      </c>
      <c r="P1015" s="17"/>
      <c r="Q1015" s="17" t="str">
        <f>_xlfn.XLOOKUP(Table2[[#This Row],[buyFromVendorNo]],'Next Day Scheduled'!A:A,'Pending Returns'!O:O,"NOT_FOUND")</f>
        <v>NOT_FOUND</v>
      </c>
    </row>
    <row r="1016" spans="1:17" x14ac:dyDescent="0.3">
      <c r="A1016" s="1">
        <v>46188</v>
      </c>
      <c r="B1016" t="s">
        <v>2823</v>
      </c>
      <c r="C1016" t="s">
        <v>957</v>
      </c>
      <c r="D1016" t="s">
        <v>958</v>
      </c>
      <c r="E1016" t="s">
        <v>8</v>
      </c>
      <c r="F1016" t="s">
        <v>10</v>
      </c>
      <c r="G1016" s="16">
        <v>3920.1113</v>
      </c>
      <c r="H1016" s="16">
        <v>4508.1279999999997</v>
      </c>
      <c r="I1016" s="1">
        <v>46181</v>
      </c>
      <c r="J1016">
        <v>71</v>
      </c>
      <c r="K1016" t="s">
        <v>2824</v>
      </c>
      <c r="L1016" t="s">
        <v>4835</v>
      </c>
      <c r="M1016">
        <v>10</v>
      </c>
      <c r="N1016">
        <v>3</v>
      </c>
      <c r="O1016" t="s">
        <v>1036</v>
      </c>
      <c r="P1016" s="17"/>
      <c r="Q1016" s="17" t="str">
        <f>_xlfn.XLOOKUP(Table2[[#This Row],[buyFromVendorNo]],'Next Day Scheduled'!A:A,'Pending Returns'!O:O,"NOT_FOUND")</f>
        <v>NOT_FOUND</v>
      </c>
    </row>
    <row r="1017" spans="1:17" x14ac:dyDescent="0.3">
      <c r="A1017" s="1">
        <v>46188</v>
      </c>
      <c r="B1017" t="s">
        <v>2807</v>
      </c>
      <c r="C1017" t="s">
        <v>173</v>
      </c>
      <c r="D1017" t="s">
        <v>174</v>
      </c>
      <c r="E1017" t="s">
        <v>8</v>
      </c>
      <c r="F1017" t="s">
        <v>10</v>
      </c>
      <c r="G1017" s="16">
        <v>1298.74</v>
      </c>
      <c r="H1017" s="16">
        <v>1493.5509999999999</v>
      </c>
      <c r="I1017" s="1">
        <v>46187</v>
      </c>
      <c r="J1017">
        <v>71</v>
      </c>
      <c r="K1017" t="s">
        <v>2808</v>
      </c>
      <c r="L1017" t="s">
        <v>4893</v>
      </c>
      <c r="M1017">
        <v>17</v>
      </c>
      <c r="N1017">
        <v>1</v>
      </c>
      <c r="O1017" t="s">
        <v>1036</v>
      </c>
      <c r="P1017" s="17"/>
      <c r="Q1017" s="17" t="str">
        <f>_xlfn.XLOOKUP(Table2[[#This Row],[buyFromVendorNo]],'Next Day Scheduled'!A:A,'Pending Returns'!O:O,"NOT_FOUND")</f>
        <v>NOT_FOUND</v>
      </c>
    </row>
    <row r="1018" spans="1:17" x14ac:dyDescent="0.3">
      <c r="A1018" s="1">
        <v>46188</v>
      </c>
      <c r="B1018" t="s">
        <v>3309</v>
      </c>
      <c r="C1018" t="s">
        <v>871</v>
      </c>
      <c r="D1018" t="s">
        <v>872</v>
      </c>
      <c r="E1018" t="s">
        <v>8</v>
      </c>
      <c r="F1018" t="s">
        <v>10</v>
      </c>
      <c r="G1018" s="16">
        <v>38</v>
      </c>
      <c r="H1018" s="16">
        <v>43.7</v>
      </c>
      <c r="I1018" s="1">
        <v>46176</v>
      </c>
      <c r="J1018">
        <v>71</v>
      </c>
      <c r="K1018" t="s">
        <v>3191</v>
      </c>
      <c r="L1018" t="s">
        <v>4834</v>
      </c>
      <c r="M1018">
        <v>11</v>
      </c>
      <c r="N1018">
        <v>6</v>
      </c>
      <c r="O1018" t="s">
        <v>1036</v>
      </c>
      <c r="P1018" s="17"/>
      <c r="Q1018" s="17" t="str">
        <f>_xlfn.XLOOKUP(Table2[[#This Row],[buyFromVendorNo]],'Next Day Scheduled'!A:A,'Pending Returns'!O:O,"NOT_FOUND")</f>
        <v>Posted Credit Note</v>
      </c>
    </row>
    <row r="1019" spans="1:17" x14ac:dyDescent="0.3">
      <c r="A1019" s="1">
        <v>46188</v>
      </c>
      <c r="B1019" t="s">
        <v>3776</v>
      </c>
      <c r="C1019" t="s">
        <v>991</v>
      </c>
      <c r="D1019" t="s">
        <v>992</v>
      </c>
      <c r="E1019" t="s">
        <v>8</v>
      </c>
      <c r="F1019" t="s">
        <v>10</v>
      </c>
      <c r="G1019" s="16">
        <v>94.4</v>
      </c>
      <c r="H1019" s="16">
        <v>108.56</v>
      </c>
      <c r="I1019" s="1">
        <v>46187</v>
      </c>
      <c r="J1019">
        <v>71</v>
      </c>
      <c r="K1019" t="s">
        <v>3626</v>
      </c>
      <c r="L1019" t="s">
        <v>4902</v>
      </c>
      <c r="M1019">
        <v>10</v>
      </c>
      <c r="N1019">
        <v>1</v>
      </c>
      <c r="O1019" t="s">
        <v>1036</v>
      </c>
      <c r="P1019" s="17"/>
      <c r="Q1019" s="17" t="str">
        <f>_xlfn.XLOOKUP(Table2[[#This Row],[buyFromVendorNo]],'Next Day Scheduled'!A:A,'Pending Returns'!O:O,"NOT_FOUND")</f>
        <v>NOT_FOUND</v>
      </c>
    </row>
    <row r="1020" spans="1:17" x14ac:dyDescent="0.3">
      <c r="A1020" s="1">
        <v>46188</v>
      </c>
      <c r="B1020" t="s">
        <v>522</v>
      </c>
      <c r="C1020" t="s">
        <v>871</v>
      </c>
      <c r="D1020" t="s">
        <v>872</v>
      </c>
      <c r="E1020" t="s">
        <v>8</v>
      </c>
      <c r="F1020" t="s">
        <v>10</v>
      </c>
      <c r="G1020" s="16">
        <v>673.58</v>
      </c>
      <c r="H1020" s="16">
        <v>774.61699999999996</v>
      </c>
      <c r="I1020" s="1">
        <v>46175</v>
      </c>
      <c r="J1020">
        <v>71</v>
      </c>
      <c r="K1020" t="s">
        <v>2739</v>
      </c>
      <c r="L1020" t="s">
        <v>4830</v>
      </c>
      <c r="M1020">
        <v>11</v>
      </c>
      <c r="N1020">
        <v>6</v>
      </c>
      <c r="O1020" t="s">
        <v>1036</v>
      </c>
      <c r="P1020" s="17"/>
      <c r="Q1020" s="17" t="str">
        <f>_xlfn.XLOOKUP(Table2[[#This Row],[buyFromVendorNo]],'Next Day Scheduled'!A:A,'Pending Returns'!O:O,"NOT_FOUND")</f>
        <v>Posted Credit Note</v>
      </c>
    </row>
    <row r="1021" spans="1:17" x14ac:dyDescent="0.3">
      <c r="A1021" s="1">
        <v>46188</v>
      </c>
      <c r="B1021" t="s">
        <v>642</v>
      </c>
      <c r="C1021" t="s">
        <v>173</v>
      </c>
      <c r="D1021" t="s">
        <v>174</v>
      </c>
      <c r="E1021" t="s">
        <v>8</v>
      </c>
      <c r="F1021" t="s">
        <v>38</v>
      </c>
      <c r="G1021" s="16">
        <v>2420.75</v>
      </c>
      <c r="H1021" s="16">
        <v>2783.8625000000002</v>
      </c>
      <c r="I1021" s="1">
        <v>46187</v>
      </c>
      <c r="J1021">
        <v>71</v>
      </c>
      <c r="K1021" t="s">
        <v>4489</v>
      </c>
      <c r="L1021" t="s">
        <v>4891</v>
      </c>
      <c r="M1021">
        <v>18</v>
      </c>
      <c r="N1021">
        <v>24</v>
      </c>
      <c r="O1021" t="s">
        <v>1036</v>
      </c>
      <c r="P1021" s="17"/>
      <c r="Q1021" s="17" t="str">
        <f>_xlfn.XLOOKUP(Table2[[#This Row],[buyFromVendorNo]],'Next Day Scheduled'!A:A,'Pending Returns'!O:O,"NOT_FOUND")</f>
        <v>NOT_FOUND</v>
      </c>
    </row>
    <row r="1022" spans="1:17" x14ac:dyDescent="0.3">
      <c r="A1022" s="1">
        <v>46188</v>
      </c>
      <c r="B1022" t="s">
        <v>2968</v>
      </c>
      <c r="C1022" t="s">
        <v>945</v>
      </c>
      <c r="D1022" t="s">
        <v>946</v>
      </c>
      <c r="E1022" t="s">
        <v>8</v>
      </c>
      <c r="F1022" t="s">
        <v>10</v>
      </c>
      <c r="G1022" s="16">
        <v>185.22</v>
      </c>
      <c r="H1022" s="16">
        <v>213.00299999999999</v>
      </c>
      <c r="I1022" s="1">
        <v>46184</v>
      </c>
      <c r="J1022">
        <v>71</v>
      </c>
      <c r="K1022" t="s">
        <v>2969</v>
      </c>
      <c r="L1022" t="s">
        <v>4892</v>
      </c>
      <c r="M1022">
        <v>5</v>
      </c>
      <c r="N1022">
        <v>20</v>
      </c>
      <c r="O1022" t="s">
        <v>1036</v>
      </c>
      <c r="P1022" s="17"/>
      <c r="Q1022" s="17" t="str">
        <f>_xlfn.XLOOKUP(Table2[[#This Row],[buyFromVendorNo]],'Next Day Scheduled'!A:A,'Pending Returns'!O:O,"NOT_FOUND")</f>
        <v>NOT_FOUND</v>
      </c>
    </row>
    <row r="1023" spans="1:17" x14ac:dyDescent="0.3">
      <c r="A1023" s="1">
        <v>46188</v>
      </c>
      <c r="B1023" t="s">
        <v>3998</v>
      </c>
      <c r="C1023" t="s">
        <v>2248</v>
      </c>
      <c r="D1023" t="s">
        <v>2249</v>
      </c>
      <c r="E1023" t="s">
        <v>8</v>
      </c>
      <c r="F1023" t="s">
        <v>10</v>
      </c>
      <c r="G1023" s="16">
        <v>484.06240000000003</v>
      </c>
      <c r="H1023" s="16">
        <v>556.67174999999997</v>
      </c>
      <c r="I1023" s="1">
        <v>46181</v>
      </c>
      <c r="J1023">
        <v>71</v>
      </c>
      <c r="K1023" t="s">
        <v>3999</v>
      </c>
      <c r="L1023" t="s">
        <v>4831</v>
      </c>
      <c r="M1023">
        <v>6</v>
      </c>
      <c r="N1023">
        <v>5</v>
      </c>
      <c r="O1023" t="s">
        <v>1036</v>
      </c>
      <c r="P1023" s="17"/>
      <c r="Q1023" s="17" t="str">
        <f>_xlfn.XLOOKUP(Table2[[#This Row],[buyFromVendorNo]],'Next Day Scheduled'!A:A,'Pending Returns'!O:O,"NOT_FOUND")</f>
        <v>NOT_FOUND</v>
      </c>
    </row>
    <row r="1024" spans="1:17" x14ac:dyDescent="0.3">
      <c r="A1024" s="1">
        <v>46188</v>
      </c>
      <c r="B1024" t="s">
        <v>2214</v>
      </c>
      <c r="C1024" t="s">
        <v>164</v>
      </c>
      <c r="D1024" t="s">
        <v>165</v>
      </c>
      <c r="E1024" t="s">
        <v>8</v>
      </c>
      <c r="F1024" t="s">
        <v>10</v>
      </c>
      <c r="G1024" s="16">
        <v>10381.108</v>
      </c>
      <c r="H1024" s="16">
        <v>11938.273999999999</v>
      </c>
      <c r="I1024" s="1">
        <v>46177</v>
      </c>
      <c r="J1024">
        <v>71</v>
      </c>
      <c r="K1024" t="s">
        <v>2192</v>
      </c>
      <c r="L1024" t="s">
        <v>4896</v>
      </c>
      <c r="M1024">
        <v>11</v>
      </c>
      <c r="N1024">
        <v>3</v>
      </c>
      <c r="O1024" t="s">
        <v>1036</v>
      </c>
      <c r="P1024" s="17"/>
      <c r="Q1024" s="17" t="str">
        <f>_xlfn.XLOOKUP(Table2[[#This Row],[buyFromVendorNo]],'Next Day Scheduled'!A:A,'Pending Returns'!O:O,"NOT_FOUND")</f>
        <v>NOT_FOUND</v>
      </c>
    </row>
    <row r="1025" spans="1:17" x14ac:dyDescent="0.3">
      <c r="A1025" s="1">
        <v>46188</v>
      </c>
      <c r="B1025" t="s">
        <v>1567</v>
      </c>
      <c r="C1025" t="s">
        <v>173</v>
      </c>
      <c r="D1025" t="s">
        <v>174</v>
      </c>
      <c r="E1025" t="s">
        <v>8</v>
      </c>
      <c r="F1025" t="s">
        <v>10</v>
      </c>
      <c r="G1025" s="16">
        <v>2050.06</v>
      </c>
      <c r="H1025" s="16">
        <v>2357.569</v>
      </c>
      <c r="J1025">
        <v>71</v>
      </c>
      <c r="K1025" t="s">
        <v>4860</v>
      </c>
      <c r="M1025">
        <v>17</v>
      </c>
      <c r="N1025">
        <v>1</v>
      </c>
      <c r="O1025" t="s">
        <v>216</v>
      </c>
      <c r="P1025" s="17"/>
      <c r="Q1025" s="17" t="str">
        <f>_xlfn.XLOOKUP(Table2[[#This Row],[buyFromVendorNo]],'Next Day Scheduled'!A:A,'Pending Returns'!O:O,"NOT_FOUND")</f>
        <v>NOT_FOUND</v>
      </c>
    </row>
    <row r="1026" spans="1:17" x14ac:dyDescent="0.3">
      <c r="A1026" s="1">
        <v>46188</v>
      </c>
      <c r="B1026" t="s">
        <v>3550</v>
      </c>
      <c r="C1026" t="s">
        <v>871</v>
      </c>
      <c r="D1026" t="s">
        <v>3551</v>
      </c>
      <c r="E1026" t="s">
        <v>8</v>
      </c>
      <c r="F1026" t="s">
        <v>10</v>
      </c>
      <c r="G1026" s="16">
        <v>256</v>
      </c>
      <c r="H1026" s="16">
        <v>294.39999999999998</v>
      </c>
      <c r="I1026" s="1">
        <v>46176</v>
      </c>
      <c r="J1026">
        <v>71</v>
      </c>
      <c r="K1026" t="s">
        <v>3552</v>
      </c>
      <c r="L1026" t="s">
        <v>4837</v>
      </c>
      <c r="M1026">
        <v>11</v>
      </c>
      <c r="N1026">
        <v>6</v>
      </c>
      <c r="O1026" t="s">
        <v>1036</v>
      </c>
      <c r="P1026" s="17"/>
      <c r="Q1026" s="17" t="str">
        <f>_xlfn.XLOOKUP(Table2[[#This Row],[buyFromVendorNo]],'Next Day Scheduled'!A:A,'Pending Returns'!O:O,"NOT_FOUND")</f>
        <v>Posted Credit Note</v>
      </c>
    </row>
    <row r="1027" spans="1:17" x14ac:dyDescent="0.3">
      <c r="A1027" s="1">
        <v>46188</v>
      </c>
      <c r="B1027" t="s">
        <v>642</v>
      </c>
      <c r="C1027" t="s">
        <v>173</v>
      </c>
      <c r="D1027" t="s">
        <v>174</v>
      </c>
      <c r="E1027" t="s">
        <v>8</v>
      </c>
      <c r="F1027" t="s">
        <v>38</v>
      </c>
      <c r="G1027" s="16">
        <v>252.89</v>
      </c>
      <c r="H1027" s="16">
        <v>290.82350000000002</v>
      </c>
      <c r="I1027" s="1">
        <v>46186</v>
      </c>
      <c r="J1027">
        <v>71</v>
      </c>
      <c r="K1027" t="s">
        <v>3762</v>
      </c>
      <c r="L1027" t="s">
        <v>4887</v>
      </c>
      <c r="M1027">
        <v>18</v>
      </c>
      <c r="N1027">
        <v>24</v>
      </c>
      <c r="O1027" t="s">
        <v>1036</v>
      </c>
      <c r="P1027" s="17"/>
      <c r="Q1027" s="17" t="str">
        <f>_xlfn.XLOOKUP(Table2[[#This Row],[buyFromVendorNo]],'Next Day Scheduled'!A:A,'Pending Returns'!O:O,"NOT_FOUND")</f>
        <v>NOT_FOUND</v>
      </c>
    </row>
    <row r="1028" spans="1:17" x14ac:dyDescent="0.3">
      <c r="A1028" s="1">
        <v>46188</v>
      </c>
      <c r="B1028" t="s">
        <v>642</v>
      </c>
      <c r="C1028" t="s">
        <v>173</v>
      </c>
      <c r="D1028" t="s">
        <v>174</v>
      </c>
      <c r="E1028" t="s">
        <v>8</v>
      </c>
      <c r="F1028" t="s">
        <v>38</v>
      </c>
      <c r="G1028" s="16">
        <v>945.02</v>
      </c>
      <c r="H1028" s="16">
        <v>1086.7729999999999</v>
      </c>
      <c r="I1028" s="1">
        <v>46187</v>
      </c>
      <c r="J1028">
        <v>71</v>
      </c>
      <c r="K1028" t="s">
        <v>3598</v>
      </c>
      <c r="L1028" t="s">
        <v>4895</v>
      </c>
      <c r="M1028">
        <v>18</v>
      </c>
      <c r="N1028">
        <v>24</v>
      </c>
      <c r="O1028" t="s">
        <v>1036</v>
      </c>
      <c r="P1028" s="17"/>
      <c r="Q1028" s="17" t="str">
        <f>_xlfn.XLOOKUP(Table2[[#This Row],[buyFromVendorNo]],'Next Day Scheduled'!A:A,'Pending Returns'!O:O,"NOT_FOUND")</f>
        <v>NOT_FOUND</v>
      </c>
    </row>
    <row r="1029" spans="1:17" x14ac:dyDescent="0.3">
      <c r="A1029" s="1">
        <v>46188</v>
      </c>
      <c r="B1029" t="s">
        <v>7469</v>
      </c>
      <c r="C1029" t="s">
        <v>854</v>
      </c>
      <c r="D1029" t="s">
        <v>855</v>
      </c>
      <c r="E1029" t="s">
        <v>8</v>
      </c>
      <c r="F1029" t="s">
        <v>10</v>
      </c>
      <c r="G1029" s="16">
        <v>373.9194</v>
      </c>
      <c r="H1029" s="16">
        <v>379.38037000000003</v>
      </c>
      <c r="J1029">
        <v>71</v>
      </c>
      <c r="K1029" t="s">
        <v>4856</v>
      </c>
      <c r="M1029">
        <v>15</v>
      </c>
      <c r="N1029">
        <v>6</v>
      </c>
      <c r="O1029" t="s">
        <v>216</v>
      </c>
      <c r="P1029" s="17"/>
      <c r="Q1029" s="17" t="str">
        <f>_xlfn.XLOOKUP(Table2[[#This Row],[buyFromVendorNo]],'Next Day Scheduled'!A:A,'Pending Returns'!O:O,"NOT_FOUND")</f>
        <v>Posted Credit Note</v>
      </c>
    </row>
    <row r="1030" spans="1:17" x14ac:dyDescent="0.3">
      <c r="A1030" s="1">
        <v>46188</v>
      </c>
      <c r="B1030" t="s">
        <v>3374</v>
      </c>
      <c r="C1030" t="s">
        <v>871</v>
      </c>
      <c r="D1030" t="s">
        <v>872</v>
      </c>
      <c r="E1030" t="s">
        <v>8</v>
      </c>
      <c r="F1030" t="s">
        <v>10</v>
      </c>
      <c r="G1030" s="16">
        <v>169.42</v>
      </c>
      <c r="H1030" s="16">
        <v>194.833</v>
      </c>
      <c r="I1030" s="1">
        <v>46176</v>
      </c>
      <c r="J1030">
        <v>71</v>
      </c>
      <c r="K1030" t="s">
        <v>3213</v>
      </c>
      <c r="L1030" t="s">
        <v>4827</v>
      </c>
      <c r="M1030">
        <v>11</v>
      </c>
      <c r="N1030">
        <v>6</v>
      </c>
      <c r="O1030" t="s">
        <v>1036</v>
      </c>
      <c r="P1030" s="17"/>
      <c r="Q1030" s="17" t="str">
        <f>_xlfn.XLOOKUP(Table2[[#This Row],[buyFromVendorNo]],'Next Day Scheduled'!A:A,'Pending Returns'!O:O,"NOT_FOUND")</f>
        <v>Posted Credit Note</v>
      </c>
    </row>
    <row r="1031" spans="1:17" x14ac:dyDescent="0.3">
      <c r="A1031" s="1">
        <v>46189</v>
      </c>
      <c r="B1031" t="s">
        <v>2661</v>
      </c>
      <c r="C1031" t="s">
        <v>84</v>
      </c>
      <c r="D1031" t="s">
        <v>85</v>
      </c>
      <c r="E1031" t="s">
        <v>8</v>
      </c>
      <c r="F1031" t="s">
        <v>10</v>
      </c>
      <c r="G1031" s="16">
        <v>461.36099999999999</v>
      </c>
      <c r="H1031" s="16">
        <v>530.5652</v>
      </c>
      <c r="I1031" s="1">
        <v>46174</v>
      </c>
      <c r="J1031">
        <v>70</v>
      </c>
      <c r="K1031" t="s">
        <v>2662</v>
      </c>
      <c r="L1031" t="s">
        <v>5107</v>
      </c>
      <c r="M1031">
        <v>10</v>
      </c>
      <c r="N1031">
        <v>2</v>
      </c>
      <c r="O1031" t="s">
        <v>1036</v>
      </c>
      <c r="P1031" s="17"/>
      <c r="Q1031" s="17" t="str">
        <f>_xlfn.XLOOKUP(Table2[[#This Row],[buyFromVendorNo]],'Next Day Scheduled'!A:A,'Pending Returns'!O:O,"NOT_FOUND")</f>
        <v>NOT_FOUND</v>
      </c>
    </row>
    <row r="1032" spans="1:17" x14ac:dyDescent="0.3">
      <c r="A1032" s="1">
        <v>46189</v>
      </c>
      <c r="B1032" t="s">
        <v>1276</v>
      </c>
      <c r="C1032" t="s">
        <v>3022</v>
      </c>
      <c r="D1032" t="s">
        <v>3023</v>
      </c>
      <c r="E1032" t="s">
        <v>8</v>
      </c>
      <c r="F1032" t="s">
        <v>10</v>
      </c>
      <c r="G1032" s="16">
        <v>100</v>
      </c>
      <c r="H1032" s="16">
        <v>100</v>
      </c>
      <c r="I1032" s="1">
        <v>46189</v>
      </c>
      <c r="J1032">
        <v>70</v>
      </c>
      <c r="K1032" t="s">
        <v>3024</v>
      </c>
      <c r="L1032" t="s">
        <v>5109</v>
      </c>
      <c r="M1032">
        <v>0</v>
      </c>
      <c r="N1032">
        <v>173</v>
      </c>
      <c r="O1032" t="s">
        <v>1036</v>
      </c>
      <c r="P1032" s="17"/>
      <c r="Q1032" s="17" t="str">
        <f>_xlfn.XLOOKUP(Table2[[#This Row],[buyFromVendorNo]],'Next Day Scheduled'!A:A,'Pending Returns'!O:O,"NOT_FOUND")</f>
        <v>NOT_FOUND</v>
      </c>
    </row>
    <row r="1033" spans="1:17" x14ac:dyDescent="0.3">
      <c r="A1033" s="1">
        <v>46189</v>
      </c>
      <c r="B1033" t="s">
        <v>642</v>
      </c>
      <c r="C1033" t="s">
        <v>4364</v>
      </c>
      <c r="D1033" t="s">
        <v>4542</v>
      </c>
      <c r="E1033" t="s">
        <v>8</v>
      </c>
      <c r="F1033" t="s">
        <v>38</v>
      </c>
      <c r="G1033" s="16">
        <v>443.34</v>
      </c>
      <c r="H1033" s="16">
        <v>509.84100000000001</v>
      </c>
      <c r="I1033" s="1">
        <v>46187</v>
      </c>
      <c r="J1033">
        <v>70</v>
      </c>
      <c r="K1033" t="s">
        <v>4543</v>
      </c>
      <c r="L1033" t="s">
        <v>5098</v>
      </c>
      <c r="M1033">
        <v>12</v>
      </c>
      <c r="N1033">
        <v>1</v>
      </c>
      <c r="O1033" t="s">
        <v>1036</v>
      </c>
      <c r="P1033" s="17"/>
      <c r="Q1033" s="17" t="str">
        <f>_xlfn.XLOOKUP(Table2[[#This Row],[buyFromVendorNo]],'Next Day Scheduled'!A:A,'Pending Returns'!O:O,"NOT_FOUND")</f>
        <v>NOT_FOUND</v>
      </c>
    </row>
    <row r="1034" spans="1:17" x14ac:dyDescent="0.3">
      <c r="A1034" s="1">
        <v>46189</v>
      </c>
      <c r="B1034" t="s">
        <v>4679</v>
      </c>
      <c r="C1034" t="s">
        <v>798</v>
      </c>
      <c r="D1034" t="s">
        <v>799</v>
      </c>
      <c r="E1034" t="s">
        <v>8</v>
      </c>
      <c r="F1034" t="s">
        <v>10</v>
      </c>
      <c r="G1034" s="16">
        <v>49.45</v>
      </c>
      <c r="H1034" s="16">
        <v>56.8675</v>
      </c>
      <c r="I1034" s="1">
        <v>46189</v>
      </c>
      <c r="J1034">
        <v>70</v>
      </c>
      <c r="K1034" t="s">
        <v>4637</v>
      </c>
      <c r="L1034" t="s">
        <v>5065</v>
      </c>
      <c r="M1034">
        <v>9</v>
      </c>
      <c r="N1034">
        <v>9</v>
      </c>
      <c r="O1034" t="s">
        <v>1036</v>
      </c>
      <c r="P1034" s="17"/>
      <c r="Q1034" s="17" t="str">
        <f>_xlfn.XLOOKUP(Table2[[#This Row],[buyFromVendorNo]],'Next Day Scheduled'!A:A,'Pending Returns'!O:O,"NOT_FOUND")</f>
        <v>NOT_FOUND</v>
      </c>
    </row>
    <row r="1035" spans="1:17" x14ac:dyDescent="0.3">
      <c r="A1035" s="1">
        <v>46189</v>
      </c>
      <c r="B1035" t="s">
        <v>3419</v>
      </c>
      <c r="C1035" t="s">
        <v>491</v>
      </c>
      <c r="D1035" t="s">
        <v>492</v>
      </c>
      <c r="E1035" t="s">
        <v>8</v>
      </c>
      <c r="F1035" t="s">
        <v>10</v>
      </c>
      <c r="G1035" s="16">
        <v>446</v>
      </c>
      <c r="H1035" s="16">
        <v>512.9</v>
      </c>
      <c r="I1035" s="1">
        <v>46177</v>
      </c>
      <c r="J1035">
        <v>70</v>
      </c>
      <c r="K1035" t="s">
        <v>3647</v>
      </c>
      <c r="L1035" t="s">
        <v>5114</v>
      </c>
      <c r="M1035">
        <v>10</v>
      </c>
      <c r="N1035">
        <v>2</v>
      </c>
      <c r="O1035" t="s">
        <v>1036</v>
      </c>
      <c r="P1035" s="17"/>
      <c r="Q1035" s="17" t="str">
        <f>_xlfn.XLOOKUP(Table2[[#This Row],[buyFromVendorNo]],'Next Day Scheduled'!A:A,'Pending Returns'!O:O,"NOT_FOUND")</f>
        <v>NOT_FOUND</v>
      </c>
    </row>
    <row r="1036" spans="1:17" x14ac:dyDescent="0.3">
      <c r="A1036" s="1">
        <v>46189</v>
      </c>
      <c r="B1036" t="s">
        <v>3497</v>
      </c>
      <c r="C1036" t="s">
        <v>1718</v>
      </c>
      <c r="D1036" t="s">
        <v>1719</v>
      </c>
      <c r="E1036" t="s">
        <v>8</v>
      </c>
      <c r="F1036" t="s">
        <v>10</v>
      </c>
      <c r="G1036" s="16">
        <v>378.74392999999998</v>
      </c>
      <c r="H1036" s="16">
        <v>435.55549999999999</v>
      </c>
      <c r="I1036" s="1">
        <v>46182</v>
      </c>
      <c r="J1036">
        <v>70</v>
      </c>
      <c r="K1036" t="s">
        <v>3498</v>
      </c>
      <c r="L1036" t="s">
        <v>4908</v>
      </c>
      <c r="M1036">
        <v>10</v>
      </c>
      <c r="N1036">
        <v>1</v>
      </c>
      <c r="O1036" t="s">
        <v>1036</v>
      </c>
      <c r="P1036" s="17"/>
      <c r="Q1036" s="17" t="str">
        <f>_xlfn.XLOOKUP(Table2[[#This Row],[buyFromVendorNo]],'Next Day Scheduled'!A:A,'Pending Returns'!O:O,"NOT_FOUND")</f>
        <v>NOT_FOUND</v>
      </c>
    </row>
    <row r="1037" spans="1:17" x14ac:dyDescent="0.3">
      <c r="A1037" s="1">
        <v>46189</v>
      </c>
      <c r="B1037" t="s">
        <v>3293</v>
      </c>
      <c r="C1037" t="s">
        <v>596</v>
      </c>
      <c r="D1037" t="s">
        <v>597</v>
      </c>
      <c r="E1037" t="s">
        <v>8</v>
      </c>
      <c r="F1037" t="s">
        <v>10</v>
      </c>
      <c r="G1037" s="16">
        <v>1626.8116</v>
      </c>
      <c r="H1037" s="16">
        <v>1870.8334</v>
      </c>
      <c r="I1037" s="1">
        <v>46175</v>
      </c>
      <c r="J1037">
        <v>70</v>
      </c>
      <c r="K1037" t="s">
        <v>3157</v>
      </c>
      <c r="L1037" t="s">
        <v>4916</v>
      </c>
      <c r="M1037">
        <v>11</v>
      </c>
      <c r="N1037">
        <v>5</v>
      </c>
      <c r="O1037" t="s">
        <v>1036</v>
      </c>
      <c r="P1037" s="17"/>
      <c r="Q1037" s="17" t="str">
        <f>_xlfn.XLOOKUP(Table2[[#This Row],[buyFromVendorNo]],'Next Day Scheduled'!A:A,'Pending Returns'!O:O,"NOT_FOUND")</f>
        <v>NOT_FOUND</v>
      </c>
    </row>
    <row r="1038" spans="1:17" x14ac:dyDescent="0.3">
      <c r="A1038" s="1">
        <v>46189</v>
      </c>
      <c r="B1038" t="s">
        <v>3926</v>
      </c>
      <c r="C1038" t="s">
        <v>850</v>
      </c>
      <c r="D1038" t="s">
        <v>851</v>
      </c>
      <c r="E1038" t="s">
        <v>8</v>
      </c>
      <c r="F1038" t="s">
        <v>10</v>
      </c>
      <c r="G1038" s="16">
        <v>8352</v>
      </c>
      <c r="H1038" s="16">
        <v>9604.7999999999993</v>
      </c>
      <c r="I1038" s="1">
        <v>46188</v>
      </c>
      <c r="J1038">
        <v>70</v>
      </c>
      <c r="K1038" t="s">
        <v>3927</v>
      </c>
      <c r="L1038" t="s">
        <v>5077</v>
      </c>
      <c r="M1038">
        <v>10</v>
      </c>
      <c r="N1038">
        <v>1</v>
      </c>
      <c r="O1038" t="s">
        <v>1036</v>
      </c>
      <c r="P1038" s="17"/>
      <c r="Q1038" s="17" t="str">
        <f>_xlfn.XLOOKUP(Table2[[#This Row],[buyFromVendorNo]],'Next Day Scheduled'!A:A,'Pending Returns'!O:O,"NOT_FOUND")</f>
        <v>NOT_FOUND</v>
      </c>
    </row>
    <row r="1039" spans="1:17" x14ac:dyDescent="0.3">
      <c r="A1039" s="1">
        <v>46189</v>
      </c>
      <c r="B1039" t="s">
        <v>315</v>
      </c>
      <c r="C1039" t="s">
        <v>181</v>
      </c>
      <c r="D1039" t="s">
        <v>182</v>
      </c>
      <c r="E1039" t="s">
        <v>8</v>
      </c>
      <c r="F1039" t="s">
        <v>10</v>
      </c>
      <c r="G1039" s="16">
        <v>3636.7750999999998</v>
      </c>
      <c r="H1039" s="16">
        <v>4182.2915000000003</v>
      </c>
      <c r="I1039" s="1">
        <v>46181</v>
      </c>
      <c r="J1039">
        <v>70</v>
      </c>
      <c r="K1039" t="s">
        <v>1840</v>
      </c>
      <c r="L1039" t="s">
        <v>5079</v>
      </c>
      <c r="M1039">
        <v>15</v>
      </c>
      <c r="N1039">
        <v>2</v>
      </c>
      <c r="O1039" t="s">
        <v>1036</v>
      </c>
      <c r="P1039" s="17"/>
      <c r="Q1039" s="17" t="str">
        <f>_xlfn.XLOOKUP(Table2[[#This Row],[buyFromVendorNo]],'Next Day Scheduled'!A:A,'Pending Returns'!O:O,"NOT_FOUND")</f>
        <v>NOT_FOUND</v>
      </c>
    </row>
    <row r="1040" spans="1:17" x14ac:dyDescent="0.3">
      <c r="A1040" s="1">
        <v>46189</v>
      </c>
      <c r="B1040" t="s">
        <v>4276</v>
      </c>
      <c r="C1040" t="s">
        <v>798</v>
      </c>
      <c r="D1040" t="s">
        <v>799</v>
      </c>
      <c r="E1040" t="s">
        <v>8</v>
      </c>
      <c r="F1040" t="s">
        <v>10</v>
      </c>
      <c r="G1040" s="16">
        <v>132.94999999999999</v>
      </c>
      <c r="H1040" s="16">
        <v>152.89250000000001</v>
      </c>
      <c r="I1040" s="1">
        <v>46189</v>
      </c>
      <c r="J1040">
        <v>70</v>
      </c>
      <c r="K1040" t="s">
        <v>4277</v>
      </c>
      <c r="L1040" t="s">
        <v>5082</v>
      </c>
      <c r="M1040">
        <v>9</v>
      </c>
      <c r="N1040">
        <v>9</v>
      </c>
      <c r="O1040" t="s">
        <v>1036</v>
      </c>
      <c r="P1040" s="17"/>
      <c r="Q1040" s="17" t="str">
        <f>_xlfn.XLOOKUP(Table2[[#This Row],[buyFromVendorNo]],'Next Day Scheduled'!A:A,'Pending Returns'!O:O,"NOT_FOUND")</f>
        <v>NOT_FOUND</v>
      </c>
    </row>
    <row r="1041" spans="1:17" x14ac:dyDescent="0.3">
      <c r="A1041" s="1">
        <v>46189</v>
      </c>
      <c r="B1041" t="s">
        <v>1467</v>
      </c>
      <c r="C1041" t="s">
        <v>1031</v>
      </c>
      <c r="D1041" t="s">
        <v>1032</v>
      </c>
      <c r="E1041" t="s">
        <v>8</v>
      </c>
      <c r="F1041" t="s">
        <v>38</v>
      </c>
      <c r="G1041" s="16">
        <v>2255.54</v>
      </c>
      <c r="H1041" s="16">
        <v>2593.8710000000001</v>
      </c>
      <c r="I1041" s="1">
        <v>46185</v>
      </c>
      <c r="J1041">
        <v>70</v>
      </c>
      <c r="K1041" t="s">
        <v>4056</v>
      </c>
      <c r="L1041" t="s">
        <v>4911</v>
      </c>
      <c r="M1041">
        <v>8</v>
      </c>
      <c r="N1041">
        <v>7</v>
      </c>
      <c r="O1041" t="s">
        <v>1036</v>
      </c>
      <c r="P1041" s="17"/>
      <c r="Q1041" s="17" t="str">
        <f>_xlfn.XLOOKUP(Table2[[#This Row],[buyFromVendorNo]],'Next Day Scheduled'!A:A,'Pending Returns'!O:O,"NOT_FOUND")</f>
        <v>Pending for Collection</v>
      </c>
    </row>
    <row r="1042" spans="1:17" x14ac:dyDescent="0.3">
      <c r="A1042" s="1">
        <v>46189</v>
      </c>
      <c r="B1042" t="s">
        <v>237</v>
      </c>
      <c r="C1042" t="s">
        <v>2373</v>
      </c>
      <c r="D1042" t="s">
        <v>2374</v>
      </c>
      <c r="E1042" t="s">
        <v>8</v>
      </c>
      <c r="F1042" t="s">
        <v>10</v>
      </c>
      <c r="G1042" s="16">
        <v>200.82</v>
      </c>
      <c r="H1042" s="16">
        <v>230.94300000000001</v>
      </c>
      <c r="I1042" s="1">
        <v>46175</v>
      </c>
      <c r="J1042">
        <v>70</v>
      </c>
      <c r="K1042" t="s">
        <v>2958</v>
      </c>
      <c r="L1042" t="s">
        <v>5067</v>
      </c>
      <c r="M1042">
        <v>10</v>
      </c>
      <c r="N1042">
        <v>5</v>
      </c>
      <c r="O1042" t="s">
        <v>1036</v>
      </c>
      <c r="P1042" s="17"/>
      <c r="Q1042" s="17" t="str">
        <f>_xlfn.XLOOKUP(Table2[[#This Row],[buyFromVendorNo]],'Next Day Scheduled'!A:A,'Pending Returns'!O:O,"NOT_FOUND")</f>
        <v>NOT_FOUND</v>
      </c>
    </row>
    <row r="1043" spans="1:17" x14ac:dyDescent="0.3">
      <c r="A1043" s="1">
        <v>46189</v>
      </c>
      <c r="B1043" t="s">
        <v>3779</v>
      </c>
      <c r="C1043" t="s">
        <v>949</v>
      </c>
      <c r="D1043" t="s">
        <v>950</v>
      </c>
      <c r="E1043" t="s">
        <v>8</v>
      </c>
      <c r="F1043" t="s">
        <v>10</v>
      </c>
      <c r="G1043" s="16">
        <v>304.10399999999998</v>
      </c>
      <c r="H1043" s="16">
        <v>339.73289999999997</v>
      </c>
      <c r="I1043" s="1">
        <v>46188</v>
      </c>
      <c r="J1043">
        <v>70</v>
      </c>
      <c r="K1043" t="s">
        <v>3780</v>
      </c>
      <c r="L1043" t="s">
        <v>4915</v>
      </c>
      <c r="M1043">
        <v>9</v>
      </c>
      <c r="N1043">
        <v>3</v>
      </c>
      <c r="O1043" t="s">
        <v>1036</v>
      </c>
      <c r="P1043" s="17"/>
      <c r="Q1043" s="17" t="str">
        <f>_xlfn.XLOOKUP(Table2[[#This Row],[buyFromVendorNo]],'Next Day Scheduled'!A:A,'Pending Returns'!O:O,"NOT_FOUND")</f>
        <v>NOT_FOUND</v>
      </c>
    </row>
    <row r="1044" spans="1:17" x14ac:dyDescent="0.3">
      <c r="A1044" s="1">
        <v>46189</v>
      </c>
      <c r="B1044" t="s">
        <v>2987</v>
      </c>
      <c r="C1044" t="s">
        <v>562</v>
      </c>
      <c r="D1044" t="s">
        <v>563</v>
      </c>
      <c r="E1044" t="s">
        <v>8</v>
      </c>
      <c r="F1044" t="s">
        <v>10</v>
      </c>
      <c r="G1044" s="16">
        <v>1989</v>
      </c>
      <c r="H1044" s="16">
        <v>2287.35</v>
      </c>
      <c r="I1044" s="1">
        <v>46188</v>
      </c>
      <c r="J1044">
        <v>70</v>
      </c>
      <c r="K1044" t="s">
        <v>2988</v>
      </c>
      <c r="L1044" t="s">
        <v>5094</v>
      </c>
      <c r="M1044">
        <v>21</v>
      </c>
      <c r="N1044">
        <v>1</v>
      </c>
      <c r="O1044" t="s">
        <v>1036</v>
      </c>
      <c r="P1044" s="17"/>
      <c r="Q1044" s="17" t="str">
        <f>_xlfn.XLOOKUP(Table2[[#This Row],[buyFromVendorNo]],'Next Day Scheduled'!A:A,'Pending Returns'!O:O,"NOT_FOUND")</f>
        <v>NOT_FOUND</v>
      </c>
    </row>
    <row r="1045" spans="1:17" x14ac:dyDescent="0.3">
      <c r="A1045" s="1">
        <v>46189</v>
      </c>
      <c r="B1045" t="s">
        <v>3455</v>
      </c>
      <c r="C1045" t="s">
        <v>95</v>
      </c>
      <c r="D1045" t="s">
        <v>96</v>
      </c>
      <c r="E1045" t="s">
        <v>8</v>
      </c>
      <c r="F1045" t="s">
        <v>10</v>
      </c>
      <c r="G1045" s="16">
        <v>1597.48</v>
      </c>
      <c r="H1045" s="16">
        <v>1837.1020000000001</v>
      </c>
      <c r="I1045" s="1">
        <v>46184</v>
      </c>
      <c r="J1045">
        <v>70</v>
      </c>
      <c r="K1045" t="s">
        <v>3124</v>
      </c>
      <c r="L1045" t="s">
        <v>5096</v>
      </c>
      <c r="M1045">
        <v>11</v>
      </c>
      <c r="N1045">
        <v>1</v>
      </c>
      <c r="O1045" t="s">
        <v>1036</v>
      </c>
      <c r="P1045" s="17"/>
      <c r="Q1045" s="17" t="str">
        <f>_xlfn.XLOOKUP(Table2[[#This Row],[buyFromVendorNo]],'Next Day Scheduled'!A:A,'Pending Returns'!O:O,"NOT_FOUND")</f>
        <v>NOT_FOUND</v>
      </c>
    </row>
    <row r="1046" spans="1:17" x14ac:dyDescent="0.3">
      <c r="A1046" s="1">
        <v>46189</v>
      </c>
      <c r="B1046" t="s">
        <v>3850</v>
      </c>
      <c r="C1046" t="s">
        <v>506</v>
      </c>
      <c r="D1046" t="s">
        <v>507</v>
      </c>
      <c r="E1046" t="s">
        <v>8</v>
      </c>
      <c r="F1046" t="s">
        <v>10</v>
      </c>
      <c r="G1046" s="16">
        <v>56</v>
      </c>
      <c r="H1046" s="16">
        <v>56</v>
      </c>
      <c r="I1046" s="1">
        <v>46185</v>
      </c>
      <c r="J1046">
        <v>70</v>
      </c>
      <c r="K1046" t="s">
        <v>4253</v>
      </c>
      <c r="L1046" t="s">
        <v>5071</v>
      </c>
      <c r="M1046">
        <v>10</v>
      </c>
      <c r="N1046">
        <v>5</v>
      </c>
      <c r="O1046" t="s">
        <v>1036</v>
      </c>
      <c r="P1046" s="17"/>
      <c r="Q1046" s="17" t="str">
        <f>_xlfn.XLOOKUP(Table2[[#This Row],[buyFromVendorNo]],'Next Day Scheduled'!A:A,'Pending Returns'!O:O,"NOT_FOUND")</f>
        <v>Posted Credit Note</v>
      </c>
    </row>
    <row r="1047" spans="1:17" x14ac:dyDescent="0.3">
      <c r="A1047" s="1">
        <v>46189</v>
      </c>
      <c r="B1047" t="s">
        <v>4015</v>
      </c>
      <c r="C1047" t="s">
        <v>949</v>
      </c>
      <c r="D1047" t="s">
        <v>950</v>
      </c>
      <c r="E1047" t="s">
        <v>8</v>
      </c>
      <c r="F1047" t="s">
        <v>10</v>
      </c>
      <c r="G1047" s="16">
        <v>596.80065999999999</v>
      </c>
      <c r="H1047" s="16">
        <v>664.31529999999998</v>
      </c>
      <c r="I1047" s="1">
        <v>46188</v>
      </c>
      <c r="J1047">
        <v>70</v>
      </c>
      <c r="K1047" t="s">
        <v>4016</v>
      </c>
      <c r="L1047" t="s">
        <v>4914</v>
      </c>
      <c r="M1047">
        <v>9</v>
      </c>
      <c r="N1047">
        <v>3</v>
      </c>
      <c r="O1047" t="s">
        <v>1036</v>
      </c>
      <c r="P1047" s="17"/>
      <c r="Q1047" s="17" t="str">
        <f>_xlfn.XLOOKUP(Table2[[#This Row],[buyFromVendorNo]],'Next Day Scheduled'!A:A,'Pending Returns'!O:O,"NOT_FOUND")</f>
        <v>NOT_FOUND</v>
      </c>
    </row>
    <row r="1048" spans="1:17" x14ac:dyDescent="0.3">
      <c r="A1048" s="1">
        <v>46189</v>
      </c>
      <c r="B1048" t="s">
        <v>677</v>
      </c>
      <c r="C1048" t="s">
        <v>1346</v>
      </c>
      <c r="D1048" t="s">
        <v>1347</v>
      </c>
      <c r="E1048" t="s">
        <v>8</v>
      </c>
      <c r="F1048" t="s">
        <v>10</v>
      </c>
      <c r="G1048" s="16">
        <v>1890.38</v>
      </c>
      <c r="H1048" s="16">
        <v>2173.9369999999999</v>
      </c>
      <c r="I1048" s="1">
        <v>46188</v>
      </c>
      <c r="J1048">
        <v>70</v>
      </c>
      <c r="K1048" t="s">
        <v>4199</v>
      </c>
      <c r="L1048" t="s">
        <v>5075</v>
      </c>
      <c r="M1048">
        <v>6</v>
      </c>
      <c r="N1048">
        <v>9</v>
      </c>
      <c r="O1048" t="s">
        <v>1036</v>
      </c>
      <c r="P1048" s="17"/>
      <c r="Q1048" s="17" t="str">
        <f>_xlfn.XLOOKUP(Table2[[#This Row],[buyFromVendorNo]],'Next Day Scheduled'!A:A,'Pending Returns'!O:O,"NOT_FOUND")</f>
        <v>NOT_FOUND</v>
      </c>
    </row>
    <row r="1049" spans="1:17" x14ac:dyDescent="0.3">
      <c r="A1049" s="1">
        <v>46189</v>
      </c>
      <c r="B1049" t="s">
        <v>3969</v>
      </c>
      <c r="C1049" t="s">
        <v>697</v>
      </c>
      <c r="D1049" t="s">
        <v>698</v>
      </c>
      <c r="E1049" t="s">
        <v>8</v>
      </c>
      <c r="F1049" t="s">
        <v>10</v>
      </c>
      <c r="G1049" s="16">
        <v>334.07715000000002</v>
      </c>
      <c r="H1049" s="16">
        <v>384.18871999999999</v>
      </c>
      <c r="I1049" s="1">
        <v>46181</v>
      </c>
      <c r="J1049">
        <v>70</v>
      </c>
      <c r="K1049" t="s">
        <v>3970</v>
      </c>
      <c r="L1049" t="s">
        <v>5117</v>
      </c>
      <c r="M1049">
        <v>12</v>
      </c>
      <c r="N1049">
        <v>2</v>
      </c>
      <c r="O1049" t="s">
        <v>1036</v>
      </c>
      <c r="P1049" s="17"/>
      <c r="Q1049" s="17" t="str">
        <f>_xlfn.XLOOKUP(Table2[[#This Row],[buyFromVendorNo]],'Next Day Scheduled'!A:A,'Pending Returns'!O:O,"NOT_FOUND")</f>
        <v>NOT_FOUND</v>
      </c>
    </row>
    <row r="1050" spans="1:17" x14ac:dyDescent="0.3">
      <c r="A1050" s="1">
        <v>46189</v>
      </c>
      <c r="B1050" t="s">
        <v>1822</v>
      </c>
      <c r="C1050" t="s">
        <v>162</v>
      </c>
      <c r="D1050" t="s">
        <v>163</v>
      </c>
      <c r="E1050" t="s">
        <v>8</v>
      </c>
      <c r="F1050" t="s">
        <v>10</v>
      </c>
      <c r="G1050" s="16">
        <v>3100.0344</v>
      </c>
      <c r="H1050" s="16">
        <v>3565.0398</v>
      </c>
      <c r="I1050" s="1">
        <v>46189</v>
      </c>
      <c r="J1050">
        <v>70</v>
      </c>
      <c r="K1050" t="s">
        <v>1823</v>
      </c>
      <c r="L1050" t="s">
        <v>5068</v>
      </c>
      <c r="M1050">
        <v>12</v>
      </c>
      <c r="N1050">
        <v>2</v>
      </c>
      <c r="O1050" t="s">
        <v>1036</v>
      </c>
      <c r="P1050" s="17"/>
      <c r="Q1050" s="17" t="str">
        <f>_xlfn.XLOOKUP(Table2[[#This Row],[buyFromVendorNo]],'Next Day Scheduled'!A:A,'Pending Returns'!O:O,"NOT_FOUND")</f>
        <v>NOT_FOUND</v>
      </c>
    </row>
    <row r="1051" spans="1:17" x14ac:dyDescent="0.3">
      <c r="A1051" s="1">
        <v>46189</v>
      </c>
      <c r="B1051" t="s">
        <v>1415</v>
      </c>
      <c r="C1051" t="s">
        <v>2292</v>
      </c>
      <c r="D1051" t="s">
        <v>2293</v>
      </c>
      <c r="E1051" t="s">
        <v>8</v>
      </c>
      <c r="F1051" t="s">
        <v>10</v>
      </c>
      <c r="G1051" s="16">
        <v>297.15219999999999</v>
      </c>
      <c r="H1051" s="16">
        <v>341.72500000000002</v>
      </c>
      <c r="I1051" s="1">
        <v>46176</v>
      </c>
      <c r="J1051">
        <v>70</v>
      </c>
      <c r="K1051" t="s">
        <v>3317</v>
      </c>
      <c r="L1051" t="s">
        <v>5069</v>
      </c>
      <c r="M1051">
        <v>3</v>
      </c>
      <c r="N1051">
        <v>33</v>
      </c>
      <c r="O1051" t="s">
        <v>1036</v>
      </c>
      <c r="P1051" s="17"/>
      <c r="Q1051" s="17" t="str">
        <f>_xlfn.XLOOKUP(Table2[[#This Row],[buyFromVendorNo]],'Next Day Scheduled'!A:A,'Pending Returns'!O:O,"NOT_FOUND")</f>
        <v>NOT_FOUND</v>
      </c>
    </row>
    <row r="1052" spans="1:17" x14ac:dyDescent="0.3">
      <c r="A1052" s="1">
        <v>46189</v>
      </c>
      <c r="B1052" t="s">
        <v>3280</v>
      </c>
      <c r="C1052" t="s">
        <v>34</v>
      </c>
      <c r="D1052" t="s">
        <v>35</v>
      </c>
      <c r="E1052" t="s">
        <v>8</v>
      </c>
      <c r="F1052" t="s">
        <v>10</v>
      </c>
      <c r="G1052" s="16">
        <v>1901.789</v>
      </c>
      <c r="H1052" s="16">
        <v>2187.0574000000001</v>
      </c>
      <c r="I1052" s="1">
        <v>46184</v>
      </c>
      <c r="J1052">
        <v>70</v>
      </c>
      <c r="K1052" t="s">
        <v>3109</v>
      </c>
      <c r="L1052" t="s">
        <v>5085</v>
      </c>
      <c r="M1052">
        <v>13</v>
      </c>
      <c r="N1052">
        <v>8</v>
      </c>
      <c r="O1052" t="s">
        <v>1036</v>
      </c>
      <c r="P1052" s="17"/>
      <c r="Q1052" s="17" t="str">
        <f>_xlfn.XLOOKUP(Table2[[#This Row],[buyFromVendorNo]],'Next Day Scheduled'!A:A,'Pending Returns'!O:O,"NOT_FOUND")</f>
        <v>Posted Credit Note</v>
      </c>
    </row>
    <row r="1053" spans="1:17" x14ac:dyDescent="0.3">
      <c r="A1053" s="1">
        <v>46189</v>
      </c>
      <c r="B1053" t="s">
        <v>4294</v>
      </c>
      <c r="C1053" t="s">
        <v>506</v>
      </c>
      <c r="D1053" t="s">
        <v>507</v>
      </c>
      <c r="E1053" t="s">
        <v>8</v>
      </c>
      <c r="F1053" t="s">
        <v>10</v>
      </c>
      <c r="G1053" s="16">
        <v>270</v>
      </c>
      <c r="H1053" s="16">
        <v>270</v>
      </c>
      <c r="I1053" s="1">
        <v>46185</v>
      </c>
      <c r="J1053">
        <v>70</v>
      </c>
      <c r="K1053" t="s">
        <v>4295</v>
      </c>
      <c r="L1053" t="s">
        <v>5093</v>
      </c>
      <c r="M1053">
        <v>10</v>
      </c>
      <c r="N1053">
        <v>5</v>
      </c>
      <c r="O1053" t="s">
        <v>1036</v>
      </c>
      <c r="P1053" s="17"/>
      <c r="Q1053" s="17" t="str">
        <f>_xlfn.XLOOKUP(Table2[[#This Row],[buyFromVendorNo]],'Next Day Scheduled'!A:A,'Pending Returns'!O:O,"NOT_FOUND")</f>
        <v>Posted Credit Note</v>
      </c>
    </row>
    <row r="1054" spans="1:17" x14ac:dyDescent="0.3">
      <c r="A1054" s="1">
        <v>46189</v>
      </c>
      <c r="B1054" t="s">
        <v>7470</v>
      </c>
      <c r="C1054" t="s">
        <v>854</v>
      </c>
      <c r="D1054" t="s">
        <v>855</v>
      </c>
      <c r="E1054" t="s">
        <v>8</v>
      </c>
      <c r="F1054" t="s">
        <v>10</v>
      </c>
      <c r="G1054" s="16">
        <v>358.36532999999997</v>
      </c>
      <c r="H1054" s="16">
        <v>402.60775999999998</v>
      </c>
      <c r="J1054">
        <v>70</v>
      </c>
      <c r="K1054" t="s">
        <v>4969</v>
      </c>
      <c r="M1054">
        <v>15</v>
      </c>
      <c r="N1054">
        <v>6</v>
      </c>
      <c r="O1054" t="s">
        <v>216</v>
      </c>
      <c r="P1054" s="17"/>
      <c r="Q1054" s="17" t="str">
        <f>_xlfn.XLOOKUP(Table2[[#This Row],[buyFromVendorNo]],'Next Day Scheduled'!A:A,'Pending Returns'!O:O,"NOT_FOUND")</f>
        <v>Posted Credit Note</v>
      </c>
    </row>
    <row r="1055" spans="1:17" x14ac:dyDescent="0.3">
      <c r="A1055" s="1">
        <v>46189</v>
      </c>
      <c r="B1055" t="s">
        <v>3242</v>
      </c>
      <c r="C1055" t="s">
        <v>2503</v>
      </c>
      <c r="D1055" t="s">
        <v>2504</v>
      </c>
      <c r="E1055" t="s">
        <v>8</v>
      </c>
      <c r="F1055" t="s">
        <v>10</v>
      </c>
      <c r="G1055" s="16">
        <v>139.38999999999999</v>
      </c>
      <c r="H1055" s="16">
        <v>160.29849999999999</v>
      </c>
      <c r="I1055" s="1">
        <v>46177</v>
      </c>
      <c r="J1055">
        <v>70</v>
      </c>
      <c r="K1055" t="s">
        <v>3126</v>
      </c>
      <c r="L1055" t="s">
        <v>4910</v>
      </c>
      <c r="M1055">
        <v>10</v>
      </c>
      <c r="N1055">
        <v>5</v>
      </c>
      <c r="O1055" t="s">
        <v>1036</v>
      </c>
      <c r="P1055" s="17"/>
      <c r="Q1055" s="17" t="str">
        <f>_xlfn.XLOOKUP(Table2[[#This Row],[buyFromVendorNo]],'Next Day Scheduled'!A:A,'Pending Returns'!O:O,"NOT_FOUND")</f>
        <v>NOT_FOUND</v>
      </c>
    </row>
    <row r="1056" spans="1:17" x14ac:dyDescent="0.3">
      <c r="A1056" s="1">
        <v>46189</v>
      </c>
      <c r="B1056" t="s">
        <v>3407</v>
      </c>
      <c r="C1056" t="s">
        <v>2392</v>
      </c>
      <c r="D1056" t="s">
        <v>2393</v>
      </c>
      <c r="E1056" t="s">
        <v>8</v>
      </c>
      <c r="F1056" t="s">
        <v>10</v>
      </c>
      <c r="G1056" s="16">
        <v>33.333329999999997</v>
      </c>
      <c r="H1056" s="16">
        <v>38.333329999999997</v>
      </c>
      <c r="I1056" s="1">
        <v>46189</v>
      </c>
      <c r="J1056">
        <v>70</v>
      </c>
      <c r="K1056" t="s">
        <v>4377</v>
      </c>
      <c r="L1056" t="s">
        <v>4912</v>
      </c>
      <c r="M1056">
        <v>10</v>
      </c>
      <c r="N1056">
        <v>5</v>
      </c>
      <c r="O1056" t="s">
        <v>1036</v>
      </c>
      <c r="P1056" s="17"/>
      <c r="Q1056" s="17" t="str">
        <f>_xlfn.XLOOKUP(Table2[[#This Row],[buyFromVendorNo]],'Next Day Scheduled'!A:A,'Pending Returns'!O:O,"NOT_FOUND")</f>
        <v>NOT_FOUND</v>
      </c>
    </row>
    <row r="1057" spans="1:17" x14ac:dyDescent="0.3">
      <c r="A1057" s="1">
        <v>46189</v>
      </c>
      <c r="B1057" t="s">
        <v>2814</v>
      </c>
      <c r="C1057" t="s">
        <v>491</v>
      </c>
      <c r="D1057" t="s">
        <v>492</v>
      </c>
      <c r="E1057" t="s">
        <v>8</v>
      </c>
      <c r="F1057" t="s">
        <v>10</v>
      </c>
      <c r="G1057" s="16">
        <v>632.25</v>
      </c>
      <c r="H1057" s="16">
        <v>727.08749999999998</v>
      </c>
      <c r="I1057" s="1">
        <v>46177</v>
      </c>
      <c r="J1057">
        <v>70</v>
      </c>
      <c r="K1057" t="s">
        <v>2815</v>
      </c>
      <c r="L1057" t="s">
        <v>5108</v>
      </c>
      <c r="M1057">
        <v>10</v>
      </c>
      <c r="N1057">
        <v>2</v>
      </c>
      <c r="O1057" t="s">
        <v>1036</v>
      </c>
      <c r="P1057" s="17"/>
      <c r="Q1057" s="17" t="str">
        <f>_xlfn.XLOOKUP(Table2[[#This Row],[buyFromVendorNo]],'Next Day Scheduled'!A:A,'Pending Returns'!O:O,"NOT_FOUND")</f>
        <v>NOT_FOUND</v>
      </c>
    </row>
    <row r="1058" spans="1:17" x14ac:dyDescent="0.3">
      <c r="A1058" s="1">
        <v>46189</v>
      </c>
      <c r="B1058" t="s">
        <v>3698</v>
      </c>
      <c r="C1058" t="s">
        <v>798</v>
      </c>
      <c r="D1058" t="s">
        <v>799</v>
      </c>
      <c r="E1058" t="s">
        <v>8</v>
      </c>
      <c r="F1058" t="s">
        <v>10</v>
      </c>
      <c r="G1058" s="16">
        <v>77</v>
      </c>
      <c r="H1058" s="16">
        <v>88.55</v>
      </c>
      <c r="I1058" s="1">
        <v>46189</v>
      </c>
      <c r="J1058">
        <v>70</v>
      </c>
      <c r="K1058" t="s">
        <v>4399</v>
      </c>
      <c r="L1058" t="s">
        <v>5099</v>
      </c>
      <c r="M1058">
        <v>9</v>
      </c>
      <c r="N1058">
        <v>9</v>
      </c>
      <c r="O1058" t="s">
        <v>1036</v>
      </c>
      <c r="P1058" s="17"/>
      <c r="Q1058" s="17" t="str">
        <f>_xlfn.XLOOKUP(Table2[[#This Row],[buyFromVendorNo]],'Next Day Scheduled'!A:A,'Pending Returns'!O:O,"NOT_FOUND")</f>
        <v>NOT_FOUND</v>
      </c>
    </row>
    <row r="1059" spans="1:17" x14ac:dyDescent="0.3">
      <c r="A1059" s="1">
        <v>46189</v>
      </c>
      <c r="B1059" t="s">
        <v>2583</v>
      </c>
      <c r="C1059" t="s">
        <v>162</v>
      </c>
      <c r="D1059" t="s">
        <v>163</v>
      </c>
      <c r="E1059" t="s">
        <v>8</v>
      </c>
      <c r="F1059" t="s">
        <v>10</v>
      </c>
      <c r="G1059" s="16">
        <v>1486.5571</v>
      </c>
      <c r="H1059" s="16">
        <v>1709.5406</v>
      </c>
      <c r="I1059" s="1">
        <v>46189</v>
      </c>
      <c r="J1059">
        <v>70</v>
      </c>
      <c r="K1059" t="s">
        <v>2584</v>
      </c>
      <c r="L1059" t="s">
        <v>4907</v>
      </c>
      <c r="M1059">
        <v>12</v>
      </c>
      <c r="N1059">
        <v>2</v>
      </c>
      <c r="O1059" t="s">
        <v>1036</v>
      </c>
      <c r="P1059" s="17"/>
      <c r="Q1059" s="17" t="str">
        <f>_xlfn.XLOOKUP(Table2[[#This Row],[buyFromVendorNo]],'Next Day Scheduled'!A:A,'Pending Returns'!O:O,"NOT_FOUND")</f>
        <v>NOT_FOUND</v>
      </c>
    </row>
    <row r="1060" spans="1:17" x14ac:dyDescent="0.3">
      <c r="A1060" s="1">
        <v>46189</v>
      </c>
      <c r="B1060" t="s">
        <v>482</v>
      </c>
      <c r="C1060" t="s">
        <v>156</v>
      </c>
      <c r="D1060" t="s">
        <v>157</v>
      </c>
      <c r="E1060" t="s">
        <v>8</v>
      </c>
      <c r="F1060" t="s">
        <v>10</v>
      </c>
      <c r="G1060" s="16">
        <v>7628.44</v>
      </c>
      <c r="H1060" s="16">
        <v>8772.7060000000001</v>
      </c>
      <c r="I1060" s="1">
        <v>46177</v>
      </c>
      <c r="J1060">
        <v>70</v>
      </c>
      <c r="K1060" t="s">
        <v>2400</v>
      </c>
      <c r="L1060" t="s">
        <v>5113</v>
      </c>
      <c r="M1060">
        <v>4</v>
      </c>
      <c r="N1060">
        <v>12</v>
      </c>
      <c r="O1060" t="s">
        <v>1036</v>
      </c>
      <c r="P1060" s="17"/>
      <c r="Q1060" s="17" t="str">
        <f>_xlfn.XLOOKUP(Table2[[#This Row],[buyFromVendorNo]],'Next Day Scheduled'!A:A,'Pending Returns'!O:O,"NOT_FOUND")</f>
        <v>NOT_FOUND</v>
      </c>
    </row>
    <row r="1061" spans="1:17" x14ac:dyDescent="0.3">
      <c r="A1061" s="1">
        <v>46189</v>
      </c>
      <c r="B1061" t="s">
        <v>1357</v>
      </c>
      <c r="C1061" t="s">
        <v>3132</v>
      </c>
      <c r="D1061" t="s">
        <v>3133</v>
      </c>
      <c r="E1061" t="s">
        <v>8</v>
      </c>
      <c r="F1061" t="s">
        <v>10</v>
      </c>
      <c r="G1061" s="16">
        <v>711.44335999999998</v>
      </c>
      <c r="H1061" s="16">
        <v>818.15985000000001</v>
      </c>
      <c r="I1061" s="1">
        <v>46181</v>
      </c>
      <c r="J1061">
        <v>70</v>
      </c>
      <c r="K1061" t="s">
        <v>3131</v>
      </c>
      <c r="L1061" t="s">
        <v>5074</v>
      </c>
      <c r="M1061">
        <v>4</v>
      </c>
      <c r="N1061">
        <v>22</v>
      </c>
      <c r="O1061" t="s">
        <v>1036</v>
      </c>
      <c r="P1061" s="17"/>
      <c r="Q1061" s="17" t="str">
        <f>_xlfn.XLOOKUP(Table2[[#This Row],[buyFromVendorNo]],'Next Day Scheduled'!A:A,'Pending Returns'!O:O,"NOT_FOUND")</f>
        <v>NOT_FOUND</v>
      </c>
    </row>
    <row r="1062" spans="1:17" x14ac:dyDescent="0.3">
      <c r="A1062" s="1">
        <v>46189</v>
      </c>
      <c r="B1062" t="s">
        <v>3424</v>
      </c>
      <c r="C1062" t="s">
        <v>2361</v>
      </c>
      <c r="D1062" t="s">
        <v>2362</v>
      </c>
      <c r="E1062" t="s">
        <v>8</v>
      </c>
      <c r="F1062" t="s">
        <v>10</v>
      </c>
      <c r="G1062" s="16">
        <v>1332</v>
      </c>
      <c r="H1062" s="16">
        <v>1531.8</v>
      </c>
      <c r="I1062" s="1">
        <v>46188</v>
      </c>
      <c r="J1062">
        <v>70</v>
      </c>
      <c r="K1062" t="s">
        <v>3425</v>
      </c>
      <c r="L1062" t="s">
        <v>5100</v>
      </c>
      <c r="M1062">
        <v>6</v>
      </c>
      <c r="N1062">
        <v>15</v>
      </c>
      <c r="O1062" t="s">
        <v>1036</v>
      </c>
      <c r="P1062" s="17"/>
      <c r="Q1062" s="17" t="str">
        <f>_xlfn.XLOOKUP(Table2[[#This Row],[buyFromVendorNo]],'Next Day Scheduled'!A:A,'Pending Returns'!O:O,"NOT_FOUND")</f>
        <v>NOT_FOUND</v>
      </c>
    </row>
    <row r="1063" spans="1:17" x14ac:dyDescent="0.3">
      <c r="A1063" s="1">
        <v>46189</v>
      </c>
      <c r="B1063" t="s">
        <v>2205</v>
      </c>
      <c r="C1063" t="s">
        <v>596</v>
      </c>
      <c r="D1063" t="s">
        <v>597</v>
      </c>
      <c r="E1063" t="s">
        <v>8</v>
      </c>
      <c r="F1063" t="s">
        <v>10</v>
      </c>
      <c r="G1063" s="16">
        <v>6804.0347000000002</v>
      </c>
      <c r="H1063" s="16">
        <v>7824.64</v>
      </c>
      <c r="I1063" s="1">
        <v>46175</v>
      </c>
      <c r="J1063">
        <v>70</v>
      </c>
      <c r="K1063" t="s">
        <v>2184</v>
      </c>
      <c r="L1063" t="s">
        <v>4909</v>
      </c>
      <c r="M1063">
        <v>11</v>
      </c>
      <c r="N1063">
        <v>5</v>
      </c>
      <c r="O1063" t="s">
        <v>1036</v>
      </c>
      <c r="P1063" s="17"/>
      <c r="Q1063" s="17" t="str">
        <f>_xlfn.XLOOKUP(Table2[[#This Row],[buyFromVendorNo]],'Next Day Scheduled'!A:A,'Pending Returns'!O:O,"NOT_FOUND")</f>
        <v>NOT_FOUND</v>
      </c>
    </row>
    <row r="1064" spans="1:17" x14ac:dyDescent="0.3">
      <c r="A1064" s="1">
        <v>46189</v>
      </c>
      <c r="B1064" t="s">
        <v>3337</v>
      </c>
      <c r="C1064" t="s">
        <v>3224</v>
      </c>
      <c r="D1064" t="s">
        <v>3225</v>
      </c>
      <c r="E1064" t="s">
        <v>8</v>
      </c>
      <c r="F1064" t="s">
        <v>10</v>
      </c>
      <c r="G1064" s="16">
        <v>362</v>
      </c>
      <c r="H1064" s="16">
        <v>416.3</v>
      </c>
      <c r="I1064" s="1">
        <v>46188</v>
      </c>
      <c r="J1064">
        <v>70</v>
      </c>
      <c r="K1064" t="s">
        <v>4424</v>
      </c>
      <c r="L1064" t="s">
        <v>5076</v>
      </c>
      <c r="M1064">
        <v>8</v>
      </c>
      <c r="N1064">
        <v>5</v>
      </c>
      <c r="O1064" t="s">
        <v>1036</v>
      </c>
      <c r="P1064" s="17"/>
      <c r="Q1064" s="17" t="str">
        <f>_xlfn.XLOOKUP(Table2[[#This Row],[buyFromVendorNo]],'Next Day Scheduled'!A:A,'Pending Returns'!O:O,"NOT_FOUND")</f>
        <v>NOT_FOUND</v>
      </c>
    </row>
    <row r="1065" spans="1:17" x14ac:dyDescent="0.3">
      <c r="A1065" s="1">
        <v>46189</v>
      </c>
      <c r="B1065" t="s">
        <v>3782</v>
      </c>
      <c r="C1065" t="s">
        <v>850</v>
      </c>
      <c r="D1065" t="s">
        <v>851</v>
      </c>
      <c r="E1065" t="s">
        <v>8</v>
      </c>
      <c r="F1065" t="s">
        <v>10</v>
      </c>
      <c r="G1065" s="16">
        <v>648</v>
      </c>
      <c r="H1065" s="16">
        <v>745.2</v>
      </c>
      <c r="I1065" s="1">
        <v>46188</v>
      </c>
      <c r="J1065">
        <v>70</v>
      </c>
      <c r="K1065" t="s">
        <v>3783</v>
      </c>
      <c r="L1065" t="s">
        <v>5083</v>
      </c>
      <c r="M1065">
        <v>10</v>
      </c>
      <c r="N1065">
        <v>1</v>
      </c>
      <c r="O1065" t="s">
        <v>1036</v>
      </c>
      <c r="P1065" s="17"/>
      <c r="Q1065" s="17" t="str">
        <f>_xlfn.XLOOKUP(Table2[[#This Row],[buyFromVendorNo]],'Next Day Scheduled'!A:A,'Pending Returns'!O:O,"NOT_FOUND")</f>
        <v>NOT_FOUND</v>
      </c>
    </row>
    <row r="1066" spans="1:17" x14ac:dyDescent="0.3">
      <c r="A1066" s="1">
        <v>46189</v>
      </c>
      <c r="B1066" t="s">
        <v>3429</v>
      </c>
      <c r="C1066" t="s">
        <v>3430</v>
      </c>
      <c r="D1066" t="s">
        <v>3431</v>
      </c>
      <c r="E1066" t="s">
        <v>8</v>
      </c>
      <c r="F1066" t="s">
        <v>10</v>
      </c>
      <c r="G1066" s="16">
        <v>145.6</v>
      </c>
      <c r="H1066" s="16">
        <v>167.44</v>
      </c>
      <c r="I1066" s="1">
        <v>46177</v>
      </c>
      <c r="J1066">
        <v>70</v>
      </c>
      <c r="K1066" t="s">
        <v>3432</v>
      </c>
      <c r="L1066" t="s">
        <v>5084</v>
      </c>
      <c r="M1066">
        <v>0</v>
      </c>
      <c r="N1066">
        <v>411</v>
      </c>
      <c r="O1066" t="s">
        <v>1036</v>
      </c>
      <c r="P1066" s="17"/>
      <c r="Q1066" s="17" t="str">
        <f>_xlfn.XLOOKUP(Table2[[#This Row],[buyFromVendorNo]],'Next Day Scheduled'!A:A,'Pending Returns'!O:O,"NOT_FOUND")</f>
        <v>NOT_FOUND</v>
      </c>
    </row>
    <row r="1067" spans="1:17" x14ac:dyDescent="0.3">
      <c r="A1067" s="1">
        <v>46189</v>
      </c>
      <c r="B1067" t="s">
        <v>3408</v>
      </c>
      <c r="C1067" t="s">
        <v>156</v>
      </c>
      <c r="D1067" t="s">
        <v>157</v>
      </c>
      <c r="E1067" t="s">
        <v>8</v>
      </c>
      <c r="F1067" t="s">
        <v>10</v>
      </c>
      <c r="G1067" s="16">
        <v>352.15870000000001</v>
      </c>
      <c r="H1067" s="16">
        <v>404.98248000000001</v>
      </c>
      <c r="I1067" s="1">
        <v>46177</v>
      </c>
      <c r="J1067">
        <v>70</v>
      </c>
      <c r="K1067" t="s">
        <v>3222</v>
      </c>
      <c r="L1067" t="s">
        <v>5118</v>
      </c>
      <c r="M1067">
        <v>4</v>
      </c>
      <c r="N1067">
        <v>12</v>
      </c>
      <c r="O1067" t="s">
        <v>1036</v>
      </c>
      <c r="P1067" s="17"/>
      <c r="Q1067" s="17" t="str">
        <f>_xlfn.XLOOKUP(Table2[[#This Row],[buyFromVendorNo]],'Next Day Scheduled'!A:A,'Pending Returns'!O:O,"NOT_FOUND")</f>
        <v>NOT_FOUND</v>
      </c>
    </row>
    <row r="1068" spans="1:17" x14ac:dyDescent="0.3">
      <c r="A1068" s="1">
        <v>46189</v>
      </c>
      <c r="B1068" t="s">
        <v>4415</v>
      </c>
      <c r="C1068" t="s">
        <v>491</v>
      </c>
      <c r="D1068" t="s">
        <v>492</v>
      </c>
      <c r="E1068" t="s">
        <v>8</v>
      </c>
      <c r="F1068" t="s">
        <v>10</v>
      </c>
      <c r="G1068" s="16">
        <v>143</v>
      </c>
      <c r="H1068" s="16">
        <v>164.45</v>
      </c>
      <c r="I1068" s="1">
        <v>46188</v>
      </c>
      <c r="J1068">
        <v>70</v>
      </c>
      <c r="K1068" t="s">
        <v>4416</v>
      </c>
      <c r="L1068" t="s">
        <v>5070</v>
      </c>
      <c r="M1068">
        <v>10</v>
      </c>
      <c r="N1068">
        <v>2</v>
      </c>
      <c r="O1068" t="s">
        <v>1036</v>
      </c>
      <c r="P1068" s="17"/>
      <c r="Q1068" s="17" t="str">
        <f>_xlfn.XLOOKUP(Table2[[#This Row],[buyFromVendorNo]],'Next Day Scheduled'!A:A,'Pending Returns'!O:O,"NOT_FOUND")</f>
        <v>NOT_FOUND</v>
      </c>
    </row>
    <row r="1069" spans="1:17" x14ac:dyDescent="0.3">
      <c r="A1069" s="1">
        <v>46189</v>
      </c>
      <c r="B1069" t="s">
        <v>3429</v>
      </c>
      <c r="C1069" t="s">
        <v>2282</v>
      </c>
      <c r="D1069" t="s">
        <v>2375</v>
      </c>
      <c r="E1069" t="s">
        <v>8</v>
      </c>
      <c r="F1069" t="s">
        <v>10</v>
      </c>
      <c r="G1069" s="16">
        <v>41.88</v>
      </c>
      <c r="H1069" s="16">
        <v>48.161999999999999</v>
      </c>
      <c r="I1069" s="1">
        <v>46189</v>
      </c>
      <c r="J1069">
        <v>70</v>
      </c>
      <c r="K1069" t="s">
        <v>4457</v>
      </c>
      <c r="L1069" t="s">
        <v>5101</v>
      </c>
      <c r="M1069">
        <v>1</v>
      </c>
      <c r="N1069">
        <v>69</v>
      </c>
      <c r="O1069" t="s">
        <v>1036</v>
      </c>
      <c r="P1069" s="17"/>
      <c r="Q1069" s="17" t="str">
        <f>_xlfn.XLOOKUP(Table2[[#This Row],[buyFromVendorNo]],'Next Day Scheduled'!A:A,'Pending Returns'!O:O,"NOT_FOUND")</f>
        <v>NOT_FOUND</v>
      </c>
    </row>
    <row r="1070" spans="1:17" x14ac:dyDescent="0.3">
      <c r="A1070" s="1">
        <v>46189</v>
      </c>
      <c r="B1070" t="s">
        <v>3932</v>
      </c>
      <c r="C1070" t="s">
        <v>697</v>
      </c>
      <c r="D1070" t="s">
        <v>698</v>
      </c>
      <c r="E1070" t="s">
        <v>8</v>
      </c>
      <c r="F1070" t="s">
        <v>10</v>
      </c>
      <c r="G1070" s="16">
        <v>134.94999999999999</v>
      </c>
      <c r="H1070" s="16">
        <v>155.1925</v>
      </c>
      <c r="I1070" s="1">
        <v>46181</v>
      </c>
      <c r="J1070">
        <v>70</v>
      </c>
      <c r="K1070" t="s">
        <v>3933</v>
      </c>
      <c r="L1070" t="s">
        <v>5104</v>
      </c>
      <c r="M1070">
        <v>12</v>
      </c>
      <c r="N1070">
        <v>2</v>
      </c>
      <c r="O1070" t="s">
        <v>1036</v>
      </c>
      <c r="P1070" s="17"/>
      <c r="Q1070" s="17" t="str">
        <f>_xlfn.XLOOKUP(Table2[[#This Row],[buyFromVendorNo]],'Next Day Scheduled'!A:A,'Pending Returns'!O:O,"NOT_FOUND")</f>
        <v>NOT_FOUND</v>
      </c>
    </row>
    <row r="1071" spans="1:17" x14ac:dyDescent="0.3">
      <c r="A1071" s="1">
        <v>46189</v>
      </c>
      <c r="B1071" t="s">
        <v>4194</v>
      </c>
      <c r="C1071" t="s">
        <v>506</v>
      </c>
      <c r="D1071" t="s">
        <v>507</v>
      </c>
      <c r="E1071" t="s">
        <v>8</v>
      </c>
      <c r="F1071" t="s">
        <v>10</v>
      </c>
      <c r="G1071" s="16">
        <v>328</v>
      </c>
      <c r="H1071" s="16">
        <v>335.2</v>
      </c>
      <c r="I1071" s="1">
        <v>46185</v>
      </c>
      <c r="J1071">
        <v>70</v>
      </c>
      <c r="K1071" t="s">
        <v>4138</v>
      </c>
      <c r="L1071" t="s">
        <v>5095</v>
      </c>
      <c r="M1071">
        <v>10</v>
      </c>
      <c r="N1071">
        <v>5</v>
      </c>
      <c r="O1071" t="s">
        <v>1036</v>
      </c>
      <c r="P1071" s="17"/>
      <c r="Q1071" s="17" t="str">
        <f>_xlfn.XLOOKUP(Table2[[#This Row],[buyFromVendorNo]],'Next Day Scheduled'!A:A,'Pending Returns'!O:O,"NOT_FOUND")</f>
        <v>Posted Credit Note</v>
      </c>
    </row>
    <row r="1072" spans="1:17" x14ac:dyDescent="0.3">
      <c r="A1072" s="1">
        <v>46189</v>
      </c>
      <c r="B1072" t="s">
        <v>468</v>
      </c>
      <c r="C1072" t="s">
        <v>423</v>
      </c>
      <c r="D1072" t="s">
        <v>424</v>
      </c>
      <c r="E1072" t="s">
        <v>8</v>
      </c>
      <c r="F1072" t="s">
        <v>10</v>
      </c>
      <c r="G1072" s="16">
        <v>922.52239999999995</v>
      </c>
      <c r="H1072" s="16">
        <v>1060.9007999999999</v>
      </c>
      <c r="I1072" s="1">
        <v>46187</v>
      </c>
      <c r="J1072">
        <v>70</v>
      </c>
      <c r="K1072" t="s">
        <v>4444</v>
      </c>
      <c r="L1072" t="s">
        <v>4913</v>
      </c>
      <c r="M1072">
        <v>10</v>
      </c>
      <c r="N1072">
        <v>3</v>
      </c>
      <c r="O1072" t="s">
        <v>1036</v>
      </c>
      <c r="P1072" s="17"/>
      <c r="Q1072" s="17" t="str">
        <f>_xlfn.XLOOKUP(Table2[[#This Row],[buyFromVendorNo]],'Next Day Scheduled'!A:A,'Pending Returns'!O:O,"NOT_FOUND")</f>
        <v>NOT_FOUND</v>
      </c>
    </row>
    <row r="1073" spans="1:17" x14ac:dyDescent="0.3">
      <c r="A1073" s="1">
        <v>46189</v>
      </c>
      <c r="B1073" t="s">
        <v>4031</v>
      </c>
      <c r="C1073" t="s">
        <v>84</v>
      </c>
      <c r="D1073" t="s">
        <v>85</v>
      </c>
      <c r="E1073" t="s">
        <v>8</v>
      </c>
      <c r="F1073" t="s">
        <v>169</v>
      </c>
      <c r="G1073" s="16">
        <v>170.85</v>
      </c>
      <c r="H1073" s="16">
        <v>196.47749999999999</v>
      </c>
      <c r="I1073" s="1">
        <v>46179</v>
      </c>
      <c r="J1073">
        <v>70</v>
      </c>
      <c r="K1073" t="s">
        <v>4080</v>
      </c>
      <c r="L1073" t="s">
        <v>5111</v>
      </c>
      <c r="M1073">
        <v>10</v>
      </c>
      <c r="N1073">
        <v>3</v>
      </c>
      <c r="O1073" t="s">
        <v>1036</v>
      </c>
      <c r="P1073" s="17"/>
      <c r="Q1073" s="17" t="str">
        <f>_xlfn.XLOOKUP(Table2[[#This Row],[buyFromVendorNo]],'Next Day Scheduled'!A:A,'Pending Returns'!O:O,"NOT_FOUND")</f>
        <v>NOT_FOUND</v>
      </c>
    </row>
    <row r="1074" spans="1:17" x14ac:dyDescent="0.3">
      <c r="A1074" s="1">
        <v>46189</v>
      </c>
      <c r="B1074" t="s">
        <v>3278</v>
      </c>
      <c r="C1074" t="s">
        <v>181</v>
      </c>
      <c r="D1074" t="s">
        <v>182</v>
      </c>
      <c r="E1074" t="s">
        <v>8</v>
      </c>
      <c r="F1074" t="s">
        <v>10</v>
      </c>
      <c r="G1074" s="16">
        <v>185.916</v>
      </c>
      <c r="H1074" s="16">
        <v>213.80340000000001</v>
      </c>
      <c r="I1074" s="1">
        <v>46181</v>
      </c>
      <c r="J1074">
        <v>70</v>
      </c>
      <c r="K1074" t="s">
        <v>3107</v>
      </c>
      <c r="L1074" t="s">
        <v>5066</v>
      </c>
      <c r="M1074">
        <v>15</v>
      </c>
      <c r="N1074">
        <v>2</v>
      </c>
      <c r="O1074" t="s">
        <v>1036</v>
      </c>
      <c r="P1074" s="17"/>
      <c r="Q1074" s="17" t="str">
        <f>_xlfn.XLOOKUP(Table2[[#This Row],[buyFromVendorNo]],'Next Day Scheduled'!A:A,'Pending Returns'!O:O,"NOT_FOUND")</f>
        <v>NOT_FOUND</v>
      </c>
    </row>
    <row r="1075" spans="1:17" x14ac:dyDescent="0.3">
      <c r="A1075" s="1">
        <v>46189</v>
      </c>
      <c r="B1075" t="s">
        <v>4550</v>
      </c>
      <c r="C1075" t="s">
        <v>2363</v>
      </c>
      <c r="D1075" t="s">
        <v>2364</v>
      </c>
      <c r="E1075" t="s">
        <v>8</v>
      </c>
      <c r="F1075" t="s">
        <v>10</v>
      </c>
      <c r="G1075" s="16">
        <v>1074.74</v>
      </c>
      <c r="H1075" s="16">
        <v>1235.951</v>
      </c>
      <c r="I1075" s="1">
        <v>46185</v>
      </c>
      <c r="J1075">
        <v>70</v>
      </c>
      <c r="K1075" t="s">
        <v>4551</v>
      </c>
      <c r="L1075" t="s">
        <v>5073</v>
      </c>
      <c r="M1075">
        <v>10</v>
      </c>
      <c r="N1075">
        <v>6</v>
      </c>
      <c r="O1075" t="s">
        <v>1036</v>
      </c>
      <c r="P1075" s="17"/>
      <c r="Q1075" s="17" t="str">
        <f>_xlfn.XLOOKUP(Table2[[#This Row],[buyFromVendorNo]],'Next Day Scheduled'!A:A,'Pending Returns'!O:O,"NOT_FOUND")</f>
        <v>NOT_FOUND</v>
      </c>
    </row>
    <row r="1076" spans="1:17" x14ac:dyDescent="0.3">
      <c r="A1076" s="1">
        <v>46189</v>
      </c>
      <c r="B1076" t="s">
        <v>7471</v>
      </c>
      <c r="C1076" t="s">
        <v>854</v>
      </c>
      <c r="D1076" t="s">
        <v>855</v>
      </c>
      <c r="E1076" t="s">
        <v>8</v>
      </c>
      <c r="F1076" t="s">
        <v>10</v>
      </c>
      <c r="G1076" s="16">
        <v>1623.9292</v>
      </c>
      <c r="H1076" s="16">
        <v>1867.5186000000001</v>
      </c>
      <c r="J1076">
        <v>70</v>
      </c>
      <c r="K1076" t="s">
        <v>4955</v>
      </c>
      <c r="M1076">
        <v>15</v>
      </c>
      <c r="N1076">
        <v>6</v>
      </c>
      <c r="O1076" t="s">
        <v>216</v>
      </c>
      <c r="P1076" s="17"/>
      <c r="Q1076" s="17" t="str">
        <f>_xlfn.XLOOKUP(Table2[[#This Row],[buyFromVendorNo]],'Next Day Scheduled'!A:A,'Pending Returns'!O:O,"NOT_FOUND")</f>
        <v>Posted Credit Note</v>
      </c>
    </row>
    <row r="1077" spans="1:17" x14ac:dyDescent="0.3">
      <c r="A1077" s="1">
        <v>46189</v>
      </c>
      <c r="B1077" t="s">
        <v>4675</v>
      </c>
      <c r="C1077" t="s">
        <v>4367</v>
      </c>
      <c r="D1077" t="s">
        <v>4368</v>
      </c>
      <c r="E1077" t="s">
        <v>8</v>
      </c>
      <c r="F1077" t="s">
        <v>169</v>
      </c>
      <c r="G1077" s="16">
        <v>519.15</v>
      </c>
      <c r="H1077" s="16">
        <v>597.02250000000004</v>
      </c>
      <c r="I1077" s="1">
        <v>46188</v>
      </c>
      <c r="J1077">
        <v>70</v>
      </c>
      <c r="K1077" t="s">
        <v>4669</v>
      </c>
      <c r="L1077" t="s">
        <v>5115</v>
      </c>
      <c r="M1077">
        <v>10</v>
      </c>
      <c r="N1077">
        <v>7</v>
      </c>
      <c r="O1077" t="s">
        <v>1036</v>
      </c>
      <c r="P1077" s="17"/>
      <c r="Q1077" s="17" t="str">
        <f>_xlfn.XLOOKUP(Table2[[#This Row],[buyFromVendorNo]],'Next Day Scheduled'!A:A,'Pending Returns'!O:O,"NOT_FOUND")</f>
        <v>NOT_FOUND</v>
      </c>
    </row>
    <row r="1078" spans="1:17" x14ac:dyDescent="0.3">
      <c r="A1078" s="1">
        <v>46189</v>
      </c>
      <c r="B1078" t="s">
        <v>4369</v>
      </c>
      <c r="C1078" t="s">
        <v>111</v>
      </c>
      <c r="D1078" t="s">
        <v>112</v>
      </c>
      <c r="E1078" t="s">
        <v>8</v>
      </c>
      <c r="F1078" t="s">
        <v>10</v>
      </c>
      <c r="G1078" s="16">
        <v>672.81586000000004</v>
      </c>
      <c r="H1078" s="16">
        <v>773.73829999999998</v>
      </c>
      <c r="J1078">
        <v>70</v>
      </c>
      <c r="K1078" t="s">
        <v>4965</v>
      </c>
      <c r="M1078">
        <v>7</v>
      </c>
      <c r="N1078">
        <v>15</v>
      </c>
      <c r="O1078" t="s">
        <v>216</v>
      </c>
      <c r="P1078" s="17"/>
      <c r="Q1078" s="17" t="str">
        <f>_xlfn.XLOOKUP(Table2[[#This Row],[buyFromVendorNo]],'Next Day Scheduled'!A:A,'Pending Returns'!O:O,"NOT_FOUND")</f>
        <v>Posted Credit Note</v>
      </c>
    </row>
    <row r="1079" spans="1:17" x14ac:dyDescent="0.3">
      <c r="A1079" s="1">
        <v>46189</v>
      </c>
      <c r="B1079" t="s">
        <v>3324</v>
      </c>
      <c r="C1079" t="s">
        <v>3132</v>
      </c>
      <c r="D1079" t="s">
        <v>3133</v>
      </c>
      <c r="E1079" t="s">
        <v>8</v>
      </c>
      <c r="F1079" t="s">
        <v>10</v>
      </c>
      <c r="G1079" s="16">
        <v>9.6782599999999999</v>
      </c>
      <c r="H1079" s="16">
        <v>11.13</v>
      </c>
      <c r="I1079" s="1">
        <v>46181</v>
      </c>
      <c r="J1079">
        <v>70</v>
      </c>
      <c r="K1079" t="s">
        <v>3180</v>
      </c>
      <c r="L1079" t="s">
        <v>5086</v>
      </c>
      <c r="M1079">
        <v>4</v>
      </c>
      <c r="N1079">
        <v>22</v>
      </c>
      <c r="O1079" t="s">
        <v>1036</v>
      </c>
      <c r="P1079" s="17"/>
      <c r="Q1079" s="17" t="str">
        <f>_xlfn.XLOOKUP(Table2[[#This Row],[buyFromVendorNo]],'Next Day Scheduled'!A:A,'Pending Returns'!O:O,"NOT_FOUND")</f>
        <v>NOT_FOUND</v>
      </c>
    </row>
    <row r="1080" spans="1:17" x14ac:dyDescent="0.3">
      <c r="A1080" s="1">
        <v>46189</v>
      </c>
      <c r="B1080" t="s">
        <v>3856</v>
      </c>
      <c r="C1080" t="s">
        <v>1029</v>
      </c>
      <c r="D1080" t="s">
        <v>1030</v>
      </c>
      <c r="E1080" t="s">
        <v>8</v>
      </c>
      <c r="F1080" t="s">
        <v>10</v>
      </c>
      <c r="G1080" s="16">
        <v>98.4</v>
      </c>
      <c r="H1080" s="16">
        <v>113.16</v>
      </c>
      <c r="I1080" s="1">
        <v>46185</v>
      </c>
      <c r="J1080">
        <v>70</v>
      </c>
      <c r="K1080" t="s">
        <v>3857</v>
      </c>
      <c r="L1080" t="s">
        <v>5088</v>
      </c>
      <c r="M1080">
        <v>11</v>
      </c>
      <c r="N1080">
        <v>0</v>
      </c>
      <c r="O1080" t="s">
        <v>1036</v>
      </c>
      <c r="P1080" s="17"/>
      <c r="Q1080" s="17" t="str">
        <f>_xlfn.XLOOKUP(Table2[[#This Row],[buyFromVendorNo]],'Next Day Scheduled'!A:A,'Pending Returns'!O:O,"NOT_FOUND")</f>
        <v>Pending for Collection</v>
      </c>
    </row>
    <row r="1081" spans="1:17" x14ac:dyDescent="0.3">
      <c r="A1081" s="1">
        <v>46189</v>
      </c>
      <c r="B1081" t="s">
        <v>2911</v>
      </c>
      <c r="C1081" t="s">
        <v>464</v>
      </c>
      <c r="D1081" t="s">
        <v>465</v>
      </c>
      <c r="E1081" t="s">
        <v>8</v>
      </c>
      <c r="F1081" t="s">
        <v>10</v>
      </c>
      <c r="G1081" s="16">
        <v>4695.8500000000004</v>
      </c>
      <c r="H1081" s="16">
        <v>5400.2275</v>
      </c>
      <c r="I1081" s="1">
        <v>46182</v>
      </c>
      <c r="J1081">
        <v>70</v>
      </c>
      <c r="K1081" t="s">
        <v>2912</v>
      </c>
      <c r="L1081" t="s">
        <v>5090</v>
      </c>
      <c r="M1081">
        <v>11</v>
      </c>
      <c r="N1081">
        <v>6</v>
      </c>
      <c r="O1081" t="s">
        <v>1036</v>
      </c>
      <c r="P1081" s="17"/>
      <c r="Q1081" s="17" t="str">
        <f>_xlfn.XLOOKUP(Table2[[#This Row],[buyFromVendorNo]],'Next Day Scheduled'!A:A,'Pending Returns'!O:O,"NOT_FOUND")</f>
        <v>NOT_FOUND</v>
      </c>
    </row>
    <row r="1082" spans="1:17" x14ac:dyDescent="0.3">
      <c r="A1082" s="1">
        <v>46189</v>
      </c>
      <c r="B1082" t="s">
        <v>3587</v>
      </c>
      <c r="C1082" t="s">
        <v>2292</v>
      </c>
      <c r="D1082" t="s">
        <v>2293</v>
      </c>
      <c r="E1082" t="s">
        <v>8</v>
      </c>
      <c r="F1082" t="s">
        <v>10</v>
      </c>
      <c r="G1082" s="16">
        <v>196.07915</v>
      </c>
      <c r="H1082" s="16">
        <v>225.49100999999999</v>
      </c>
      <c r="I1082" s="1">
        <v>46176</v>
      </c>
      <c r="J1082">
        <v>70</v>
      </c>
      <c r="K1082" t="s">
        <v>3588</v>
      </c>
      <c r="L1082" t="s">
        <v>5089</v>
      </c>
      <c r="M1082">
        <v>3</v>
      </c>
      <c r="N1082">
        <v>33</v>
      </c>
      <c r="O1082" t="s">
        <v>1036</v>
      </c>
      <c r="P1082" s="17"/>
      <c r="Q1082" s="17" t="str">
        <f>_xlfn.XLOOKUP(Table2[[#This Row],[buyFromVendorNo]],'Next Day Scheduled'!A:A,'Pending Returns'!O:O,"NOT_FOUND")</f>
        <v>NOT_FOUND</v>
      </c>
    </row>
    <row r="1083" spans="1:17" x14ac:dyDescent="0.3">
      <c r="A1083" s="1">
        <v>46189</v>
      </c>
      <c r="B1083" t="s">
        <v>2966</v>
      </c>
      <c r="C1083" t="s">
        <v>84</v>
      </c>
      <c r="D1083" t="s">
        <v>85</v>
      </c>
      <c r="E1083" t="s">
        <v>8</v>
      </c>
      <c r="F1083" t="s">
        <v>10</v>
      </c>
      <c r="G1083" s="16">
        <v>109.889</v>
      </c>
      <c r="H1083" s="16">
        <v>126.37235</v>
      </c>
      <c r="I1083" s="1">
        <v>46174</v>
      </c>
      <c r="J1083">
        <v>70</v>
      </c>
      <c r="K1083" t="s">
        <v>2967</v>
      </c>
      <c r="L1083" t="s">
        <v>5091</v>
      </c>
      <c r="M1083">
        <v>10</v>
      </c>
      <c r="N1083">
        <v>2</v>
      </c>
      <c r="O1083" t="s">
        <v>1036</v>
      </c>
      <c r="P1083" s="17"/>
      <c r="Q1083" s="17" t="str">
        <f>_xlfn.XLOOKUP(Table2[[#This Row],[buyFromVendorNo]],'Next Day Scheduled'!A:A,'Pending Returns'!O:O,"NOT_FOUND")</f>
        <v>NOT_FOUND</v>
      </c>
    </row>
    <row r="1084" spans="1:17" x14ac:dyDescent="0.3">
      <c r="A1084" s="1">
        <v>46189</v>
      </c>
      <c r="B1084" t="s">
        <v>3463</v>
      </c>
      <c r="C1084" t="s">
        <v>464</v>
      </c>
      <c r="D1084" t="s">
        <v>465</v>
      </c>
      <c r="E1084" t="s">
        <v>8</v>
      </c>
      <c r="F1084" t="s">
        <v>10</v>
      </c>
      <c r="G1084" s="16">
        <v>356.4898</v>
      </c>
      <c r="H1084" s="16">
        <v>409.9633</v>
      </c>
      <c r="I1084" s="1">
        <v>46177</v>
      </c>
      <c r="J1084">
        <v>70</v>
      </c>
      <c r="K1084" t="s">
        <v>3464</v>
      </c>
      <c r="L1084" t="s">
        <v>5092</v>
      </c>
      <c r="M1084">
        <v>11</v>
      </c>
      <c r="N1084">
        <v>6</v>
      </c>
      <c r="O1084" t="s">
        <v>1036</v>
      </c>
      <c r="P1084" s="17"/>
      <c r="Q1084" s="17" t="str">
        <f>_xlfn.XLOOKUP(Table2[[#This Row],[buyFromVendorNo]],'Next Day Scheduled'!A:A,'Pending Returns'!O:O,"NOT_FOUND")</f>
        <v>NOT_FOUND</v>
      </c>
    </row>
    <row r="1085" spans="1:17" x14ac:dyDescent="0.3">
      <c r="A1085" s="1">
        <v>46189</v>
      </c>
      <c r="B1085" t="s">
        <v>3265</v>
      </c>
      <c r="C1085" t="s">
        <v>2438</v>
      </c>
      <c r="D1085" t="s">
        <v>2439</v>
      </c>
      <c r="E1085" t="s">
        <v>8</v>
      </c>
      <c r="F1085" t="s">
        <v>10</v>
      </c>
      <c r="G1085" s="16">
        <v>34.739130000000003</v>
      </c>
      <c r="H1085" s="16">
        <v>39.950000000000003</v>
      </c>
      <c r="I1085" s="1">
        <v>46177</v>
      </c>
      <c r="J1085">
        <v>70</v>
      </c>
      <c r="K1085" t="s">
        <v>3147</v>
      </c>
      <c r="L1085" t="s">
        <v>5102</v>
      </c>
      <c r="M1085">
        <v>4</v>
      </c>
      <c r="N1085">
        <v>5</v>
      </c>
      <c r="O1085" t="s">
        <v>1036</v>
      </c>
      <c r="P1085" s="17"/>
      <c r="Q1085" s="17" t="str">
        <f>_xlfn.XLOOKUP(Table2[[#This Row],[buyFromVendorNo]],'Next Day Scheduled'!A:A,'Pending Returns'!O:O,"NOT_FOUND")</f>
        <v>NOT_FOUND</v>
      </c>
    </row>
    <row r="1086" spans="1:17" x14ac:dyDescent="0.3">
      <c r="A1086" s="1">
        <v>46189</v>
      </c>
      <c r="B1086" t="s">
        <v>4183</v>
      </c>
      <c r="C1086" t="s">
        <v>798</v>
      </c>
      <c r="D1086" t="s">
        <v>799</v>
      </c>
      <c r="E1086" t="s">
        <v>8</v>
      </c>
      <c r="F1086" t="s">
        <v>10</v>
      </c>
      <c r="G1086" s="16">
        <v>9.9</v>
      </c>
      <c r="H1086" s="16">
        <v>11.385</v>
      </c>
      <c r="I1086" s="1">
        <v>46189</v>
      </c>
      <c r="J1086">
        <v>70</v>
      </c>
      <c r="K1086" t="s">
        <v>4136</v>
      </c>
      <c r="L1086" t="s">
        <v>5105</v>
      </c>
      <c r="M1086">
        <v>9</v>
      </c>
      <c r="N1086">
        <v>9</v>
      </c>
      <c r="O1086" t="s">
        <v>1036</v>
      </c>
      <c r="P1086" s="17"/>
      <c r="Q1086" s="17" t="str">
        <f>_xlfn.XLOOKUP(Table2[[#This Row],[buyFromVendorNo]],'Next Day Scheduled'!A:A,'Pending Returns'!O:O,"NOT_FOUND")</f>
        <v>NOT_FOUND</v>
      </c>
    </row>
    <row r="1087" spans="1:17" x14ac:dyDescent="0.3">
      <c r="A1087" s="1">
        <v>46189</v>
      </c>
      <c r="B1087" t="s">
        <v>5225</v>
      </c>
      <c r="C1087" t="s">
        <v>25</v>
      </c>
      <c r="D1087" t="s">
        <v>26</v>
      </c>
      <c r="E1087" t="s">
        <v>8</v>
      </c>
      <c r="F1087" t="s">
        <v>10</v>
      </c>
      <c r="G1087" s="16">
        <v>965.93444999999997</v>
      </c>
      <c r="H1087" s="16">
        <v>1110.8245999999999</v>
      </c>
      <c r="J1087">
        <v>70</v>
      </c>
      <c r="K1087" t="s">
        <v>4981</v>
      </c>
      <c r="M1087">
        <v>9</v>
      </c>
      <c r="N1087">
        <v>7</v>
      </c>
      <c r="O1087" t="s">
        <v>216</v>
      </c>
      <c r="P1087" s="17"/>
      <c r="Q1087" s="17" t="str">
        <f>_xlfn.XLOOKUP(Table2[[#This Row],[buyFromVendorNo]],'Next Day Scheduled'!A:A,'Pending Returns'!O:O,"NOT_FOUND")</f>
        <v>NOT_FOUND</v>
      </c>
    </row>
    <row r="1088" spans="1:17" x14ac:dyDescent="0.3">
      <c r="A1088" s="1">
        <v>46190</v>
      </c>
      <c r="B1088" t="s">
        <v>3890</v>
      </c>
      <c r="C1088" t="s">
        <v>95</v>
      </c>
      <c r="D1088" t="s">
        <v>96</v>
      </c>
      <c r="E1088" t="s">
        <v>8</v>
      </c>
      <c r="F1088" t="s">
        <v>10</v>
      </c>
      <c r="G1088" s="16">
        <v>354.3535</v>
      </c>
      <c r="H1088" s="16">
        <v>407.50650000000002</v>
      </c>
      <c r="I1088" s="1">
        <v>46187</v>
      </c>
      <c r="J1088">
        <v>69</v>
      </c>
      <c r="K1088" t="s">
        <v>4560</v>
      </c>
      <c r="L1088" t="s">
        <v>5142</v>
      </c>
      <c r="M1088">
        <v>11</v>
      </c>
      <c r="N1088">
        <v>1</v>
      </c>
      <c r="O1088" t="s">
        <v>1036</v>
      </c>
      <c r="P1088" s="17"/>
      <c r="Q1088" s="17" t="str">
        <f>_xlfn.XLOOKUP(Table2[[#This Row],[buyFromVendorNo]],'Next Day Scheduled'!A:A,'Pending Returns'!O:O,"NOT_FOUND")</f>
        <v>NOT_FOUND</v>
      </c>
    </row>
    <row r="1089" spans="1:17" x14ac:dyDescent="0.3">
      <c r="A1089" s="1">
        <v>46190</v>
      </c>
      <c r="B1089" t="s">
        <v>524</v>
      </c>
      <c r="C1089" t="s">
        <v>957</v>
      </c>
      <c r="D1089" t="s">
        <v>958</v>
      </c>
      <c r="E1089" t="s">
        <v>8</v>
      </c>
      <c r="F1089" t="s">
        <v>10</v>
      </c>
      <c r="G1089" s="16">
        <v>6664.0039999999999</v>
      </c>
      <c r="H1089" s="16">
        <v>7663.6045000000004</v>
      </c>
      <c r="I1089" s="1">
        <v>46190</v>
      </c>
      <c r="J1089">
        <v>69</v>
      </c>
      <c r="K1089" t="s">
        <v>4889</v>
      </c>
      <c r="L1089" t="s">
        <v>5145</v>
      </c>
      <c r="M1089">
        <v>8</v>
      </c>
      <c r="N1089">
        <v>3</v>
      </c>
      <c r="O1089" t="s">
        <v>1036</v>
      </c>
      <c r="P1089" s="17"/>
      <c r="Q1089" s="17" t="str">
        <f>_xlfn.XLOOKUP(Table2[[#This Row],[buyFromVendorNo]],'Next Day Scheduled'!A:A,'Pending Returns'!O:O,"NOT_FOUND")</f>
        <v>NOT_FOUND</v>
      </c>
    </row>
    <row r="1090" spans="1:17" x14ac:dyDescent="0.3">
      <c r="A1090" s="1">
        <v>46190</v>
      </c>
      <c r="B1090" t="s">
        <v>4045</v>
      </c>
      <c r="C1090" t="s">
        <v>1507</v>
      </c>
      <c r="D1090" t="s">
        <v>1508</v>
      </c>
      <c r="E1090" t="s">
        <v>8</v>
      </c>
      <c r="F1090" t="s">
        <v>38</v>
      </c>
      <c r="G1090" s="16">
        <v>135.1</v>
      </c>
      <c r="H1090" s="16">
        <v>155.36500000000001</v>
      </c>
      <c r="I1090" s="1">
        <v>46190</v>
      </c>
      <c r="J1090">
        <v>69</v>
      </c>
      <c r="K1090" t="s">
        <v>4046</v>
      </c>
      <c r="L1090" t="s">
        <v>5139</v>
      </c>
      <c r="M1090">
        <v>0</v>
      </c>
      <c r="N1090">
        <v>161</v>
      </c>
      <c r="O1090" t="s">
        <v>1036</v>
      </c>
      <c r="P1090" s="17"/>
      <c r="Q1090" s="17" t="str">
        <f>_xlfn.XLOOKUP(Table2[[#This Row],[buyFromVendorNo]],'Next Day Scheduled'!A:A,'Pending Returns'!O:O,"NOT_FOUND")</f>
        <v>NOT_FOUND</v>
      </c>
    </row>
    <row r="1091" spans="1:17" x14ac:dyDescent="0.3">
      <c r="A1091" s="1">
        <v>46190</v>
      </c>
      <c r="B1091" t="s">
        <v>792</v>
      </c>
      <c r="C1091" t="s">
        <v>181</v>
      </c>
      <c r="D1091" t="s">
        <v>182</v>
      </c>
      <c r="E1091" t="s">
        <v>8</v>
      </c>
      <c r="F1091" t="s">
        <v>10</v>
      </c>
      <c r="G1091" s="16">
        <v>2282.9259999999999</v>
      </c>
      <c r="H1091" s="16">
        <v>2625.3649999999998</v>
      </c>
      <c r="I1091" s="1">
        <v>46181</v>
      </c>
      <c r="J1091">
        <v>69</v>
      </c>
      <c r="K1091" t="s">
        <v>1704</v>
      </c>
      <c r="L1091" t="s">
        <v>5120</v>
      </c>
      <c r="M1091">
        <v>15</v>
      </c>
      <c r="N1091">
        <v>2</v>
      </c>
      <c r="O1091" t="s">
        <v>1036</v>
      </c>
      <c r="P1091" s="17"/>
      <c r="Q1091" s="17" t="str">
        <f>_xlfn.XLOOKUP(Table2[[#This Row],[buyFromVendorNo]],'Next Day Scheduled'!A:A,'Pending Returns'!O:O,"NOT_FOUND")</f>
        <v>NOT_FOUND</v>
      </c>
    </row>
    <row r="1092" spans="1:17" x14ac:dyDescent="0.3">
      <c r="A1092" s="1">
        <v>46190</v>
      </c>
      <c r="B1092" t="s">
        <v>3421</v>
      </c>
      <c r="C1092" t="s">
        <v>781</v>
      </c>
      <c r="D1092" t="s">
        <v>782</v>
      </c>
      <c r="E1092" t="s">
        <v>8</v>
      </c>
      <c r="F1092" t="s">
        <v>10</v>
      </c>
      <c r="G1092" s="16">
        <v>67.25</v>
      </c>
      <c r="H1092" s="16">
        <v>77.337500000000006</v>
      </c>
      <c r="I1092" s="1">
        <v>46188</v>
      </c>
      <c r="J1092">
        <v>69</v>
      </c>
      <c r="K1092" t="s">
        <v>4373</v>
      </c>
      <c r="L1092" t="s">
        <v>5121</v>
      </c>
      <c r="M1092">
        <v>9</v>
      </c>
      <c r="N1092">
        <v>2</v>
      </c>
      <c r="O1092" t="s">
        <v>1036</v>
      </c>
      <c r="P1092" s="17"/>
      <c r="Q1092" s="17" t="str">
        <f>_xlfn.XLOOKUP(Table2[[#This Row],[buyFromVendorNo]],'Next Day Scheduled'!A:A,'Pending Returns'!O:O,"NOT_FOUND")</f>
        <v>NOT_FOUND</v>
      </c>
    </row>
    <row r="1093" spans="1:17" x14ac:dyDescent="0.3">
      <c r="A1093" s="1">
        <v>46190</v>
      </c>
      <c r="B1093" t="s">
        <v>4460</v>
      </c>
      <c r="C1093" t="s">
        <v>422</v>
      </c>
      <c r="D1093" t="s">
        <v>490</v>
      </c>
      <c r="E1093" t="s">
        <v>8</v>
      </c>
      <c r="F1093" t="s">
        <v>169</v>
      </c>
      <c r="G1093" s="16">
        <v>534.60626000000002</v>
      </c>
      <c r="H1093" s="16">
        <v>614.79719999999998</v>
      </c>
      <c r="I1093" s="1">
        <v>46184</v>
      </c>
      <c r="J1093">
        <v>69</v>
      </c>
      <c r="K1093" t="s">
        <v>4522</v>
      </c>
      <c r="L1093" t="s">
        <v>5129</v>
      </c>
      <c r="M1093">
        <v>9</v>
      </c>
      <c r="N1093">
        <v>3</v>
      </c>
      <c r="O1093" t="s">
        <v>1036</v>
      </c>
      <c r="P1093" s="17"/>
      <c r="Q1093" s="17" t="str">
        <f>_xlfn.XLOOKUP(Table2[[#This Row],[buyFromVendorNo]],'Next Day Scheduled'!A:A,'Pending Returns'!O:O,"NOT_FOUND")</f>
        <v>NOT_FOUND</v>
      </c>
    </row>
    <row r="1094" spans="1:17" x14ac:dyDescent="0.3">
      <c r="A1094" s="1">
        <v>46190</v>
      </c>
      <c r="B1094" t="s">
        <v>3802</v>
      </c>
      <c r="C1094" t="s">
        <v>362</v>
      </c>
      <c r="D1094" t="s">
        <v>363</v>
      </c>
      <c r="E1094" t="s">
        <v>8</v>
      </c>
      <c r="F1094" t="s">
        <v>10</v>
      </c>
      <c r="G1094" s="16">
        <v>116.5</v>
      </c>
      <c r="H1094" s="16">
        <v>133.97499999999999</v>
      </c>
      <c r="I1094" s="1">
        <v>46188</v>
      </c>
      <c r="J1094">
        <v>69</v>
      </c>
      <c r="K1094" t="s">
        <v>4260</v>
      </c>
      <c r="L1094" t="s">
        <v>5149</v>
      </c>
      <c r="M1094">
        <v>11</v>
      </c>
      <c r="N1094">
        <v>1</v>
      </c>
      <c r="O1094" t="s">
        <v>1036</v>
      </c>
      <c r="P1094" s="17"/>
      <c r="Q1094" s="17" t="str">
        <f>_xlfn.XLOOKUP(Table2[[#This Row],[buyFromVendorNo]],'Next Day Scheduled'!A:A,'Pending Returns'!O:O,"NOT_FOUND")</f>
        <v>NOT_FOUND</v>
      </c>
    </row>
    <row r="1095" spans="1:17" x14ac:dyDescent="0.3">
      <c r="A1095" s="1">
        <v>46190</v>
      </c>
      <c r="B1095" t="s">
        <v>1530</v>
      </c>
      <c r="C1095" t="s">
        <v>1507</v>
      </c>
      <c r="D1095" t="s">
        <v>1508</v>
      </c>
      <c r="E1095" t="s">
        <v>8</v>
      </c>
      <c r="F1095" t="s">
        <v>38</v>
      </c>
      <c r="G1095" s="16">
        <v>1094.8</v>
      </c>
      <c r="H1095" s="16">
        <v>1259.02</v>
      </c>
      <c r="I1095" s="1">
        <v>46190</v>
      </c>
      <c r="J1095">
        <v>69</v>
      </c>
      <c r="K1095" t="s">
        <v>2050</v>
      </c>
      <c r="L1095" t="s">
        <v>5131</v>
      </c>
      <c r="M1095">
        <v>0</v>
      </c>
      <c r="N1095">
        <v>161</v>
      </c>
      <c r="O1095" t="s">
        <v>1036</v>
      </c>
      <c r="P1095" s="17"/>
      <c r="Q1095" s="17" t="str">
        <f>_xlfn.XLOOKUP(Table2[[#This Row],[buyFromVendorNo]],'Next Day Scheduled'!A:A,'Pending Returns'!O:O,"NOT_FOUND")</f>
        <v>NOT_FOUND</v>
      </c>
    </row>
    <row r="1096" spans="1:17" x14ac:dyDescent="0.3">
      <c r="A1096" s="1">
        <v>46190</v>
      </c>
      <c r="B1096" t="s">
        <v>642</v>
      </c>
      <c r="C1096" t="s">
        <v>36</v>
      </c>
      <c r="D1096" t="s">
        <v>37</v>
      </c>
      <c r="E1096" t="s">
        <v>8</v>
      </c>
      <c r="F1096" t="s">
        <v>38</v>
      </c>
      <c r="G1096" s="16">
        <v>940.5</v>
      </c>
      <c r="H1096" s="16">
        <v>1081.575</v>
      </c>
      <c r="I1096" s="1">
        <v>46184</v>
      </c>
      <c r="J1096">
        <v>69</v>
      </c>
      <c r="K1096" t="s">
        <v>3599</v>
      </c>
      <c r="L1096" t="s">
        <v>5137</v>
      </c>
      <c r="M1096">
        <v>68</v>
      </c>
      <c r="N1096">
        <v>1</v>
      </c>
      <c r="O1096" t="s">
        <v>1036</v>
      </c>
      <c r="P1096" s="17"/>
      <c r="Q1096" s="17" t="str">
        <f>_xlfn.XLOOKUP(Table2[[#This Row],[buyFromVendorNo]],'Next Day Scheduled'!A:A,'Pending Returns'!O:O,"NOT_FOUND")</f>
        <v>NOT_FOUND</v>
      </c>
    </row>
    <row r="1097" spans="1:17" x14ac:dyDescent="0.3">
      <c r="A1097" s="1">
        <v>46190</v>
      </c>
      <c r="B1097" t="s">
        <v>3318</v>
      </c>
      <c r="C1097" t="s">
        <v>173</v>
      </c>
      <c r="D1097" t="s">
        <v>174</v>
      </c>
      <c r="E1097" t="s">
        <v>8</v>
      </c>
      <c r="F1097" t="s">
        <v>10</v>
      </c>
      <c r="G1097" s="16">
        <v>2365.2800000000002</v>
      </c>
      <c r="H1097" s="16">
        <v>2720.0720000000001</v>
      </c>
      <c r="J1097">
        <v>69</v>
      </c>
      <c r="K1097" t="s">
        <v>5040</v>
      </c>
      <c r="M1097">
        <v>16</v>
      </c>
      <c r="N1097">
        <v>1</v>
      </c>
      <c r="O1097" t="s">
        <v>216</v>
      </c>
      <c r="P1097" s="17"/>
      <c r="Q1097" s="17" t="str">
        <f>_xlfn.XLOOKUP(Table2[[#This Row],[buyFromVendorNo]],'Next Day Scheduled'!A:A,'Pending Returns'!O:O,"NOT_FOUND")</f>
        <v>NOT_FOUND</v>
      </c>
    </row>
    <row r="1098" spans="1:17" x14ac:dyDescent="0.3">
      <c r="A1098" s="1">
        <v>46190</v>
      </c>
      <c r="B1098" t="s">
        <v>3353</v>
      </c>
      <c r="C1098" t="s">
        <v>16</v>
      </c>
      <c r="D1098" t="s">
        <v>17</v>
      </c>
      <c r="E1098" t="s">
        <v>8</v>
      </c>
      <c r="F1098" t="s">
        <v>10</v>
      </c>
      <c r="G1098" s="16">
        <v>157.31666999999999</v>
      </c>
      <c r="H1098" s="16">
        <v>180.91417000000001</v>
      </c>
      <c r="I1098" s="1">
        <v>46190</v>
      </c>
      <c r="J1098">
        <v>69</v>
      </c>
      <c r="K1098" t="s">
        <v>3174</v>
      </c>
      <c r="L1098" t="s">
        <v>5140</v>
      </c>
      <c r="M1098">
        <v>10</v>
      </c>
      <c r="N1098">
        <v>3</v>
      </c>
      <c r="O1098" t="s">
        <v>1036</v>
      </c>
      <c r="P1098" s="17"/>
      <c r="Q1098" s="17" t="str">
        <f>_xlfn.XLOOKUP(Table2[[#This Row],[buyFromVendorNo]],'Next Day Scheduled'!A:A,'Pending Returns'!O:O,"NOT_FOUND")</f>
        <v>Posted Credit Note</v>
      </c>
    </row>
    <row r="1099" spans="1:17" x14ac:dyDescent="0.3">
      <c r="A1099" s="1">
        <v>46190</v>
      </c>
      <c r="B1099" t="s">
        <v>3694</v>
      </c>
      <c r="C1099" t="s">
        <v>2246</v>
      </c>
      <c r="D1099" t="s">
        <v>2247</v>
      </c>
      <c r="E1099" t="s">
        <v>8</v>
      </c>
      <c r="F1099" t="s">
        <v>10</v>
      </c>
      <c r="G1099" s="16">
        <v>2252.48</v>
      </c>
      <c r="H1099" s="16">
        <v>2590.3519999999999</v>
      </c>
      <c r="I1099" s="1">
        <v>46183</v>
      </c>
      <c r="J1099">
        <v>69</v>
      </c>
      <c r="K1099" t="s">
        <v>3651</v>
      </c>
      <c r="L1099" t="s">
        <v>5125</v>
      </c>
      <c r="M1099">
        <v>9</v>
      </c>
      <c r="N1099">
        <v>6</v>
      </c>
      <c r="O1099" t="s">
        <v>1036</v>
      </c>
      <c r="P1099" s="17"/>
      <c r="Q1099" s="17" t="str">
        <f>_xlfn.XLOOKUP(Table2[[#This Row],[buyFromVendorNo]],'Next Day Scheduled'!A:A,'Pending Returns'!O:O,"NOT_FOUND")</f>
        <v>NOT_FOUND</v>
      </c>
    </row>
    <row r="1100" spans="1:17" x14ac:dyDescent="0.3">
      <c r="A1100" s="1">
        <v>46190</v>
      </c>
      <c r="B1100" t="s">
        <v>3328</v>
      </c>
      <c r="C1100" t="s">
        <v>536</v>
      </c>
      <c r="D1100" t="s">
        <v>537</v>
      </c>
      <c r="E1100" t="s">
        <v>8</v>
      </c>
      <c r="F1100" t="s">
        <v>10</v>
      </c>
      <c r="G1100" s="16">
        <v>1270.51</v>
      </c>
      <c r="H1100" s="16">
        <v>1461.0864999999999</v>
      </c>
      <c r="I1100" s="1">
        <v>46186</v>
      </c>
      <c r="J1100">
        <v>69</v>
      </c>
      <c r="K1100" t="s">
        <v>4636</v>
      </c>
      <c r="L1100" t="s">
        <v>5122</v>
      </c>
      <c r="M1100">
        <v>10</v>
      </c>
      <c r="N1100">
        <v>2</v>
      </c>
      <c r="O1100" t="s">
        <v>1036</v>
      </c>
      <c r="P1100" s="17"/>
      <c r="Q1100" s="17" t="str">
        <f>_xlfn.XLOOKUP(Table2[[#This Row],[buyFromVendorNo]],'Next Day Scheduled'!A:A,'Pending Returns'!O:O,"NOT_FOUND")</f>
        <v>NOT_FOUND</v>
      </c>
    </row>
    <row r="1101" spans="1:17" x14ac:dyDescent="0.3">
      <c r="A1101" s="1">
        <v>46190</v>
      </c>
      <c r="B1101" t="s">
        <v>677</v>
      </c>
      <c r="C1101" t="s">
        <v>957</v>
      </c>
      <c r="D1101" t="s">
        <v>958</v>
      </c>
      <c r="E1101" t="s">
        <v>8</v>
      </c>
      <c r="F1101" t="s">
        <v>10</v>
      </c>
      <c r="G1101" s="16">
        <v>18150</v>
      </c>
      <c r="H1101" s="16">
        <v>20872.5</v>
      </c>
      <c r="I1101" s="1">
        <v>46190</v>
      </c>
      <c r="J1101">
        <v>69</v>
      </c>
      <c r="K1101" t="s">
        <v>4901</v>
      </c>
      <c r="L1101" t="s">
        <v>5136</v>
      </c>
      <c r="M1101">
        <v>8</v>
      </c>
      <c r="N1101">
        <v>3</v>
      </c>
      <c r="O1101" t="s">
        <v>1036</v>
      </c>
      <c r="P1101" s="17"/>
      <c r="Q1101" s="17" t="str">
        <f>_xlfn.XLOOKUP(Table2[[#This Row],[buyFromVendorNo]],'Next Day Scheduled'!A:A,'Pending Returns'!O:O,"NOT_FOUND")</f>
        <v>NOT_FOUND</v>
      </c>
    </row>
    <row r="1102" spans="1:17" x14ac:dyDescent="0.3">
      <c r="A1102" s="1">
        <v>46190</v>
      </c>
      <c r="B1102" t="s">
        <v>4084</v>
      </c>
      <c r="C1102" t="s">
        <v>181</v>
      </c>
      <c r="D1102" t="s">
        <v>182</v>
      </c>
      <c r="E1102" t="s">
        <v>8</v>
      </c>
      <c r="F1102" t="s">
        <v>10</v>
      </c>
      <c r="G1102" s="16">
        <v>1513.5396000000001</v>
      </c>
      <c r="H1102" s="16">
        <v>1740.5704000000001</v>
      </c>
      <c r="I1102" s="1">
        <v>46181</v>
      </c>
      <c r="J1102">
        <v>69</v>
      </c>
      <c r="K1102" t="s">
        <v>4085</v>
      </c>
      <c r="L1102" t="s">
        <v>5144</v>
      </c>
      <c r="M1102">
        <v>15</v>
      </c>
      <c r="N1102">
        <v>2</v>
      </c>
      <c r="O1102" t="s">
        <v>1036</v>
      </c>
      <c r="P1102" s="17"/>
      <c r="Q1102" s="17" t="str">
        <f>_xlfn.XLOOKUP(Table2[[#This Row],[buyFromVendorNo]],'Next Day Scheduled'!A:A,'Pending Returns'!O:O,"NOT_FOUND")</f>
        <v>NOT_FOUND</v>
      </c>
    </row>
    <row r="1103" spans="1:17" x14ac:dyDescent="0.3">
      <c r="A1103" s="1">
        <v>46190</v>
      </c>
      <c r="B1103" t="s">
        <v>3373</v>
      </c>
      <c r="C1103" t="s">
        <v>2194</v>
      </c>
      <c r="D1103" t="s">
        <v>3635</v>
      </c>
      <c r="E1103" t="s">
        <v>8</v>
      </c>
      <c r="F1103" t="s">
        <v>10</v>
      </c>
      <c r="G1103" s="16">
        <v>1178.2</v>
      </c>
      <c r="H1103" s="16">
        <v>1193.68</v>
      </c>
      <c r="I1103" s="1">
        <v>46181</v>
      </c>
      <c r="J1103">
        <v>69</v>
      </c>
      <c r="K1103" t="s">
        <v>3634</v>
      </c>
      <c r="L1103" t="s">
        <v>5123</v>
      </c>
      <c r="M1103">
        <v>10</v>
      </c>
      <c r="N1103">
        <v>1</v>
      </c>
      <c r="O1103" t="s">
        <v>1036</v>
      </c>
      <c r="P1103" s="17"/>
      <c r="Q1103" s="17" t="str">
        <f>_xlfn.XLOOKUP(Table2[[#This Row],[buyFromVendorNo]],'Next Day Scheduled'!A:A,'Pending Returns'!O:O,"NOT_FOUND")</f>
        <v>NOT_FOUND</v>
      </c>
    </row>
    <row r="1104" spans="1:17" x14ac:dyDescent="0.3">
      <c r="A1104" s="1">
        <v>46190</v>
      </c>
      <c r="B1104" t="s">
        <v>2591</v>
      </c>
      <c r="C1104" t="s">
        <v>839</v>
      </c>
      <c r="D1104" t="s">
        <v>840</v>
      </c>
      <c r="E1104" t="s">
        <v>8</v>
      </c>
      <c r="F1104" t="s">
        <v>10</v>
      </c>
      <c r="G1104" s="16">
        <v>1950.5</v>
      </c>
      <c r="H1104" s="16">
        <v>2243.0749999999998</v>
      </c>
      <c r="I1104" s="1">
        <v>46190</v>
      </c>
      <c r="J1104">
        <v>69</v>
      </c>
      <c r="K1104" t="s">
        <v>2592</v>
      </c>
      <c r="L1104" t="s">
        <v>5124</v>
      </c>
      <c r="M1104">
        <v>10</v>
      </c>
      <c r="N1104">
        <v>2</v>
      </c>
      <c r="O1104" t="s">
        <v>1036</v>
      </c>
      <c r="P1104" s="17"/>
      <c r="Q1104" s="17" t="str">
        <f>_xlfn.XLOOKUP(Table2[[#This Row],[buyFromVendorNo]],'Next Day Scheduled'!A:A,'Pending Returns'!O:O,"NOT_FOUND")</f>
        <v>NOT_FOUND</v>
      </c>
    </row>
    <row r="1105" spans="1:17" x14ac:dyDescent="0.3">
      <c r="A1105" s="1">
        <v>46190</v>
      </c>
      <c r="B1105" t="s">
        <v>712</v>
      </c>
      <c r="C1105" t="s">
        <v>839</v>
      </c>
      <c r="D1105" t="s">
        <v>840</v>
      </c>
      <c r="E1105" t="s">
        <v>8</v>
      </c>
      <c r="F1105" t="s">
        <v>10</v>
      </c>
      <c r="G1105" s="16">
        <v>500.5</v>
      </c>
      <c r="H1105" s="16">
        <v>575.57500000000005</v>
      </c>
      <c r="I1105" s="1">
        <v>46188</v>
      </c>
      <c r="J1105">
        <v>69</v>
      </c>
      <c r="K1105" t="s">
        <v>3039</v>
      </c>
      <c r="L1105" t="s">
        <v>5148</v>
      </c>
      <c r="M1105">
        <v>10</v>
      </c>
      <c r="N1105">
        <v>2</v>
      </c>
      <c r="O1105" t="s">
        <v>1036</v>
      </c>
      <c r="P1105" s="17"/>
      <c r="Q1105" s="17" t="str">
        <f>_xlfn.XLOOKUP(Table2[[#This Row],[buyFromVendorNo]],'Next Day Scheduled'!A:A,'Pending Returns'!O:O,"NOT_FOUND")</f>
        <v>NOT_FOUND</v>
      </c>
    </row>
    <row r="1106" spans="1:17" x14ac:dyDescent="0.3">
      <c r="A1106" s="1">
        <v>46190</v>
      </c>
      <c r="B1106" t="s">
        <v>468</v>
      </c>
      <c r="C1106" t="s">
        <v>2431</v>
      </c>
      <c r="D1106" t="s">
        <v>2432</v>
      </c>
      <c r="E1106" t="s">
        <v>8</v>
      </c>
      <c r="F1106" t="s">
        <v>10</v>
      </c>
      <c r="G1106" s="16">
        <v>71.5</v>
      </c>
      <c r="H1106" s="16">
        <v>82.224999999999994</v>
      </c>
      <c r="I1106" s="1">
        <v>46174</v>
      </c>
      <c r="J1106">
        <v>69</v>
      </c>
      <c r="K1106" t="s">
        <v>2992</v>
      </c>
      <c r="L1106" t="s">
        <v>5126</v>
      </c>
      <c r="M1106">
        <v>10</v>
      </c>
      <c r="N1106">
        <v>3</v>
      </c>
      <c r="O1106" t="s">
        <v>1036</v>
      </c>
      <c r="P1106" s="17"/>
      <c r="Q1106" s="17" t="str">
        <f>_xlfn.XLOOKUP(Table2[[#This Row],[buyFromVendorNo]],'Next Day Scheduled'!A:A,'Pending Returns'!O:O,"NOT_FOUND")</f>
        <v>NOT_FOUND</v>
      </c>
    </row>
    <row r="1107" spans="1:17" x14ac:dyDescent="0.3">
      <c r="A1107" s="1">
        <v>46190</v>
      </c>
      <c r="B1107" t="s">
        <v>3047</v>
      </c>
      <c r="C1107" t="s">
        <v>931</v>
      </c>
      <c r="D1107" t="s">
        <v>1767</v>
      </c>
      <c r="E1107" t="s">
        <v>8</v>
      </c>
      <c r="F1107" t="s">
        <v>10</v>
      </c>
      <c r="G1107" s="16">
        <v>16.25</v>
      </c>
      <c r="H1107" s="16">
        <v>18.6875</v>
      </c>
      <c r="I1107" s="1">
        <v>46180</v>
      </c>
      <c r="J1107">
        <v>69</v>
      </c>
      <c r="K1107" t="s">
        <v>3048</v>
      </c>
      <c r="L1107" t="s">
        <v>5128</v>
      </c>
      <c r="M1107">
        <v>10</v>
      </c>
      <c r="N1107">
        <v>3</v>
      </c>
      <c r="O1107" t="s">
        <v>1036</v>
      </c>
      <c r="P1107" s="17"/>
      <c r="Q1107" s="17" t="str">
        <f>_xlfn.XLOOKUP(Table2[[#This Row],[buyFromVendorNo]],'Next Day Scheduled'!A:A,'Pending Returns'!O:O,"NOT_FOUND")</f>
        <v>NOT_FOUND</v>
      </c>
    </row>
    <row r="1108" spans="1:17" x14ac:dyDescent="0.3">
      <c r="A1108" s="1">
        <v>46190</v>
      </c>
      <c r="B1108" t="s">
        <v>3998</v>
      </c>
      <c r="C1108" t="s">
        <v>4737</v>
      </c>
      <c r="D1108" t="s">
        <v>4738</v>
      </c>
      <c r="E1108" t="s">
        <v>8</v>
      </c>
      <c r="F1108" t="s">
        <v>10</v>
      </c>
      <c r="G1108" s="16">
        <v>102.28</v>
      </c>
      <c r="H1108" s="16">
        <v>117.622</v>
      </c>
      <c r="I1108" s="1">
        <v>46190</v>
      </c>
      <c r="J1108">
        <v>69</v>
      </c>
      <c r="K1108" t="s">
        <v>4736</v>
      </c>
      <c r="L1108" t="s">
        <v>5132</v>
      </c>
      <c r="M1108">
        <v>1</v>
      </c>
      <c r="N1108">
        <v>1</v>
      </c>
      <c r="O1108" t="s">
        <v>1036</v>
      </c>
      <c r="P1108" s="17"/>
      <c r="Q1108" s="17" t="str">
        <f>_xlfn.XLOOKUP(Table2[[#This Row],[buyFromVendorNo]],'Next Day Scheduled'!A:A,'Pending Returns'!O:O,"NOT_FOUND")</f>
        <v>NOT_FOUND</v>
      </c>
    </row>
    <row r="1109" spans="1:17" x14ac:dyDescent="0.3">
      <c r="A1109" s="1">
        <v>46190</v>
      </c>
      <c r="B1109" t="s">
        <v>1853</v>
      </c>
      <c r="C1109" t="s">
        <v>181</v>
      </c>
      <c r="D1109" t="s">
        <v>182</v>
      </c>
      <c r="E1109" t="s">
        <v>8</v>
      </c>
      <c r="F1109" t="s">
        <v>10</v>
      </c>
      <c r="G1109" s="16">
        <v>4816.9434000000001</v>
      </c>
      <c r="H1109" s="16">
        <v>5539.4849999999997</v>
      </c>
      <c r="I1109" s="1">
        <v>46181</v>
      </c>
      <c r="J1109">
        <v>69</v>
      </c>
      <c r="K1109" t="s">
        <v>1925</v>
      </c>
      <c r="L1109" t="s">
        <v>5143</v>
      </c>
      <c r="M1109">
        <v>15</v>
      </c>
      <c r="N1109">
        <v>2</v>
      </c>
      <c r="O1109" t="s">
        <v>1036</v>
      </c>
      <c r="P1109" s="17"/>
      <c r="Q1109" s="17" t="str">
        <f>_xlfn.XLOOKUP(Table2[[#This Row],[buyFromVendorNo]],'Next Day Scheduled'!A:A,'Pending Returns'!O:O,"NOT_FOUND")</f>
        <v>NOT_FOUND</v>
      </c>
    </row>
    <row r="1110" spans="1:17" x14ac:dyDescent="0.3">
      <c r="A1110" s="1">
        <v>46190</v>
      </c>
      <c r="B1110" t="s">
        <v>3706</v>
      </c>
      <c r="C1110" t="s">
        <v>2271</v>
      </c>
      <c r="D1110" t="s">
        <v>2272</v>
      </c>
      <c r="E1110" t="s">
        <v>8</v>
      </c>
      <c r="F1110" t="s">
        <v>10</v>
      </c>
      <c r="G1110" s="16">
        <v>237.9</v>
      </c>
      <c r="H1110" s="16">
        <v>273.58499999999998</v>
      </c>
      <c r="I1110" s="1">
        <v>46188</v>
      </c>
      <c r="J1110">
        <v>69</v>
      </c>
      <c r="K1110" t="s">
        <v>4410</v>
      </c>
      <c r="L1110" t="s">
        <v>5146</v>
      </c>
      <c r="M1110">
        <v>14</v>
      </c>
      <c r="N1110">
        <v>2</v>
      </c>
      <c r="O1110" t="s">
        <v>1036</v>
      </c>
      <c r="P1110" s="17"/>
      <c r="Q1110" s="17" t="str">
        <f>_xlfn.XLOOKUP(Table2[[#This Row],[buyFromVendorNo]],'Next Day Scheduled'!A:A,'Pending Returns'!O:O,"NOT_FOUND")</f>
        <v>NOT_FOUND</v>
      </c>
    </row>
    <row r="1111" spans="1:17" x14ac:dyDescent="0.3">
      <c r="A1111" s="1">
        <v>46190</v>
      </c>
      <c r="B1111" t="s">
        <v>3356</v>
      </c>
      <c r="C1111" t="s">
        <v>781</v>
      </c>
      <c r="D1111" t="s">
        <v>782</v>
      </c>
      <c r="E1111" t="s">
        <v>8</v>
      </c>
      <c r="F1111" t="s">
        <v>10</v>
      </c>
      <c r="G1111" s="16">
        <v>79.5</v>
      </c>
      <c r="H1111" s="16">
        <v>91.424999999999997</v>
      </c>
      <c r="I1111" s="1">
        <v>46188</v>
      </c>
      <c r="J1111">
        <v>69</v>
      </c>
      <c r="K1111" t="s">
        <v>4389</v>
      </c>
      <c r="L1111" t="s">
        <v>5130</v>
      </c>
      <c r="M1111">
        <v>9</v>
      </c>
      <c r="N1111">
        <v>2</v>
      </c>
      <c r="O1111" t="s">
        <v>1036</v>
      </c>
      <c r="P1111" s="17"/>
      <c r="Q1111" s="17" t="str">
        <f>_xlfn.XLOOKUP(Table2[[#This Row],[buyFromVendorNo]],'Next Day Scheduled'!A:A,'Pending Returns'!O:O,"NOT_FOUND")</f>
        <v>NOT_FOUND</v>
      </c>
    </row>
    <row r="1112" spans="1:17" x14ac:dyDescent="0.3">
      <c r="A1112" s="1">
        <v>46190</v>
      </c>
      <c r="B1112" t="s">
        <v>4680</v>
      </c>
      <c r="C1112" t="s">
        <v>2313</v>
      </c>
      <c r="D1112" t="s">
        <v>2314</v>
      </c>
      <c r="E1112" t="s">
        <v>8</v>
      </c>
      <c r="F1112" t="s">
        <v>10</v>
      </c>
      <c r="G1112" s="16">
        <v>88</v>
      </c>
      <c r="H1112" s="16">
        <v>101.2</v>
      </c>
      <c r="I1112" s="1">
        <v>46188</v>
      </c>
      <c r="J1112">
        <v>69</v>
      </c>
      <c r="K1112" t="s">
        <v>4646</v>
      </c>
      <c r="L1112" t="s">
        <v>5150</v>
      </c>
      <c r="M1112">
        <v>10</v>
      </c>
      <c r="N1112">
        <v>3</v>
      </c>
      <c r="O1112" t="s">
        <v>1036</v>
      </c>
      <c r="P1112" s="17"/>
      <c r="Q1112" s="17" t="str">
        <f>_xlfn.XLOOKUP(Table2[[#This Row],[buyFromVendorNo]],'Next Day Scheduled'!A:A,'Pending Returns'!O:O,"NOT_FOUND")</f>
        <v>NOT_FOUND</v>
      </c>
    </row>
    <row r="1113" spans="1:17" x14ac:dyDescent="0.3">
      <c r="A1113" s="1">
        <v>46190</v>
      </c>
      <c r="B1113" t="s">
        <v>4408</v>
      </c>
      <c r="C1113" t="s">
        <v>1024</v>
      </c>
      <c r="D1113" t="s">
        <v>1025</v>
      </c>
      <c r="E1113" t="s">
        <v>8</v>
      </c>
      <c r="F1113" t="s">
        <v>10</v>
      </c>
      <c r="G1113" s="16">
        <v>1077.8420000000001</v>
      </c>
      <c r="H1113" s="16">
        <v>1239.5183</v>
      </c>
      <c r="I1113" s="1">
        <v>46187</v>
      </c>
      <c r="J1113">
        <v>69</v>
      </c>
      <c r="K1113" t="s">
        <v>4409</v>
      </c>
      <c r="L1113" t="s">
        <v>5133</v>
      </c>
      <c r="M1113">
        <v>9</v>
      </c>
      <c r="N1113">
        <v>5</v>
      </c>
      <c r="O1113" t="s">
        <v>1036</v>
      </c>
      <c r="P1113" s="17"/>
      <c r="Q1113" s="17" t="str">
        <f>_xlfn.XLOOKUP(Table2[[#This Row],[buyFromVendorNo]],'Next Day Scheduled'!A:A,'Pending Returns'!O:O,"NOT_FOUND")</f>
        <v>NOT_FOUND</v>
      </c>
    </row>
    <row r="1114" spans="1:17" x14ac:dyDescent="0.3">
      <c r="A1114" s="1">
        <v>46190</v>
      </c>
      <c r="B1114" t="s">
        <v>1955</v>
      </c>
      <c r="C1114" t="s">
        <v>3415</v>
      </c>
      <c r="D1114" t="s">
        <v>3416</v>
      </c>
      <c r="E1114" t="s">
        <v>8</v>
      </c>
      <c r="F1114" t="s">
        <v>10</v>
      </c>
      <c r="G1114" s="16">
        <v>63.33</v>
      </c>
      <c r="H1114" s="16">
        <v>72.829499999999996</v>
      </c>
      <c r="I1114" s="1">
        <v>46190</v>
      </c>
      <c r="J1114">
        <v>69</v>
      </c>
      <c r="K1114" t="s">
        <v>4962</v>
      </c>
      <c r="L1114" t="s">
        <v>5134</v>
      </c>
      <c r="M1114">
        <v>3</v>
      </c>
      <c r="N1114">
        <v>1</v>
      </c>
      <c r="O1114" t="s">
        <v>1036</v>
      </c>
      <c r="P1114" s="17"/>
      <c r="Q1114" s="17" t="str">
        <f>_xlfn.XLOOKUP(Table2[[#This Row],[buyFromVendorNo]],'Next Day Scheduled'!A:A,'Pending Returns'!O:O,"NOT_FOUND")</f>
        <v>NOT_FOUND</v>
      </c>
    </row>
    <row r="1115" spans="1:17" x14ac:dyDescent="0.3">
      <c r="A1115" s="1">
        <v>46190</v>
      </c>
      <c r="B1115" t="s">
        <v>3392</v>
      </c>
      <c r="C1115" t="s">
        <v>536</v>
      </c>
      <c r="D1115" t="s">
        <v>537</v>
      </c>
      <c r="E1115" t="s">
        <v>8</v>
      </c>
      <c r="F1115" t="s">
        <v>10</v>
      </c>
      <c r="G1115" s="16">
        <v>2780.5369000000001</v>
      </c>
      <c r="H1115" s="16">
        <v>3197.6174000000001</v>
      </c>
      <c r="I1115" s="1">
        <v>46186</v>
      </c>
      <c r="J1115">
        <v>69</v>
      </c>
      <c r="K1115" t="s">
        <v>3211</v>
      </c>
      <c r="L1115" t="s">
        <v>5135</v>
      </c>
      <c r="M1115">
        <v>10</v>
      </c>
      <c r="N1115">
        <v>2</v>
      </c>
      <c r="O1115" t="s">
        <v>1036</v>
      </c>
      <c r="P1115" s="17"/>
      <c r="Q1115" s="17" t="str">
        <f>_xlfn.XLOOKUP(Table2[[#This Row],[buyFromVendorNo]],'Next Day Scheduled'!A:A,'Pending Returns'!O:O,"NOT_FOUND")</f>
        <v>NOT_FOUND</v>
      </c>
    </row>
    <row r="1116" spans="1:17" x14ac:dyDescent="0.3">
      <c r="A1116" s="1">
        <v>46190</v>
      </c>
      <c r="B1116" t="s">
        <v>4233</v>
      </c>
      <c r="C1116" t="s">
        <v>2499</v>
      </c>
      <c r="D1116" t="s">
        <v>2500</v>
      </c>
      <c r="E1116" t="s">
        <v>8</v>
      </c>
      <c r="F1116" t="s">
        <v>10</v>
      </c>
      <c r="G1116" s="16">
        <v>226.43217000000001</v>
      </c>
      <c r="H1116" s="16">
        <v>260.39699999999999</v>
      </c>
      <c r="I1116" s="1">
        <v>46184</v>
      </c>
      <c r="J1116">
        <v>69</v>
      </c>
      <c r="K1116" t="s">
        <v>4234</v>
      </c>
      <c r="L1116" t="s">
        <v>5141</v>
      </c>
      <c r="M1116">
        <v>9</v>
      </c>
      <c r="N1116">
        <v>6</v>
      </c>
      <c r="O1116" t="s">
        <v>1036</v>
      </c>
      <c r="P1116" s="17"/>
      <c r="Q1116" s="17" t="str">
        <f>_xlfn.XLOOKUP(Table2[[#This Row],[buyFromVendorNo]],'Next Day Scheduled'!A:A,'Pending Returns'!O:O,"NOT_FOUND")</f>
        <v>NOT_FOUND</v>
      </c>
    </row>
    <row r="1117" spans="1:17" x14ac:dyDescent="0.3">
      <c r="A1117" s="1">
        <v>46190</v>
      </c>
      <c r="B1117" t="s">
        <v>3866</v>
      </c>
      <c r="C1117" t="s">
        <v>2250</v>
      </c>
      <c r="D1117" t="s">
        <v>2251</v>
      </c>
      <c r="E1117" t="s">
        <v>8</v>
      </c>
      <c r="F1117" t="s">
        <v>10</v>
      </c>
      <c r="G1117" s="16">
        <v>126.4</v>
      </c>
      <c r="H1117" s="16">
        <v>145.36000000000001</v>
      </c>
      <c r="I1117" s="1">
        <v>46184</v>
      </c>
      <c r="J1117">
        <v>69</v>
      </c>
      <c r="K1117" t="s">
        <v>3867</v>
      </c>
      <c r="L1117" t="s">
        <v>5138</v>
      </c>
      <c r="M1117">
        <v>10</v>
      </c>
      <c r="N1117">
        <v>5</v>
      </c>
      <c r="O1117" t="s">
        <v>1036</v>
      </c>
      <c r="P1117" s="17"/>
      <c r="Q1117" s="17" t="str">
        <f>_xlfn.XLOOKUP(Table2[[#This Row],[buyFromVendorNo]],'Next Day Scheduled'!A:A,'Pending Returns'!O:O,"NOT_FOUND")</f>
        <v>NOT_FOUND</v>
      </c>
    </row>
    <row r="1118" spans="1:17" x14ac:dyDescent="0.3">
      <c r="A1118" s="1">
        <v>46191</v>
      </c>
      <c r="B1118" t="s">
        <v>2845</v>
      </c>
      <c r="C1118" t="s">
        <v>826</v>
      </c>
      <c r="D1118" t="s">
        <v>827</v>
      </c>
      <c r="E1118" t="s">
        <v>8</v>
      </c>
      <c r="F1118" t="s">
        <v>10</v>
      </c>
      <c r="G1118" s="16">
        <v>1559.3767</v>
      </c>
      <c r="H1118" s="16">
        <v>1793.2832000000001</v>
      </c>
      <c r="I1118" s="1">
        <v>46191</v>
      </c>
      <c r="J1118">
        <v>68</v>
      </c>
      <c r="K1118" t="s">
        <v>2846</v>
      </c>
      <c r="L1118" t="s">
        <v>5246</v>
      </c>
      <c r="M1118">
        <v>7</v>
      </c>
      <c r="N1118">
        <v>5</v>
      </c>
      <c r="O1118" t="s">
        <v>1036</v>
      </c>
      <c r="P1118" s="17"/>
      <c r="Q1118" s="17" t="str">
        <f>_xlfn.XLOOKUP(Table2[[#This Row],[buyFromVendorNo]],'Next Day Scheduled'!A:A,'Pending Returns'!O:O,"NOT_FOUND")</f>
        <v>NOT_FOUND</v>
      </c>
    </row>
    <row r="1119" spans="1:17" x14ac:dyDescent="0.3">
      <c r="A1119" s="1">
        <v>46191</v>
      </c>
      <c r="B1119" t="s">
        <v>263</v>
      </c>
      <c r="C1119" t="s">
        <v>2121</v>
      </c>
      <c r="D1119" t="s">
        <v>2122</v>
      </c>
      <c r="E1119" t="s">
        <v>8</v>
      </c>
      <c r="F1119" t="s">
        <v>10</v>
      </c>
      <c r="G1119" s="16">
        <v>382.20166</v>
      </c>
      <c r="H1119" s="16">
        <v>439.53190000000001</v>
      </c>
      <c r="I1119" s="1">
        <v>46181</v>
      </c>
      <c r="J1119">
        <v>68</v>
      </c>
      <c r="K1119" t="s">
        <v>2793</v>
      </c>
      <c r="L1119" t="s">
        <v>5302</v>
      </c>
      <c r="M1119">
        <v>6</v>
      </c>
      <c r="N1119">
        <v>22</v>
      </c>
      <c r="O1119" t="s">
        <v>1036</v>
      </c>
      <c r="P1119" s="17"/>
      <c r="Q1119" s="17" t="str">
        <f>_xlfn.XLOOKUP(Table2[[#This Row],[buyFromVendorNo]],'Next Day Scheduled'!A:A,'Pending Returns'!O:O,"NOT_FOUND")</f>
        <v>NOT_FOUND</v>
      </c>
    </row>
    <row r="1120" spans="1:17" x14ac:dyDescent="0.3">
      <c r="A1120" s="1">
        <v>46191</v>
      </c>
      <c r="B1120" t="s">
        <v>3582</v>
      </c>
      <c r="C1120" t="s">
        <v>869</v>
      </c>
      <c r="D1120" t="s">
        <v>870</v>
      </c>
      <c r="E1120" t="s">
        <v>8</v>
      </c>
      <c r="F1120" t="s">
        <v>10</v>
      </c>
      <c r="G1120" s="16">
        <v>229.5</v>
      </c>
      <c r="H1120" s="16">
        <v>263.92500000000001</v>
      </c>
      <c r="I1120" s="1">
        <v>46190</v>
      </c>
      <c r="J1120">
        <v>68</v>
      </c>
      <c r="K1120" t="s">
        <v>3583</v>
      </c>
      <c r="L1120" t="s">
        <v>5266</v>
      </c>
      <c r="M1120">
        <v>5</v>
      </c>
      <c r="N1120">
        <v>10</v>
      </c>
      <c r="O1120" t="s">
        <v>1036</v>
      </c>
      <c r="P1120" s="17"/>
      <c r="Q1120" s="17" t="str">
        <f>_xlfn.XLOOKUP(Table2[[#This Row],[buyFromVendorNo]],'Next Day Scheduled'!A:A,'Pending Returns'!O:O,"NOT_FOUND")</f>
        <v>NOT_FOUND</v>
      </c>
    </row>
    <row r="1121" spans="1:17" x14ac:dyDescent="0.3">
      <c r="A1121" s="1">
        <v>46191</v>
      </c>
      <c r="B1121" t="s">
        <v>1835</v>
      </c>
      <c r="C1121" t="s">
        <v>534</v>
      </c>
      <c r="D1121" t="s">
        <v>535</v>
      </c>
      <c r="E1121" t="s">
        <v>8</v>
      </c>
      <c r="F1121" t="s">
        <v>10</v>
      </c>
      <c r="G1121" s="16">
        <v>603.21109999999999</v>
      </c>
      <c r="H1121" s="16">
        <v>693.69275000000005</v>
      </c>
      <c r="J1121">
        <v>68</v>
      </c>
      <c r="K1121" t="s">
        <v>5313</v>
      </c>
      <c r="M1121">
        <v>7</v>
      </c>
      <c r="N1121">
        <v>2</v>
      </c>
      <c r="O1121" t="s">
        <v>216</v>
      </c>
      <c r="P1121" s="17"/>
      <c r="Q1121" s="17" t="str">
        <f>_xlfn.XLOOKUP(Table2[[#This Row],[buyFromVendorNo]],'Next Day Scheduled'!A:A,'Pending Returns'!O:O,"NOT_FOUND")</f>
        <v>NOT_FOUND</v>
      </c>
    </row>
    <row r="1122" spans="1:17" x14ac:dyDescent="0.3">
      <c r="A1122" s="1">
        <v>46191</v>
      </c>
      <c r="B1122" t="s">
        <v>617</v>
      </c>
      <c r="C1122" t="s">
        <v>148</v>
      </c>
      <c r="D1122" t="s">
        <v>149</v>
      </c>
      <c r="E1122" t="s">
        <v>8</v>
      </c>
      <c r="F1122" t="s">
        <v>10</v>
      </c>
      <c r="G1122" s="16">
        <v>9.84</v>
      </c>
      <c r="H1122" s="16">
        <v>11.316000000000001</v>
      </c>
      <c r="J1122">
        <v>68</v>
      </c>
      <c r="K1122" t="s">
        <v>5344</v>
      </c>
      <c r="M1122">
        <v>29</v>
      </c>
      <c r="N1122">
        <v>1</v>
      </c>
      <c r="O1122" t="s">
        <v>216</v>
      </c>
      <c r="P1122" s="17"/>
      <c r="Q1122" s="17" t="str">
        <f>_xlfn.XLOOKUP(Table2[[#This Row],[buyFromVendorNo]],'Next Day Scheduled'!A:A,'Pending Returns'!O:O,"NOT_FOUND")</f>
        <v>NOT_FOUND</v>
      </c>
    </row>
    <row r="1123" spans="1:17" x14ac:dyDescent="0.3">
      <c r="A1123" s="1">
        <v>46191</v>
      </c>
      <c r="B1123" t="s">
        <v>262</v>
      </c>
      <c r="C1123" t="s">
        <v>494</v>
      </c>
      <c r="D1123" t="s">
        <v>495</v>
      </c>
      <c r="E1123" t="s">
        <v>8</v>
      </c>
      <c r="F1123" t="s">
        <v>10</v>
      </c>
      <c r="G1123" s="16">
        <v>2622.33</v>
      </c>
      <c r="H1123" s="16">
        <v>3015.6794</v>
      </c>
      <c r="I1123" s="1">
        <v>46186</v>
      </c>
      <c r="J1123">
        <v>68</v>
      </c>
      <c r="K1123" t="s">
        <v>4384</v>
      </c>
      <c r="L1123" t="s">
        <v>5237</v>
      </c>
      <c r="M1123">
        <v>9</v>
      </c>
      <c r="N1123">
        <v>7</v>
      </c>
      <c r="O1123" t="s">
        <v>1036</v>
      </c>
      <c r="P1123" s="17"/>
      <c r="Q1123" s="17" t="str">
        <f>_xlfn.XLOOKUP(Table2[[#This Row],[buyFromVendorNo]],'Next Day Scheduled'!A:A,'Pending Returns'!O:O,"NOT_FOUND")</f>
        <v>Posted Credit Note</v>
      </c>
    </row>
    <row r="1124" spans="1:17" x14ac:dyDescent="0.3">
      <c r="A1124" s="1">
        <v>46191</v>
      </c>
      <c r="B1124" t="s">
        <v>2975</v>
      </c>
      <c r="C1124" t="s">
        <v>41</v>
      </c>
      <c r="D1124" t="s">
        <v>42</v>
      </c>
      <c r="E1124" t="s">
        <v>8</v>
      </c>
      <c r="F1124" t="s">
        <v>10</v>
      </c>
      <c r="G1124" s="16">
        <v>170.14328</v>
      </c>
      <c r="H1124" s="16">
        <v>195.66476</v>
      </c>
      <c r="J1124">
        <v>68</v>
      </c>
      <c r="K1124" t="s">
        <v>5283</v>
      </c>
      <c r="M1124">
        <v>8</v>
      </c>
      <c r="N1124">
        <v>26</v>
      </c>
      <c r="O1124" t="s">
        <v>216</v>
      </c>
      <c r="P1124" s="17"/>
      <c r="Q1124" s="17" t="str">
        <f>_xlfn.XLOOKUP(Table2[[#This Row],[buyFromVendorNo]],'Next Day Scheduled'!A:A,'Pending Returns'!O:O,"NOT_FOUND")</f>
        <v>NOT_FOUND</v>
      </c>
    </row>
    <row r="1125" spans="1:17" x14ac:dyDescent="0.3">
      <c r="A1125" s="1">
        <v>46191</v>
      </c>
      <c r="B1125" t="s">
        <v>3410</v>
      </c>
      <c r="C1125" t="s">
        <v>826</v>
      </c>
      <c r="D1125" t="s">
        <v>827</v>
      </c>
      <c r="E1125" t="s">
        <v>8</v>
      </c>
      <c r="F1125" t="s">
        <v>10</v>
      </c>
      <c r="G1125" s="16">
        <v>1824.3281999999999</v>
      </c>
      <c r="H1125" s="16">
        <v>2051.3236999999999</v>
      </c>
      <c r="I1125" s="1">
        <v>46191</v>
      </c>
      <c r="J1125">
        <v>68</v>
      </c>
      <c r="K1125" t="s">
        <v>3166</v>
      </c>
      <c r="L1125" t="s">
        <v>5289</v>
      </c>
      <c r="M1125">
        <v>7</v>
      </c>
      <c r="N1125">
        <v>5</v>
      </c>
      <c r="O1125" t="s">
        <v>1036</v>
      </c>
      <c r="P1125" s="17"/>
      <c r="Q1125" s="17" t="str">
        <f>_xlfn.XLOOKUP(Table2[[#This Row],[buyFromVendorNo]],'Next Day Scheduled'!A:A,'Pending Returns'!O:O,"NOT_FOUND")</f>
        <v>NOT_FOUND</v>
      </c>
    </row>
    <row r="1126" spans="1:17" x14ac:dyDescent="0.3">
      <c r="A1126" s="1">
        <v>46191</v>
      </c>
      <c r="B1126" t="s">
        <v>1844</v>
      </c>
      <c r="C1126" t="s">
        <v>173</v>
      </c>
      <c r="D1126" t="s">
        <v>174</v>
      </c>
      <c r="E1126" t="s">
        <v>8</v>
      </c>
      <c r="F1126" t="s">
        <v>10</v>
      </c>
      <c r="G1126" s="16">
        <v>4509.54</v>
      </c>
      <c r="H1126" s="16">
        <v>5185.9709999999995</v>
      </c>
      <c r="J1126">
        <v>68</v>
      </c>
      <c r="K1126" t="s">
        <v>5049</v>
      </c>
      <c r="M1126">
        <v>16</v>
      </c>
      <c r="N1126">
        <v>1</v>
      </c>
      <c r="O1126" t="s">
        <v>216</v>
      </c>
      <c r="P1126" s="17"/>
      <c r="Q1126" s="17" t="str">
        <f>_xlfn.XLOOKUP(Table2[[#This Row],[buyFromVendorNo]],'Next Day Scheduled'!A:A,'Pending Returns'!O:O,"NOT_FOUND")</f>
        <v>NOT_FOUND</v>
      </c>
    </row>
    <row r="1127" spans="1:17" x14ac:dyDescent="0.3">
      <c r="A1127" s="1">
        <v>46191</v>
      </c>
      <c r="B1127" t="s">
        <v>3243</v>
      </c>
      <c r="C1127" t="s">
        <v>75</v>
      </c>
      <c r="D1127" t="s">
        <v>76</v>
      </c>
      <c r="E1127" t="s">
        <v>8</v>
      </c>
      <c r="F1127" t="s">
        <v>10</v>
      </c>
      <c r="G1127" s="16">
        <v>21.49</v>
      </c>
      <c r="H1127" s="16">
        <v>24.713501000000001</v>
      </c>
      <c r="I1127" s="1">
        <v>46181</v>
      </c>
      <c r="J1127">
        <v>68</v>
      </c>
      <c r="K1127" t="s">
        <v>3086</v>
      </c>
      <c r="L1127" t="s">
        <v>5231</v>
      </c>
      <c r="M1127">
        <v>6</v>
      </c>
      <c r="N1127">
        <v>5</v>
      </c>
      <c r="O1127" t="s">
        <v>1036</v>
      </c>
      <c r="P1127" s="17"/>
      <c r="Q1127" s="17" t="str">
        <f>_xlfn.XLOOKUP(Table2[[#This Row],[buyFromVendorNo]],'Next Day Scheduled'!A:A,'Pending Returns'!O:O,"NOT_FOUND")</f>
        <v>Posted Credit Note</v>
      </c>
    </row>
    <row r="1128" spans="1:17" x14ac:dyDescent="0.3">
      <c r="A1128" s="1">
        <v>46191</v>
      </c>
      <c r="B1128" t="s">
        <v>2002</v>
      </c>
      <c r="C1128" t="s">
        <v>2273</v>
      </c>
      <c r="D1128" t="s">
        <v>2274</v>
      </c>
      <c r="E1128" t="s">
        <v>8</v>
      </c>
      <c r="F1128" t="s">
        <v>10</v>
      </c>
      <c r="G1128" s="16">
        <v>370.39166</v>
      </c>
      <c r="H1128" s="16">
        <v>425.9504</v>
      </c>
      <c r="J1128">
        <v>68</v>
      </c>
      <c r="K1128" t="s">
        <v>5245</v>
      </c>
      <c r="M1128">
        <v>0</v>
      </c>
      <c r="N1128">
        <v>92</v>
      </c>
      <c r="O1128" t="s">
        <v>216</v>
      </c>
      <c r="P1128" s="17"/>
      <c r="Q1128" s="17" t="str">
        <f>_xlfn.XLOOKUP(Table2[[#This Row],[buyFromVendorNo]],'Next Day Scheduled'!A:A,'Pending Returns'!O:O,"NOT_FOUND")</f>
        <v>NOT_FOUND</v>
      </c>
    </row>
    <row r="1129" spans="1:17" x14ac:dyDescent="0.3">
      <c r="A1129" s="1">
        <v>46191</v>
      </c>
      <c r="B1129" t="s">
        <v>3700</v>
      </c>
      <c r="C1129" t="s">
        <v>869</v>
      </c>
      <c r="D1129" t="s">
        <v>870</v>
      </c>
      <c r="E1129" t="s">
        <v>8</v>
      </c>
      <c r="F1129" t="s">
        <v>10</v>
      </c>
      <c r="G1129" s="16">
        <v>300.5</v>
      </c>
      <c r="H1129" s="16">
        <v>345.57499999999999</v>
      </c>
      <c r="I1129" s="1">
        <v>46190</v>
      </c>
      <c r="J1129">
        <v>68</v>
      </c>
      <c r="K1129" t="s">
        <v>4391</v>
      </c>
      <c r="L1129" t="s">
        <v>5332</v>
      </c>
      <c r="M1129">
        <v>5</v>
      </c>
      <c r="N1129">
        <v>10</v>
      </c>
      <c r="O1129" t="s">
        <v>1036</v>
      </c>
      <c r="P1129" s="17"/>
      <c r="Q1129" s="17" t="str">
        <f>_xlfn.XLOOKUP(Table2[[#This Row],[buyFromVendorNo]],'Next Day Scheduled'!A:A,'Pending Returns'!O:O,"NOT_FOUND")</f>
        <v>NOT_FOUND</v>
      </c>
    </row>
    <row r="1130" spans="1:17" x14ac:dyDescent="0.3">
      <c r="A1130" s="1">
        <v>46191</v>
      </c>
      <c r="B1130" t="s">
        <v>4031</v>
      </c>
      <c r="C1130" t="s">
        <v>861</v>
      </c>
      <c r="D1130" t="s">
        <v>862</v>
      </c>
      <c r="E1130" t="s">
        <v>8</v>
      </c>
      <c r="F1130" t="s">
        <v>169</v>
      </c>
      <c r="G1130" s="16">
        <v>328.69</v>
      </c>
      <c r="H1130" s="16">
        <v>377.99349999999998</v>
      </c>
      <c r="I1130" s="1">
        <v>46181</v>
      </c>
      <c r="J1130">
        <v>68</v>
      </c>
      <c r="K1130" t="s">
        <v>4086</v>
      </c>
      <c r="L1130" t="s">
        <v>5599</v>
      </c>
      <c r="M1130">
        <v>7</v>
      </c>
      <c r="N1130">
        <v>12</v>
      </c>
      <c r="O1130" t="s">
        <v>1036</v>
      </c>
      <c r="P1130" s="17"/>
      <c r="Q1130" s="17" t="str">
        <f>_xlfn.XLOOKUP(Table2[[#This Row],[buyFromVendorNo]],'Next Day Scheduled'!A:A,'Pending Returns'!O:O,"NOT_FOUND")</f>
        <v>NOT_FOUND</v>
      </c>
    </row>
    <row r="1131" spans="1:17" x14ac:dyDescent="0.3">
      <c r="A1131" s="1">
        <v>46191</v>
      </c>
      <c r="B1131" t="s">
        <v>5339</v>
      </c>
      <c r="C1131" t="s">
        <v>4877</v>
      </c>
      <c r="D1131" t="s">
        <v>5340</v>
      </c>
      <c r="E1131" t="s">
        <v>8</v>
      </c>
      <c r="F1131" t="s">
        <v>10</v>
      </c>
      <c r="G1131" s="16">
        <v>22.475000000000001</v>
      </c>
      <c r="H1131" s="16">
        <v>25.846250000000001</v>
      </c>
      <c r="J1131">
        <v>68</v>
      </c>
      <c r="K1131" t="s">
        <v>5341</v>
      </c>
      <c r="M1131">
        <v>36</v>
      </c>
      <c r="N1131">
        <v>3</v>
      </c>
      <c r="O1131" t="s">
        <v>216</v>
      </c>
      <c r="P1131" s="17"/>
      <c r="Q1131" s="17" t="str">
        <f>_xlfn.XLOOKUP(Table2[[#This Row],[buyFromVendorNo]],'Next Day Scheduled'!A:A,'Pending Returns'!O:O,"NOT_FOUND")</f>
        <v>Posted Credit Note</v>
      </c>
    </row>
    <row r="1132" spans="1:17" x14ac:dyDescent="0.3">
      <c r="A1132" s="1">
        <v>46191</v>
      </c>
      <c r="B1132" t="s">
        <v>5311</v>
      </c>
      <c r="C1132" t="s">
        <v>534</v>
      </c>
      <c r="D1132" t="s">
        <v>535</v>
      </c>
      <c r="E1132" t="s">
        <v>8</v>
      </c>
      <c r="F1132" t="s">
        <v>10</v>
      </c>
      <c r="G1132" s="16">
        <v>47.19</v>
      </c>
      <c r="H1132" s="16">
        <v>54.268500000000003</v>
      </c>
      <c r="J1132">
        <v>68</v>
      </c>
      <c r="K1132" t="s">
        <v>5312</v>
      </c>
      <c r="M1132">
        <v>7</v>
      </c>
      <c r="N1132">
        <v>2</v>
      </c>
      <c r="O1132" t="s">
        <v>216</v>
      </c>
      <c r="P1132" s="17"/>
      <c r="Q1132" s="17" t="str">
        <f>_xlfn.XLOOKUP(Table2[[#This Row],[buyFromVendorNo]],'Next Day Scheduled'!A:A,'Pending Returns'!O:O,"NOT_FOUND")</f>
        <v>NOT_FOUND</v>
      </c>
    </row>
    <row r="1133" spans="1:17" x14ac:dyDescent="0.3">
      <c r="A1133" s="1">
        <v>46191</v>
      </c>
      <c r="B1133" t="s">
        <v>8591</v>
      </c>
      <c r="C1133" t="s">
        <v>253</v>
      </c>
      <c r="D1133" t="s">
        <v>254</v>
      </c>
      <c r="E1133" t="s">
        <v>8</v>
      </c>
      <c r="F1133" t="s">
        <v>38</v>
      </c>
      <c r="G1133" s="16">
        <v>198</v>
      </c>
      <c r="H1133" s="16">
        <v>227.7</v>
      </c>
      <c r="J1133">
        <v>68</v>
      </c>
      <c r="K1133" t="s">
        <v>5551</v>
      </c>
      <c r="M1133">
        <v>0</v>
      </c>
      <c r="N1133">
        <v>313</v>
      </c>
      <c r="O1133" t="s">
        <v>216</v>
      </c>
      <c r="P1133" s="17"/>
      <c r="Q1133" s="17" t="str">
        <f>_xlfn.XLOOKUP(Table2[[#This Row],[buyFromVendorNo]],'Next Day Scheduled'!A:A,'Pending Returns'!O:O,"NOT_FOUND")</f>
        <v>NOT_FOUND</v>
      </c>
    </row>
    <row r="1134" spans="1:17" x14ac:dyDescent="0.3">
      <c r="A1134" s="1">
        <v>46191</v>
      </c>
      <c r="B1134" t="s">
        <v>1950</v>
      </c>
      <c r="C1134" t="s">
        <v>1621</v>
      </c>
      <c r="D1134" t="s">
        <v>1622</v>
      </c>
      <c r="E1134" t="s">
        <v>8</v>
      </c>
      <c r="F1134" t="s">
        <v>10</v>
      </c>
      <c r="G1134" s="16">
        <v>181.92</v>
      </c>
      <c r="H1134" s="16">
        <v>209.208</v>
      </c>
      <c r="J1134">
        <v>68</v>
      </c>
      <c r="K1134" t="s">
        <v>5287</v>
      </c>
      <c r="M1134">
        <v>0</v>
      </c>
      <c r="N1134">
        <v>700</v>
      </c>
      <c r="O1134" t="s">
        <v>216</v>
      </c>
      <c r="P1134" s="17"/>
      <c r="Q1134" s="17" t="str">
        <f>_xlfn.XLOOKUP(Table2[[#This Row],[buyFromVendorNo]],'Next Day Scheduled'!A:A,'Pending Returns'!O:O,"NOT_FOUND")</f>
        <v>NOT_FOUND</v>
      </c>
    </row>
    <row r="1135" spans="1:17" x14ac:dyDescent="0.3">
      <c r="A1135" s="1">
        <v>46191</v>
      </c>
      <c r="B1135" t="s">
        <v>3928</v>
      </c>
      <c r="C1135" t="s">
        <v>596</v>
      </c>
      <c r="D1135" t="s">
        <v>597</v>
      </c>
      <c r="E1135" t="s">
        <v>8</v>
      </c>
      <c r="F1135" t="s">
        <v>10</v>
      </c>
      <c r="G1135" s="16">
        <v>89.874309999999994</v>
      </c>
      <c r="H1135" s="16">
        <v>103.35545999999999</v>
      </c>
      <c r="I1135" s="1">
        <v>46185</v>
      </c>
      <c r="J1135">
        <v>68</v>
      </c>
      <c r="K1135" t="s">
        <v>3929</v>
      </c>
      <c r="L1135" t="s">
        <v>5290</v>
      </c>
      <c r="M1135">
        <v>11</v>
      </c>
      <c r="N1135">
        <v>5</v>
      </c>
      <c r="O1135" t="s">
        <v>1036</v>
      </c>
      <c r="P1135" s="17"/>
      <c r="Q1135" s="17" t="str">
        <f>_xlfn.XLOOKUP(Table2[[#This Row],[buyFromVendorNo]],'Next Day Scheduled'!A:A,'Pending Returns'!O:O,"NOT_FOUND")</f>
        <v>NOT_FOUND</v>
      </c>
    </row>
    <row r="1136" spans="1:17" x14ac:dyDescent="0.3">
      <c r="A1136" s="1">
        <v>46191</v>
      </c>
      <c r="B1136" t="s">
        <v>2173</v>
      </c>
      <c r="C1136" t="s">
        <v>75</v>
      </c>
      <c r="D1136" t="s">
        <v>76</v>
      </c>
      <c r="E1136" t="s">
        <v>8</v>
      </c>
      <c r="F1136" t="s">
        <v>10</v>
      </c>
      <c r="G1136" s="16">
        <v>4272.1972999999998</v>
      </c>
      <c r="H1136" s="16">
        <v>4913.027</v>
      </c>
      <c r="I1136" s="1">
        <v>46182</v>
      </c>
      <c r="J1136">
        <v>68</v>
      </c>
      <c r="K1136" t="s">
        <v>2652</v>
      </c>
      <c r="L1136" t="s">
        <v>5291</v>
      </c>
      <c r="M1136">
        <v>6</v>
      </c>
      <c r="N1136">
        <v>5</v>
      </c>
      <c r="O1136" t="s">
        <v>1036</v>
      </c>
      <c r="P1136" s="17"/>
      <c r="Q1136" s="17" t="str">
        <f>_xlfn.XLOOKUP(Table2[[#This Row],[buyFromVendorNo]],'Next Day Scheduled'!A:A,'Pending Returns'!O:O,"NOT_FOUND")</f>
        <v>Posted Credit Note</v>
      </c>
    </row>
    <row r="1137" spans="1:17" x14ac:dyDescent="0.3">
      <c r="A1137" s="1">
        <v>46191</v>
      </c>
      <c r="B1137" t="s">
        <v>4174</v>
      </c>
      <c r="C1137" t="s">
        <v>318</v>
      </c>
      <c r="D1137" t="s">
        <v>319</v>
      </c>
      <c r="E1137" t="s">
        <v>8</v>
      </c>
      <c r="F1137" t="s">
        <v>10</v>
      </c>
      <c r="G1137" s="16">
        <v>489.82333</v>
      </c>
      <c r="H1137" s="16">
        <v>563.29679999999996</v>
      </c>
      <c r="I1137" s="1">
        <v>46188</v>
      </c>
      <c r="J1137">
        <v>68</v>
      </c>
      <c r="K1137" t="s">
        <v>3808</v>
      </c>
      <c r="L1137" t="s">
        <v>5597</v>
      </c>
      <c r="M1137">
        <v>11</v>
      </c>
      <c r="N1137">
        <v>2</v>
      </c>
      <c r="O1137" t="s">
        <v>1036</v>
      </c>
      <c r="P1137" s="17"/>
      <c r="Q1137" s="17" t="str">
        <f>_xlfn.XLOOKUP(Table2[[#This Row],[buyFromVendorNo]],'Next Day Scheduled'!A:A,'Pending Returns'!O:O,"NOT_FOUND")</f>
        <v>NOT_FOUND</v>
      </c>
    </row>
    <row r="1138" spans="1:17" x14ac:dyDescent="0.3">
      <c r="A1138" s="1">
        <v>46191</v>
      </c>
      <c r="B1138" t="s">
        <v>5364</v>
      </c>
      <c r="C1138" t="s">
        <v>173</v>
      </c>
      <c r="D1138" t="s">
        <v>174</v>
      </c>
      <c r="E1138" t="s">
        <v>8</v>
      </c>
      <c r="F1138" t="s">
        <v>10</v>
      </c>
      <c r="G1138" s="16">
        <v>230.72</v>
      </c>
      <c r="H1138" s="16">
        <v>265.32799999999997</v>
      </c>
      <c r="J1138">
        <v>68</v>
      </c>
      <c r="K1138" t="s">
        <v>5365</v>
      </c>
      <c r="M1138">
        <v>16</v>
      </c>
      <c r="N1138">
        <v>1</v>
      </c>
      <c r="O1138" t="s">
        <v>216</v>
      </c>
      <c r="P1138" s="17"/>
      <c r="Q1138" s="17" t="str">
        <f>_xlfn.XLOOKUP(Table2[[#This Row],[buyFromVendorNo]],'Next Day Scheduled'!A:A,'Pending Returns'!O:O,"NOT_FOUND")</f>
        <v>NOT_FOUND</v>
      </c>
    </row>
    <row r="1139" spans="1:17" x14ac:dyDescent="0.3">
      <c r="A1139" s="1">
        <v>46191</v>
      </c>
      <c r="B1139" t="s">
        <v>5252</v>
      </c>
      <c r="C1139" t="s">
        <v>987</v>
      </c>
      <c r="D1139" t="s">
        <v>988</v>
      </c>
      <c r="E1139" t="s">
        <v>8</v>
      </c>
      <c r="F1139" t="s">
        <v>10</v>
      </c>
      <c r="G1139" s="16">
        <v>111.3</v>
      </c>
      <c r="H1139" s="16">
        <v>127.995</v>
      </c>
      <c r="J1139">
        <v>68</v>
      </c>
      <c r="K1139" t="s">
        <v>5253</v>
      </c>
      <c r="M1139">
        <v>0</v>
      </c>
      <c r="N1139">
        <v>240</v>
      </c>
      <c r="O1139" t="s">
        <v>216</v>
      </c>
      <c r="P1139" s="17"/>
      <c r="Q1139" s="17" t="str">
        <f>_xlfn.XLOOKUP(Table2[[#This Row],[buyFromVendorNo]],'Next Day Scheduled'!A:A,'Pending Returns'!O:O,"NOT_FOUND")</f>
        <v>NOT_FOUND</v>
      </c>
    </row>
    <row r="1140" spans="1:17" x14ac:dyDescent="0.3">
      <c r="A1140" s="1">
        <v>46191</v>
      </c>
      <c r="B1140" t="s">
        <v>2700</v>
      </c>
      <c r="C1140" t="s">
        <v>919</v>
      </c>
      <c r="D1140" t="s">
        <v>920</v>
      </c>
      <c r="E1140" t="s">
        <v>8</v>
      </c>
      <c r="F1140" t="s">
        <v>10</v>
      </c>
      <c r="G1140" s="16">
        <v>212.56263999999999</v>
      </c>
      <c r="H1140" s="16">
        <v>244.44703999999999</v>
      </c>
      <c r="J1140">
        <v>68</v>
      </c>
      <c r="K1140" t="s">
        <v>5331</v>
      </c>
      <c r="M1140">
        <v>1</v>
      </c>
      <c r="N1140">
        <v>56</v>
      </c>
      <c r="O1140" t="s">
        <v>216</v>
      </c>
      <c r="P1140" s="17"/>
      <c r="Q1140" s="17" t="str">
        <f>_xlfn.XLOOKUP(Table2[[#This Row],[buyFromVendorNo]],'Next Day Scheduled'!A:A,'Pending Returns'!O:O,"NOT_FOUND")</f>
        <v>NOT_FOUND</v>
      </c>
    </row>
    <row r="1141" spans="1:17" x14ac:dyDescent="0.3">
      <c r="A1141" s="1">
        <v>46191</v>
      </c>
      <c r="B1141" t="s">
        <v>2685</v>
      </c>
      <c r="C1141" t="s">
        <v>937</v>
      </c>
      <c r="D1141" t="s">
        <v>938</v>
      </c>
      <c r="E1141" t="s">
        <v>8</v>
      </c>
      <c r="F1141" t="s">
        <v>10</v>
      </c>
      <c r="G1141" s="16">
        <v>435.20125999999999</v>
      </c>
      <c r="H1141" s="16">
        <v>500.48145</v>
      </c>
      <c r="J1141">
        <v>68</v>
      </c>
      <c r="K1141" t="s">
        <v>5307</v>
      </c>
      <c r="M1141">
        <v>7</v>
      </c>
      <c r="N1141">
        <v>12</v>
      </c>
      <c r="O1141" t="s">
        <v>216</v>
      </c>
      <c r="P1141" s="17"/>
      <c r="Q1141" s="17" t="str">
        <f>_xlfn.XLOOKUP(Table2[[#This Row],[buyFromVendorNo]],'Next Day Scheduled'!A:A,'Pending Returns'!O:O,"NOT_FOUND")</f>
        <v>NOT_FOUND</v>
      </c>
    </row>
    <row r="1142" spans="1:17" x14ac:dyDescent="0.3">
      <c r="A1142" s="1">
        <v>46191</v>
      </c>
      <c r="B1142" t="s">
        <v>5342</v>
      </c>
      <c r="C1142" t="s">
        <v>2383</v>
      </c>
      <c r="D1142" t="s">
        <v>2384</v>
      </c>
      <c r="E1142" t="s">
        <v>8</v>
      </c>
      <c r="F1142" t="s">
        <v>10</v>
      </c>
      <c r="G1142" s="16">
        <v>94.23</v>
      </c>
      <c r="H1142" s="16">
        <v>108.36450000000001</v>
      </c>
      <c r="J1142">
        <v>68</v>
      </c>
      <c r="K1142" t="s">
        <v>5343</v>
      </c>
      <c r="M1142">
        <v>2</v>
      </c>
      <c r="N1142">
        <v>29</v>
      </c>
      <c r="O1142" t="s">
        <v>216</v>
      </c>
      <c r="P1142" s="17"/>
      <c r="Q1142" s="17" t="str">
        <f>_xlfn.XLOOKUP(Table2[[#This Row],[buyFromVendorNo]],'Next Day Scheduled'!A:A,'Pending Returns'!O:O,"NOT_FOUND")</f>
        <v>NOT_FOUND</v>
      </c>
    </row>
    <row r="1143" spans="1:17" x14ac:dyDescent="0.3">
      <c r="A1143" s="1">
        <v>46191</v>
      </c>
      <c r="B1143" t="s">
        <v>1886</v>
      </c>
      <c r="C1143" t="s">
        <v>2302</v>
      </c>
      <c r="D1143" t="s">
        <v>2303</v>
      </c>
      <c r="E1143" t="s">
        <v>8</v>
      </c>
      <c r="F1143" t="s">
        <v>10</v>
      </c>
      <c r="G1143" s="16">
        <v>138.81</v>
      </c>
      <c r="H1143" s="16">
        <v>159.63149999999999</v>
      </c>
      <c r="J1143">
        <v>68</v>
      </c>
      <c r="K1143" t="s">
        <v>5371</v>
      </c>
      <c r="M1143">
        <v>6</v>
      </c>
      <c r="N1143">
        <v>16</v>
      </c>
      <c r="O1143" t="s">
        <v>216</v>
      </c>
      <c r="P1143" s="17"/>
      <c r="Q1143" s="17" t="str">
        <f>_xlfn.XLOOKUP(Table2[[#This Row],[buyFromVendorNo]],'Next Day Scheduled'!A:A,'Pending Returns'!O:O,"NOT_FOUND")</f>
        <v>NOT_FOUND</v>
      </c>
    </row>
    <row r="1144" spans="1:17" x14ac:dyDescent="0.3">
      <c r="A1144" s="1">
        <v>46191</v>
      </c>
      <c r="B1144" t="s">
        <v>4290</v>
      </c>
      <c r="C1144" t="s">
        <v>869</v>
      </c>
      <c r="D1144" t="s">
        <v>870</v>
      </c>
      <c r="E1144" t="s">
        <v>8</v>
      </c>
      <c r="F1144" t="s">
        <v>10</v>
      </c>
      <c r="G1144" s="16">
        <v>109</v>
      </c>
      <c r="H1144" s="16">
        <v>125.35</v>
      </c>
      <c r="I1144" s="1">
        <v>46190</v>
      </c>
      <c r="J1144">
        <v>68</v>
      </c>
      <c r="K1144" t="s">
        <v>4635</v>
      </c>
      <c r="L1144" t="s">
        <v>5374</v>
      </c>
      <c r="M1144">
        <v>5</v>
      </c>
      <c r="N1144">
        <v>10</v>
      </c>
      <c r="O1144" t="s">
        <v>1036</v>
      </c>
      <c r="P1144" s="17"/>
      <c r="Q1144" s="17" t="str">
        <f>_xlfn.XLOOKUP(Table2[[#This Row],[buyFromVendorNo]],'Next Day Scheduled'!A:A,'Pending Returns'!O:O,"NOT_FOUND")</f>
        <v>NOT_FOUND</v>
      </c>
    </row>
    <row r="1145" spans="1:17" x14ac:dyDescent="0.3">
      <c r="A1145" s="1">
        <v>46191</v>
      </c>
      <c r="B1145" t="s">
        <v>3789</v>
      </c>
      <c r="C1145" t="s">
        <v>869</v>
      </c>
      <c r="D1145" t="s">
        <v>870</v>
      </c>
      <c r="E1145" t="s">
        <v>8</v>
      </c>
      <c r="F1145" t="s">
        <v>10</v>
      </c>
      <c r="G1145" s="16">
        <v>144</v>
      </c>
      <c r="H1145" s="16">
        <v>165.6</v>
      </c>
      <c r="I1145" s="1">
        <v>46190</v>
      </c>
      <c r="J1145">
        <v>68</v>
      </c>
      <c r="K1145" t="s">
        <v>4283</v>
      </c>
      <c r="L1145" t="s">
        <v>5269</v>
      </c>
      <c r="M1145">
        <v>5</v>
      </c>
      <c r="N1145">
        <v>10</v>
      </c>
      <c r="O1145" t="s">
        <v>1036</v>
      </c>
      <c r="P1145" s="17"/>
      <c r="Q1145" s="17" t="str">
        <f>_xlfn.XLOOKUP(Table2[[#This Row],[buyFromVendorNo]],'Next Day Scheduled'!A:A,'Pending Returns'!O:O,"NOT_FOUND")</f>
        <v>NOT_FOUND</v>
      </c>
    </row>
    <row r="1146" spans="1:17" x14ac:dyDescent="0.3">
      <c r="A1146" s="1">
        <v>46191</v>
      </c>
      <c r="B1146" t="s">
        <v>5270</v>
      </c>
      <c r="C1146" t="s">
        <v>25</v>
      </c>
      <c r="D1146" t="s">
        <v>26</v>
      </c>
      <c r="E1146" t="s">
        <v>8</v>
      </c>
      <c r="F1146" t="s">
        <v>10</v>
      </c>
      <c r="G1146" s="16">
        <v>61</v>
      </c>
      <c r="H1146" s="16">
        <v>70.150000000000006</v>
      </c>
      <c r="J1146">
        <v>68</v>
      </c>
      <c r="K1146" t="s">
        <v>5271</v>
      </c>
      <c r="M1146">
        <v>9</v>
      </c>
      <c r="N1146">
        <v>7</v>
      </c>
      <c r="O1146" t="s">
        <v>216</v>
      </c>
      <c r="P1146" s="17"/>
      <c r="Q1146" s="17" t="str">
        <f>_xlfn.XLOOKUP(Table2[[#This Row],[buyFromVendorNo]],'Next Day Scheduled'!A:A,'Pending Returns'!O:O,"NOT_FOUND")</f>
        <v>NOT_FOUND</v>
      </c>
    </row>
    <row r="1147" spans="1:17" x14ac:dyDescent="0.3">
      <c r="A1147" s="1">
        <v>46192</v>
      </c>
      <c r="B1147" t="s">
        <v>7472</v>
      </c>
      <c r="C1147" t="s">
        <v>854</v>
      </c>
      <c r="D1147" t="s">
        <v>855</v>
      </c>
      <c r="E1147" t="s">
        <v>8</v>
      </c>
      <c r="F1147" t="s">
        <v>10</v>
      </c>
      <c r="G1147" s="16">
        <v>275.11399999999998</v>
      </c>
      <c r="H1147" s="16">
        <v>316.3811</v>
      </c>
      <c r="J1147">
        <v>67</v>
      </c>
      <c r="K1147" t="s">
        <v>5458</v>
      </c>
      <c r="M1147">
        <v>14</v>
      </c>
      <c r="N1147">
        <v>6</v>
      </c>
      <c r="O1147" t="s">
        <v>216</v>
      </c>
      <c r="P1147" s="17"/>
      <c r="Q1147" s="17" t="str">
        <f>_xlfn.XLOOKUP(Table2[[#This Row],[buyFromVendorNo]],'Next Day Scheduled'!A:A,'Pending Returns'!O:O,"NOT_FOUND")</f>
        <v>Posted Credit Note</v>
      </c>
    </row>
    <row r="1148" spans="1:17" x14ac:dyDescent="0.3">
      <c r="A1148" s="1">
        <v>46192</v>
      </c>
      <c r="B1148" t="s">
        <v>5897</v>
      </c>
      <c r="C1148" t="s">
        <v>854</v>
      </c>
      <c r="D1148" t="s">
        <v>855</v>
      </c>
      <c r="E1148" t="s">
        <v>8</v>
      </c>
      <c r="F1148" t="s">
        <v>10</v>
      </c>
      <c r="G1148" s="16">
        <v>281.61799999999999</v>
      </c>
      <c r="H1148" s="16">
        <v>323.86070000000001</v>
      </c>
      <c r="J1148">
        <v>67</v>
      </c>
      <c r="K1148" t="s">
        <v>5560</v>
      </c>
      <c r="M1148">
        <v>14</v>
      </c>
      <c r="N1148">
        <v>6</v>
      </c>
      <c r="O1148" t="s">
        <v>216</v>
      </c>
      <c r="P1148" s="17"/>
      <c r="Q1148" s="17" t="str">
        <f>_xlfn.XLOOKUP(Table2[[#This Row],[buyFromVendorNo]],'Next Day Scheduled'!A:A,'Pending Returns'!O:O,"NOT_FOUND")</f>
        <v>Posted Credit Note</v>
      </c>
    </row>
    <row r="1149" spans="1:17" x14ac:dyDescent="0.3">
      <c r="A1149" s="1">
        <v>46192</v>
      </c>
      <c r="B1149" t="s">
        <v>6391</v>
      </c>
      <c r="C1149" t="s">
        <v>5466</v>
      </c>
      <c r="D1149" t="s">
        <v>5467</v>
      </c>
      <c r="E1149" t="s">
        <v>8</v>
      </c>
      <c r="F1149" t="s">
        <v>10</v>
      </c>
      <c r="G1149" s="16">
        <v>110.5</v>
      </c>
      <c r="H1149" s="16">
        <v>127.075</v>
      </c>
      <c r="J1149">
        <v>67</v>
      </c>
      <c r="K1149" t="s">
        <v>5468</v>
      </c>
      <c r="M1149">
        <v>0</v>
      </c>
      <c r="N1149">
        <v>160</v>
      </c>
      <c r="O1149" t="s">
        <v>216</v>
      </c>
      <c r="P1149" s="17"/>
      <c r="Q1149" s="17" t="str">
        <f>_xlfn.XLOOKUP(Table2[[#This Row],[buyFromVendorNo]],'Next Day Scheduled'!A:A,'Pending Returns'!O:O,"NOT_FOUND")</f>
        <v>NOT_FOUND</v>
      </c>
    </row>
    <row r="1150" spans="1:17" x14ac:dyDescent="0.3">
      <c r="A1150" s="1">
        <v>46192</v>
      </c>
      <c r="B1150" t="s">
        <v>2821</v>
      </c>
      <c r="C1150" t="s">
        <v>5416</v>
      </c>
      <c r="D1150" t="s">
        <v>5417</v>
      </c>
      <c r="E1150" t="s">
        <v>8</v>
      </c>
      <c r="F1150" t="s">
        <v>10</v>
      </c>
      <c r="G1150" s="16">
        <v>47.478259999999999</v>
      </c>
      <c r="H1150" s="16">
        <v>54.6</v>
      </c>
      <c r="J1150">
        <v>67</v>
      </c>
      <c r="K1150" t="s">
        <v>5418</v>
      </c>
      <c r="M1150">
        <v>3</v>
      </c>
      <c r="N1150">
        <v>12</v>
      </c>
      <c r="O1150" t="s">
        <v>216</v>
      </c>
      <c r="P1150" s="17"/>
      <c r="Q1150" s="17" t="str">
        <f>_xlfn.XLOOKUP(Table2[[#This Row],[buyFromVendorNo]],'Next Day Scheduled'!A:A,'Pending Returns'!O:O,"NOT_FOUND")</f>
        <v>NOT_FOUND</v>
      </c>
    </row>
    <row r="1151" spans="1:17" x14ac:dyDescent="0.3">
      <c r="A1151" s="1">
        <v>46192</v>
      </c>
      <c r="B1151" t="s">
        <v>416</v>
      </c>
      <c r="C1151" t="s">
        <v>580</v>
      </c>
      <c r="D1151" t="s">
        <v>581</v>
      </c>
      <c r="E1151" t="s">
        <v>8</v>
      </c>
      <c r="F1151" t="s">
        <v>10</v>
      </c>
      <c r="G1151" s="16">
        <v>11.35</v>
      </c>
      <c r="H1151" s="16">
        <v>13.0525</v>
      </c>
      <c r="J1151">
        <v>67</v>
      </c>
      <c r="K1151" t="s">
        <v>5479</v>
      </c>
      <c r="M1151">
        <v>6</v>
      </c>
      <c r="N1151">
        <v>3</v>
      </c>
      <c r="O1151" t="s">
        <v>216</v>
      </c>
      <c r="P1151" s="17"/>
      <c r="Q1151" s="17" t="str">
        <f>_xlfn.XLOOKUP(Table2[[#This Row],[buyFromVendorNo]],'Next Day Scheduled'!A:A,'Pending Returns'!O:O,"NOT_FOUND")</f>
        <v>NOT_FOUND</v>
      </c>
    </row>
    <row r="1152" spans="1:17" x14ac:dyDescent="0.3">
      <c r="A1152" s="1">
        <v>46192</v>
      </c>
      <c r="B1152" t="s">
        <v>2749</v>
      </c>
      <c r="C1152" t="s">
        <v>4575</v>
      </c>
      <c r="D1152" t="s">
        <v>4576</v>
      </c>
      <c r="E1152" t="s">
        <v>8</v>
      </c>
      <c r="F1152" t="s">
        <v>10</v>
      </c>
      <c r="G1152" s="16">
        <v>54.782609999999998</v>
      </c>
      <c r="H1152" s="16">
        <v>63</v>
      </c>
      <c r="J1152">
        <v>67</v>
      </c>
      <c r="K1152" t="s">
        <v>5423</v>
      </c>
      <c r="M1152">
        <v>0</v>
      </c>
      <c r="N1152">
        <v>174</v>
      </c>
      <c r="O1152" t="s">
        <v>216</v>
      </c>
      <c r="P1152" s="17"/>
      <c r="Q1152" s="17" t="str">
        <f>_xlfn.XLOOKUP(Table2[[#This Row],[buyFromVendorNo]],'Next Day Scheduled'!A:A,'Pending Returns'!O:O,"NOT_FOUND")</f>
        <v>NOT_FOUND</v>
      </c>
    </row>
    <row r="1153" spans="1:17" x14ac:dyDescent="0.3">
      <c r="A1153" s="1">
        <v>46192</v>
      </c>
      <c r="B1153" t="s">
        <v>340</v>
      </c>
      <c r="C1153" t="s">
        <v>2625</v>
      </c>
      <c r="D1153" t="s">
        <v>2626</v>
      </c>
      <c r="E1153" t="s">
        <v>8</v>
      </c>
      <c r="F1153" t="s">
        <v>10</v>
      </c>
      <c r="G1153" s="16">
        <v>431.13299999999998</v>
      </c>
      <c r="H1153" s="16">
        <v>495.80295000000001</v>
      </c>
      <c r="J1153">
        <v>67</v>
      </c>
      <c r="K1153" t="s">
        <v>5508</v>
      </c>
      <c r="M1153">
        <v>0</v>
      </c>
      <c r="N1153">
        <v>304</v>
      </c>
      <c r="O1153" t="s">
        <v>216</v>
      </c>
      <c r="P1153" s="17"/>
      <c r="Q1153" s="17" t="str">
        <f>_xlfn.XLOOKUP(Table2[[#This Row],[buyFromVendorNo]],'Next Day Scheduled'!A:A,'Pending Returns'!O:O,"NOT_FOUND")</f>
        <v>NOT_FOUND</v>
      </c>
    </row>
    <row r="1154" spans="1:17" x14ac:dyDescent="0.3">
      <c r="A1154" s="1">
        <v>46192</v>
      </c>
      <c r="B1154" t="s">
        <v>5461</v>
      </c>
      <c r="C1154" t="s">
        <v>1725</v>
      </c>
      <c r="D1154" t="s">
        <v>1726</v>
      </c>
      <c r="E1154" t="s">
        <v>8</v>
      </c>
      <c r="F1154" t="s">
        <v>10</v>
      </c>
      <c r="G1154" s="16">
        <v>384.87700000000001</v>
      </c>
      <c r="H1154" s="16">
        <v>442.60854999999998</v>
      </c>
      <c r="J1154">
        <v>67</v>
      </c>
      <c r="K1154" t="s">
        <v>5462</v>
      </c>
      <c r="M1154">
        <v>4</v>
      </c>
      <c r="N1154">
        <v>28</v>
      </c>
      <c r="O1154" t="s">
        <v>216</v>
      </c>
      <c r="P1154" s="17"/>
      <c r="Q1154" s="17" t="str">
        <f>_xlfn.XLOOKUP(Table2[[#This Row],[buyFromVendorNo]],'Next Day Scheduled'!A:A,'Pending Returns'!O:O,"NOT_FOUND")</f>
        <v>Posted Credit Note</v>
      </c>
    </row>
    <row r="1155" spans="1:17" x14ac:dyDescent="0.3">
      <c r="A1155" s="1">
        <v>46192</v>
      </c>
      <c r="B1155" t="s">
        <v>5303</v>
      </c>
      <c r="C1155" t="s">
        <v>3202</v>
      </c>
      <c r="D1155" t="s">
        <v>3203</v>
      </c>
      <c r="E1155" t="s">
        <v>8</v>
      </c>
      <c r="F1155" t="s">
        <v>10</v>
      </c>
      <c r="G1155" s="16">
        <v>35</v>
      </c>
      <c r="H1155" s="16">
        <v>40.25</v>
      </c>
      <c r="J1155">
        <v>67</v>
      </c>
      <c r="K1155" t="s">
        <v>5383</v>
      </c>
      <c r="M1155">
        <v>6</v>
      </c>
      <c r="N1155">
        <v>10</v>
      </c>
      <c r="O1155" t="s">
        <v>216</v>
      </c>
      <c r="P1155" s="17"/>
      <c r="Q1155" s="17" t="str">
        <f>_xlfn.XLOOKUP(Table2[[#This Row],[buyFromVendorNo]],'Next Day Scheduled'!A:A,'Pending Returns'!O:O,"NOT_FOUND")</f>
        <v>Posted Credit Note</v>
      </c>
    </row>
    <row r="1156" spans="1:17" x14ac:dyDescent="0.3">
      <c r="A1156" s="1">
        <v>46192</v>
      </c>
      <c r="B1156" t="s">
        <v>765</v>
      </c>
      <c r="C1156" t="s">
        <v>937</v>
      </c>
      <c r="D1156" t="s">
        <v>938</v>
      </c>
      <c r="E1156" t="s">
        <v>8</v>
      </c>
      <c r="F1156" t="s">
        <v>10</v>
      </c>
      <c r="G1156" s="16">
        <v>489.28253000000001</v>
      </c>
      <c r="H1156" s="16">
        <v>562.67489999999998</v>
      </c>
      <c r="J1156">
        <v>67</v>
      </c>
      <c r="K1156" t="s">
        <v>5435</v>
      </c>
      <c r="M1156">
        <v>7</v>
      </c>
      <c r="N1156">
        <v>12</v>
      </c>
      <c r="O1156" t="s">
        <v>216</v>
      </c>
      <c r="P1156" s="17"/>
      <c r="Q1156" s="17" t="str">
        <f>_xlfn.XLOOKUP(Table2[[#This Row],[buyFromVendorNo]],'Next Day Scheduled'!A:A,'Pending Returns'!O:O,"NOT_FOUND")</f>
        <v>NOT_FOUND</v>
      </c>
    </row>
    <row r="1157" spans="1:17" x14ac:dyDescent="0.3">
      <c r="A1157" s="1">
        <v>46192</v>
      </c>
      <c r="B1157" t="s">
        <v>5427</v>
      </c>
      <c r="C1157" t="s">
        <v>2273</v>
      </c>
      <c r="D1157" t="s">
        <v>2274</v>
      </c>
      <c r="E1157" t="s">
        <v>8</v>
      </c>
      <c r="F1157" t="s">
        <v>10</v>
      </c>
      <c r="G1157" s="16">
        <v>137.07</v>
      </c>
      <c r="H1157" s="16">
        <v>157.63050000000001</v>
      </c>
      <c r="J1157">
        <v>67</v>
      </c>
      <c r="K1157" t="s">
        <v>5428</v>
      </c>
      <c r="M1157">
        <v>0</v>
      </c>
      <c r="N1157">
        <v>92</v>
      </c>
      <c r="O1157" t="s">
        <v>216</v>
      </c>
      <c r="P1157" s="17"/>
      <c r="Q1157" s="17" t="str">
        <f>_xlfn.XLOOKUP(Table2[[#This Row],[buyFromVendorNo]],'Next Day Scheduled'!A:A,'Pending Returns'!O:O,"NOT_FOUND")</f>
        <v>NOT_FOUND</v>
      </c>
    </row>
    <row r="1158" spans="1:17" x14ac:dyDescent="0.3">
      <c r="A1158" s="1">
        <v>46192</v>
      </c>
      <c r="B1158" t="s">
        <v>2206</v>
      </c>
      <c r="C1158" t="s">
        <v>111</v>
      </c>
      <c r="D1158" t="s">
        <v>112</v>
      </c>
      <c r="E1158" t="s">
        <v>8</v>
      </c>
      <c r="F1158" t="s">
        <v>10</v>
      </c>
      <c r="G1158" s="16">
        <v>17.75</v>
      </c>
      <c r="H1158" s="16">
        <v>20.412500000000001</v>
      </c>
      <c r="J1158">
        <v>67</v>
      </c>
      <c r="K1158" t="s">
        <v>5379</v>
      </c>
      <c r="M1158">
        <v>7</v>
      </c>
      <c r="N1158">
        <v>15</v>
      </c>
      <c r="O1158" t="s">
        <v>216</v>
      </c>
      <c r="P1158" s="17"/>
      <c r="Q1158" s="17" t="str">
        <f>_xlfn.XLOOKUP(Table2[[#This Row],[buyFromVendorNo]],'Next Day Scheduled'!A:A,'Pending Returns'!O:O,"NOT_FOUND")</f>
        <v>Posted Credit Note</v>
      </c>
    </row>
    <row r="1159" spans="1:17" x14ac:dyDescent="0.3">
      <c r="A1159" s="1">
        <v>46192</v>
      </c>
      <c r="B1159" t="s">
        <v>6439</v>
      </c>
      <c r="C1159" t="s">
        <v>1866</v>
      </c>
      <c r="D1159" t="s">
        <v>1867</v>
      </c>
      <c r="E1159" t="s">
        <v>8</v>
      </c>
      <c r="F1159" t="s">
        <v>10</v>
      </c>
      <c r="G1159" s="16">
        <v>4.26</v>
      </c>
      <c r="H1159" s="16">
        <v>4.899</v>
      </c>
      <c r="J1159">
        <v>67</v>
      </c>
      <c r="K1159" t="s">
        <v>5490</v>
      </c>
      <c r="M1159">
        <v>0</v>
      </c>
      <c r="N1159">
        <v>391</v>
      </c>
      <c r="O1159" t="s">
        <v>216</v>
      </c>
      <c r="P1159" s="17"/>
      <c r="Q1159" s="17" t="str">
        <f>_xlfn.XLOOKUP(Table2[[#This Row],[buyFromVendorNo]],'Next Day Scheduled'!A:A,'Pending Returns'!O:O,"NOT_FOUND")</f>
        <v>NOT_FOUND</v>
      </c>
    </row>
    <row r="1160" spans="1:17" x14ac:dyDescent="0.3">
      <c r="A1160" s="1">
        <v>46192</v>
      </c>
      <c r="B1160" t="s">
        <v>2129</v>
      </c>
      <c r="C1160" t="s">
        <v>5503</v>
      </c>
      <c r="D1160" t="s">
        <v>5504</v>
      </c>
      <c r="E1160" t="s">
        <v>8</v>
      </c>
      <c r="F1160" t="s">
        <v>10</v>
      </c>
      <c r="G1160" s="16">
        <v>640</v>
      </c>
      <c r="H1160" s="16">
        <v>736</v>
      </c>
      <c r="J1160">
        <v>67</v>
      </c>
      <c r="K1160" t="s">
        <v>5505</v>
      </c>
      <c r="M1160">
        <v>0</v>
      </c>
      <c r="O1160" t="s">
        <v>216</v>
      </c>
      <c r="P1160" s="17"/>
      <c r="Q1160" s="17" t="str">
        <f>_xlfn.XLOOKUP(Table2[[#This Row],[buyFromVendorNo]],'Next Day Scheduled'!A:A,'Pending Returns'!O:O,"NOT_FOUND")</f>
        <v>NOT_FOUND</v>
      </c>
    </row>
    <row r="1161" spans="1:17" x14ac:dyDescent="0.3">
      <c r="A1161" s="1">
        <v>46192</v>
      </c>
      <c r="B1161" t="s">
        <v>3256</v>
      </c>
      <c r="C1161" t="s">
        <v>47</v>
      </c>
      <c r="D1161" t="s">
        <v>48</v>
      </c>
      <c r="E1161" t="s">
        <v>8</v>
      </c>
      <c r="F1161" t="s">
        <v>10</v>
      </c>
      <c r="G1161" s="16">
        <v>373.74</v>
      </c>
      <c r="H1161" s="16">
        <v>429.80099999999999</v>
      </c>
      <c r="J1161">
        <v>67</v>
      </c>
      <c r="K1161" t="s">
        <v>5488</v>
      </c>
      <c r="M1161">
        <v>0</v>
      </c>
      <c r="N1161">
        <v>184</v>
      </c>
      <c r="O1161" t="s">
        <v>216</v>
      </c>
      <c r="P1161" s="17"/>
      <c r="Q1161" s="17" t="str">
        <f>_xlfn.XLOOKUP(Table2[[#This Row],[buyFromVendorNo]],'Next Day Scheduled'!A:A,'Pending Returns'!O:O,"NOT_FOUND")</f>
        <v>NOT_FOUND</v>
      </c>
    </row>
    <row r="1162" spans="1:17" x14ac:dyDescent="0.3">
      <c r="A1162" s="1">
        <v>46192</v>
      </c>
      <c r="B1162" t="s">
        <v>5445</v>
      </c>
      <c r="C1162" t="s">
        <v>5446</v>
      </c>
      <c r="D1162" t="s">
        <v>5447</v>
      </c>
      <c r="E1162" t="s">
        <v>8</v>
      </c>
      <c r="F1162" t="s">
        <v>10</v>
      </c>
      <c r="G1162" s="16">
        <v>14</v>
      </c>
      <c r="H1162" s="16">
        <v>16.100000000000001</v>
      </c>
      <c r="J1162">
        <v>67</v>
      </c>
      <c r="K1162" t="s">
        <v>5448</v>
      </c>
      <c r="M1162">
        <v>0</v>
      </c>
      <c r="O1162" t="s">
        <v>216</v>
      </c>
      <c r="P1162" s="17"/>
      <c r="Q1162" s="17" t="str">
        <f>_xlfn.XLOOKUP(Table2[[#This Row],[buyFromVendorNo]],'Next Day Scheduled'!A:A,'Pending Returns'!O:O,"NOT_FOUND")</f>
        <v>NOT_FOUND</v>
      </c>
    </row>
    <row r="1163" spans="1:17" x14ac:dyDescent="0.3">
      <c r="A1163" s="1">
        <v>46192</v>
      </c>
      <c r="B1163" t="s">
        <v>1521</v>
      </c>
      <c r="C1163" t="s">
        <v>5451</v>
      </c>
      <c r="D1163" t="s">
        <v>5452</v>
      </c>
      <c r="E1163" t="s">
        <v>8</v>
      </c>
      <c r="F1163" t="s">
        <v>10</v>
      </c>
      <c r="G1163" s="16">
        <v>49</v>
      </c>
      <c r="H1163" s="16">
        <v>56.35</v>
      </c>
      <c r="J1163">
        <v>67</v>
      </c>
      <c r="K1163" t="s">
        <v>5453</v>
      </c>
      <c r="M1163">
        <v>0</v>
      </c>
      <c r="N1163">
        <v>198</v>
      </c>
      <c r="O1163" t="s">
        <v>216</v>
      </c>
      <c r="P1163" s="17"/>
      <c r="Q1163" s="17" t="str">
        <f>_xlfn.XLOOKUP(Table2[[#This Row],[buyFromVendorNo]],'Next Day Scheduled'!A:A,'Pending Returns'!O:O,"NOT_FOUND")</f>
        <v>NOT_FOUND</v>
      </c>
    </row>
    <row r="1164" spans="1:17" x14ac:dyDescent="0.3">
      <c r="A1164" s="1">
        <v>46192</v>
      </c>
      <c r="B1164" t="s">
        <v>215</v>
      </c>
      <c r="C1164" t="s">
        <v>2309</v>
      </c>
      <c r="D1164" t="s">
        <v>2310</v>
      </c>
      <c r="E1164" t="s">
        <v>8</v>
      </c>
      <c r="F1164" t="s">
        <v>10</v>
      </c>
      <c r="G1164" s="16">
        <v>6.9444400000000002</v>
      </c>
      <c r="H1164" s="16">
        <v>7.9861097000000001</v>
      </c>
      <c r="J1164">
        <v>67</v>
      </c>
      <c r="K1164" t="s">
        <v>5378</v>
      </c>
      <c r="M1164">
        <v>12</v>
      </c>
      <c r="N1164">
        <v>5</v>
      </c>
      <c r="O1164" t="s">
        <v>216</v>
      </c>
      <c r="P1164" s="17"/>
      <c r="Q1164" s="17" t="str">
        <f>_xlfn.XLOOKUP(Table2[[#This Row],[buyFromVendorNo]],'Next Day Scheduled'!A:A,'Pending Returns'!O:O,"NOT_FOUND")</f>
        <v>NOT_FOUND</v>
      </c>
    </row>
    <row r="1165" spans="1:17" x14ac:dyDescent="0.3">
      <c r="A1165" s="1">
        <v>46193</v>
      </c>
      <c r="B1165" t="s">
        <v>2002</v>
      </c>
      <c r="C1165" t="s">
        <v>859</v>
      </c>
      <c r="D1165" t="s">
        <v>860</v>
      </c>
      <c r="E1165" t="s">
        <v>8</v>
      </c>
      <c r="F1165" t="s">
        <v>10</v>
      </c>
      <c r="G1165" s="16">
        <v>270.89</v>
      </c>
      <c r="H1165" s="16">
        <v>311.52350000000001</v>
      </c>
      <c r="I1165" s="1">
        <v>46181</v>
      </c>
      <c r="J1165">
        <v>66</v>
      </c>
      <c r="K1165" t="s">
        <v>2188</v>
      </c>
      <c r="L1165" t="s">
        <v>5602</v>
      </c>
      <c r="M1165">
        <v>11</v>
      </c>
      <c r="N1165">
        <v>6</v>
      </c>
      <c r="O1165" t="s">
        <v>1036</v>
      </c>
      <c r="P1165" s="17"/>
      <c r="Q1165" s="17" t="str">
        <f>_xlfn.XLOOKUP(Table2[[#This Row],[buyFromVendorNo]],'Next Day Scheduled'!A:A,'Pending Returns'!O:O,"NOT_FOUND")</f>
        <v>NOT_FOUND</v>
      </c>
    </row>
    <row r="1166" spans="1:17" x14ac:dyDescent="0.3">
      <c r="A1166" s="1">
        <v>46193</v>
      </c>
      <c r="B1166" t="s">
        <v>5181</v>
      </c>
      <c r="C1166" t="s">
        <v>301</v>
      </c>
      <c r="D1166" t="s">
        <v>370</v>
      </c>
      <c r="E1166" t="s">
        <v>8</v>
      </c>
      <c r="F1166" t="s">
        <v>10</v>
      </c>
      <c r="G1166" s="16">
        <v>170.61</v>
      </c>
      <c r="H1166" s="16">
        <v>196.20150000000001</v>
      </c>
      <c r="I1166" s="1">
        <v>46177</v>
      </c>
      <c r="J1166">
        <v>66</v>
      </c>
      <c r="K1166" t="s">
        <v>3636</v>
      </c>
      <c r="L1166" t="s">
        <v>5603</v>
      </c>
      <c r="M1166">
        <v>18</v>
      </c>
      <c r="N1166">
        <v>5</v>
      </c>
      <c r="O1166" t="s">
        <v>1036</v>
      </c>
      <c r="P1166" s="17"/>
      <c r="Q1166" s="17" t="str">
        <f>_xlfn.XLOOKUP(Table2[[#This Row],[buyFromVendorNo]],'Next Day Scheduled'!A:A,'Pending Returns'!O:O,"NOT_FOUND")</f>
        <v>NOT_FOUND</v>
      </c>
    </row>
    <row r="1167" spans="1:17" x14ac:dyDescent="0.3">
      <c r="A1167" s="1">
        <v>46193</v>
      </c>
      <c r="B1167" t="s">
        <v>2948</v>
      </c>
      <c r="C1167" t="s">
        <v>128</v>
      </c>
      <c r="D1167" t="s">
        <v>129</v>
      </c>
      <c r="E1167" t="s">
        <v>8</v>
      </c>
      <c r="F1167" t="s">
        <v>10</v>
      </c>
      <c r="G1167" s="16">
        <v>648</v>
      </c>
      <c r="H1167" s="16">
        <v>745.2</v>
      </c>
      <c r="J1167">
        <v>66</v>
      </c>
      <c r="K1167" t="s">
        <v>5567</v>
      </c>
      <c r="M1167">
        <v>49</v>
      </c>
      <c r="N1167">
        <v>1</v>
      </c>
      <c r="O1167" t="s">
        <v>216</v>
      </c>
      <c r="P1167" s="17"/>
      <c r="Q1167" s="17" t="str">
        <f>_xlfn.XLOOKUP(Table2[[#This Row],[buyFromVendorNo]],'Next Day Scheduled'!A:A,'Pending Returns'!O:O,"NOT_FOUND")</f>
        <v>Posted Credit Note</v>
      </c>
    </row>
    <row r="1168" spans="1:17" x14ac:dyDescent="0.3">
      <c r="A1168" s="1">
        <v>46193</v>
      </c>
      <c r="B1168" t="s">
        <v>560</v>
      </c>
      <c r="C1168" t="s">
        <v>494</v>
      </c>
      <c r="D1168" t="s">
        <v>495</v>
      </c>
      <c r="E1168" t="s">
        <v>8</v>
      </c>
      <c r="F1168" t="s">
        <v>10</v>
      </c>
      <c r="G1168" s="16">
        <v>1571.81</v>
      </c>
      <c r="H1168" s="16">
        <v>1807.5815</v>
      </c>
      <c r="I1168" s="1">
        <v>46193</v>
      </c>
      <c r="J1168">
        <v>66</v>
      </c>
      <c r="K1168" t="s">
        <v>4995</v>
      </c>
      <c r="L1168" t="s">
        <v>5620</v>
      </c>
      <c r="M1168">
        <v>8</v>
      </c>
      <c r="N1168">
        <v>7</v>
      </c>
      <c r="O1168" t="s">
        <v>1036</v>
      </c>
      <c r="P1168" s="17"/>
      <c r="Q1168" s="17" t="str">
        <f>_xlfn.XLOOKUP(Table2[[#This Row],[buyFromVendorNo]],'Next Day Scheduled'!A:A,'Pending Returns'!O:O,"NOT_FOUND")</f>
        <v>Posted Credit Note</v>
      </c>
    </row>
    <row r="1169" spans="1:17" x14ac:dyDescent="0.3">
      <c r="A1169" s="1">
        <v>46193</v>
      </c>
      <c r="B1169" t="s">
        <v>3868</v>
      </c>
      <c r="C1169" t="s">
        <v>506</v>
      </c>
      <c r="D1169" t="s">
        <v>507</v>
      </c>
      <c r="E1169" t="s">
        <v>8</v>
      </c>
      <c r="F1169" t="s">
        <v>10</v>
      </c>
      <c r="G1169" s="16">
        <v>639.00149999999996</v>
      </c>
      <c r="H1169" s="16">
        <v>701.29520000000002</v>
      </c>
      <c r="I1169" s="1">
        <v>46185</v>
      </c>
      <c r="J1169">
        <v>66</v>
      </c>
      <c r="K1169" t="s">
        <v>3869</v>
      </c>
      <c r="L1169" t="s">
        <v>5642</v>
      </c>
      <c r="M1169">
        <v>9</v>
      </c>
      <c r="N1169">
        <v>5</v>
      </c>
      <c r="O1169" t="s">
        <v>1036</v>
      </c>
      <c r="P1169" s="17"/>
      <c r="Q1169" s="17" t="str">
        <f>_xlfn.XLOOKUP(Table2[[#This Row],[buyFromVendorNo]],'Next Day Scheduled'!A:A,'Pending Returns'!O:O,"NOT_FOUND")</f>
        <v>Posted Credit Note</v>
      </c>
    </row>
    <row r="1170" spans="1:17" x14ac:dyDescent="0.3">
      <c r="A1170" s="1">
        <v>46193</v>
      </c>
      <c r="B1170" t="s">
        <v>3912</v>
      </c>
      <c r="C1170" t="s">
        <v>824</v>
      </c>
      <c r="D1170" t="s">
        <v>825</v>
      </c>
      <c r="E1170" t="s">
        <v>8</v>
      </c>
      <c r="F1170" t="s">
        <v>10</v>
      </c>
      <c r="G1170" s="16">
        <v>364.85</v>
      </c>
      <c r="H1170" s="16">
        <v>419.57749999999999</v>
      </c>
      <c r="I1170" s="1">
        <v>46190</v>
      </c>
      <c r="J1170">
        <v>66</v>
      </c>
      <c r="K1170" t="s">
        <v>4564</v>
      </c>
      <c r="L1170" t="s">
        <v>5610</v>
      </c>
      <c r="M1170">
        <v>9</v>
      </c>
      <c r="N1170">
        <v>6</v>
      </c>
      <c r="O1170" t="s">
        <v>1036</v>
      </c>
      <c r="P1170" s="17"/>
      <c r="Q1170" s="17" t="str">
        <f>_xlfn.XLOOKUP(Table2[[#This Row],[buyFromVendorNo]],'Next Day Scheduled'!A:A,'Pending Returns'!O:O,"NOT_FOUND")</f>
        <v>NOT_FOUND</v>
      </c>
    </row>
    <row r="1171" spans="1:17" x14ac:dyDescent="0.3">
      <c r="A1171" s="1">
        <v>46193</v>
      </c>
      <c r="B1171" t="s">
        <v>4012</v>
      </c>
      <c r="C1171" t="s">
        <v>935</v>
      </c>
      <c r="D1171" t="s">
        <v>936</v>
      </c>
      <c r="E1171" t="s">
        <v>8</v>
      </c>
      <c r="F1171" t="s">
        <v>10</v>
      </c>
      <c r="G1171" s="16">
        <v>743</v>
      </c>
      <c r="H1171" s="16">
        <v>854.45</v>
      </c>
      <c r="I1171" s="1">
        <v>46183</v>
      </c>
      <c r="J1171">
        <v>66</v>
      </c>
      <c r="K1171" t="s">
        <v>4013</v>
      </c>
      <c r="L1171" t="s">
        <v>5624</v>
      </c>
      <c r="M1171">
        <v>9</v>
      </c>
      <c r="N1171">
        <v>6</v>
      </c>
      <c r="O1171" t="s">
        <v>1036</v>
      </c>
      <c r="P1171" s="17"/>
      <c r="Q1171" s="17" t="str">
        <f>_xlfn.XLOOKUP(Table2[[#This Row],[buyFromVendorNo]],'Next Day Scheduled'!A:A,'Pending Returns'!O:O,"NOT_FOUND")</f>
        <v>NOT_FOUND</v>
      </c>
    </row>
    <row r="1172" spans="1:17" x14ac:dyDescent="0.3">
      <c r="A1172" s="1">
        <v>46193</v>
      </c>
      <c r="B1172" t="s">
        <v>4784</v>
      </c>
      <c r="C1172" t="s">
        <v>3769</v>
      </c>
      <c r="D1172" t="s">
        <v>622</v>
      </c>
      <c r="E1172" t="s">
        <v>8</v>
      </c>
      <c r="F1172" t="s">
        <v>10</v>
      </c>
      <c r="G1172" s="16">
        <v>300</v>
      </c>
      <c r="H1172" s="16">
        <v>345</v>
      </c>
      <c r="I1172" s="1">
        <v>46193</v>
      </c>
      <c r="J1172">
        <v>66</v>
      </c>
      <c r="K1172" t="s">
        <v>4746</v>
      </c>
      <c r="L1172" t="s">
        <v>5666</v>
      </c>
      <c r="M1172">
        <v>6</v>
      </c>
      <c r="N1172">
        <v>10</v>
      </c>
      <c r="O1172" t="s">
        <v>1036</v>
      </c>
      <c r="P1172" s="17"/>
      <c r="Q1172" s="17" t="str">
        <f>_xlfn.XLOOKUP(Table2[[#This Row],[buyFromVendorNo]],'Next Day Scheduled'!A:A,'Pending Returns'!O:O,"NOT_FOUND")</f>
        <v>NOT_FOUND</v>
      </c>
    </row>
    <row r="1173" spans="1:17" x14ac:dyDescent="0.3">
      <c r="A1173" s="1">
        <v>46193</v>
      </c>
      <c r="B1173" t="s">
        <v>3295</v>
      </c>
      <c r="C1173" t="s">
        <v>373</v>
      </c>
      <c r="D1173" t="s">
        <v>374</v>
      </c>
      <c r="E1173" t="s">
        <v>8</v>
      </c>
      <c r="F1173" t="s">
        <v>10</v>
      </c>
      <c r="G1173" s="16">
        <v>31.33</v>
      </c>
      <c r="H1173" s="16">
        <v>36.029499999999999</v>
      </c>
      <c r="I1173" s="1">
        <v>46181</v>
      </c>
      <c r="J1173">
        <v>66</v>
      </c>
      <c r="K1173" t="s">
        <v>3134</v>
      </c>
      <c r="L1173" t="s">
        <v>5665</v>
      </c>
      <c r="M1173">
        <v>4</v>
      </c>
      <c r="N1173">
        <v>12</v>
      </c>
      <c r="O1173" t="s">
        <v>1036</v>
      </c>
      <c r="P1173" s="17"/>
      <c r="Q1173" s="17" t="str">
        <f>_xlfn.XLOOKUP(Table2[[#This Row],[buyFromVendorNo]],'Next Day Scheduled'!A:A,'Pending Returns'!O:O,"NOT_FOUND")</f>
        <v>NOT_FOUND</v>
      </c>
    </row>
    <row r="1174" spans="1:17" x14ac:dyDescent="0.3">
      <c r="A1174" s="1">
        <v>46193</v>
      </c>
      <c r="B1174" t="s">
        <v>2731</v>
      </c>
      <c r="C1174" t="s">
        <v>71</v>
      </c>
      <c r="D1174" t="s">
        <v>72</v>
      </c>
      <c r="E1174" t="s">
        <v>8</v>
      </c>
      <c r="F1174" t="s">
        <v>10</v>
      </c>
      <c r="G1174" s="16">
        <v>2187.2788</v>
      </c>
      <c r="H1174" s="16">
        <v>2515.3706000000002</v>
      </c>
      <c r="I1174" s="1">
        <v>46188</v>
      </c>
      <c r="J1174">
        <v>66</v>
      </c>
      <c r="K1174" t="s">
        <v>2732</v>
      </c>
      <c r="L1174" t="s">
        <v>5664</v>
      </c>
      <c r="M1174">
        <v>8</v>
      </c>
      <c r="N1174">
        <v>8</v>
      </c>
      <c r="O1174" t="s">
        <v>1036</v>
      </c>
      <c r="P1174" s="17"/>
      <c r="Q1174" s="17" t="str">
        <f>_xlfn.XLOOKUP(Table2[[#This Row],[buyFromVendorNo]],'Next Day Scheduled'!A:A,'Pending Returns'!O:O,"NOT_FOUND")</f>
        <v>Posted Credit Note</v>
      </c>
    </row>
    <row r="1175" spans="1:17" x14ac:dyDescent="0.3">
      <c r="A1175" s="1">
        <v>46193</v>
      </c>
      <c r="B1175" t="s">
        <v>5183</v>
      </c>
      <c r="C1175" t="s">
        <v>925</v>
      </c>
      <c r="D1175" t="s">
        <v>926</v>
      </c>
      <c r="E1175" t="s">
        <v>8</v>
      </c>
      <c r="F1175" t="s">
        <v>10</v>
      </c>
      <c r="G1175" s="16">
        <v>5570</v>
      </c>
      <c r="H1175" s="16">
        <v>6405.5</v>
      </c>
      <c r="I1175" s="1">
        <v>46177</v>
      </c>
      <c r="J1175">
        <v>66</v>
      </c>
      <c r="K1175" t="s">
        <v>4111</v>
      </c>
      <c r="L1175" t="s">
        <v>5645</v>
      </c>
      <c r="M1175">
        <v>10</v>
      </c>
      <c r="N1175">
        <v>2</v>
      </c>
      <c r="O1175" t="s">
        <v>1036</v>
      </c>
      <c r="P1175" s="17"/>
      <c r="Q1175" s="17" t="str">
        <f>_xlfn.XLOOKUP(Table2[[#This Row],[buyFromVendorNo]],'Next Day Scheduled'!A:A,'Pending Returns'!O:O,"NOT_FOUND")</f>
        <v>NOT_FOUND</v>
      </c>
    </row>
    <row r="1176" spans="1:17" x14ac:dyDescent="0.3">
      <c r="A1176" s="1">
        <v>46193</v>
      </c>
      <c r="B1176" t="s">
        <v>3486</v>
      </c>
      <c r="C1176" t="s">
        <v>506</v>
      </c>
      <c r="D1176" t="s">
        <v>507</v>
      </c>
      <c r="E1176" t="s">
        <v>8</v>
      </c>
      <c r="F1176" t="s">
        <v>10</v>
      </c>
      <c r="G1176" s="16">
        <v>555.80205999999998</v>
      </c>
      <c r="H1176" s="16">
        <v>624.20690000000002</v>
      </c>
      <c r="I1176" s="1">
        <v>46177</v>
      </c>
      <c r="J1176">
        <v>66</v>
      </c>
      <c r="K1176" t="s">
        <v>3487</v>
      </c>
      <c r="L1176" t="s">
        <v>5628</v>
      </c>
      <c r="M1176">
        <v>9</v>
      </c>
      <c r="N1176">
        <v>5</v>
      </c>
      <c r="O1176" t="s">
        <v>1036</v>
      </c>
      <c r="P1176" s="17"/>
      <c r="Q1176" s="17" t="str">
        <f>_xlfn.XLOOKUP(Table2[[#This Row],[buyFromVendorNo]],'Next Day Scheduled'!A:A,'Pending Returns'!O:O,"NOT_FOUND")</f>
        <v>Posted Credit Note</v>
      </c>
    </row>
    <row r="1177" spans="1:17" x14ac:dyDescent="0.3">
      <c r="A1177" s="1">
        <v>46193</v>
      </c>
      <c r="B1177" t="s">
        <v>4675</v>
      </c>
      <c r="C1177" t="s">
        <v>3380</v>
      </c>
      <c r="D1177" t="s">
        <v>3381</v>
      </c>
      <c r="E1177" t="s">
        <v>8</v>
      </c>
      <c r="F1177" t="s">
        <v>169</v>
      </c>
      <c r="G1177" s="16">
        <v>48.5</v>
      </c>
      <c r="H1177" s="16">
        <v>55.774999999999999</v>
      </c>
      <c r="I1177" s="1">
        <v>46190</v>
      </c>
      <c r="J1177">
        <v>66</v>
      </c>
      <c r="K1177" t="s">
        <v>4660</v>
      </c>
      <c r="L1177" t="s">
        <v>5673</v>
      </c>
      <c r="M1177">
        <v>3</v>
      </c>
      <c r="N1177">
        <v>19</v>
      </c>
      <c r="O1177" t="s">
        <v>1036</v>
      </c>
      <c r="P1177" s="17"/>
      <c r="Q1177" s="17" t="str">
        <f>_xlfn.XLOOKUP(Table2[[#This Row],[buyFromVendorNo]],'Next Day Scheduled'!A:A,'Pending Returns'!O:O,"NOT_FOUND")</f>
        <v>NOT_FOUND</v>
      </c>
    </row>
    <row r="1178" spans="1:17" x14ac:dyDescent="0.3">
      <c r="A1178" s="1">
        <v>46193</v>
      </c>
      <c r="B1178" t="s">
        <v>2760</v>
      </c>
      <c r="C1178" t="s">
        <v>2775</v>
      </c>
      <c r="D1178" t="s">
        <v>2776</v>
      </c>
      <c r="E1178" t="s">
        <v>8</v>
      </c>
      <c r="F1178" t="s">
        <v>10</v>
      </c>
      <c r="G1178" s="16">
        <v>454.69112999999999</v>
      </c>
      <c r="H1178" s="16">
        <v>522.89480000000003</v>
      </c>
      <c r="I1178" s="1">
        <v>46188</v>
      </c>
      <c r="J1178">
        <v>66</v>
      </c>
      <c r="K1178" t="s">
        <v>2777</v>
      </c>
      <c r="L1178" t="s">
        <v>5537</v>
      </c>
      <c r="M1178">
        <v>9</v>
      </c>
      <c r="N1178">
        <v>6</v>
      </c>
      <c r="O1178" t="s">
        <v>1036</v>
      </c>
      <c r="P1178" s="17"/>
      <c r="Q1178" s="17" t="str">
        <f>_xlfn.XLOOKUP(Table2[[#This Row],[buyFromVendorNo]],'Next Day Scheduled'!A:A,'Pending Returns'!O:O,"NOT_FOUND")</f>
        <v>NOT_FOUND</v>
      </c>
    </row>
    <row r="1179" spans="1:17" x14ac:dyDescent="0.3">
      <c r="A1179" s="1">
        <v>46193</v>
      </c>
      <c r="B1179" t="s">
        <v>2429</v>
      </c>
      <c r="C1179" t="s">
        <v>3814</v>
      </c>
      <c r="D1179" t="s">
        <v>3815</v>
      </c>
      <c r="E1179" t="s">
        <v>8</v>
      </c>
      <c r="F1179" t="s">
        <v>10</v>
      </c>
      <c r="G1179" s="16">
        <v>337.85</v>
      </c>
      <c r="H1179" s="16">
        <v>388.52749999999997</v>
      </c>
      <c r="I1179" s="1">
        <v>46188</v>
      </c>
      <c r="J1179">
        <v>66</v>
      </c>
      <c r="K1179" t="s">
        <v>3816</v>
      </c>
      <c r="L1179" t="s">
        <v>5674</v>
      </c>
      <c r="M1179">
        <v>8</v>
      </c>
      <c r="N1179">
        <v>6</v>
      </c>
      <c r="O1179" t="s">
        <v>1036</v>
      </c>
      <c r="P1179" s="17"/>
      <c r="Q1179" s="17" t="str">
        <f>_xlfn.XLOOKUP(Table2[[#This Row],[buyFromVendorNo]],'Next Day Scheduled'!A:A,'Pending Returns'!O:O,"NOT_FOUND")</f>
        <v>Posted Credit Note</v>
      </c>
    </row>
    <row r="1180" spans="1:17" x14ac:dyDescent="0.3">
      <c r="A1180" s="1">
        <v>46193</v>
      </c>
      <c r="B1180" t="s">
        <v>3703</v>
      </c>
      <c r="C1180" t="s">
        <v>824</v>
      </c>
      <c r="D1180" t="s">
        <v>825</v>
      </c>
      <c r="E1180" t="s">
        <v>8</v>
      </c>
      <c r="F1180" t="s">
        <v>10</v>
      </c>
      <c r="G1180" s="16">
        <v>234</v>
      </c>
      <c r="H1180" s="16">
        <v>269.10000000000002</v>
      </c>
      <c r="I1180" s="1">
        <v>46190</v>
      </c>
      <c r="J1180">
        <v>66</v>
      </c>
      <c r="K1180" t="s">
        <v>4452</v>
      </c>
      <c r="L1180" t="s">
        <v>5653</v>
      </c>
      <c r="M1180">
        <v>9</v>
      </c>
      <c r="N1180">
        <v>6</v>
      </c>
      <c r="O1180" t="s">
        <v>1036</v>
      </c>
      <c r="P1180" s="17"/>
      <c r="Q1180" s="17" t="str">
        <f>_xlfn.XLOOKUP(Table2[[#This Row],[buyFromVendorNo]],'Next Day Scheduled'!A:A,'Pending Returns'!O:O,"NOT_FOUND")</f>
        <v>NOT_FOUND</v>
      </c>
    </row>
    <row r="1181" spans="1:17" x14ac:dyDescent="0.3">
      <c r="A1181" s="1">
        <v>46193</v>
      </c>
      <c r="B1181" t="s">
        <v>3307</v>
      </c>
      <c r="C1181" t="s">
        <v>859</v>
      </c>
      <c r="D1181" t="s">
        <v>860</v>
      </c>
      <c r="E1181" t="s">
        <v>8</v>
      </c>
      <c r="F1181" t="s">
        <v>10</v>
      </c>
      <c r="G1181" s="16">
        <v>180.46</v>
      </c>
      <c r="H1181" s="16">
        <v>207.529</v>
      </c>
      <c r="I1181" s="1">
        <v>46181</v>
      </c>
      <c r="J1181">
        <v>66</v>
      </c>
      <c r="K1181" t="s">
        <v>3823</v>
      </c>
      <c r="L1181" t="s">
        <v>5632</v>
      </c>
      <c r="M1181">
        <v>11</v>
      </c>
      <c r="N1181">
        <v>6</v>
      </c>
      <c r="O1181" t="s">
        <v>1036</v>
      </c>
      <c r="P1181" s="17"/>
      <c r="Q1181" s="17" t="str">
        <f>_xlfn.XLOOKUP(Table2[[#This Row],[buyFromVendorNo]],'Next Day Scheduled'!A:A,'Pending Returns'!O:O,"NOT_FOUND")</f>
        <v>NOT_FOUND</v>
      </c>
    </row>
    <row r="1182" spans="1:17" x14ac:dyDescent="0.3">
      <c r="A1182" s="1">
        <v>46193</v>
      </c>
      <c r="B1182" t="s">
        <v>3793</v>
      </c>
      <c r="C1182" t="s">
        <v>2339</v>
      </c>
      <c r="D1182" t="s">
        <v>2340</v>
      </c>
      <c r="E1182" t="s">
        <v>8</v>
      </c>
      <c r="F1182" t="s">
        <v>10</v>
      </c>
      <c r="G1182" s="16">
        <v>485.54</v>
      </c>
      <c r="H1182" s="16">
        <v>558.37099999999998</v>
      </c>
      <c r="I1182" s="1">
        <v>46191</v>
      </c>
      <c r="J1182">
        <v>66</v>
      </c>
      <c r="K1182" t="s">
        <v>4742</v>
      </c>
      <c r="L1182" t="s">
        <v>5656</v>
      </c>
      <c r="M1182">
        <v>0</v>
      </c>
      <c r="N1182">
        <v>607</v>
      </c>
      <c r="O1182" t="s">
        <v>1036</v>
      </c>
      <c r="P1182" s="17"/>
      <c r="Q1182" s="17" t="str">
        <f>_xlfn.XLOOKUP(Table2[[#This Row],[buyFromVendorNo]],'Next Day Scheduled'!A:A,'Pending Returns'!O:O,"NOT_FOUND")</f>
        <v>NOT_FOUND</v>
      </c>
    </row>
    <row r="1183" spans="1:17" x14ac:dyDescent="0.3">
      <c r="A1183" s="1">
        <v>46193</v>
      </c>
      <c r="B1183" t="s">
        <v>4371</v>
      </c>
      <c r="C1183" t="s">
        <v>880</v>
      </c>
      <c r="D1183" t="s">
        <v>881</v>
      </c>
      <c r="E1183" t="s">
        <v>8</v>
      </c>
      <c r="F1183" t="s">
        <v>10</v>
      </c>
      <c r="G1183" s="16">
        <v>484.1</v>
      </c>
      <c r="H1183" s="16">
        <v>556.71500000000003</v>
      </c>
      <c r="I1183" s="1">
        <v>46193</v>
      </c>
      <c r="J1183">
        <v>66</v>
      </c>
      <c r="K1183" t="s">
        <v>5041</v>
      </c>
      <c r="L1183" t="s">
        <v>5615</v>
      </c>
      <c r="M1183">
        <v>5</v>
      </c>
      <c r="N1183">
        <v>13</v>
      </c>
      <c r="O1183" t="s">
        <v>1036</v>
      </c>
      <c r="P1183" s="17"/>
      <c r="Q1183" s="17" t="str">
        <f>_xlfn.XLOOKUP(Table2[[#This Row],[buyFromVendorNo]],'Next Day Scheduled'!A:A,'Pending Returns'!O:O,"NOT_FOUND")</f>
        <v>NOT_FOUND</v>
      </c>
    </row>
    <row r="1184" spans="1:17" x14ac:dyDescent="0.3">
      <c r="A1184" s="1">
        <v>46193</v>
      </c>
      <c r="B1184" t="s">
        <v>3690</v>
      </c>
      <c r="C1184" t="s">
        <v>181</v>
      </c>
      <c r="D1184" t="s">
        <v>182</v>
      </c>
      <c r="E1184" t="s">
        <v>8</v>
      </c>
      <c r="F1184" t="s">
        <v>10</v>
      </c>
      <c r="G1184" s="16">
        <v>579.98266999999998</v>
      </c>
      <c r="H1184" s="16">
        <v>666.98004000000003</v>
      </c>
      <c r="I1184" s="1">
        <v>46181</v>
      </c>
      <c r="J1184">
        <v>66</v>
      </c>
      <c r="K1184" t="s">
        <v>3602</v>
      </c>
      <c r="L1184" t="s">
        <v>5616</v>
      </c>
      <c r="M1184">
        <v>15</v>
      </c>
      <c r="N1184">
        <v>2</v>
      </c>
      <c r="O1184" t="s">
        <v>1036</v>
      </c>
      <c r="P1184" s="17"/>
      <c r="Q1184" s="17" t="str">
        <f>_xlfn.XLOOKUP(Table2[[#This Row],[buyFromVendorNo]],'Next Day Scheduled'!A:A,'Pending Returns'!O:O,"NOT_FOUND")</f>
        <v>NOT_FOUND</v>
      </c>
    </row>
    <row r="1185" spans="1:17" x14ac:dyDescent="0.3">
      <c r="A1185" s="1">
        <v>46193</v>
      </c>
      <c r="B1185" t="s">
        <v>261</v>
      </c>
      <c r="C1185" t="s">
        <v>2363</v>
      </c>
      <c r="D1185" t="s">
        <v>2364</v>
      </c>
      <c r="E1185" t="s">
        <v>8</v>
      </c>
      <c r="F1185" t="s">
        <v>10</v>
      </c>
      <c r="G1185" s="16">
        <v>707.96</v>
      </c>
      <c r="H1185" s="16">
        <v>814.154</v>
      </c>
      <c r="I1185" s="1">
        <v>46190</v>
      </c>
      <c r="J1185">
        <v>66</v>
      </c>
      <c r="K1185" t="s">
        <v>4601</v>
      </c>
      <c r="L1185" t="s">
        <v>5601</v>
      </c>
      <c r="M1185">
        <v>9</v>
      </c>
      <c r="N1185">
        <v>6</v>
      </c>
      <c r="O1185" t="s">
        <v>1036</v>
      </c>
      <c r="P1185" s="17"/>
      <c r="Q1185" s="17" t="str">
        <f>_xlfn.XLOOKUP(Table2[[#This Row],[buyFromVendorNo]],'Next Day Scheduled'!A:A,'Pending Returns'!O:O,"NOT_FOUND")</f>
        <v>NOT_FOUND</v>
      </c>
    </row>
    <row r="1186" spans="1:17" x14ac:dyDescent="0.3">
      <c r="A1186" s="1">
        <v>46193</v>
      </c>
      <c r="B1186" t="s">
        <v>3053</v>
      </c>
      <c r="C1186" t="s">
        <v>71</v>
      </c>
      <c r="D1186" t="s">
        <v>72</v>
      </c>
      <c r="E1186" t="s">
        <v>8</v>
      </c>
      <c r="F1186" t="s">
        <v>10</v>
      </c>
      <c r="G1186" s="16">
        <v>1354.2717</v>
      </c>
      <c r="H1186" s="16">
        <v>1557.4124999999999</v>
      </c>
      <c r="I1186" s="1">
        <v>46188</v>
      </c>
      <c r="J1186">
        <v>66</v>
      </c>
      <c r="K1186" t="s">
        <v>3054</v>
      </c>
      <c r="L1186" t="s">
        <v>5635</v>
      </c>
      <c r="M1186">
        <v>8</v>
      </c>
      <c r="N1186">
        <v>8</v>
      </c>
      <c r="O1186" t="s">
        <v>1036</v>
      </c>
      <c r="P1186" s="17"/>
      <c r="Q1186" s="17" t="str">
        <f>_xlfn.XLOOKUP(Table2[[#This Row],[buyFromVendorNo]],'Next Day Scheduled'!A:A,'Pending Returns'!O:O,"NOT_FOUND")</f>
        <v>Posted Credit Note</v>
      </c>
    </row>
    <row r="1187" spans="1:17" x14ac:dyDescent="0.3">
      <c r="A1187" s="1">
        <v>46193</v>
      </c>
      <c r="B1187" t="s">
        <v>281</v>
      </c>
      <c r="C1187" t="s">
        <v>839</v>
      </c>
      <c r="D1187" t="s">
        <v>840</v>
      </c>
      <c r="E1187" t="s">
        <v>8</v>
      </c>
      <c r="F1187" t="s">
        <v>10</v>
      </c>
      <c r="G1187" s="16">
        <v>18718.375</v>
      </c>
      <c r="H1187" s="16">
        <v>21526.13</v>
      </c>
      <c r="I1187" s="1">
        <v>46188</v>
      </c>
      <c r="J1187">
        <v>66</v>
      </c>
      <c r="K1187" t="s">
        <v>2221</v>
      </c>
      <c r="L1187" t="s">
        <v>5636</v>
      </c>
      <c r="M1187">
        <v>10</v>
      </c>
      <c r="N1187">
        <v>2</v>
      </c>
      <c r="O1187" t="s">
        <v>1036</v>
      </c>
      <c r="P1187" s="17"/>
      <c r="Q1187" s="17" t="str">
        <f>_xlfn.XLOOKUP(Table2[[#This Row],[buyFromVendorNo]],'Next Day Scheduled'!A:A,'Pending Returns'!O:O,"NOT_FOUND")</f>
        <v>NOT_FOUND</v>
      </c>
    </row>
    <row r="1188" spans="1:17" x14ac:dyDescent="0.3">
      <c r="A1188" s="1">
        <v>46193</v>
      </c>
      <c r="B1188" t="s">
        <v>2706</v>
      </c>
      <c r="C1188" t="s">
        <v>880</v>
      </c>
      <c r="D1188" t="s">
        <v>881</v>
      </c>
      <c r="E1188" t="s">
        <v>8</v>
      </c>
      <c r="F1188" t="s">
        <v>10</v>
      </c>
      <c r="G1188" s="16">
        <v>49.2</v>
      </c>
      <c r="H1188" s="16">
        <v>56.58</v>
      </c>
      <c r="I1188" s="1">
        <v>46193</v>
      </c>
      <c r="J1188">
        <v>66</v>
      </c>
      <c r="K1188" t="s">
        <v>5352</v>
      </c>
      <c r="L1188" t="s">
        <v>5659</v>
      </c>
      <c r="M1188">
        <v>5</v>
      </c>
      <c r="N1188">
        <v>13</v>
      </c>
      <c r="O1188" t="s">
        <v>1036</v>
      </c>
      <c r="P1188" s="17"/>
      <c r="Q1188" s="17" t="str">
        <f>_xlfn.XLOOKUP(Table2[[#This Row],[buyFromVendorNo]],'Next Day Scheduled'!A:A,'Pending Returns'!O:O,"NOT_FOUND")</f>
        <v>NOT_FOUND</v>
      </c>
    </row>
    <row r="1189" spans="1:17" x14ac:dyDescent="0.3">
      <c r="A1189" s="1">
        <v>46193</v>
      </c>
      <c r="B1189" t="s">
        <v>4682</v>
      </c>
      <c r="C1189" t="s">
        <v>2246</v>
      </c>
      <c r="D1189" t="s">
        <v>2247</v>
      </c>
      <c r="E1189" t="s">
        <v>8</v>
      </c>
      <c r="F1189" t="s">
        <v>10</v>
      </c>
      <c r="G1189" s="16">
        <v>788.64</v>
      </c>
      <c r="H1189" s="16">
        <v>906.93600000000004</v>
      </c>
      <c r="I1189" s="1">
        <v>46190</v>
      </c>
      <c r="J1189">
        <v>66</v>
      </c>
      <c r="K1189" t="s">
        <v>4655</v>
      </c>
      <c r="L1189" t="s">
        <v>5637</v>
      </c>
      <c r="M1189">
        <v>9</v>
      </c>
      <c r="N1189">
        <v>6</v>
      </c>
      <c r="O1189" t="s">
        <v>1036</v>
      </c>
      <c r="P1189" s="17"/>
      <c r="Q1189" s="17" t="str">
        <f>_xlfn.XLOOKUP(Table2[[#This Row],[buyFromVendorNo]],'Next Day Scheduled'!A:A,'Pending Returns'!O:O,"NOT_FOUND")</f>
        <v>NOT_FOUND</v>
      </c>
    </row>
    <row r="1190" spans="1:17" x14ac:dyDescent="0.3">
      <c r="A1190" s="1">
        <v>46193</v>
      </c>
      <c r="B1190" t="s">
        <v>5189</v>
      </c>
      <c r="C1190" t="s">
        <v>423</v>
      </c>
      <c r="D1190" t="s">
        <v>424</v>
      </c>
      <c r="E1190" t="s">
        <v>8</v>
      </c>
      <c r="F1190" t="s">
        <v>10</v>
      </c>
      <c r="G1190" s="16">
        <v>245.29</v>
      </c>
      <c r="H1190" s="16">
        <v>282.08350000000002</v>
      </c>
      <c r="I1190" s="1">
        <v>46177</v>
      </c>
      <c r="J1190">
        <v>66</v>
      </c>
      <c r="K1190" t="s">
        <v>4122</v>
      </c>
      <c r="L1190" t="s">
        <v>5638</v>
      </c>
      <c r="M1190">
        <v>10</v>
      </c>
      <c r="N1190">
        <v>3</v>
      </c>
      <c r="O1190" t="s">
        <v>1036</v>
      </c>
      <c r="P1190" s="17"/>
      <c r="Q1190" s="17" t="str">
        <f>_xlfn.XLOOKUP(Table2[[#This Row],[buyFromVendorNo]],'Next Day Scheduled'!A:A,'Pending Returns'!O:O,"NOT_FOUND")</f>
        <v>NOT_FOUND</v>
      </c>
    </row>
    <row r="1191" spans="1:17" x14ac:dyDescent="0.3">
      <c r="A1191" s="1">
        <v>46193</v>
      </c>
      <c r="B1191" t="s">
        <v>5516</v>
      </c>
      <c r="C1191" t="s">
        <v>1615</v>
      </c>
      <c r="D1191" t="s">
        <v>1616</v>
      </c>
      <c r="E1191" t="s">
        <v>8</v>
      </c>
      <c r="F1191" t="s">
        <v>10</v>
      </c>
      <c r="G1191" s="16">
        <v>21.6</v>
      </c>
      <c r="H1191" s="16">
        <v>24.84</v>
      </c>
      <c r="I1191" s="1">
        <v>46193</v>
      </c>
      <c r="J1191">
        <v>66</v>
      </c>
      <c r="K1191" t="s">
        <v>5517</v>
      </c>
      <c r="L1191" t="s">
        <v>5660</v>
      </c>
      <c r="M1191">
        <v>9</v>
      </c>
      <c r="N1191">
        <v>5</v>
      </c>
      <c r="O1191" t="s">
        <v>1036</v>
      </c>
      <c r="P1191" s="17"/>
      <c r="Q1191" s="17" t="str">
        <f>_xlfn.XLOOKUP(Table2[[#This Row],[buyFromVendorNo]],'Next Day Scheduled'!A:A,'Pending Returns'!O:O,"NOT_FOUND")</f>
        <v>NOT_FOUND</v>
      </c>
    </row>
    <row r="1192" spans="1:17" x14ac:dyDescent="0.3">
      <c r="A1192" s="1">
        <v>46193</v>
      </c>
      <c r="B1192" t="s">
        <v>5191</v>
      </c>
      <c r="C1192" t="s">
        <v>697</v>
      </c>
      <c r="D1192" t="s">
        <v>698</v>
      </c>
      <c r="E1192" t="s">
        <v>8</v>
      </c>
      <c r="F1192" t="s">
        <v>10</v>
      </c>
      <c r="G1192" s="16">
        <v>423.79199999999997</v>
      </c>
      <c r="H1192" s="16">
        <v>487.36079999999998</v>
      </c>
      <c r="I1192" s="1">
        <v>46181</v>
      </c>
      <c r="J1192">
        <v>66</v>
      </c>
      <c r="K1192" t="s">
        <v>4614</v>
      </c>
      <c r="L1192" t="s">
        <v>5661</v>
      </c>
      <c r="M1192">
        <v>12</v>
      </c>
      <c r="N1192">
        <v>2</v>
      </c>
      <c r="O1192" t="s">
        <v>1036</v>
      </c>
      <c r="P1192" s="17"/>
      <c r="Q1192" s="17" t="str">
        <f>_xlfn.XLOOKUP(Table2[[#This Row],[buyFromVendorNo]],'Next Day Scheduled'!A:A,'Pending Returns'!O:O,"NOT_FOUND")</f>
        <v>NOT_FOUND</v>
      </c>
    </row>
    <row r="1193" spans="1:17" x14ac:dyDescent="0.3">
      <c r="A1193" s="1">
        <v>46193</v>
      </c>
      <c r="B1193" t="s">
        <v>5174</v>
      </c>
      <c r="C1193" t="s">
        <v>921</v>
      </c>
      <c r="D1193" t="s">
        <v>922</v>
      </c>
      <c r="E1193" t="s">
        <v>8</v>
      </c>
      <c r="F1193" t="s">
        <v>10</v>
      </c>
      <c r="G1193" s="16">
        <v>3852.8987000000002</v>
      </c>
      <c r="H1193" s="16">
        <v>4430.8334999999997</v>
      </c>
      <c r="I1193" s="1">
        <v>46176</v>
      </c>
      <c r="J1193">
        <v>66</v>
      </c>
      <c r="K1193" t="s">
        <v>3627</v>
      </c>
      <c r="L1193" t="s">
        <v>5662</v>
      </c>
      <c r="M1193">
        <v>10</v>
      </c>
      <c r="N1193">
        <v>1</v>
      </c>
      <c r="O1193" t="s">
        <v>1036</v>
      </c>
      <c r="P1193" s="17"/>
      <c r="Q1193" s="17" t="str">
        <f>_xlfn.XLOOKUP(Table2[[#This Row],[buyFromVendorNo]],'Next Day Scheduled'!A:A,'Pending Returns'!O:O,"NOT_FOUND")</f>
        <v>Posted Credit Note</v>
      </c>
    </row>
    <row r="1194" spans="1:17" x14ac:dyDescent="0.3">
      <c r="A1194" s="1">
        <v>46193</v>
      </c>
      <c r="B1194" t="s">
        <v>4813</v>
      </c>
      <c r="C1194" t="s">
        <v>71</v>
      </c>
      <c r="D1194" t="s">
        <v>72</v>
      </c>
      <c r="E1194" t="s">
        <v>8</v>
      </c>
      <c r="F1194" t="s">
        <v>10</v>
      </c>
      <c r="G1194" s="16">
        <v>2971.3834999999999</v>
      </c>
      <c r="H1194" s="16">
        <v>3417.0909999999999</v>
      </c>
      <c r="I1194" s="1">
        <v>46188</v>
      </c>
      <c r="J1194">
        <v>66</v>
      </c>
      <c r="K1194" t="s">
        <v>4726</v>
      </c>
      <c r="L1194" t="s">
        <v>5640</v>
      </c>
      <c r="M1194">
        <v>8</v>
      </c>
      <c r="N1194">
        <v>8</v>
      </c>
      <c r="O1194" t="s">
        <v>1036</v>
      </c>
      <c r="P1194" s="17"/>
      <c r="Q1194" s="17" t="str">
        <f>_xlfn.XLOOKUP(Table2[[#This Row],[buyFromVendorNo]],'Next Day Scheduled'!A:A,'Pending Returns'!O:O,"NOT_FOUND")</f>
        <v>Posted Credit Note</v>
      </c>
    </row>
    <row r="1195" spans="1:17" x14ac:dyDescent="0.3">
      <c r="A1195" s="1">
        <v>46193</v>
      </c>
      <c r="B1195" t="s">
        <v>780</v>
      </c>
      <c r="C1195" t="s">
        <v>65</v>
      </c>
      <c r="D1195" t="s">
        <v>66</v>
      </c>
      <c r="E1195" t="s">
        <v>8</v>
      </c>
      <c r="F1195" t="s">
        <v>10</v>
      </c>
      <c r="G1195" s="16">
        <v>1616.009</v>
      </c>
      <c r="H1195" s="16">
        <v>1858.4104</v>
      </c>
      <c r="I1195" s="1">
        <v>46191</v>
      </c>
      <c r="J1195">
        <v>66</v>
      </c>
      <c r="K1195" t="s">
        <v>4568</v>
      </c>
      <c r="L1195" t="s">
        <v>5639</v>
      </c>
      <c r="M1195">
        <v>23</v>
      </c>
      <c r="N1195">
        <v>5</v>
      </c>
      <c r="O1195" t="s">
        <v>1036</v>
      </c>
      <c r="P1195" s="17"/>
      <c r="Q1195" s="17" t="str">
        <f>_xlfn.XLOOKUP(Table2[[#This Row],[buyFromVendorNo]],'Next Day Scheduled'!A:A,'Pending Returns'!O:O,"NOT_FOUND")</f>
        <v>Posted Credit Note</v>
      </c>
    </row>
    <row r="1196" spans="1:17" x14ac:dyDescent="0.3">
      <c r="A1196" s="1">
        <v>46193</v>
      </c>
      <c r="B1196" t="s">
        <v>3809</v>
      </c>
      <c r="C1196" t="s">
        <v>2369</v>
      </c>
      <c r="D1196" t="s">
        <v>2370</v>
      </c>
      <c r="E1196" t="s">
        <v>8</v>
      </c>
      <c r="F1196" t="s">
        <v>10</v>
      </c>
      <c r="G1196" s="16">
        <v>300</v>
      </c>
      <c r="H1196" s="16">
        <v>345</v>
      </c>
      <c r="I1196" s="1">
        <v>46187</v>
      </c>
      <c r="J1196">
        <v>66</v>
      </c>
      <c r="K1196" t="s">
        <v>3810</v>
      </c>
      <c r="L1196" t="s">
        <v>5622</v>
      </c>
      <c r="M1196">
        <v>10</v>
      </c>
      <c r="N1196">
        <v>2</v>
      </c>
      <c r="O1196" t="s">
        <v>1036</v>
      </c>
      <c r="P1196" s="17"/>
      <c r="Q1196" s="17" t="str">
        <f>_xlfn.XLOOKUP(Table2[[#This Row],[buyFromVendorNo]],'Next Day Scheduled'!A:A,'Pending Returns'!O:O,"NOT_FOUND")</f>
        <v>NOT_FOUND</v>
      </c>
    </row>
    <row r="1197" spans="1:17" x14ac:dyDescent="0.3">
      <c r="A1197" s="1">
        <v>46193</v>
      </c>
      <c r="B1197" t="s">
        <v>3299</v>
      </c>
      <c r="C1197" t="s">
        <v>852</v>
      </c>
      <c r="D1197" t="s">
        <v>853</v>
      </c>
      <c r="E1197" t="s">
        <v>8</v>
      </c>
      <c r="F1197" t="s">
        <v>10</v>
      </c>
      <c r="G1197" s="16">
        <v>534.21479999999997</v>
      </c>
      <c r="H1197" s="16">
        <v>614.34699999999998</v>
      </c>
      <c r="I1197" s="1">
        <v>46193</v>
      </c>
      <c r="J1197">
        <v>66</v>
      </c>
      <c r="K1197" t="s">
        <v>4857</v>
      </c>
      <c r="L1197" t="s">
        <v>5663</v>
      </c>
      <c r="M1197">
        <v>0</v>
      </c>
      <c r="N1197">
        <v>69</v>
      </c>
      <c r="O1197" t="s">
        <v>1036</v>
      </c>
      <c r="P1197" s="17"/>
      <c r="Q1197" s="17" t="str">
        <f>_xlfn.XLOOKUP(Table2[[#This Row],[buyFromVendorNo]],'Next Day Scheduled'!A:A,'Pending Returns'!O:O,"NOT_FOUND")</f>
        <v>NOT_FOUND</v>
      </c>
    </row>
    <row r="1198" spans="1:17" x14ac:dyDescent="0.3">
      <c r="A1198" s="1">
        <v>46193</v>
      </c>
      <c r="B1198" t="s">
        <v>3965</v>
      </c>
      <c r="C1198" t="s">
        <v>3773</v>
      </c>
      <c r="D1198" t="s">
        <v>3774</v>
      </c>
      <c r="E1198" t="s">
        <v>8</v>
      </c>
      <c r="F1198" t="s">
        <v>10</v>
      </c>
      <c r="G1198" s="16">
        <v>310.56</v>
      </c>
      <c r="H1198" s="16">
        <v>357.14400000000001</v>
      </c>
      <c r="I1198" s="1">
        <v>46182</v>
      </c>
      <c r="J1198">
        <v>66</v>
      </c>
      <c r="K1198" t="s">
        <v>3966</v>
      </c>
      <c r="L1198" t="s">
        <v>5667</v>
      </c>
      <c r="M1198">
        <v>13</v>
      </c>
      <c r="N1198">
        <v>2</v>
      </c>
      <c r="O1198" t="s">
        <v>1036</v>
      </c>
      <c r="P1198" s="17"/>
      <c r="Q1198" s="17" t="str">
        <f>_xlfn.XLOOKUP(Table2[[#This Row],[buyFromVendorNo]],'Next Day Scheduled'!A:A,'Pending Returns'!O:O,"NOT_FOUND")</f>
        <v>NOT_FOUND</v>
      </c>
    </row>
    <row r="1199" spans="1:17" x14ac:dyDescent="0.3">
      <c r="A1199" s="1">
        <v>46193</v>
      </c>
      <c r="B1199" t="s">
        <v>2891</v>
      </c>
      <c r="C1199" t="s">
        <v>598</v>
      </c>
      <c r="D1199" t="s">
        <v>599</v>
      </c>
      <c r="E1199" t="s">
        <v>8</v>
      </c>
      <c r="F1199" t="s">
        <v>38</v>
      </c>
      <c r="G1199" s="16">
        <v>6387.5789999999997</v>
      </c>
      <c r="H1199" s="16">
        <v>7345.7160000000003</v>
      </c>
      <c r="I1199" s="1">
        <v>46190</v>
      </c>
      <c r="J1199">
        <v>66</v>
      </c>
      <c r="K1199" t="s">
        <v>4087</v>
      </c>
      <c r="L1199" t="s">
        <v>5612</v>
      </c>
      <c r="M1199">
        <v>9</v>
      </c>
      <c r="N1199">
        <v>6</v>
      </c>
      <c r="O1199" t="s">
        <v>1036</v>
      </c>
      <c r="P1199" s="17"/>
      <c r="Q1199" s="17" t="str">
        <f>_xlfn.XLOOKUP(Table2[[#This Row],[buyFromVendorNo]],'Next Day Scheduled'!A:A,'Pending Returns'!O:O,"NOT_FOUND")</f>
        <v>NOT_FOUND</v>
      </c>
    </row>
    <row r="1200" spans="1:17" x14ac:dyDescent="0.3">
      <c r="A1200" s="1">
        <v>46193</v>
      </c>
      <c r="B1200" t="s">
        <v>5910</v>
      </c>
      <c r="C1200" t="s">
        <v>253</v>
      </c>
      <c r="D1200" t="s">
        <v>254</v>
      </c>
      <c r="E1200" t="s">
        <v>8</v>
      </c>
      <c r="F1200" t="s">
        <v>10</v>
      </c>
      <c r="G1200" s="16">
        <v>278.33999999999997</v>
      </c>
      <c r="H1200" s="16">
        <v>320.09100000000001</v>
      </c>
      <c r="J1200">
        <v>66</v>
      </c>
      <c r="K1200" t="s">
        <v>5568</v>
      </c>
      <c r="M1200">
        <v>0</v>
      </c>
      <c r="N1200">
        <v>260</v>
      </c>
      <c r="O1200" t="s">
        <v>216</v>
      </c>
      <c r="P1200" s="17"/>
      <c r="Q1200" s="17" t="str">
        <f>_xlfn.XLOOKUP(Table2[[#This Row],[buyFromVendorNo]],'Next Day Scheduled'!A:A,'Pending Returns'!O:O,"NOT_FOUND")</f>
        <v>NOT_FOUND</v>
      </c>
    </row>
    <row r="1201" spans="1:17" x14ac:dyDescent="0.3">
      <c r="A1201" s="1">
        <v>46193</v>
      </c>
      <c r="B1201" t="s">
        <v>5609</v>
      </c>
      <c r="C1201" t="s">
        <v>356</v>
      </c>
      <c r="D1201" t="s">
        <v>357</v>
      </c>
      <c r="E1201" t="s">
        <v>8</v>
      </c>
      <c r="F1201" t="s">
        <v>169</v>
      </c>
      <c r="G1201" s="16">
        <v>3429.5823</v>
      </c>
      <c r="H1201" s="16">
        <v>3944.0194999999999</v>
      </c>
      <c r="I1201" s="1">
        <v>46193</v>
      </c>
      <c r="J1201">
        <v>66</v>
      </c>
      <c r="K1201" t="s">
        <v>5575</v>
      </c>
      <c r="L1201" t="s">
        <v>5649</v>
      </c>
      <c r="M1201">
        <v>13</v>
      </c>
      <c r="N1201">
        <v>2</v>
      </c>
      <c r="O1201" t="s">
        <v>1036</v>
      </c>
      <c r="P1201" s="17"/>
      <c r="Q1201" s="17" t="str">
        <f>_xlfn.XLOOKUP(Table2[[#This Row],[buyFromVendorNo]],'Next Day Scheduled'!A:A,'Pending Returns'!O:O,"NOT_FOUND")</f>
        <v>NOT_FOUND</v>
      </c>
    </row>
    <row r="1202" spans="1:17" x14ac:dyDescent="0.3">
      <c r="A1202" s="1">
        <v>46193</v>
      </c>
      <c r="B1202" t="s">
        <v>890</v>
      </c>
      <c r="C1202" t="s">
        <v>861</v>
      </c>
      <c r="D1202" t="s">
        <v>862</v>
      </c>
      <c r="E1202" t="s">
        <v>8</v>
      </c>
      <c r="F1202" t="s">
        <v>169</v>
      </c>
      <c r="G1202" s="16">
        <v>57.9</v>
      </c>
      <c r="H1202" s="16">
        <v>66.584999999999994</v>
      </c>
      <c r="I1202" s="1">
        <v>46181</v>
      </c>
      <c r="J1202">
        <v>66</v>
      </c>
      <c r="K1202" t="s">
        <v>4319</v>
      </c>
      <c r="L1202" t="s">
        <v>5614</v>
      </c>
      <c r="M1202">
        <v>7</v>
      </c>
      <c r="N1202">
        <v>12</v>
      </c>
      <c r="O1202" t="s">
        <v>1036</v>
      </c>
      <c r="P1202" s="17"/>
      <c r="Q1202" s="17" t="str">
        <f>_xlfn.XLOOKUP(Table2[[#This Row],[buyFromVendorNo]],'Next Day Scheduled'!A:A,'Pending Returns'!O:O,"NOT_FOUND")</f>
        <v>NOT_FOUND</v>
      </c>
    </row>
    <row r="1203" spans="1:17" x14ac:dyDescent="0.3">
      <c r="A1203" s="1">
        <v>46193</v>
      </c>
      <c r="B1203" t="s">
        <v>1661</v>
      </c>
      <c r="C1203" t="s">
        <v>506</v>
      </c>
      <c r="D1203" t="s">
        <v>507</v>
      </c>
      <c r="E1203" t="s">
        <v>8</v>
      </c>
      <c r="F1203" t="s">
        <v>10</v>
      </c>
      <c r="G1203" s="16">
        <v>432.00080000000003</v>
      </c>
      <c r="H1203" s="16">
        <v>496.80092999999999</v>
      </c>
      <c r="I1203" s="1">
        <v>46177</v>
      </c>
      <c r="J1203">
        <v>66</v>
      </c>
      <c r="K1203" t="s">
        <v>2906</v>
      </c>
      <c r="L1203" t="s">
        <v>5631</v>
      </c>
      <c r="M1203">
        <v>9</v>
      </c>
      <c r="N1203">
        <v>5</v>
      </c>
      <c r="O1203" t="s">
        <v>1036</v>
      </c>
      <c r="P1203" s="17"/>
      <c r="Q1203" s="17" t="str">
        <f>_xlfn.XLOOKUP(Table2[[#This Row],[buyFromVendorNo]],'Next Day Scheduled'!A:A,'Pending Returns'!O:O,"NOT_FOUND")</f>
        <v>Posted Credit Note</v>
      </c>
    </row>
    <row r="1204" spans="1:17" x14ac:dyDescent="0.3">
      <c r="A1204" s="1">
        <v>46193</v>
      </c>
      <c r="B1204" t="s">
        <v>3806</v>
      </c>
      <c r="C1204" t="s">
        <v>1882</v>
      </c>
      <c r="D1204" t="s">
        <v>1883</v>
      </c>
      <c r="E1204" t="s">
        <v>8</v>
      </c>
      <c r="F1204" t="s">
        <v>10</v>
      </c>
      <c r="G1204" s="16">
        <v>570</v>
      </c>
      <c r="H1204" s="16">
        <v>589.20000000000005</v>
      </c>
      <c r="I1204" s="1">
        <v>46185</v>
      </c>
      <c r="J1204">
        <v>66</v>
      </c>
      <c r="K1204" t="s">
        <v>3807</v>
      </c>
      <c r="L1204" t="s">
        <v>5654</v>
      </c>
      <c r="M1204">
        <v>5</v>
      </c>
      <c r="N1204">
        <v>5</v>
      </c>
      <c r="O1204" t="s">
        <v>1036</v>
      </c>
      <c r="P1204" s="17"/>
      <c r="Q1204" s="17" t="str">
        <f>_xlfn.XLOOKUP(Table2[[#This Row],[buyFromVendorNo]],'Next Day Scheduled'!A:A,'Pending Returns'!O:O,"NOT_FOUND")</f>
        <v>Posted Credit Note</v>
      </c>
    </row>
    <row r="1205" spans="1:17" x14ac:dyDescent="0.3">
      <c r="A1205" s="1">
        <v>46193</v>
      </c>
      <c r="B1205" t="s">
        <v>2117</v>
      </c>
      <c r="C1205" t="s">
        <v>798</v>
      </c>
      <c r="D1205" t="s">
        <v>799</v>
      </c>
      <c r="E1205" t="s">
        <v>8</v>
      </c>
      <c r="F1205" t="s">
        <v>10</v>
      </c>
      <c r="G1205" s="16">
        <v>1135.17</v>
      </c>
      <c r="H1205" s="16">
        <v>1305.4456</v>
      </c>
      <c r="I1205" s="1">
        <v>46181</v>
      </c>
      <c r="J1205">
        <v>66</v>
      </c>
      <c r="K1205" t="s">
        <v>2118</v>
      </c>
      <c r="L1205" t="s">
        <v>5655</v>
      </c>
      <c r="M1205">
        <v>9</v>
      </c>
      <c r="N1205">
        <v>9</v>
      </c>
      <c r="O1205" t="s">
        <v>1036</v>
      </c>
      <c r="P1205" s="17"/>
      <c r="Q1205" s="17" t="str">
        <f>_xlfn.XLOOKUP(Table2[[#This Row],[buyFromVendorNo]],'Next Day Scheduled'!A:A,'Pending Returns'!O:O,"NOT_FOUND")</f>
        <v>NOT_FOUND</v>
      </c>
    </row>
    <row r="1206" spans="1:17" x14ac:dyDescent="0.3">
      <c r="A1206" s="1">
        <v>46193</v>
      </c>
      <c r="B1206" t="s">
        <v>3444</v>
      </c>
      <c r="C1206" t="s">
        <v>1411</v>
      </c>
      <c r="D1206" t="s">
        <v>1412</v>
      </c>
      <c r="E1206" t="s">
        <v>8</v>
      </c>
      <c r="F1206" t="s">
        <v>10</v>
      </c>
      <c r="G1206" s="16">
        <v>274.73</v>
      </c>
      <c r="H1206" s="16">
        <v>315.93950000000001</v>
      </c>
      <c r="I1206" s="1">
        <v>46174</v>
      </c>
      <c r="J1206">
        <v>66</v>
      </c>
      <c r="K1206" t="s">
        <v>3164</v>
      </c>
      <c r="L1206" t="s">
        <v>5633</v>
      </c>
      <c r="M1206">
        <v>8</v>
      </c>
      <c r="N1206">
        <v>3</v>
      </c>
      <c r="O1206" t="s">
        <v>1036</v>
      </c>
      <c r="P1206" s="17"/>
      <c r="Q1206" s="17" t="str">
        <f>_xlfn.XLOOKUP(Table2[[#This Row],[buyFromVendorNo]],'Next Day Scheduled'!A:A,'Pending Returns'!O:O,"NOT_FOUND")</f>
        <v>NOT_FOUND</v>
      </c>
    </row>
    <row r="1207" spans="1:17" x14ac:dyDescent="0.3">
      <c r="A1207" s="1">
        <v>46193</v>
      </c>
      <c r="B1207" t="s">
        <v>642</v>
      </c>
      <c r="C1207" t="s">
        <v>71</v>
      </c>
      <c r="D1207" t="s">
        <v>72</v>
      </c>
      <c r="E1207" t="s">
        <v>8</v>
      </c>
      <c r="F1207" t="s">
        <v>38</v>
      </c>
      <c r="G1207" s="16">
        <v>941.26499999999999</v>
      </c>
      <c r="H1207" s="16">
        <v>1082.4547</v>
      </c>
      <c r="I1207" s="1">
        <v>46188</v>
      </c>
      <c r="J1207">
        <v>66</v>
      </c>
      <c r="K1207" t="s">
        <v>4539</v>
      </c>
      <c r="L1207" t="s">
        <v>5618</v>
      </c>
      <c r="M1207">
        <v>11</v>
      </c>
      <c r="N1207">
        <v>7</v>
      </c>
      <c r="O1207" t="s">
        <v>1036</v>
      </c>
      <c r="P1207" s="17"/>
      <c r="Q1207" s="17" t="str">
        <f>_xlfn.XLOOKUP(Table2[[#This Row],[buyFromVendorNo]],'Next Day Scheduled'!A:A,'Pending Returns'!O:O,"NOT_FOUND")</f>
        <v>Posted Credit Note</v>
      </c>
    </row>
    <row r="1208" spans="1:17" x14ac:dyDescent="0.3">
      <c r="A1208" s="1">
        <v>46193</v>
      </c>
      <c r="B1208" t="s">
        <v>783</v>
      </c>
      <c r="C1208" t="s">
        <v>181</v>
      </c>
      <c r="D1208" t="s">
        <v>182</v>
      </c>
      <c r="E1208" t="s">
        <v>8</v>
      </c>
      <c r="F1208" t="s">
        <v>10</v>
      </c>
      <c r="G1208" s="16">
        <v>3716.6981999999998</v>
      </c>
      <c r="H1208" s="16">
        <v>4274.2030000000004</v>
      </c>
      <c r="I1208" s="1">
        <v>46181</v>
      </c>
      <c r="J1208">
        <v>66</v>
      </c>
      <c r="K1208" t="s">
        <v>2222</v>
      </c>
      <c r="L1208" t="s">
        <v>5607</v>
      </c>
      <c r="M1208">
        <v>15</v>
      </c>
      <c r="N1208">
        <v>2</v>
      </c>
      <c r="O1208" t="s">
        <v>1036</v>
      </c>
      <c r="P1208" s="17"/>
      <c r="Q1208" s="17" t="str">
        <f>_xlfn.XLOOKUP(Table2[[#This Row],[buyFromVendorNo]],'Next Day Scheduled'!A:A,'Pending Returns'!O:O,"NOT_FOUND")</f>
        <v>NOT_FOUND</v>
      </c>
    </row>
    <row r="1209" spans="1:17" x14ac:dyDescent="0.3">
      <c r="A1209" s="1">
        <v>46193</v>
      </c>
      <c r="B1209" t="s">
        <v>3856</v>
      </c>
      <c r="C1209" t="s">
        <v>301</v>
      </c>
      <c r="D1209" t="s">
        <v>370</v>
      </c>
      <c r="E1209" t="s">
        <v>8</v>
      </c>
      <c r="F1209" t="s">
        <v>10</v>
      </c>
      <c r="G1209" s="16">
        <v>521.60500000000002</v>
      </c>
      <c r="H1209" s="16">
        <v>599.84576000000004</v>
      </c>
      <c r="I1209" s="1">
        <v>46191</v>
      </c>
      <c r="J1209">
        <v>66</v>
      </c>
      <c r="K1209" t="s">
        <v>4873</v>
      </c>
      <c r="L1209" t="s">
        <v>5619</v>
      </c>
      <c r="M1209">
        <v>18</v>
      </c>
      <c r="N1209">
        <v>5</v>
      </c>
      <c r="O1209" t="s">
        <v>1036</v>
      </c>
      <c r="P1209" s="17"/>
      <c r="Q1209" s="17" t="str">
        <f>_xlfn.XLOOKUP(Table2[[#This Row],[buyFromVendorNo]],'Next Day Scheduled'!A:A,'Pending Returns'!O:O,"NOT_FOUND")</f>
        <v>NOT_FOUND</v>
      </c>
    </row>
    <row r="1210" spans="1:17" x14ac:dyDescent="0.3">
      <c r="A1210" s="1">
        <v>46193</v>
      </c>
      <c r="B1210" t="s">
        <v>3989</v>
      </c>
      <c r="C1210" t="s">
        <v>71</v>
      </c>
      <c r="D1210" t="s">
        <v>72</v>
      </c>
      <c r="E1210" t="s">
        <v>8</v>
      </c>
      <c r="F1210" t="s">
        <v>10</v>
      </c>
      <c r="G1210" s="16">
        <v>336</v>
      </c>
      <c r="H1210" s="16">
        <v>386.4</v>
      </c>
      <c r="I1210" s="1">
        <v>46188</v>
      </c>
      <c r="J1210">
        <v>66</v>
      </c>
      <c r="K1210" t="s">
        <v>3990</v>
      </c>
      <c r="L1210" t="s">
        <v>5641</v>
      </c>
      <c r="M1210">
        <v>8</v>
      </c>
      <c r="N1210">
        <v>8</v>
      </c>
      <c r="O1210" t="s">
        <v>1036</v>
      </c>
      <c r="P1210" s="17"/>
      <c r="Q1210" s="17" t="str">
        <f>_xlfn.XLOOKUP(Table2[[#This Row],[buyFromVendorNo]],'Next Day Scheduled'!A:A,'Pending Returns'!O:O,"NOT_FOUND")</f>
        <v>Posted Credit Note</v>
      </c>
    </row>
    <row r="1211" spans="1:17" x14ac:dyDescent="0.3">
      <c r="A1211" s="1">
        <v>46193</v>
      </c>
      <c r="B1211" t="s">
        <v>4679</v>
      </c>
      <c r="C1211" t="s">
        <v>2321</v>
      </c>
      <c r="D1211" t="s">
        <v>2322</v>
      </c>
      <c r="E1211" t="s">
        <v>8</v>
      </c>
      <c r="F1211" t="s">
        <v>10</v>
      </c>
      <c r="G1211" s="16">
        <v>1654.2</v>
      </c>
      <c r="H1211" s="16">
        <v>1891.71</v>
      </c>
      <c r="I1211" s="1">
        <v>46174</v>
      </c>
      <c r="J1211">
        <v>66</v>
      </c>
      <c r="K1211" t="s">
        <v>3603</v>
      </c>
      <c r="L1211" t="s">
        <v>5644</v>
      </c>
      <c r="M1211">
        <v>8</v>
      </c>
      <c r="N1211">
        <v>10</v>
      </c>
      <c r="O1211" t="s">
        <v>1036</v>
      </c>
      <c r="P1211" s="17"/>
      <c r="Q1211" s="17" t="str">
        <f>_xlfn.XLOOKUP(Table2[[#This Row],[buyFromVendorNo]],'Next Day Scheduled'!A:A,'Pending Returns'!O:O,"NOT_FOUND")</f>
        <v>NOT_FOUND</v>
      </c>
    </row>
    <row r="1212" spans="1:17" x14ac:dyDescent="0.3">
      <c r="A1212" s="1">
        <v>46193</v>
      </c>
      <c r="B1212" t="s">
        <v>5228</v>
      </c>
      <c r="C1212" t="s">
        <v>562</v>
      </c>
      <c r="D1212" t="s">
        <v>563</v>
      </c>
      <c r="E1212" t="s">
        <v>8</v>
      </c>
      <c r="F1212" t="s">
        <v>38</v>
      </c>
      <c r="G1212" s="16">
        <v>435.47030000000001</v>
      </c>
      <c r="H1212" s="16">
        <v>500.79086000000001</v>
      </c>
      <c r="I1212" s="1">
        <v>46191</v>
      </c>
      <c r="J1212">
        <v>66</v>
      </c>
      <c r="K1212" t="s">
        <v>5044</v>
      </c>
      <c r="L1212" t="s">
        <v>5625</v>
      </c>
      <c r="M1212">
        <v>26</v>
      </c>
      <c r="N1212">
        <v>23</v>
      </c>
      <c r="O1212" t="s">
        <v>1036</v>
      </c>
      <c r="P1212" s="17"/>
      <c r="Q1212" s="17" t="str">
        <f>_xlfn.XLOOKUP(Table2[[#This Row],[buyFromVendorNo]],'Next Day Scheduled'!A:A,'Pending Returns'!O:O,"NOT_FOUND")</f>
        <v>NOT_FOUND</v>
      </c>
    </row>
    <row r="1213" spans="1:17" x14ac:dyDescent="0.3">
      <c r="A1213" s="1">
        <v>46193</v>
      </c>
      <c r="B1213" t="s">
        <v>2847</v>
      </c>
      <c r="C1213" t="s">
        <v>5580</v>
      </c>
      <c r="D1213" t="s">
        <v>5581</v>
      </c>
      <c r="E1213" t="s">
        <v>8</v>
      </c>
      <c r="F1213" t="s">
        <v>10</v>
      </c>
      <c r="G1213" s="16">
        <v>66</v>
      </c>
      <c r="H1213" s="16">
        <v>75.900000000000006</v>
      </c>
      <c r="J1213">
        <v>66</v>
      </c>
      <c r="K1213" t="s">
        <v>5579</v>
      </c>
      <c r="M1213">
        <v>1</v>
      </c>
      <c r="N1213">
        <v>22</v>
      </c>
      <c r="O1213" t="s">
        <v>216</v>
      </c>
      <c r="P1213" s="17"/>
      <c r="Q1213" s="17" t="str">
        <f>_xlfn.XLOOKUP(Table2[[#This Row],[buyFromVendorNo]],'Next Day Scheduled'!A:A,'Pending Returns'!O:O,"NOT_FOUND")</f>
        <v>NOT_FOUND</v>
      </c>
    </row>
    <row r="1214" spans="1:17" x14ac:dyDescent="0.3">
      <c r="A1214" s="1">
        <v>46193</v>
      </c>
      <c r="B1214" t="s">
        <v>2745</v>
      </c>
      <c r="C1214" t="s">
        <v>508</v>
      </c>
      <c r="D1214" t="s">
        <v>509</v>
      </c>
      <c r="E1214" t="s">
        <v>8</v>
      </c>
      <c r="F1214" t="s">
        <v>10</v>
      </c>
      <c r="G1214" s="16">
        <v>5011.5775999999996</v>
      </c>
      <c r="H1214" s="16">
        <v>5763.3145000000004</v>
      </c>
      <c r="I1214" s="1">
        <v>46188</v>
      </c>
      <c r="J1214">
        <v>66</v>
      </c>
      <c r="K1214" t="s">
        <v>2746</v>
      </c>
      <c r="L1214" t="s">
        <v>5648</v>
      </c>
      <c r="M1214">
        <v>8</v>
      </c>
      <c r="N1214">
        <v>9</v>
      </c>
      <c r="O1214" t="s">
        <v>1036</v>
      </c>
      <c r="P1214" s="17"/>
      <c r="Q1214" s="17" t="str">
        <f>_xlfn.XLOOKUP(Table2[[#This Row],[buyFromVendorNo]],'Next Day Scheduled'!A:A,'Pending Returns'!O:O,"NOT_FOUND")</f>
        <v>Posted Credit Note</v>
      </c>
    </row>
    <row r="1215" spans="1:17" x14ac:dyDescent="0.3">
      <c r="A1215" s="1">
        <v>46193</v>
      </c>
      <c r="B1215" t="s">
        <v>3873</v>
      </c>
      <c r="C1215" t="s">
        <v>1411</v>
      </c>
      <c r="D1215" t="s">
        <v>1412</v>
      </c>
      <c r="E1215" t="s">
        <v>8</v>
      </c>
      <c r="F1215" t="s">
        <v>10</v>
      </c>
      <c r="G1215" s="16">
        <v>70</v>
      </c>
      <c r="H1215" s="16">
        <v>80.5</v>
      </c>
      <c r="I1215" s="1">
        <v>46180</v>
      </c>
      <c r="J1215">
        <v>66</v>
      </c>
      <c r="K1215" t="s">
        <v>3874</v>
      </c>
      <c r="L1215" t="s">
        <v>5670</v>
      </c>
      <c r="M1215">
        <v>8</v>
      </c>
      <c r="N1215">
        <v>3</v>
      </c>
      <c r="O1215" t="s">
        <v>1036</v>
      </c>
      <c r="P1215" s="17"/>
      <c r="Q1215" s="17" t="str">
        <f>_xlfn.XLOOKUP(Table2[[#This Row],[buyFromVendorNo]],'Next Day Scheduled'!A:A,'Pending Returns'!O:O,"NOT_FOUND")</f>
        <v>NOT_FOUND</v>
      </c>
    </row>
    <row r="1216" spans="1:17" x14ac:dyDescent="0.3">
      <c r="A1216" s="1">
        <v>46193</v>
      </c>
      <c r="B1216" t="s">
        <v>3734</v>
      </c>
      <c r="C1216" t="s">
        <v>839</v>
      </c>
      <c r="D1216" t="s">
        <v>840</v>
      </c>
      <c r="E1216" t="s">
        <v>8</v>
      </c>
      <c r="F1216" t="s">
        <v>10</v>
      </c>
      <c r="G1216" s="16">
        <v>1939.5</v>
      </c>
      <c r="H1216" s="16">
        <v>2230.4250000000002</v>
      </c>
      <c r="I1216" s="1">
        <v>46188</v>
      </c>
      <c r="J1216">
        <v>66</v>
      </c>
      <c r="K1216" t="s">
        <v>3666</v>
      </c>
      <c r="L1216" t="s">
        <v>5668</v>
      </c>
      <c r="M1216">
        <v>10</v>
      </c>
      <c r="N1216">
        <v>2</v>
      </c>
      <c r="O1216" t="s">
        <v>1036</v>
      </c>
      <c r="P1216" s="17"/>
      <c r="Q1216" s="17" t="str">
        <f>_xlfn.XLOOKUP(Table2[[#This Row],[buyFromVendorNo]],'Next Day Scheduled'!A:A,'Pending Returns'!O:O,"NOT_FOUND")</f>
        <v>NOT_FOUND</v>
      </c>
    </row>
    <row r="1217" spans="1:17" x14ac:dyDescent="0.3">
      <c r="A1217" s="1">
        <v>46193</v>
      </c>
      <c r="B1217" t="s">
        <v>3328</v>
      </c>
      <c r="C1217" t="s">
        <v>65</v>
      </c>
      <c r="D1217" t="s">
        <v>66</v>
      </c>
      <c r="E1217" t="s">
        <v>8</v>
      </c>
      <c r="F1217" t="s">
        <v>10</v>
      </c>
      <c r="G1217" s="16">
        <v>1624.1577</v>
      </c>
      <c r="H1217" s="16">
        <v>1867.7814000000001</v>
      </c>
      <c r="I1217" s="1">
        <v>46191</v>
      </c>
      <c r="J1217">
        <v>66</v>
      </c>
      <c r="K1217" t="s">
        <v>4385</v>
      </c>
      <c r="L1217" t="s">
        <v>5669</v>
      </c>
      <c r="M1217">
        <v>23</v>
      </c>
      <c r="N1217">
        <v>5</v>
      </c>
      <c r="O1217" t="s">
        <v>1036</v>
      </c>
      <c r="P1217" s="17"/>
      <c r="Q1217" s="17" t="str">
        <f>_xlfn.XLOOKUP(Table2[[#This Row],[buyFromVendorNo]],'Next Day Scheduled'!A:A,'Pending Returns'!O:O,"NOT_FOUND")</f>
        <v>Posted Credit Note</v>
      </c>
    </row>
    <row r="1218" spans="1:17" x14ac:dyDescent="0.3">
      <c r="A1218" s="1">
        <v>46193</v>
      </c>
      <c r="B1218" t="s">
        <v>2544</v>
      </c>
      <c r="C1218" t="s">
        <v>57</v>
      </c>
      <c r="D1218" t="s">
        <v>58</v>
      </c>
      <c r="E1218" t="s">
        <v>8</v>
      </c>
      <c r="F1218" t="s">
        <v>38</v>
      </c>
      <c r="G1218" s="16">
        <v>157.5</v>
      </c>
      <c r="H1218" s="16">
        <v>181.125</v>
      </c>
      <c r="I1218" s="1">
        <v>46177</v>
      </c>
      <c r="J1218">
        <v>66</v>
      </c>
      <c r="K1218" t="s">
        <v>2545</v>
      </c>
      <c r="L1218" t="s">
        <v>5629</v>
      </c>
      <c r="M1218">
        <v>0</v>
      </c>
      <c r="N1218">
        <v>191</v>
      </c>
      <c r="O1218" t="s">
        <v>1036</v>
      </c>
      <c r="P1218" s="17"/>
      <c r="Q1218" s="17" t="str">
        <f>_xlfn.XLOOKUP(Table2[[#This Row],[buyFromVendorNo]],'Next Day Scheduled'!A:A,'Pending Returns'!O:O,"NOT_FOUND")</f>
        <v>Posted Credit Note</v>
      </c>
    </row>
    <row r="1219" spans="1:17" x14ac:dyDescent="0.3">
      <c r="A1219" s="1">
        <v>46193</v>
      </c>
      <c r="B1219" t="s">
        <v>3950</v>
      </c>
      <c r="C1219" t="s">
        <v>301</v>
      </c>
      <c r="D1219" t="s">
        <v>370</v>
      </c>
      <c r="E1219" t="s">
        <v>8</v>
      </c>
      <c r="F1219" t="s">
        <v>10</v>
      </c>
      <c r="G1219" s="16">
        <v>225.81</v>
      </c>
      <c r="H1219" s="16">
        <v>259.68150000000003</v>
      </c>
      <c r="I1219" s="1">
        <v>46191</v>
      </c>
      <c r="J1219">
        <v>66</v>
      </c>
      <c r="K1219" t="s">
        <v>4741</v>
      </c>
      <c r="L1219" t="s">
        <v>5657</v>
      </c>
      <c r="M1219">
        <v>18</v>
      </c>
      <c r="N1219">
        <v>5</v>
      </c>
      <c r="O1219" t="s">
        <v>1036</v>
      </c>
      <c r="P1219" s="17"/>
      <c r="Q1219" s="17" t="str">
        <f>_xlfn.XLOOKUP(Table2[[#This Row],[buyFromVendorNo]],'Next Day Scheduled'!A:A,'Pending Returns'!O:O,"NOT_FOUND")</f>
        <v>NOT_FOUND</v>
      </c>
    </row>
    <row r="1220" spans="1:17" x14ac:dyDescent="0.3">
      <c r="A1220" s="1">
        <v>46193</v>
      </c>
      <c r="B1220" t="s">
        <v>414</v>
      </c>
      <c r="C1220" t="s">
        <v>373</v>
      </c>
      <c r="D1220" t="s">
        <v>374</v>
      </c>
      <c r="E1220" t="s">
        <v>8</v>
      </c>
      <c r="F1220" t="s">
        <v>10</v>
      </c>
      <c r="G1220" s="16">
        <v>1608.8977</v>
      </c>
      <c r="H1220" s="16">
        <v>1850.2322999999999</v>
      </c>
      <c r="I1220" s="1">
        <v>46181</v>
      </c>
      <c r="J1220">
        <v>66</v>
      </c>
      <c r="K1220" t="s">
        <v>3939</v>
      </c>
      <c r="L1220" t="s">
        <v>5604</v>
      </c>
      <c r="M1220">
        <v>4</v>
      </c>
      <c r="N1220">
        <v>12</v>
      </c>
      <c r="O1220" t="s">
        <v>1036</v>
      </c>
      <c r="P1220" s="17"/>
      <c r="Q1220" s="17" t="str">
        <f>_xlfn.XLOOKUP(Table2[[#This Row],[buyFromVendorNo]],'Next Day Scheduled'!A:A,'Pending Returns'!O:O,"NOT_FOUND")</f>
        <v>NOT_FOUND</v>
      </c>
    </row>
    <row r="1221" spans="1:17" x14ac:dyDescent="0.3">
      <c r="A1221" s="1">
        <v>46193</v>
      </c>
      <c r="B1221" t="s">
        <v>3441</v>
      </c>
      <c r="C1221" t="s">
        <v>1882</v>
      </c>
      <c r="D1221" t="s">
        <v>1883</v>
      </c>
      <c r="E1221" t="s">
        <v>8</v>
      </c>
      <c r="F1221" t="s">
        <v>10</v>
      </c>
      <c r="G1221" s="16">
        <v>1080</v>
      </c>
      <c r="H1221" s="16">
        <v>1161.5999999999999</v>
      </c>
      <c r="I1221" s="1">
        <v>46185</v>
      </c>
      <c r="J1221">
        <v>66</v>
      </c>
      <c r="K1221" t="s">
        <v>3641</v>
      </c>
      <c r="L1221" t="s">
        <v>5658</v>
      </c>
      <c r="M1221">
        <v>5</v>
      </c>
      <c r="N1221">
        <v>5</v>
      </c>
      <c r="O1221" t="s">
        <v>1036</v>
      </c>
      <c r="P1221" s="17"/>
      <c r="Q1221" s="17" t="str">
        <f>_xlfn.XLOOKUP(Table2[[#This Row],[buyFromVendorNo]],'Next Day Scheduled'!A:A,'Pending Returns'!O:O,"NOT_FOUND")</f>
        <v>Posted Credit Note</v>
      </c>
    </row>
    <row r="1222" spans="1:17" x14ac:dyDescent="0.3">
      <c r="A1222" s="1">
        <v>46193</v>
      </c>
      <c r="B1222" t="s">
        <v>642</v>
      </c>
      <c r="C1222" t="s">
        <v>57</v>
      </c>
      <c r="D1222" t="s">
        <v>58</v>
      </c>
      <c r="E1222" t="s">
        <v>8</v>
      </c>
      <c r="F1222" t="s">
        <v>38</v>
      </c>
      <c r="G1222" s="16">
        <v>3964.5</v>
      </c>
      <c r="H1222" s="16">
        <v>4559.1750000000002</v>
      </c>
      <c r="I1222" s="1">
        <v>46181</v>
      </c>
      <c r="J1222">
        <v>66</v>
      </c>
      <c r="K1222" t="s">
        <v>664</v>
      </c>
      <c r="L1222" t="s">
        <v>5605</v>
      </c>
      <c r="M1222">
        <v>0</v>
      </c>
      <c r="N1222">
        <v>191</v>
      </c>
      <c r="O1222" t="s">
        <v>1036</v>
      </c>
      <c r="P1222" s="17"/>
      <c r="Q1222" s="17" t="str">
        <f>_xlfn.XLOOKUP(Table2[[#This Row],[buyFromVendorNo]],'Next Day Scheduled'!A:A,'Pending Returns'!O:O,"NOT_FOUND")</f>
        <v>Posted Credit Note</v>
      </c>
    </row>
    <row r="1223" spans="1:17" x14ac:dyDescent="0.3">
      <c r="A1223" s="1">
        <v>46193</v>
      </c>
      <c r="B1223" t="s">
        <v>3366</v>
      </c>
      <c r="C1223" t="s">
        <v>859</v>
      </c>
      <c r="D1223" t="s">
        <v>860</v>
      </c>
      <c r="E1223" t="s">
        <v>8</v>
      </c>
      <c r="F1223" t="s">
        <v>10</v>
      </c>
      <c r="G1223" s="16">
        <v>135.41999999999999</v>
      </c>
      <c r="H1223" s="16">
        <v>155.733</v>
      </c>
      <c r="I1223" s="1">
        <v>46181</v>
      </c>
      <c r="J1223">
        <v>66</v>
      </c>
      <c r="K1223" t="s">
        <v>3884</v>
      </c>
      <c r="L1223" t="s">
        <v>5606</v>
      </c>
      <c r="M1223">
        <v>11</v>
      </c>
      <c r="N1223">
        <v>6</v>
      </c>
      <c r="O1223" t="s">
        <v>1036</v>
      </c>
      <c r="P1223" s="17"/>
      <c r="Q1223" s="17" t="str">
        <f>_xlfn.XLOOKUP(Table2[[#This Row],[buyFromVendorNo]],'Next Day Scheduled'!A:A,'Pending Returns'!O:O,"NOT_FOUND")</f>
        <v>NOT_FOUND</v>
      </c>
    </row>
    <row r="1224" spans="1:17" x14ac:dyDescent="0.3">
      <c r="A1224" s="1">
        <v>46193</v>
      </c>
      <c r="B1224" t="s">
        <v>3828</v>
      </c>
      <c r="C1224" t="s">
        <v>2369</v>
      </c>
      <c r="D1224" t="s">
        <v>2370</v>
      </c>
      <c r="E1224" t="s">
        <v>8</v>
      </c>
      <c r="F1224" t="s">
        <v>10</v>
      </c>
      <c r="G1224" s="16">
        <v>104</v>
      </c>
      <c r="H1224" s="16">
        <v>119.6</v>
      </c>
      <c r="I1224" s="1">
        <v>46187</v>
      </c>
      <c r="J1224">
        <v>66</v>
      </c>
      <c r="K1224" t="s">
        <v>4558</v>
      </c>
      <c r="L1224" t="s">
        <v>5621</v>
      </c>
      <c r="M1224">
        <v>10</v>
      </c>
      <c r="N1224">
        <v>2</v>
      </c>
      <c r="O1224" t="s">
        <v>1036</v>
      </c>
      <c r="P1224" s="17"/>
      <c r="Q1224" s="17" t="str">
        <f>_xlfn.XLOOKUP(Table2[[#This Row],[buyFromVendorNo]],'Next Day Scheduled'!A:A,'Pending Returns'!O:O,"NOT_FOUND")</f>
        <v>NOT_FOUND</v>
      </c>
    </row>
    <row r="1225" spans="1:17" x14ac:dyDescent="0.3">
      <c r="A1225" s="1">
        <v>46193</v>
      </c>
      <c r="B1225" t="s">
        <v>5163</v>
      </c>
      <c r="C1225" t="s">
        <v>310</v>
      </c>
      <c r="D1225" t="s">
        <v>311</v>
      </c>
      <c r="E1225" t="s">
        <v>8</v>
      </c>
      <c r="F1225" t="s">
        <v>10</v>
      </c>
      <c r="G1225" s="16">
        <v>6657.1122999999998</v>
      </c>
      <c r="H1225" s="16">
        <v>7655.6787000000004</v>
      </c>
      <c r="I1225" s="1">
        <v>46174</v>
      </c>
      <c r="J1225">
        <v>66</v>
      </c>
      <c r="K1225" t="s">
        <v>3610</v>
      </c>
      <c r="L1225" t="s">
        <v>5643</v>
      </c>
      <c r="M1225">
        <v>9</v>
      </c>
      <c r="N1225">
        <v>2</v>
      </c>
      <c r="O1225" t="s">
        <v>1036</v>
      </c>
      <c r="P1225" s="17"/>
      <c r="Q1225" s="17" t="str">
        <f>_xlfn.XLOOKUP(Table2[[#This Row],[buyFromVendorNo]],'Next Day Scheduled'!A:A,'Pending Returns'!O:O,"NOT_FOUND")</f>
        <v>NOT_FOUND</v>
      </c>
    </row>
    <row r="1226" spans="1:17" x14ac:dyDescent="0.3">
      <c r="A1226" s="1">
        <v>46193</v>
      </c>
      <c r="B1226" t="s">
        <v>5173</v>
      </c>
      <c r="C1226" t="s">
        <v>310</v>
      </c>
      <c r="D1226" t="s">
        <v>311</v>
      </c>
      <c r="E1226" t="s">
        <v>8</v>
      </c>
      <c r="F1226" t="s">
        <v>10</v>
      </c>
      <c r="G1226" s="16">
        <v>5911.9859999999999</v>
      </c>
      <c r="H1226" s="16">
        <v>6798.7837</v>
      </c>
      <c r="I1226" s="1">
        <v>46174</v>
      </c>
      <c r="J1226">
        <v>66</v>
      </c>
      <c r="K1226" t="s">
        <v>3604</v>
      </c>
      <c r="L1226" t="s">
        <v>5623</v>
      </c>
      <c r="M1226">
        <v>9</v>
      </c>
      <c r="N1226">
        <v>2</v>
      </c>
      <c r="O1226" t="s">
        <v>1036</v>
      </c>
      <c r="P1226" s="17"/>
      <c r="Q1226" s="17" t="str">
        <f>_xlfn.XLOOKUP(Table2[[#This Row],[buyFromVendorNo]],'Next Day Scheduled'!A:A,'Pending Returns'!O:O,"NOT_FOUND")</f>
        <v>NOT_FOUND</v>
      </c>
    </row>
    <row r="1227" spans="1:17" x14ac:dyDescent="0.3">
      <c r="A1227" s="1">
        <v>46193</v>
      </c>
      <c r="B1227" t="s">
        <v>3248</v>
      </c>
      <c r="C1227" t="s">
        <v>71</v>
      </c>
      <c r="D1227" t="s">
        <v>72</v>
      </c>
      <c r="E1227" t="s">
        <v>8</v>
      </c>
      <c r="F1227" t="s">
        <v>10</v>
      </c>
      <c r="G1227" s="16">
        <v>4691.3549999999996</v>
      </c>
      <c r="H1227" s="16">
        <v>5395.058</v>
      </c>
      <c r="I1227" s="1">
        <v>46188</v>
      </c>
      <c r="J1227">
        <v>66</v>
      </c>
      <c r="K1227" t="s">
        <v>4228</v>
      </c>
      <c r="L1227" t="s">
        <v>5611</v>
      </c>
      <c r="M1227">
        <v>8</v>
      </c>
      <c r="N1227">
        <v>8</v>
      </c>
      <c r="O1227" t="s">
        <v>1036</v>
      </c>
      <c r="P1227" s="17"/>
      <c r="Q1227" s="17" t="str">
        <f>_xlfn.XLOOKUP(Table2[[#This Row],[buyFromVendorNo]],'Next Day Scheduled'!A:A,'Pending Returns'!O:O,"NOT_FOUND")</f>
        <v>Posted Credit Note</v>
      </c>
    </row>
    <row r="1228" spans="1:17" x14ac:dyDescent="0.3">
      <c r="A1228" s="1">
        <v>46193</v>
      </c>
      <c r="B1228" t="s">
        <v>709</v>
      </c>
      <c r="C1228" t="s">
        <v>297</v>
      </c>
      <c r="D1228" t="s">
        <v>298</v>
      </c>
      <c r="E1228" t="s">
        <v>8</v>
      </c>
      <c r="F1228" t="s">
        <v>10</v>
      </c>
      <c r="G1228" s="16">
        <v>1573.16</v>
      </c>
      <c r="H1228" s="16">
        <v>1809.134</v>
      </c>
      <c r="I1228" s="1">
        <v>46188</v>
      </c>
      <c r="J1228">
        <v>66</v>
      </c>
      <c r="K1228" t="s">
        <v>4390</v>
      </c>
      <c r="L1228" t="s">
        <v>5647</v>
      </c>
      <c r="M1228">
        <v>10</v>
      </c>
      <c r="N1228">
        <v>7</v>
      </c>
      <c r="O1228" t="s">
        <v>1036</v>
      </c>
      <c r="P1228" s="17"/>
      <c r="Q1228" s="17" t="str">
        <f>_xlfn.XLOOKUP(Table2[[#This Row],[buyFromVendorNo]],'Next Day Scheduled'!A:A,'Pending Returns'!O:O,"NOT_FOUND")</f>
        <v>NOT_FOUND</v>
      </c>
    </row>
    <row r="1229" spans="1:17" x14ac:dyDescent="0.3">
      <c r="A1229" s="1">
        <v>46193</v>
      </c>
      <c r="B1229" t="s">
        <v>5186</v>
      </c>
      <c r="C1229" t="s">
        <v>301</v>
      </c>
      <c r="D1229" t="s">
        <v>370</v>
      </c>
      <c r="E1229" t="s">
        <v>8</v>
      </c>
      <c r="F1229" t="s">
        <v>10</v>
      </c>
      <c r="G1229" s="16">
        <v>525.71</v>
      </c>
      <c r="H1229" s="16">
        <v>604.56650000000002</v>
      </c>
      <c r="I1229" s="1">
        <v>46177</v>
      </c>
      <c r="J1229">
        <v>66</v>
      </c>
      <c r="K1229" t="s">
        <v>4116</v>
      </c>
      <c r="L1229" t="s">
        <v>5646</v>
      </c>
      <c r="M1229">
        <v>18</v>
      </c>
      <c r="N1229">
        <v>5</v>
      </c>
      <c r="O1229" t="s">
        <v>1036</v>
      </c>
      <c r="P1229" s="17"/>
      <c r="Q1229" s="17" t="str">
        <f>_xlfn.XLOOKUP(Table2[[#This Row],[buyFromVendorNo]],'Next Day Scheduled'!A:A,'Pending Returns'!O:O,"NOT_FOUND")</f>
        <v>NOT_FOUND</v>
      </c>
    </row>
    <row r="1230" spans="1:17" x14ac:dyDescent="0.3">
      <c r="A1230" s="1">
        <v>46193</v>
      </c>
      <c r="B1230" t="s">
        <v>3282</v>
      </c>
      <c r="C1230" t="s">
        <v>621</v>
      </c>
      <c r="D1230" t="s">
        <v>622</v>
      </c>
      <c r="E1230" t="s">
        <v>8</v>
      </c>
      <c r="F1230" t="s">
        <v>10</v>
      </c>
      <c r="G1230" s="16">
        <v>121.31932999999999</v>
      </c>
      <c r="H1230" s="16">
        <v>139.51723000000001</v>
      </c>
      <c r="I1230" s="1">
        <v>46193</v>
      </c>
      <c r="J1230">
        <v>66</v>
      </c>
      <c r="K1230" t="s">
        <v>5355</v>
      </c>
      <c r="L1230" t="s">
        <v>5626</v>
      </c>
      <c r="M1230">
        <v>9</v>
      </c>
      <c r="N1230">
        <v>3</v>
      </c>
      <c r="O1230" t="s">
        <v>1036</v>
      </c>
      <c r="P1230" s="17"/>
      <c r="Q1230" s="17" t="str">
        <f>_xlfn.XLOOKUP(Table2[[#This Row],[buyFromVendorNo]],'Next Day Scheduled'!A:A,'Pending Returns'!O:O,"NOT_FOUND")</f>
        <v>NOT_FOUND</v>
      </c>
    </row>
    <row r="1231" spans="1:17" x14ac:dyDescent="0.3">
      <c r="A1231" s="1">
        <v>46193</v>
      </c>
      <c r="B1231" t="s">
        <v>3720</v>
      </c>
      <c r="C1231" t="s">
        <v>852</v>
      </c>
      <c r="D1231" t="s">
        <v>853</v>
      </c>
      <c r="E1231" t="s">
        <v>8</v>
      </c>
      <c r="F1231" t="s">
        <v>10</v>
      </c>
      <c r="G1231" s="16">
        <v>1105.5017</v>
      </c>
      <c r="H1231" s="16">
        <v>1271.327</v>
      </c>
      <c r="I1231" s="1">
        <v>46184</v>
      </c>
      <c r="J1231">
        <v>66</v>
      </c>
      <c r="K1231" t="s">
        <v>3657</v>
      </c>
      <c r="L1231" t="s">
        <v>5627</v>
      </c>
      <c r="M1231">
        <v>0</v>
      </c>
      <c r="N1231">
        <v>69</v>
      </c>
      <c r="O1231" t="s">
        <v>1036</v>
      </c>
      <c r="P1231" s="17"/>
      <c r="Q1231" s="17" t="str">
        <f>_xlfn.XLOOKUP(Table2[[#This Row],[buyFromVendorNo]],'Next Day Scheduled'!A:A,'Pending Returns'!O:O,"NOT_FOUND")</f>
        <v>NOT_FOUND</v>
      </c>
    </row>
    <row r="1232" spans="1:17" x14ac:dyDescent="0.3">
      <c r="A1232" s="1">
        <v>46193</v>
      </c>
      <c r="B1232" t="s">
        <v>3463</v>
      </c>
      <c r="C1232" t="s">
        <v>2337</v>
      </c>
      <c r="D1232" t="s">
        <v>2338</v>
      </c>
      <c r="E1232" t="s">
        <v>8</v>
      </c>
      <c r="F1232" t="s">
        <v>10</v>
      </c>
      <c r="G1232" s="16">
        <v>557.73</v>
      </c>
      <c r="H1232" s="16">
        <v>641.3895</v>
      </c>
      <c r="I1232" s="1">
        <v>46185</v>
      </c>
      <c r="J1232">
        <v>66</v>
      </c>
      <c r="K1232" t="s">
        <v>4561</v>
      </c>
      <c r="L1232" t="s">
        <v>5613</v>
      </c>
      <c r="M1232">
        <v>9</v>
      </c>
      <c r="N1232">
        <v>5</v>
      </c>
      <c r="O1232" t="s">
        <v>1036</v>
      </c>
      <c r="P1232" s="17"/>
      <c r="Q1232" s="17" t="str">
        <f>_xlfn.XLOOKUP(Table2[[#This Row],[buyFromVendorNo]],'Next Day Scheduled'!A:A,'Pending Returns'!O:O,"NOT_FOUND")</f>
        <v>NOT_FOUND</v>
      </c>
    </row>
    <row r="1233" spans="1:17" x14ac:dyDescent="0.3">
      <c r="A1233" s="1">
        <v>46193</v>
      </c>
      <c r="B1233" t="s">
        <v>4074</v>
      </c>
      <c r="C1233" t="s">
        <v>57</v>
      </c>
      <c r="D1233" t="s">
        <v>58</v>
      </c>
      <c r="E1233" t="s">
        <v>8</v>
      </c>
      <c r="F1233" t="s">
        <v>38</v>
      </c>
      <c r="G1233" s="16">
        <v>180</v>
      </c>
      <c r="H1233" s="16">
        <v>207</v>
      </c>
      <c r="I1233" s="1">
        <v>46182</v>
      </c>
      <c r="J1233">
        <v>66</v>
      </c>
      <c r="K1233" t="s">
        <v>4075</v>
      </c>
      <c r="L1233" t="s">
        <v>5650</v>
      </c>
      <c r="M1233">
        <v>0</v>
      </c>
      <c r="N1233">
        <v>191</v>
      </c>
      <c r="O1233" t="s">
        <v>1036</v>
      </c>
      <c r="P1233" s="17"/>
      <c r="Q1233" s="17" t="str">
        <f>_xlfn.XLOOKUP(Table2[[#This Row],[buyFromVendorNo]],'Next Day Scheduled'!A:A,'Pending Returns'!O:O,"NOT_FOUND")</f>
        <v>Posted Credit Note</v>
      </c>
    </row>
    <row r="1234" spans="1:17" x14ac:dyDescent="0.3">
      <c r="A1234" s="1">
        <v>46193</v>
      </c>
      <c r="B1234" t="s">
        <v>2585</v>
      </c>
      <c r="C1234" t="s">
        <v>1411</v>
      </c>
      <c r="D1234" t="s">
        <v>1412</v>
      </c>
      <c r="E1234" t="s">
        <v>8</v>
      </c>
      <c r="F1234" t="s">
        <v>10</v>
      </c>
      <c r="G1234" s="16">
        <v>1931.62</v>
      </c>
      <c r="H1234" s="16">
        <v>2221.3629999999998</v>
      </c>
      <c r="I1234" s="1">
        <v>46174</v>
      </c>
      <c r="J1234">
        <v>66</v>
      </c>
      <c r="K1234" t="s">
        <v>2586</v>
      </c>
      <c r="L1234" t="s">
        <v>5651</v>
      </c>
      <c r="M1234">
        <v>8</v>
      </c>
      <c r="N1234">
        <v>3</v>
      </c>
      <c r="O1234" t="s">
        <v>1036</v>
      </c>
      <c r="P1234" s="17"/>
      <c r="Q1234" s="17" t="str">
        <f>_xlfn.XLOOKUP(Table2[[#This Row],[buyFromVendorNo]],'Next Day Scheduled'!A:A,'Pending Returns'!O:O,"NOT_FOUND")</f>
        <v>NOT_FOUND</v>
      </c>
    </row>
    <row r="1235" spans="1:17" x14ac:dyDescent="0.3">
      <c r="A1235" s="1">
        <v>46193</v>
      </c>
      <c r="B1235" t="s">
        <v>4591</v>
      </c>
      <c r="C1235" t="s">
        <v>576</v>
      </c>
      <c r="D1235" t="s">
        <v>577</v>
      </c>
      <c r="E1235" t="s">
        <v>8</v>
      </c>
      <c r="F1235" t="s">
        <v>10</v>
      </c>
      <c r="G1235" s="16">
        <v>1146.8483000000001</v>
      </c>
      <c r="H1235" s="16">
        <v>1318.8756000000001</v>
      </c>
      <c r="I1235" s="1">
        <v>46188</v>
      </c>
      <c r="J1235">
        <v>66</v>
      </c>
      <c r="K1235" t="s">
        <v>4592</v>
      </c>
      <c r="L1235" t="s">
        <v>5672</v>
      </c>
      <c r="M1235">
        <v>10</v>
      </c>
      <c r="N1235">
        <v>3</v>
      </c>
      <c r="O1235" t="s">
        <v>1036</v>
      </c>
      <c r="P1235" s="17"/>
      <c r="Q1235" s="17" t="str">
        <f>_xlfn.XLOOKUP(Table2[[#This Row],[buyFromVendorNo]],'Next Day Scheduled'!A:A,'Pending Returns'!O:O,"NOT_FOUND")</f>
        <v>NOT_FOUND</v>
      </c>
    </row>
    <row r="1236" spans="1:17" x14ac:dyDescent="0.3">
      <c r="A1236" s="1">
        <v>46193</v>
      </c>
      <c r="B1236" t="s">
        <v>3261</v>
      </c>
      <c r="C1236" t="s">
        <v>3083</v>
      </c>
      <c r="D1236" t="s">
        <v>3084</v>
      </c>
      <c r="E1236" t="s">
        <v>8</v>
      </c>
      <c r="F1236" t="s">
        <v>10</v>
      </c>
      <c r="G1236" s="16">
        <v>4201.0600000000004</v>
      </c>
      <c r="H1236" s="16">
        <v>4831.2190000000001</v>
      </c>
      <c r="I1236" s="1">
        <v>46193</v>
      </c>
      <c r="J1236">
        <v>66</v>
      </c>
      <c r="K1236" t="s">
        <v>3082</v>
      </c>
      <c r="L1236" t="s">
        <v>5630</v>
      </c>
      <c r="M1236">
        <v>0</v>
      </c>
      <c r="N1236">
        <v>377</v>
      </c>
      <c r="O1236" t="s">
        <v>1036</v>
      </c>
      <c r="P1236" s="17"/>
      <c r="Q1236" s="17" t="str">
        <f>_xlfn.XLOOKUP(Table2[[#This Row],[buyFromVendorNo]],'Next Day Scheduled'!A:A,'Pending Returns'!O:O,"NOT_FOUND")</f>
        <v>NOT_FOUND</v>
      </c>
    </row>
    <row r="1237" spans="1:17" x14ac:dyDescent="0.3">
      <c r="A1237" s="1">
        <v>46193</v>
      </c>
      <c r="B1237" t="s">
        <v>2979</v>
      </c>
      <c r="C1237" t="s">
        <v>798</v>
      </c>
      <c r="D1237" t="s">
        <v>799</v>
      </c>
      <c r="E1237" t="s">
        <v>8</v>
      </c>
      <c r="F1237" t="s">
        <v>10</v>
      </c>
      <c r="G1237" s="16">
        <v>482.97050000000002</v>
      </c>
      <c r="H1237" s="16">
        <v>555.41610000000003</v>
      </c>
      <c r="I1237" s="1">
        <v>46181</v>
      </c>
      <c r="J1237">
        <v>66</v>
      </c>
      <c r="K1237" t="s">
        <v>2980</v>
      </c>
      <c r="L1237" t="s">
        <v>5652</v>
      </c>
      <c r="M1237">
        <v>9</v>
      </c>
      <c r="N1237">
        <v>9</v>
      </c>
      <c r="O1237" t="s">
        <v>1036</v>
      </c>
      <c r="P1237" s="17"/>
      <c r="Q1237" s="17" t="str">
        <f>_xlfn.XLOOKUP(Table2[[#This Row],[buyFromVendorNo]],'Next Day Scheduled'!A:A,'Pending Returns'!O:O,"NOT_FOUND")</f>
        <v>NOT_FOUND</v>
      </c>
    </row>
    <row r="1238" spans="1:17" x14ac:dyDescent="0.3">
      <c r="A1238" s="1">
        <v>46193</v>
      </c>
      <c r="B1238" t="s">
        <v>4675</v>
      </c>
      <c r="C1238" t="s">
        <v>901</v>
      </c>
      <c r="D1238" t="s">
        <v>902</v>
      </c>
      <c r="E1238" t="s">
        <v>8</v>
      </c>
      <c r="F1238" t="s">
        <v>169</v>
      </c>
      <c r="G1238" s="16">
        <v>332.91</v>
      </c>
      <c r="H1238" s="16">
        <v>382.84649999999999</v>
      </c>
      <c r="I1238" s="1">
        <v>46193</v>
      </c>
      <c r="J1238">
        <v>66</v>
      </c>
      <c r="K1238" t="s">
        <v>4673</v>
      </c>
      <c r="L1238" t="s">
        <v>5675</v>
      </c>
      <c r="M1238">
        <v>2</v>
      </c>
      <c r="N1238">
        <v>29</v>
      </c>
      <c r="O1238" t="s">
        <v>1036</v>
      </c>
      <c r="P1238" s="17"/>
      <c r="Q1238" s="17" t="str">
        <f>_xlfn.XLOOKUP(Table2[[#This Row],[buyFromVendorNo]],'Next Day Scheduled'!A:A,'Pending Returns'!O:O,"NOT_FOUND")</f>
        <v>NOT_FOUND</v>
      </c>
    </row>
    <row r="1239" spans="1:17" x14ac:dyDescent="0.3">
      <c r="A1239" s="1">
        <v>46194</v>
      </c>
      <c r="B1239" t="s">
        <v>3397</v>
      </c>
      <c r="C1239" t="s">
        <v>95</v>
      </c>
      <c r="D1239" t="s">
        <v>96</v>
      </c>
      <c r="E1239" t="s">
        <v>8</v>
      </c>
      <c r="F1239" t="s">
        <v>10</v>
      </c>
      <c r="G1239" s="16">
        <v>2515.3179</v>
      </c>
      <c r="H1239" s="16">
        <v>2892.6154999999999</v>
      </c>
      <c r="I1239" s="1">
        <v>46174</v>
      </c>
      <c r="J1239">
        <v>65</v>
      </c>
      <c r="K1239" t="s">
        <v>3398</v>
      </c>
      <c r="L1239" t="s">
        <v>5692</v>
      </c>
      <c r="M1239">
        <v>10</v>
      </c>
      <c r="N1239">
        <v>1</v>
      </c>
      <c r="O1239" t="s">
        <v>1036</v>
      </c>
      <c r="P1239" s="17"/>
      <c r="Q1239" s="17" t="str">
        <f>_xlfn.XLOOKUP(Table2[[#This Row],[buyFromVendorNo]],'Next Day Scheduled'!A:A,'Pending Returns'!O:O,"NOT_FOUND")</f>
        <v>NOT_FOUND</v>
      </c>
    </row>
    <row r="1240" spans="1:17" x14ac:dyDescent="0.3">
      <c r="A1240" s="1">
        <v>46194</v>
      </c>
      <c r="B1240" t="s">
        <v>474</v>
      </c>
      <c r="C1240" t="s">
        <v>57</v>
      </c>
      <c r="D1240" t="s">
        <v>58</v>
      </c>
      <c r="E1240" t="s">
        <v>8</v>
      </c>
      <c r="F1240" t="s">
        <v>10</v>
      </c>
      <c r="G1240" s="16">
        <v>3752.81</v>
      </c>
      <c r="H1240" s="16">
        <v>4315.7313999999997</v>
      </c>
      <c r="I1240" s="1">
        <v>46176</v>
      </c>
      <c r="J1240">
        <v>65</v>
      </c>
      <c r="K1240" t="s">
        <v>1007</v>
      </c>
      <c r="L1240" t="s">
        <v>5762</v>
      </c>
      <c r="M1240">
        <v>8</v>
      </c>
      <c r="N1240">
        <v>8</v>
      </c>
      <c r="O1240" t="s">
        <v>1036</v>
      </c>
      <c r="P1240" s="17"/>
      <c r="Q1240" s="17" t="str">
        <f>_xlfn.XLOOKUP(Table2[[#This Row],[buyFromVendorNo]],'Next Day Scheduled'!A:A,'Pending Returns'!O:O,"NOT_FOUND")</f>
        <v>Posted Credit Note</v>
      </c>
    </row>
    <row r="1241" spans="1:17" x14ac:dyDescent="0.3">
      <c r="A1241" s="1">
        <v>46194</v>
      </c>
      <c r="B1241" t="s">
        <v>4031</v>
      </c>
      <c r="C1241" t="s">
        <v>548</v>
      </c>
      <c r="D1241" t="s">
        <v>549</v>
      </c>
      <c r="E1241" t="s">
        <v>8</v>
      </c>
      <c r="F1241" t="s">
        <v>169</v>
      </c>
      <c r="G1241" s="16">
        <v>35.090119999999999</v>
      </c>
      <c r="H1241" s="16">
        <v>40.353639999999999</v>
      </c>
      <c r="I1241" s="1">
        <v>46193</v>
      </c>
      <c r="J1241">
        <v>65</v>
      </c>
      <c r="K1241" t="s">
        <v>5005</v>
      </c>
      <c r="L1241" t="s">
        <v>5737</v>
      </c>
      <c r="M1241">
        <v>0</v>
      </c>
      <c r="N1241">
        <v>181</v>
      </c>
      <c r="O1241" t="s">
        <v>1036</v>
      </c>
      <c r="P1241" s="17"/>
      <c r="Q1241" s="17" t="str">
        <f>_xlfn.XLOOKUP(Table2[[#This Row],[buyFromVendorNo]],'Next Day Scheduled'!A:A,'Pending Returns'!O:O,"NOT_FOUND")</f>
        <v>NOT_FOUND</v>
      </c>
    </row>
    <row r="1242" spans="1:17" x14ac:dyDescent="0.3">
      <c r="A1242" s="1">
        <v>46194</v>
      </c>
      <c r="B1242" t="s">
        <v>3919</v>
      </c>
      <c r="C1242" t="s">
        <v>3920</v>
      </c>
      <c r="D1242" t="s">
        <v>3921</v>
      </c>
      <c r="E1242" t="s">
        <v>8</v>
      </c>
      <c r="F1242" t="s">
        <v>10</v>
      </c>
      <c r="G1242" s="16">
        <v>1529.12</v>
      </c>
      <c r="H1242" s="16">
        <v>1584.068</v>
      </c>
      <c r="I1242" s="1">
        <v>46190</v>
      </c>
      <c r="J1242">
        <v>65</v>
      </c>
      <c r="K1242" t="s">
        <v>3922</v>
      </c>
      <c r="L1242" t="s">
        <v>5698</v>
      </c>
      <c r="M1242">
        <v>0</v>
      </c>
      <c r="N1242">
        <v>101</v>
      </c>
      <c r="O1242" t="s">
        <v>1036</v>
      </c>
      <c r="P1242" s="17"/>
      <c r="Q1242" s="17" t="str">
        <f>_xlfn.XLOOKUP(Table2[[#This Row],[buyFromVendorNo]],'Next Day Scheduled'!A:A,'Pending Returns'!O:O,"NOT_FOUND")</f>
        <v>NOT_FOUND</v>
      </c>
    </row>
    <row r="1243" spans="1:17" x14ac:dyDescent="0.3">
      <c r="A1243" s="1">
        <v>46194</v>
      </c>
      <c r="B1243" t="s">
        <v>5184</v>
      </c>
      <c r="C1243" t="s">
        <v>318</v>
      </c>
      <c r="D1243" t="s">
        <v>319</v>
      </c>
      <c r="E1243" t="s">
        <v>8</v>
      </c>
      <c r="F1243" t="s">
        <v>10</v>
      </c>
      <c r="G1243" s="16">
        <v>749.99</v>
      </c>
      <c r="H1243" s="16">
        <v>862.48850000000004</v>
      </c>
      <c r="I1243" s="1">
        <v>46176</v>
      </c>
      <c r="J1243">
        <v>65</v>
      </c>
      <c r="K1243" t="s">
        <v>3659</v>
      </c>
      <c r="L1243" t="s">
        <v>5744</v>
      </c>
      <c r="M1243">
        <v>11</v>
      </c>
      <c r="N1243">
        <v>2</v>
      </c>
      <c r="O1243" t="s">
        <v>1036</v>
      </c>
      <c r="P1243" s="17"/>
      <c r="Q1243" s="17" t="str">
        <f>_xlfn.XLOOKUP(Table2[[#This Row],[buyFromVendorNo]],'Next Day Scheduled'!A:A,'Pending Returns'!O:O,"NOT_FOUND")</f>
        <v>NOT_FOUND</v>
      </c>
    </row>
    <row r="1244" spans="1:17" x14ac:dyDescent="0.3">
      <c r="A1244" s="1">
        <v>46194</v>
      </c>
      <c r="B1244" t="s">
        <v>4686</v>
      </c>
      <c r="C1244" t="s">
        <v>1346</v>
      </c>
      <c r="D1244" t="s">
        <v>1347</v>
      </c>
      <c r="E1244" t="s">
        <v>8</v>
      </c>
      <c r="F1244" t="s">
        <v>10</v>
      </c>
      <c r="G1244" s="16">
        <v>813.61</v>
      </c>
      <c r="H1244" s="16">
        <v>935.65150000000006</v>
      </c>
      <c r="I1244" s="1">
        <v>46174</v>
      </c>
      <c r="J1244">
        <v>65</v>
      </c>
      <c r="K1244" t="s">
        <v>3617</v>
      </c>
      <c r="L1244" t="s">
        <v>5720</v>
      </c>
      <c r="M1244">
        <v>6</v>
      </c>
      <c r="N1244">
        <v>9</v>
      </c>
      <c r="O1244" t="s">
        <v>1036</v>
      </c>
      <c r="P1244" s="17"/>
      <c r="Q1244" s="17" t="str">
        <f>_xlfn.XLOOKUP(Table2[[#This Row],[buyFromVendorNo]],'Next Day Scheduled'!A:A,'Pending Returns'!O:O,"NOT_FOUND")</f>
        <v>NOT_FOUND</v>
      </c>
    </row>
    <row r="1245" spans="1:17" x14ac:dyDescent="0.3">
      <c r="A1245" s="1">
        <v>46194</v>
      </c>
      <c r="B1245" t="s">
        <v>2566</v>
      </c>
      <c r="C1245" t="s">
        <v>2448</v>
      </c>
      <c r="D1245" t="s">
        <v>2449</v>
      </c>
      <c r="E1245" t="s">
        <v>8</v>
      </c>
      <c r="F1245" t="s">
        <v>10</v>
      </c>
      <c r="G1245" s="16">
        <v>8907.08</v>
      </c>
      <c r="H1245" s="16">
        <v>10243.143</v>
      </c>
      <c r="I1245" s="1">
        <v>46174</v>
      </c>
      <c r="J1245">
        <v>65</v>
      </c>
      <c r="K1245" t="s">
        <v>2450</v>
      </c>
      <c r="L1245" t="s">
        <v>5702</v>
      </c>
      <c r="M1245">
        <v>5</v>
      </c>
      <c r="N1245">
        <v>7</v>
      </c>
      <c r="O1245" t="s">
        <v>1036</v>
      </c>
      <c r="P1245" s="17"/>
      <c r="Q1245" s="17" t="str">
        <f>_xlfn.XLOOKUP(Table2[[#This Row],[buyFromVendorNo]],'Next Day Scheduled'!A:A,'Pending Returns'!O:O,"NOT_FOUND")</f>
        <v>NOT_FOUND</v>
      </c>
    </row>
    <row r="1246" spans="1:17" x14ac:dyDescent="0.3">
      <c r="A1246" s="1">
        <v>46194</v>
      </c>
      <c r="B1246" t="s">
        <v>4096</v>
      </c>
      <c r="C1246" t="s">
        <v>107</v>
      </c>
      <c r="D1246" t="s">
        <v>3864</v>
      </c>
      <c r="E1246" t="s">
        <v>8</v>
      </c>
      <c r="F1246" t="s">
        <v>10</v>
      </c>
      <c r="G1246" s="16">
        <v>437.18194999999997</v>
      </c>
      <c r="H1246" s="16">
        <v>502.75925000000001</v>
      </c>
      <c r="I1246" s="1">
        <v>46190</v>
      </c>
      <c r="J1246">
        <v>65</v>
      </c>
      <c r="K1246" t="s">
        <v>4710</v>
      </c>
      <c r="L1246" t="s">
        <v>5768</v>
      </c>
      <c r="M1246">
        <v>10</v>
      </c>
      <c r="N1246">
        <v>5</v>
      </c>
      <c r="O1246" t="s">
        <v>1036</v>
      </c>
      <c r="P1246" s="17"/>
      <c r="Q1246" s="17" t="str">
        <f>_xlfn.XLOOKUP(Table2[[#This Row],[buyFromVendorNo]],'Next Day Scheduled'!A:A,'Pending Returns'!O:O,"NOT_FOUND")</f>
        <v>NOT_FOUND</v>
      </c>
    </row>
    <row r="1247" spans="1:17" x14ac:dyDescent="0.3">
      <c r="A1247" s="1">
        <v>46194</v>
      </c>
      <c r="B1247" t="s">
        <v>3403</v>
      </c>
      <c r="C1247" t="s">
        <v>2357</v>
      </c>
      <c r="D1247" t="s">
        <v>2358</v>
      </c>
      <c r="E1247" t="s">
        <v>8</v>
      </c>
      <c r="F1247" t="s">
        <v>10</v>
      </c>
      <c r="G1247" s="16">
        <v>566.94000000000005</v>
      </c>
      <c r="H1247" s="16">
        <v>651.98099999999999</v>
      </c>
      <c r="I1247" s="1">
        <v>46183</v>
      </c>
      <c r="J1247">
        <v>65</v>
      </c>
      <c r="K1247" t="s">
        <v>3404</v>
      </c>
      <c r="L1247" t="s">
        <v>5751</v>
      </c>
      <c r="M1247">
        <v>9</v>
      </c>
      <c r="N1247">
        <v>6</v>
      </c>
      <c r="O1247" t="s">
        <v>1036</v>
      </c>
      <c r="P1247" s="17"/>
      <c r="Q1247" s="17" t="str">
        <f>_xlfn.XLOOKUP(Table2[[#This Row],[buyFromVendorNo]],'Next Day Scheduled'!A:A,'Pending Returns'!O:O,"NOT_FOUND")</f>
        <v>NOT_FOUND</v>
      </c>
    </row>
    <row r="1248" spans="1:17" x14ac:dyDescent="0.3">
      <c r="A1248" s="1">
        <v>46194</v>
      </c>
      <c r="B1248" t="s">
        <v>2573</v>
      </c>
      <c r="C1248" t="s">
        <v>1222</v>
      </c>
      <c r="D1248" t="s">
        <v>1223</v>
      </c>
      <c r="E1248" t="s">
        <v>8</v>
      </c>
      <c r="F1248" t="s">
        <v>10</v>
      </c>
      <c r="G1248" s="16">
        <v>205</v>
      </c>
      <c r="H1248" s="16">
        <v>235.75</v>
      </c>
      <c r="I1248" s="1">
        <v>46194</v>
      </c>
      <c r="J1248">
        <v>65</v>
      </c>
      <c r="K1248" t="s">
        <v>5407</v>
      </c>
      <c r="L1248" t="s">
        <v>5726</v>
      </c>
      <c r="M1248">
        <v>9</v>
      </c>
      <c r="N1248">
        <v>3</v>
      </c>
      <c r="O1248" t="s">
        <v>1036</v>
      </c>
      <c r="P1248" s="17"/>
      <c r="Q1248" s="17" t="str">
        <f>_xlfn.XLOOKUP(Table2[[#This Row],[buyFromVendorNo]],'Next Day Scheduled'!A:A,'Pending Returns'!O:O,"NOT_FOUND")</f>
        <v>NOT_FOUND</v>
      </c>
    </row>
    <row r="1249" spans="1:17" x14ac:dyDescent="0.3">
      <c r="A1249" s="1">
        <v>46194</v>
      </c>
      <c r="B1249" t="s">
        <v>5171</v>
      </c>
      <c r="C1249" t="s">
        <v>84</v>
      </c>
      <c r="D1249" t="s">
        <v>85</v>
      </c>
      <c r="E1249" t="s">
        <v>8</v>
      </c>
      <c r="F1249" t="s">
        <v>10</v>
      </c>
      <c r="G1249" s="16">
        <v>2810.7049999999999</v>
      </c>
      <c r="H1249" s="16">
        <v>3232.3108000000002</v>
      </c>
      <c r="I1249" s="1">
        <v>46174</v>
      </c>
      <c r="J1249">
        <v>65</v>
      </c>
      <c r="K1249" t="s">
        <v>3608</v>
      </c>
      <c r="L1249" t="s">
        <v>5727</v>
      </c>
      <c r="M1249">
        <v>10</v>
      </c>
      <c r="N1249">
        <v>2</v>
      </c>
      <c r="O1249" t="s">
        <v>1036</v>
      </c>
      <c r="P1249" s="17"/>
      <c r="Q1249" s="17" t="str">
        <f>_xlfn.XLOOKUP(Table2[[#This Row],[buyFromVendorNo]],'Next Day Scheduled'!A:A,'Pending Returns'!O:O,"NOT_FOUND")</f>
        <v>NOT_FOUND</v>
      </c>
    </row>
    <row r="1250" spans="1:17" x14ac:dyDescent="0.3">
      <c r="A1250" s="1">
        <v>46194</v>
      </c>
      <c r="B1250" t="s">
        <v>4460</v>
      </c>
      <c r="C1250" t="s">
        <v>65</v>
      </c>
      <c r="D1250" t="s">
        <v>66</v>
      </c>
      <c r="E1250" t="s">
        <v>8</v>
      </c>
      <c r="F1250" t="s">
        <v>169</v>
      </c>
      <c r="G1250" s="16">
        <v>898.745</v>
      </c>
      <c r="H1250" s="16">
        <v>1033.5568000000001</v>
      </c>
      <c r="I1250" s="1">
        <v>46191</v>
      </c>
      <c r="J1250">
        <v>65</v>
      </c>
      <c r="K1250" t="s">
        <v>5549</v>
      </c>
      <c r="L1250" t="s">
        <v>5754</v>
      </c>
      <c r="M1250">
        <v>18</v>
      </c>
      <c r="N1250">
        <v>5</v>
      </c>
      <c r="O1250" t="s">
        <v>1036</v>
      </c>
      <c r="P1250" s="17"/>
      <c r="Q1250" s="17" t="str">
        <f>_xlfn.XLOOKUP(Table2[[#This Row],[buyFromVendorNo]],'Next Day Scheduled'!A:A,'Pending Returns'!O:O,"NOT_FOUND")</f>
        <v>Posted Credit Note</v>
      </c>
    </row>
    <row r="1251" spans="1:17" x14ac:dyDescent="0.3">
      <c r="A1251" s="1">
        <v>46194</v>
      </c>
      <c r="B1251" t="s">
        <v>688</v>
      </c>
      <c r="C1251" t="s">
        <v>57</v>
      </c>
      <c r="D1251" t="s">
        <v>58</v>
      </c>
      <c r="E1251" t="s">
        <v>8</v>
      </c>
      <c r="F1251" t="s">
        <v>10</v>
      </c>
      <c r="G1251" s="16">
        <v>1783.86</v>
      </c>
      <c r="H1251" s="16">
        <v>2051.4389999999999</v>
      </c>
      <c r="I1251" s="1">
        <v>46176</v>
      </c>
      <c r="J1251">
        <v>65</v>
      </c>
      <c r="K1251" t="s">
        <v>1934</v>
      </c>
      <c r="L1251" t="s">
        <v>5734</v>
      </c>
      <c r="M1251">
        <v>8</v>
      </c>
      <c r="N1251">
        <v>8</v>
      </c>
      <c r="O1251" t="s">
        <v>1036</v>
      </c>
      <c r="P1251" s="17"/>
      <c r="Q1251" s="17" t="str">
        <f>_xlfn.XLOOKUP(Table2[[#This Row],[buyFromVendorNo]],'Next Day Scheduled'!A:A,'Pending Returns'!O:O,"NOT_FOUND")</f>
        <v>Posted Credit Note</v>
      </c>
    </row>
    <row r="1252" spans="1:17" x14ac:dyDescent="0.3">
      <c r="A1252" s="1">
        <v>46194</v>
      </c>
      <c r="B1252" t="s">
        <v>262</v>
      </c>
      <c r="C1252" t="s">
        <v>57</v>
      </c>
      <c r="D1252" t="s">
        <v>58</v>
      </c>
      <c r="E1252" t="s">
        <v>8</v>
      </c>
      <c r="F1252" t="s">
        <v>10</v>
      </c>
      <c r="G1252" s="16">
        <v>1850.03</v>
      </c>
      <c r="H1252" s="16">
        <v>2127.5344</v>
      </c>
      <c r="I1252" s="1">
        <v>46176</v>
      </c>
      <c r="J1252">
        <v>65</v>
      </c>
      <c r="K1252" t="s">
        <v>2237</v>
      </c>
      <c r="L1252" t="s">
        <v>5759</v>
      </c>
      <c r="M1252">
        <v>8</v>
      </c>
      <c r="N1252">
        <v>8</v>
      </c>
      <c r="O1252" t="s">
        <v>1036</v>
      </c>
      <c r="P1252" s="17"/>
      <c r="Q1252" s="17" t="str">
        <f>_xlfn.XLOOKUP(Table2[[#This Row],[buyFromVendorNo]],'Next Day Scheduled'!A:A,'Pending Returns'!O:O,"NOT_FOUND")</f>
        <v>Posted Credit Note</v>
      </c>
    </row>
    <row r="1253" spans="1:17" x14ac:dyDescent="0.3">
      <c r="A1253" s="1">
        <v>46194</v>
      </c>
      <c r="B1253" t="s">
        <v>390</v>
      </c>
      <c r="C1253" t="s">
        <v>776</v>
      </c>
      <c r="D1253" t="s">
        <v>777</v>
      </c>
      <c r="E1253" t="s">
        <v>8</v>
      </c>
      <c r="F1253" t="s">
        <v>38</v>
      </c>
      <c r="G1253" s="16">
        <v>208.6</v>
      </c>
      <c r="H1253" s="16">
        <v>239.89</v>
      </c>
      <c r="I1253" s="1">
        <v>46181</v>
      </c>
      <c r="J1253">
        <v>65</v>
      </c>
      <c r="K1253" t="s">
        <v>4613</v>
      </c>
      <c r="L1253" t="s">
        <v>5707</v>
      </c>
      <c r="M1253">
        <v>11</v>
      </c>
      <c r="N1253">
        <v>2</v>
      </c>
      <c r="O1253" t="s">
        <v>1036</v>
      </c>
      <c r="P1253" s="17"/>
      <c r="Q1253" s="17" t="str">
        <f>_xlfn.XLOOKUP(Table2[[#This Row],[buyFromVendorNo]],'Next Day Scheduled'!A:A,'Pending Returns'!O:O,"NOT_FOUND")</f>
        <v>Posted Credit Note</v>
      </c>
    </row>
    <row r="1254" spans="1:17" x14ac:dyDescent="0.3">
      <c r="A1254" s="1">
        <v>46194</v>
      </c>
      <c r="B1254" t="s">
        <v>2385</v>
      </c>
      <c r="C1254" t="s">
        <v>598</v>
      </c>
      <c r="D1254" t="s">
        <v>599</v>
      </c>
      <c r="E1254" t="s">
        <v>8</v>
      </c>
      <c r="F1254" t="s">
        <v>10</v>
      </c>
      <c r="G1254" s="16">
        <v>1898.5440000000001</v>
      </c>
      <c r="H1254" s="16">
        <v>2183.3256999999999</v>
      </c>
      <c r="I1254" s="1">
        <v>46194</v>
      </c>
      <c r="J1254">
        <v>65</v>
      </c>
      <c r="K1254" t="s">
        <v>5057</v>
      </c>
      <c r="L1254" t="s">
        <v>5736</v>
      </c>
      <c r="M1254">
        <v>8</v>
      </c>
      <c r="N1254">
        <v>6</v>
      </c>
      <c r="O1254" t="s">
        <v>1036</v>
      </c>
      <c r="P1254" s="17"/>
      <c r="Q1254" s="17" t="str">
        <f>_xlfn.XLOOKUP(Table2[[#This Row],[buyFromVendorNo]],'Next Day Scheduled'!A:A,'Pending Returns'!O:O,"NOT_FOUND")</f>
        <v>NOT_FOUND</v>
      </c>
    </row>
    <row r="1255" spans="1:17" x14ac:dyDescent="0.3">
      <c r="A1255" s="1">
        <v>46194</v>
      </c>
      <c r="B1255" t="s">
        <v>4772</v>
      </c>
      <c r="C1255" t="s">
        <v>850</v>
      </c>
      <c r="D1255" t="s">
        <v>851</v>
      </c>
      <c r="E1255" t="s">
        <v>8</v>
      </c>
      <c r="F1255" t="s">
        <v>10</v>
      </c>
      <c r="G1255" s="16">
        <v>413</v>
      </c>
      <c r="H1255" s="16">
        <v>474.95</v>
      </c>
      <c r="I1255" s="1">
        <v>46188</v>
      </c>
      <c r="J1255">
        <v>65</v>
      </c>
      <c r="K1255" t="s">
        <v>4844</v>
      </c>
      <c r="L1255" t="s">
        <v>5714</v>
      </c>
      <c r="M1255">
        <v>10</v>
      </c>
      <c r="N1255">
        <v>1</v>
      </c>
      <c r="O1255" t="s">
        <v>1036</v>
      </c>
      <c r="P1255" s="17"/>
      <c r="Q1255" s="17" t="str">
        <f>_xlfn.XLOOKUP(Table2[[#This Row],[buyFromVendorNo]],'Next Day Scheduled'!A:A,'Pending Returns'!O:O,"NOT_FOUND")</f>
        <v>NOT_FOUND</v>
      </c>
    </row>
    <row r="1256" spans="1:17" x14ac:dyDescent="0.3">
      <c r="A1256" s="1">
        <v>46194</v>
      </c>
      <c r="B1256" t="s">
        <v>3030</v>
      </c>
      <c r="C1256" t="s">
        <v>2448</v>
      </c>
      <c r="D1256" t="s">
        <v>2449</v>
      </c>
      <c r="E1256" t="s">
        <v>8</v>
      </c>
      <c r="F1256" t="s">
        <v>10</v>
      </c>
      <c r="G1256" s="16">
        <v>178.5</v>
      </c>
      <c r="H1256" s="16">
        <v>205.27500000000001</v>
      </c>
      <c r="I1256" s="1">
        <v>46174</v>
      </c>
      <c r="J1256">
        <v>65</v>
      </c>
      <c r="K1256" t="s">
        <v>3031</v>
      </c>
      <c r="L1256" t="s">
        <v>5715</v>
      </c>
      <c r="M1256">
        <v>5</v>
      </c>
      <c r="N1256">
        <v>7</v>
      </c>
      <c r="O1256" t="s">
        <v>1036</v>
      </c>
      <c r="P1256" s="17"/>
      <c r="Q1256" s="17" t="str">
        <f>_xlfn.XLOOKUP(Table2[[#This Row],[buyFromVendorNo]],'Next Day Scheduled'!A:A,'Pending Returns'!O:O,"NOT_FOUND")</f>
        <v>NOT_FOUND</v>
      </c>
    </row>
    <row r="1257" spans="1:17" x14ac:dyDescent="0.3">
      <c r="A1257" s="1">
        <v>46194</v>
      </c>
      <c r="B1257" t="s">
        <v>5168</v>
      </c>
      <c r="C1257" t="s">
        <v>2319</v>
      </c>
      <c r="D1257" t="s">
        <v>2320</v>
      </c>
      <c r="E1257" t="s">
        <v>8</v>
      </c>
      <c r="F1257" t="s">
        <v>10</v>
      </c>
      <c r="G1257" s="16">
        <v>2668.92</v>
      </c>
      <c r="H1257" s="16">
        <v>3069.2579999999998</v>
      </c>
      <c r="I1257" s="1">
        <v>46174</v>
      </c>
      <c r="J1257">
        <v>65</v>
      </c>
      <c r="K1257" t="s">
        <v>3619</v>
      </c>
      <c r="L1257" t="s">
        <v>5697</v>
      </c>
      <c r="M1257">
        <v>8</v>
      </c>
      <c r="N1257">
        <v>8</v>
      </c>
      <c r="O1257" t="s">
        <v>1036</v>
      </c>
      <c r="P1257" s="17"/>
      <c r="Q1257" s="17" t="str">
        <f>_xlfn.XLOOKUP(Table2[[#This Row],[buyFromVendorNo]],'Next Day Scheduled'!A:A,'Pending Returns'!O:O,"NOT_FOUND")</f>
        <v>NOT_FOUND</v>
      </c>
    </row>
    <row r="1258" spans="1:17" x14ac:dyDescent="0.3">
      <c r="A1258" s="1">
        <v>46194</v>
      </c>
      <c r="B1258" t="s">
        <v>2079</v>
      </c>
      <c r="C1258" t="s">
        <v>873</v>
      </c>
      <c r="D1258" t="s">
        <v>874</v>
      </c>
      <c r="E1258" t="s">
        <v>8</v>
      </c>
      <c r="F1258" t="s">
        <v>38</v>
      </c>
      <c r="G1258" s="16">
        <v>891.52</v>
      </c>
      <c r="H1258" s="16">
        <v>1025.248</v>
      </c>
      <c r="I1258" s="1">
        <v>46190</v>
      </c>
      <c r="J1258">
        <v>65</v>
      </c>
      <c r="K1258" t="s">
        <v>2051</v>
      </c>
      <c r="L1258" t="s">
        <v>5763</v>
      </c>
      <c r="M1258">
        <v>2</v>
      </c>
      <c r="N1258">
        <v>6</v>
      </c>
      <c r="O1258" t="s">
        <v>1036</v>
      </c>
      <c r="P1258" s="17"/>
      <c r="Q1258" s="17" t="str">
        <f>_xlfn.XLOOKUP(Table2[[#This Row],[buyFromVendorNo]],'Next Day Scheduled'!A:A,'Pending Returns'!O:O,"NOT_FOUND")</f>
        <v>Posted Credit Note</v>
      </c>
    </row>
    <row r="1259" spans="1:17" x14ac:dyDescent="0.3">
      <c r="A1259" s="1">
        <v>46194</v>
      </c>
      <c r="B1259" t="s">
        <v>558</v>
      </c>
      <c r="C1259" t="s">
        <v>191</v>
      </c>
      <c r="D1259" t="s">
        <v>192</v>
      </c>
      <c r="E1259" t="s">
        <v>8</v>
      </c>
      <c r="F1259" t="s">
        <v>10</v>
      </c>
      <c r="G1259" s="16">
        <v>1172.8262999999999</v>
      </c>
      <c r="H1259" s="16">
        <v>1348.7501999999999</v>
      </c>
      <c r="I1259" s="1">
        <v>46193</v>
      </c>
      <c r="J1259">
        <v>65</v>
      </c>
      <c r="K1259" t="s">
        <v>5025</v>
      </c>
      <c r="L1259" t="s">
        <v>5764</v>
      </c>
      <c r="M1259">
        <v>9</v>
      </c>
      <c r="N1259">
        <v>3</v>
      </c>
      <c r="O1259" t="s">
        <v>1036</v>
      </c>
      <c r="P1259" s="17"/>
      <c r="Q1259" s="17" t="str">
        <f>_xlfn.XLOOKUP(Table2[[#This Row],[buyFromVendorNo]],'Next Day Scheduled'!A:A,'Pending Returns'!O:O,"NOT_FOUND")</f>
        <v>NOT_FOUND</v>
      </c>
    </row>
    <row r="1260" spans="1:17" x14ac:dyDescent="0.3">
      <c r="A1260" s="1">
        <v>46194</v>
      </c>
      <c r="B1260" t="s">
        <v>2682</v>
      </c>
      <c r="C1260" t="s">
        <v>69</v>
      </c>
      <c r="D1260" t="s">
        <v>70</v>
      </c>
      <c r="E1260" t="s">
        <v>8</v>
      </c>
      <c r="F1260" t="s">
        <v>10</v>
      </c>
      <c r="G1260" s="16">
        <v>975.67</v>
      </c>
      <c r="H1260" s="16">
        <v>1122.0205000000001</v>
      </c>
      <c r="I1260" s="1">
        <v>46190</v>
      </c>
      <c r="J1260">
        <v>65</v>
      </c>
      <c r="K1260" t="s">
        <v>4990</v>
      </c>
      <c r="L1260" t="s">
        <v>5677</v>
      </c>
      <c r="M1260">
        <v>38</v>
      </c>
      <c r="N1260">
        <v>1</v>
      </c>
      <c r="O1260" t="s">
        <v>1036</v>
      </c>
      <c r="P1260" s="17"/>
      <c r="Q1260" s="17" t="str">
        <f>_xlfn.XLOOKUP(Table2[[#This Row],[buyFromVendorNo]],'Next Day Scheduled'!A:A,'Pending Returns'!O:O,"NOT_FOUND")</f>
        <v>Posted Credit Note</v>
      </c>
    </row>
    <row r="1261" spans="1:17" x14ac:dyDescent="0.3">
      <c r="A1261" s="1">
        <v>46194</v>
      </c>
      <c r="B1261" t="s">
        <v>4460</v>
      </c>
      <c r="C1261" t="s">
        <v>84</v>
      </c>
      <c r="D1261" t="s">
        <v>85</v>
      </c>
      <c r="E1261" t="s">
        <v>8</v>
      </c>
      <c r="F1261" t="s">
        <v>169</v>
      </c>
      <c r="G1261" s="16">
        <v>91.8</v>
      </c>
      <c r="H1261" s="16">
        <v>105.57</v>
      </c>
      <c r="I1261" s="1">
        <v>46184</v>
      </c>
      <c r="J1261">
        <v>65</v>
      </c>
      <c r="K1261" t="s">
        <v>4495</v>
      </c>
      <c r="L1261" t="s">
        <v>5699</v>
      </c>
      <c r="M1261">
        <v>9</v>
      </c>
      <c r="N1261">
        <v>3</v>
      </c>
      <c r="O1261" t="s">
        <v>1036</v>
      </c>
      <c r="P1261" s="17"/>
      <c r="Q1261" s="17" t="str">
        <f>_xlfn.XLOOKUP(Table2[[#This Row],[buyFromVendorNo]],'Next Day Scheduled'!A:A,'Pending Returns'!O:O,"NOT_FOUND")</f>
        <v>NOT_FOUND</v>
      </c>
    </row>
    <row r="1262" spans="1:17" x14ac:dyDescent="0.3">
      <c r="A1262" s="1">
        <v>46194</v>
      </c>
      <c r="B1262" t="s">
        <v>1467</v>
      </c>
      <c r="C1262" t="s">
        <v>911</v>
      </c>
      <c r="D1262" t="s">
        <v>912</v>
      </c>
      <c r="E1262" t="s">
        <v>8</v>
      </c>
      <c r="F1262" t="s">
        <v>10</v>
      </c>
      <c r="G1262" s="16">
        <v>335.77</v>
      </c>
      <c r="H1262" s="16">
        <v>381.5455</v>
      </c>
      <c r="I1262" s="1">
        <v>46191</v>
      </c>
      <c r="J1262">
        <v>65</v>
      </c>
      <c r="K1262" t="s">
        <v>4649</v>
      </c>
      <c r="L1262" t="s">
        <v>5740</v>
      </c>
      <c r="M1262">
        <v>8</v>
      </c>
      <c r="N1262">
        <v>5</v>
      </c>
      <c r="O1262" t="s">
        <v>1036</v>
      </c>
      <c r="P1262" s="17"/>
      <c r="Q1262" s="17" t="str">
        <f>_xlfn.XLOOKUP(Table2[[#This Row],[buyFromVendorNo]],'Next Day Scheduled'!A:A,'Pending Returns'!O:O,"NOT_FOUND")</f>
        <v>NOT_FOUND</v>
      </c>
    </row>
    <row r="1263" spans="1:17" x14ac:dyDescent="0.3">
      <c r="A1263" s="1">
        <v>46194</v>
      </c>
      <c r="B1263" t="s">
        <v>4222</v>
      </c>
      <c r="C1263" t="s">
        <v>34</v>
      </c>
      <c r="D1263" t="s">
        <v>35</v>
      </c>
      <c r="E1263" t="s">
        <v>8</v>
      </c>
      <c r="F1263" t="s">
        <v>10</v>
      </c>
      <c r="G1263" s="16">
        <v>7071</v>
      </c>
      <c r="H1263" s="16">
        <v>8131.6504000000004</v>
      </c>
      <c r="I1263" s="1">
        <v>46184</v>
      </c>
      <c r="J1263">
        <v>65</v>
      </c>
      <c r="K1263" t="s">
        <v>1896</v>
      </c>
      <c r="L1263" t="s">
        <v>5738</v>
      </c>
      <c r="M1263">
        <v>12</v>
      </c>
      <c r="N1263">
        <v>8</v>
      </c>
      <c r="O1263" t="s">
        <v>1036</v>
      </c>
      <c r="P1263" s="17"/>
      <c r="Q1263" s="17" t="str">
        <f>_xlfn.XLOOKUP(Table2[[#This Row],[buyFromVendorNo]],'Next Day Scheduled'!A:A,'Pending Returns'!O:O,"NOT_FOUND")</f>
        <v>Posted Credit Note</v>
      </c>
    </row>
    <row r="1264" spans="1:17" x14ac:dyDescent="0.3">
      <c r="A1264" s="1">
        <v>46194</v>
      </c>
      <c r="B1264" t="s">
        <v>1833</v>
      </c>
      <c r="C1264" t="s">
        <v>111</v>
      </c>
      <c r="D1264" t="s">
        <v>112</v>
      </c>
      <c r="E1264" t="s">
        <v>8</v>
      </c>
      <c r="F1264" t="s">
        <v>10</v>
      </c>
      <c r="G1264" s="16">
        <v>3539.2492999999999</v>
      </c>
      <c r="H1264" s="16">
        <v>4070.1367</v>
      </c>
      <c r="I1264" s="1">
        <v>46180</v>
      </c>
      <c r="J1264">
        <v>65</v>
      </c>
      <c r="K1264" t="s">
        <v>1834</v>
      </c>
      <c r="L1264" t="s">
        <v>5739</v>
      </c>
      <c r="M1264">
        <v>7</v>
      </c>
      <c r="N1264">
        <v>15</v>
      </c>
      <c r="O1264" t="s">
        <v>1036</v>
      </c>
      <c r="P1264" s="17"/>
      <c r="Q1264" s="17" t="str">
        <f>_xlfn.XLOOKUP(Table2[[#This Row],[buyFromVendorNo]],'Next Day Scheduled'!A:A,'Pending Returns'!O:O,"NOT_FOUND")</f>
        <v>Posted Credit Note</v>
      </c>
    </row>
    <row r="1265" spans="1:17" x14ac:dyDescent="0.3">
      <c r="A1265" s="1">
        <v>46194</v>
      </c>
      <c r="B1265" t="s">
        <v>3336</v>
      </c>
      <c r="C1265" t="s">
        <v>884</v>
      </c>
      <c r="D1265" t="s">
        <v>885</v>
      </c>
      <c r="E1265" t="s">
        <v>8</v>
      </c>
      <c r="F1265" t="s">
        <v>10</v>
      </c>
      <c r="G1265" s="16">
        <v>1296.28</v>
      </c>
      <c r="H1265" s="16">
        <v>1490.722</v>
      </c>
      <c r="I1265" s="1">
        <v>46191</v>
      </c>
      <c r="J1265">
        <v>65</v>
      </c>
      <c r="K1265" t="s">
        <v>4744</v>
      </c>
      <c r="L1265" t="s">
        <v>5765</v>
      </c>
      <c r="M1265">
        <v>0</v>
      </c>
      <c r="N1265">
        <v>226</v>
      </c>
      <c r="O1265" t="s">
        <v>1036</v>
      </c>
      <c r="P1265" s="17"/>
      <c r="Q1265" s="17" t="str">
        <f>_xlfn.XLOOKUP(Table2[[#This Row],[buyFromVendorNo]],'Next Day Scheduled'!A:A,'Pending Returns'!O:O,"NOT_FOUND")</f>
        <v>NOT_FOUND</v>
      </c>
    </row>
    <row r="1266" spans="1:17" x14ac:dyDescent="0.3">
      <c r="A1266" s="1">
        <v>46194</v>
      </c>
      <c r="B1266" t="s">
        <v>4189</v>
      </c>
      <c r="C1266" t="s">
        <v>911</v>
      </c>
      <c r="D1266" t="s">
        <v>912</v>
      </c>
      <c r="E1266" t="s">
        <v>8</v>
      </c>
      <c r="F1266" t="s">
        <v>10</v>
      </c>
      <c r="G1266" s="16">
        <v>89.65</v>
      </c>
      <c r="H1266" s="16">
        <v>100.27</v>
      </c>
      <c r="I1266" s="1">
        <v>46191</v>
      </c>
      <c r="J1266">
        <v>65</v>
      </c>
      <c r="K1266" t="s">
        <v>4137</v>
      </c>
      <c r="L1266" t="s">
        <v>5741</v>
      </c>
      <c r="M1266">
        <v>8</v>
      </c>
      <c r="N1266">
        <v>5</v>
      </c>
      <c r="O1266" t="s">
        <v>1036</v>
      </c>
      <c r="P1266" s="17"/>
      <c r="Q1266" s="17" t="str">
        <f>_xlfn.XLOOKUP(Table2[[#This Row],[buyFromVendorNo]],'Next Day Scheduled'!A:A,'Pending Returns'!O:O,"NOT_FOUND")</f>
        <v>NOT_FOUND</v>
      </c>
    </row>
    <row r="1267" spans="1:17" x14ac:dyDescent="0.3">
      <c r="A1267" s="1">
        <v>46194</v>
      </c>
      <c r="B1267" t="s">
        <v>483</v>
      </c>
      <c r="C1267" t="s">
        <v>34</v>
      </c>
      <c r="D1267" t="s">
        <v>35</v>
      </c>
      <c r="E1267" t="s">
        <v>8</v>
      </c>
      <c r="F1267" t="s">
        <v>10</v>
      </c>
      <c r="G1267" s="16">
        <v>17170.620999999999</v>
      </c>
      <c r="H1267" s="16">
        <v>19746.213</v>
      </c>
      <c r="I1267" s="1">
        <v>46184</v>
      </c>
      <c r="J1267">
        <v>65</v>
      </c>
      <c r="K1267" t="s">
        <v>1754</v>
      </c>
      <c r="L1267" t="s">
        <v>5742</v>
      </c>
      <c r="M1267">
        <v>12</v>
      </c>
      <c r="N1267">
        <v>8</v>
      </c>
      <c r="O1267" t="s">
        <v>1036</v>
      </c>
      <c r="P1267" s="17"/>
      <c r="Q1267" s="17" t="str">
        <f>_xlfn.XLOOKUP(Table2[[#This Row],[buyFromVendorNo]],'Next Day Scheduled'!A:A,'Pending Returns'!O:O,"NOT_FOUND")</f>
        <v>Posted Credit Note</v>
      </c>
    </row>
    <row r="1268" spans="1:17" x14ac:dyDescent="0.3">
      <c r="A1268" s="1">
        <v>46194</v>
      </c>
      <c r="B1268" t="s">
        <v>5176</v>
      </c>
      <c r="C1268" t="s">
        <v>3224</v>
      </c>
      <c r="D1268" t="s">
        <v>3225</v>
      </c>
      <c r="E1268" t="s">
        <v>8</v>
      </c>
      <c r="F1268" t="s">
        <v>10</v>
      </c>
      <c r="G1268" s="16">
        <v>1202.5</v>
      </c>
      <c r="H1268" s="16">
        <v>1382.875</v>
      </c>
      <c r="I1268" s="1">
        <v>46175</v>
      </c>
      <c r="J1268">
        <v>65</v>
      </c>
      <c r="K1268" t="s">
        <v>3645</v>
      </c>
      <c r="L1268" t="s">
        <v>5700</v>
      </c>
      <c r="M1268">
        <v>8</v>
      </c>
      <c r="N1268">
        <v>5</v>
      </c>
      <c r="O1268" t="s">
        <v>1036</v>
      </c>
      <c r="P1268" s="17"/>
      <c r="Q1268" s="17" t="str">
        <f>_xlfn.XLOOKUP(Table2[[#This Row],[buyFromVendorNo]],'Next Day Scheduled'!A:A,'Pending Returns'!O:O,"NOT_FOUND")</f>
        <v>NOT_FOUND</v>
      </c>
    </row>
    <row r="1269" spans="1:17" x14ac:dyDescent="0.3">
      <c r="A1269" s="1">
        <v>46194</v>
      </c>
      <c r="B1269" t="s">
        <v>2798</v>
      </c>
      <c r="C1269" t="s">
        <v>5437</v>
      </c>
      <c r="D1269" t="s">
        <v>5438</v>
      </c>
      <c r="E1269" t="s">
        <v>8</v>
      </c>
      <c r="F1269" t="s">
        <v>10</v>
      </c>
      <c r="G1269" s="16">
        <v>366.5718</v>
      </c>
      <c r="H1269" s="16">
        <v>421.55756000000002</v>
      </c>
      <c r="I1269" s="1">
        <v>46195</v>
      </c>
      <c r="J1269">
        <v>65</v>
      </c>
      <c r="K1269" t="s">
        <v>5439</v>
      </c>
      <c r="L1269" t="s">
        <v>5745</v>
      </c>
      <c r="M1269">
        <v>5</v>
      </c>
      <c r="N1269">
        <v>3</v>
      </c>
      <c r="O1269" t="s">
        <v>223</v>
      </c>
      <c r="P1269" s="17"/>
      <c r="Q1269" s="17" t="str">
        <f>_xlfn.XLOOKUP(Table2[[#This Row],[buyFromVendorNo]],'Next Day Scheduled'!A:A,'Pending Returns'!O:O,"NOT_FOUND")</f>
        <v>NOT_FOUND</v>
      </c>
    </row>
    <row r="1270" spans="1:17" x14ac:dyDescent="0.3">
      <c r="A1270" s="1">
        <v>46194</v>
      </c>
      <c r="B1270" t="s">
        <v>2743</v>
      </c>
      <c r="C1270" t="s">
        <v>111</v>
      </c>
      <c r="D1270" t="s">
        <v>112</v>
      </c>
      <c r="E1270" t="s">
        <v>8</v>
      </c>
      <c r="F1270" t="s">
        <v>10</v>
      </c>
      <c r="G1270" s="16">
        <v>970.71454000000006</v>
      </c>
      <c r="H1270" s="16">
        <v>1116.3217999999999</v>
      </c>
      <c r="I1270" s="1">
        <v>46180</v>
      </c>
      <c r="J1270">
        <v>65</v>
      </c>
      <c r="K1270" t="s">
        <v>2744</v>
      </c>
      <c r="L1270" t="s">
        <v>5746</v>
      </c>
      <c r="M1270">
        <v>7</v>
      </c>
      <c r="N1270">
        <v>15</v>
      </c>
      <c r="O1270" t="s">
        <v>1036</v>
      </c>
      <c r="P1270" s="17"/>
      <c r="Q1270" s="17" t="str">
        <f>_xlfn.XLOOKUP(Table2[[#This Row],[buyFromVendorNo]],'Next Day Scheduled'!A:A,'Pending Returns'!O:O,"NOT_FOUND")</f>
        <v>Posted Credit Note</v>
      </c>
    </row>
    <row r="1271" spans="1:17" x14ac:dyDescent="0.3">
      <c r="A1271" s="1">
        <v>46194</v>
      </c>
      <c r="B1271" t="s">
        <v>5262</v>
      </c>
      <c r="C1271" t="s">
        <v>2363</v>
      </c>
      <c r="D1271" t="s">
        <v>2364</v>
      </c>
      <c r="E1271" t="s">
        <v>8</v>
      </c>
      <c r="F1271" t="s">
        <v>10</v>
      </c>
      <c r="G1271" s="16">
        <v>51.64</v>
      </c>
      <c r="H1271" s="16">
        <v>59.386000000000003</v>
      </c>
      <c r="I1271" s="1">
        <v>46194</v>
      </c>
      <c r="J1271">
        <v>65</v>
      </c>
      <c r="K1271" t="s">
        <v>5263</v>
      </c>
      <c r="L1271" t="s">
        <v>5701</v>
      </c>
      <c r="M1271">
        <v>9</v>
      </c>
      <c r="N1271">
        <v>6</v>
      </c>
      <c r="O1271" t="s">
        <v>1036</v>
      </c>
      <c r="P1271" s="17"/>
      <c r="Q1271" s="17" t="str">
        <f>_xlfn.XLOOKUP(Table2[[#This Row],[buyFromVendorNo]],'Next Day Scheduled'!A:A,'Pending Returns'!O:O,"NOT_FOUND")</f>
        <v>NOT_FOUND</v>
      </c>
    </row>
    <row r="1272" spans="1:17" x14ac:dyDescent="0.3">
      <c r="A1272" s="1">
        <v>46194</v>
      </c>
      <c r="B1272" t="s">
        <v>607</v>
      </c>
      <c r="C1272" t="s">
        <v>57</v>
      </c>
      <c r="D1272" t="s">
        <v>58</v>
      </c>
      <c r="E1272" t="s">
        <v>8</v>
      </c>
      <c r="F1272" t="s">
        <v>10</v>
      </c>
      <c r="G1272" s="16">
        <v>1486.01</v>
      </c>
      <c r="H1272" s="16">
        <v>1708.9114999999999</v>
      </c>
      <c r="I1272" s="1">
        <v>46182</v>
      </c>
      <c r="J1272">
        <v>65</v>
      </c>
      <c r="K1272" t="s">
        <v>4024</v>
      </c>
      <c r="L1272" t="s">
        <v>5749</v>
      </c>
      <c r="M1272">
        <v>8</v>
      </c>
      <c r="N1272">
        <v>8</v>
      </c>
      <c r="O1272" t="s">
        <v>1036</v>
      </c>
      <c r="P1272" s="17"/>
      <c r="Q1272" s="17" t="str">
        <f>_xlfn.XLOOKUP(Table2[[#This Row],[buyFromVendorNo]],'Next Day Scheduled'!A:A,'Pending Returns'!O:O,"NOT_FOUND")</f>
        <v>Posted Credit Note</v>
      </c>
    </row>
    <row r="1273" spans="1:17" x14ac:dyDescent="0.3">
      <c r="A1273" s="1">
        <v>46194</v>
      </c>
      <c r="B1273" t="s">
        <v>3267</v>
      </c>
      <c r="C1273" t="s">
        <v>57</v>
      </c>
      <c r="D1273" t="s">
        <v>58</v>
      </c>
      <c r="E1273" t="s">
        <v>8</v>
      </c>
      <c r="F1273" t="s">
        <v>10</v>
      </c>
      <c r="G1273" s="16">
        <v>46</v>
      </c>
      <c r="H1273" s="16">
        <v>52.9</v>
      </c>
      <c r="I1273" s="1">
        <v>46175</v>
      </c>
      <c r="J1273">
        <v>65</v>
      </c>
      <c r="K1273" t="s">
        <v>3105</v>
      </c>
      <c r="L1273" t="s">
        <v>5722</v>
      </c>
      <c r="M1273">
        <v>8</v>
      </c>
      <c r="N1273">
        <v>8</v>
      </c>
      <c r="O1273" t="s">
        <v>1036</v>
      </c>
      <c r="P1273" s="17"/>
      <c r="Q1273" s="17" t="str">
        <f>_xlfn.XLOOKUP(Table2[[#This Row],[buyFromVendorNo]],'Next Day Scheduled'!A:A,'Pending Returns'!O:O,"NOT_FOUND")</f>
        <v>Posted Credit Note</v>
      </c>
    </row>
    <row r="1274" spans="1:17" x14ac:dyDescent="0.3">
      <c r="A1274" s="1">
        <v>46194</v>
      </c>
      <c r="B1274" t="s">
        <v>4460</v>
      </c>
      <c r="C1274" t="s">
        <v>201</v>
      </c>
      <c r="D1274" t="s">
        <v>202</v>
      </c>
      <c r="E1274" t="s">
        <v>8</v>
      </c>
      <c r="F1274" t="s">
        <v>169</v>
      </c>
      <c r="G1274" s="16">
        <v>442.22824000000003</v>
      </c>
      <c r="H1274" s="16">
        <v>508.56247000000002</v>
      </c>
      <c r="I1274" s="1">
        <v>46190</v>
      </c>
      <c r="J1274">
        <v>65</v>
      </c>
      <c r="K1274" t="s">
        <v>5013</v>
      </c>
      <c r="L1274" t="s">
        <v>5723</v>
      </c>
      <c r="M1274">
        <v>9</v>
      </c>
      <c r="N1274">
        <v>7</v>
      </c>
      <c r="O1274" t="s">
        <v>1036</v>
      </c>
      <c r="P1274" s="17"/>
      <c r="Q1274" s="17" t="str">
        <f>_xlfn.XLOOKUP(Table2[[#This Row],[buyFromVendorNo]],'Next Day Scheduled'!A:A,'Pending Returns'!O:O,"NOT_FOUND")</f>
        <v>Pending for Collection</v>
      </c>
    </row>
    <row r="1275" spans="1:17" x14ac:dyDescent="0.3">
      <c r="A1275" s="1">
        <v>46194</v>
      </c>
      <c r="B1275" t="s">
        <v>669</v>
      </c>
      <c r="C1275" t="s">
        <v>107</v>
      </c>
      <c r="D1275" t="s">
        <v>3864</v>
      </c>
      <c r="E1275" t="s">
        <v>8</v>
      </c>
      <c r="F1275" t="s">
        <v>10</v>
      </c>
      <c r="G1275" s="16">
        <v>419.1533</v>
      </c>
      <c r="H1275" s="16">
        <v>482.02627999999999</v>
      </c>
      <c r="I1275" s="1">
        <v>46190</v>
      </c>
      <c r="J1275">
        <v>65</v>
      </c>
      <c r="K1275" t="s">
        <v>5724</v>
      </c>
      <c r="L1275" t="s">
        <v>5725</v>
      </c>
      <c r="M1275">
        <v>10</v>
      </c>
      <c r="N1275">
        <v>5</v>
      </c>
      <c r="O1275" t="s">
        <v>1036</v>
      </c>
      <c r="P1275" s="17"/>
      <c r="Q1275" s="17" t="str">
        <f>_xlfn.XLOOKUP(Table2[[#This Row],[buyFromVendorNo]],'Next Day Scheduled'!A:A,'Pending Returns'!O:O,"NOT_FOUND")</f>
        <v>NOT_FOUND</v>
      </c>
    </row>
    <row r="1276" spans="1:17" x14ac:dyDescent="0.3">
      <c r="A1276" s="1">
        <v>46194</v>
      </c>
      <c r="B1276" t="s">
        <v>5164</v>
      </c>
      <c r="C1276" t="s">
        <v>1346</v>
      </c>
      <c r="D1276" t="s">
        <v>1347</v>
      </c>
      <c r="E1276" t="s">
        <v>8</v>
      </c>
      <c r="F1276" t="s">
        <v>10</v>
      </c>
      <c r="G1276" s="16">
        <v>2684.37</v>
      </c>
      <c r="H1276" s="16">
        <v>3087.0254</v>
      </c>
      <c r="I1276" s="1">
        <v>46174</v>
      </c>
      <c r="J1276">
        <v>65</v>
      </c>
      <c r="K1276" t="s">
        <v>3613</v>
      </c>
      <c r="L1276" t="s">
        <v>5769</v>
      </c>
      <c r="M1276">
        <v>6</v>
      </c>
      <c r="N1276">
        <v>9</v>
      </c>
      <c r="O1276" t="s">
        <v>1036</v>
      </c>
      <c r="P1276" s="17"/>
      <c r="Q1276" s="17" t="str">
        <f>_xlfn.XLOOKUP(Table2[[#This Row],[buyFromVendorNo]],'Next Day Scheduled'!A:A,'Pending Returns'!O:O,"NOT_FOUND")</f>
        <v>NOT_FOUND</v>
      </c>
    </row>
    <row r="1277" spans="1:17" x14ac:dyDescent="0.3">
      <c r="A1277" s="1">
        <v>46194</v>
      </c>
      <c r="B1277" t="s">
        <v>4460</v>
      </c>
      <c r="C1277" t="s">
        <v>356</v>
      </c>
      <c r="D1277" t="s">
        <v>357</v>
      </c>
      <c r="E1277" t="s">
        <v>8</v>
      </c>
      <c r="F1277" t="s">
        <v>169</v>
      </c>
      <c r="G1277" s="16">
        <v>5172.5537000000004</v>
      </c>
      <c r="H1277" s="16">
        <v>5948.4369999999999</v>
      </c>
      <c r="I1277" s="1">
        <v>46189</v>
      </c>
      <c r="J1277">
        <v>65</v>
      </c>
      <c r="K1277" t="s">
        <v>4991</v>
      </c>
      <c r="L1277" t="s">
        <v>5752</v>
      </c>
      <c r="M1277">
        <v>13</v>
      </c>
      <c r="N1277">
        <v>2</v>
      </c>
      <c r="O1277" t="s">
        <v>1036</v>
      </c>
      <c r="P1277" s="17"/>
      <c r="Q1277" s="17" t="str">
        <f>_xlfn.XLOOKUP(Table2[[#This Row],[buyFromVendorNo]],'Next Day Scheduled'!A:A,'Pending Returns'!O:O,"NOT_FOUND")</f>
        <v>NOT_FOUND</v>
      </c>
    </row>
    <row r="1278" spans="1:17" x14ac:dyDescent="0.3">
      <c r="A1278" s="1">
        <v>46194</v>
      </c>
      <c r="B1278" t="s">
        <v>5166</v>
      </c>
      <c r="C1278" t="s">
        <v>679</v>
      </c>
      <c r="D1278" t="s">
        <v>680</v>
      </c>
      <c r="E1278" t="s">
        <v>8</v>
      </c>
      <c r="F1278" t="s">
        <v>10</v>
      </c>
      <c r="G1278" s="16">
        <v>3935.5</v>
      </c>
      <c r="H1278" s="16">
        <v>4525.8249999999998</v>
      </c>
      <c r="I1278" s="1">
        <v>46174</v>
      </c>
      <c r="J1278">
        <v>65</v>
      </c>
      <c r="K1278" t="s">
        <v>3609</v>
      </c>
      <c r="L1278" t="s">
        <v>5729</v>
      </c>
      <c r="M1278">
        <v>6</v>
      </c>
      <c r="N1278">
        <v>12</v>
      </c>
      <c r="O1278" t="s">
        <v>1036</v>
      </c>
      <c r="P1278" s="17"/>
      <c r="Q1278" s="17" t="str">
        <f>_xlfn.XLOOKUP(Table2[[#This Row],[buyFromVendorNo]],'Next Day Scheduled'!A:A,'Pending Returns'!O:O,"NOT_FOUND")</f>
        <v>NOT_FOUND</v>
      </c>
    </row>
    <row r="1279" spans="1:17" x14ac:dyDescent="0.3">
      <c r="A1279" s="1">
        <v>46194</v>
      </c>
      <c r="B1279" t="s">
        <v>5595</v>
      </c>
      <c r="C1279" t="s">
        <v>2378</v>
      </c>
      <c r="D1279" t="s">
        <v>2379</v>
      </c>
      <c r="E1279" t="s">
        <v>8</v>
      </c>
      <c r="F1279" t="s">
        <v>10</v>
      </c>
      <c r="G1279" s="16">
        <v>181.75</v>
      </c>
      <c r="H1279" s="16">
        <v>209.01249999999999</v>
      </c>
      <c r="I1279" s="1">
        <v>46194</v>
      </c>
      <c r="J1279">
        <v>65</v>
      </c>
      <c r="K1279" t="s">
        <v>4943</v>
      </c>
      <c r="L1279" t="s">
        <v>5731</v>
      </c>
      <c r="M1279">
        <v>9</v>
      </c>
      <c r="N1279">
        <v>5</v>
      </c>
      <c r="O1279" t="s">
        <v>1036</v>
      </c>
      <c r="P1279" s="17"/>
      <c r="Q1279" s="17" t="str">
        <f>_xlfn.XLOOKUP(Table2[[#This Row],[buyFromVendorNo]],'Next Day Scheduled'!A:A,'Pending Returns'!O:O,"NOT_FOUND")</f>
        <v>NOT_FOUND</v>
      </c>
    </row>
    <row r="1280" spans="1:17" x14ac:dyDescent="0.3">
      <c r="A1280" s="1">
        <v>46194</v>
      </c>
      <c r="B1280" t="s">
        <v>4460</v>
      </c>
      <c r="C1280" t="s">
        <v>773</v>
      </c>
      <c r="D1280" t="s">
        <v>774</v>
      </c>
      <c r="E1280" t="s">
        <v>8</v>
      </c>
      <c r="F1280" t="s">
        <v>169</v>
      </c>
      <c r="G1280" s="16">
        <v>350.86957000000001</v>
      </c>
      <c r="H1280" s="16">
        <v>403.5</v>
      </c>
      <c r="I1280" s="1">
        <v>46189</v>
      </c>
      <c r="J1280">
        <v>65</v>
      </c>
      <c r="K1280" t="s">
        <v>4980</v>
      </c>
      <c r="L1280" t="s">
        <v>5757</v>
      </c>
      <c r="M1280">
        <v>4</v>
      </c>
      <c r="N1280">
        <v>41</v>
      </c>
      <c r="O1280" t="s">
        <v>1036</v>
      </c>
      <c r="P1280" s="17"/>
      <c r="Q1280" s="17" t="str">
        <f>_xlfn.XLOOKUP(Table2[[#This Row],[buyFromVendorNo]],'Next Day Scheduled'!A:A,'Pending Returns'!O:O,"NOT_FOUND")</f>
        <v>NOT_FOUND</v>
      </c>
    </row>
    <row r="1281" spans="1:17" x14ac:dyDescent="0.3">
      <c r="A1281" s="1">
        <v>46194</v>
      </c>
      <c r="B1281" t="s">
        <v>3784</v>
      </c>
      <c r="C1281" t="s">
        <v>2294</v>
      </c>
      <c r="D1281" t="s">
        <v>2295</v>
      </c>
      <c r="E1281" t="s">
        <v>8</v>
      </c>
      <c r="F1281" t="s">
        <v>10</v>
      </c>
      <c r="G1281" s="16">
        <v>286</v>
      </c>
      <c r="H1281" s="16">
        <v>328.9</v>
      </c>
      <c r="I1281" s="1">
        <v>46188</v>
      </c>
      <c r="J1281">
        <v>65</v>
      </c>
      <c r="K1281" t="s">
        <v>4256</v>
      </c>
      <c r="L1281" t="s">
        <v>5771</v>
      </c>
      <c r="M1281">
        <v>8</v>
      </c>
      <c r="N1281">
        <v>14</v>
      </c>
      <c r="O1281" t="s">
        <v>1036</v>
      </c>
      <c r="P1281" s="17"/>
      <c r="Q1281" s="17" t="str">
        <f>_xlfn.XLOOKUP(Table2[[#This Row],[buyFromVendorNo]],'Next Day Scheduled'!A:A,'Pending Returns'!O:O,"NOT_FOUND")</f>
        <v>NOT_FOUND</v>
      </c>
    </row>
    <row r="1282" spans="1:17" x14ac:dyDescent="0.3">
      <c r="A1282" s="1">
        <v>46194</v>
      </c>
      <c r="B1282" t="s">
        <v>234</v>
      </c>
      <c r="C1282" t="s">
        <v>57</v>
      </c>
      <c r="D1282" t="s">
        <v>58</v>
      </c>
      <c r="E1282" t="s">
        <v>8</v>
      </c>
      <c r="F1282" t="s">
        <v>10</v>
      </c>
      <c r="G1282" s="16">
        <v>2754.5</v>
      </c>
      <c r="H1282" s="16">
        <v>3167.6750000000002</v>
      </c>
      <c r="I1282" s="1">
        <v>46176</v>
      </c>
      <c r="J1282">
        <v>65</v>
      </c>
      <c r="K1282" t="s">
        <v>591</v>
      </c>
      <c r="L1282" t="s">
        <v>5706</v>
      </c>
      <c r="M1282">
        <v>8</v>
      </c>
      <c r="N1282">
        <v>8</v>
      </c>
      <c r="O1282" t="s">
        <v>1036</v>
      </c>
      <c r="P1282" s="17"/>
      <c r="Q1282" s="17" t="str">
        <f>_xlfn.XLOOKUP(Table2[[#This Row],[buyFromVendorNo]],'Next Day Scheduled'!A:A,'Pending Returns'!O:O,"NOT_FOUND")</f>
        <v>Posted Credit Note</v>
      </c>
    </row>
    <row r="1283" spans="1:17" x14ac:dyDescent="0.3">
      <c r="A1283" s="1">
        <v>46194</v>
      </c>
      <c r="B1283" t="s">
        <v>3709</v>
      </c>
      <c r="C1283" t="s">
        <v>3671</v>
      </c>
      <c r="D1283" t="s">
        <v>3672</v>
      </c>
      <c r="E1283" t="s">
        <v>8</v>
      </c>
      <c r="F1283" t="s">
        <v>10</v>
      </c>
      <c r="G1283" s="16">
        <v>94</v>
      </c>
      <c r="H1283" s="16">
        <v>108.1</v>
      </c>
      <c r="I1283" s="1">
        <v>46188</v>
      </c>
      <c r="J1283">
        <v>65</v>
      </c>
      <c r="K1283" t="s">
        <v>3670</v>
      </c>
      <c r="L1283" t="s">
        <v>5693</v>
      </c>
      <c r="M1283">
        <v>3</v>
      </c>
      <c r="N1283">
        <v>28</v>
      </c>
      <c r="O1283" t="s">
        <v>1036</v>
      </c>
      <c r="P1283" s="17"/>
      <c r="Q1283" s="17" t="str">
        <f>_xlfn.XLOOKUP(Table2[[#This Row],[buyFromVendorNo]],'Next Day Scheduled'!A:A,'Pending Returns'!O:O,"NOT_FOUND")</f>
        <v>NOT_FOUND</v>
      </c>
    </row>
    <row r="1284" spans="1:17" x14ac:dyDescent="0.3">
      <c r="A1284" s="1">
        <v>46194</v>
      </c>
      <c r="B1284" t="s">
        <v>4197</v>
      </c>
      <c r="C1284" t="s">
        <v>859</v>
      </c>
      <c r="D1284" t="s">
        <v>860</v>
      </c>
      <c r="E1284" t="s">
        <v>8</v>
      </c>
      <c r="F1284" t="s">
        <v>10</v>
      </c>
      <c r="G1284" s="16">
        <v>44</v>
      </c>
      <c r="H1284" s="16">
        <v>50.6</v>
      </c>
      <c r="I1284" s="1">
        <v>46181</v>
      </c>
      <c r="J1284">
        <v>65</v>
      </c>
      <c r="K1284" t="s">
        <v>4125</v>
      </c>
      <c r="L1284" t="s">
        <v>5710</v>
      </c>
      <c r="M1284">
        <v>11</v>
      </c>
      <c r="N1284">
        <v>6</v>
      </c>
      <c r="O1284" t="s">
        <v>1036</v>
      </c>
      <c r="P1284" s="17"/>
      <c r="Q1284" s="17" t="str">
        <f>_xlfn.XLOOKUP(Table2[[#This Row],[buyFromVendorNo]],'Next Day Scheduled'!A:A,'Pending Returns'!O:O,"NOT_FOUND")</f>
        <v>NOT_FOUND</v>
      </c>
    </row>
    <row r="1285" spans="1:17" x14ac:dyDescent="0.3">
      <c r="A1285" s="1">
        <v>46194</v>
      </c>
      <c r="B1285" t="s">
        <v>4591</v>
      </c>
      <c r="C1285" t="s">
        <v>598</v>
      </c>
      <c r="D1285" t="s">
        <v>599</v>
      </c>
      <c r="E1285" t="s">
        <v>8</v>
      </c>
      <c r="F1285" t="s">
        <v>10</v>
      </c>
      <c r="G1285" s="16">
        <v>2695.3440000000001</v>
      </c>
      <c r="H1285" s="16">
        <v>3099.6455000000001</v>
      </c>
      <c r="I1285" s="1">
        <v>46190</v>
      </c>
      <c r="J1285">
        <v>65</v>
      </c>
      <c r="K1285" t="s">
        <v>4382</v>
      </c>
      <c r="L1285" t="s">
        <v>5711</v>
      </c>
      <c r="M1285">
        <v>8</v>
      </c>
      <c r="N1285">
        <v>6</v>
      </c>
      <c r="O1285" t="s">
        <v>1036</v>
      </c>
      <c r="P1285" s="17"/>
      <c r="Q1285" s="17" t="str">
        <f>_xlfn.XLOOKUP(Table2[[#This Row],[buyFromVendorNo]],'Next Day Scheduled'!A:A,'Pending Returns'!O:O,"NOT_FOUND")</f>
        <v>NOT_FOUND</v>
      </c>
    </row>
    <row r="1286" spans="1:17" x14ac:dyDescent="0.3">
      <c r="A1286" s="1">
        <v>46194</v>
      </c>
      <c r="B1286" t="s">
        <v>1341</v>
      </c>
      <c r="C1286" t="s">
        <v>871</v>
      </c>
      <c r="D1286" t="s">
        <v>872</v>
      </c>
      <c r="E1286" t="s">
        <v>8</v>
      </c>
      <c r="F1286" t="s">
        <v>10</v>
      </c>
      <c r="G1286" s="16">
        <v>377.83</v>
      </c>
      <c r="H1286" s="16">
        <v>434.50450000000001</v>
      </c>
      <c r="I1286" s="1">
        <v>46175</v>
      </c>
      <c r="J1286">
        <v>65</v>
      </c>
      <c r="K1286" t="s">
        <v>3312</v>
      </c>
      <c r="L1286" t="s">
        <v>5716</v>
      </c>
      <c r="M1286">
        <v>10</v>
      </c>
      <c r="N1286">
        <v>6</v>
      </c>
      <c r="O1286" t="s">
        <v>1036</v>
      </c>
      <c r="P1286" s="17"/>
      <c r="Q1286" s="17" t="str">
        <f>_xlfn.XLOOKUP(Table2[[#This Row],[buyFromVendorNo]],'Next Day Scheduled'!A:A,'Pending Returns'!O:O,"NOT_FOUND")</f>
        <v>Posted Credit Note</v>
      </c>
    </row>
    <row r="1287" spans="1:17" x14ac:dyDescent="0.3">
      <c r="A1287" s="1">
        <v>46194</v>
      </c>
      <c r="B1287" t="s">
        <v>5218</v>
      </c>
      <c r="C1287" t="s">
        <v>548</v>
      </c>
      <c r="D1287" t="s">
        <v>549</v>
      </c>
      <c r="E1287" t="s">
        <v>8</v>
      </c>
      <c r="F1287" t="s">
        <v>10</v>
      </c>
      <c r="G1287" s="16">
        <v>2787.9832000000001</v>
      </c>
      <c r="H1287" s="16">
        <v>3206.1804000000002</v>
      </c>
      <c r="I1287" s="1">
        <v>46188</v>
      </c>
      <c r="J1287">
        <v>65</v>
      </c>
      <c r="K1287" t="s">
        <v>4843</v>
      </c>
      <c r="L1287" t="s">
        <v>5717</v>
      </c>
      <c r="M1287">
        <v>8</v>
      </c>
      <c r="N1287">
        <v>3</v>
      </c>
      <c r="O1287" t="s">
        <v>1036</v>
      </c>
      <c r="P1287" s="17"/>
      <c r="Q1287" s="17" t="str">
        <f>_xlfn.XLOOKUP(Table2[[#This Row],[buyFromVendorNo]],'Next Day Scheduled'!A:A,'Pending Returns'!O:O,"NOT_FOUND")</f>
        <v>NOT_FOUND</v>
      </c>
    </row>
    <row r="1288" spans="1:17" x14ac:dyDescent="0.3">
      <c r="A1288" s="1">
        <v>46194</v>
      </c>
      <c r="B1288" t="s">
        <v>3020</v>
      </c>
      <c r="C1288" t="s">
        <v>111</v>
      </c>
      <c r="D1288" t="s">
        <v>112</v>
      </c>
      <c r="E1288" t="s">
        <v>8</v>
      </c>
      <c r="F1288" t="s">
        <v>10</v>
      </c>
      <c r="G1288" s="16">
        <v>153.16666000000001</v>
      </c>
      <c r="H1288" s="16">
        <v>176.14165</v>
      </c>
      <c r="I1288" s="1">
        <v>46180</v>
      </c>
      <c r="J1288">
        <v>65</v>
      </c>
      <c r="K1288" t="s">
        <v>3021</v>
      </c>
      <c r="L1288" t="s">
        <v>5766</v>
      </c>
      <c r="M1288">
        <v>7</v>
      </c>
      <c r="N1288">
        <v>15</v>
      </c>
      <c r="O1288" t="s">
        <v>1036</v>
      </c>
      <c r="P1288" s="17"/>
      <c r="Q1288" s="17" t="str">
        <f>_xlfn.XLOOKUP(Table2[[#This Row],[buyFromVendorNo]],'Next Day Scheduled'!A:A,'Pending Returns'!O:O,"NOT_FOUND")</f>
        <v>Posted Credit Note</v>
      </c>
    </row>
    <row r="1289" spans="1:17" x14ac:dyDescent="0.3">
      <c r="A1289" s="1">
        <v>46194</v>
      </c>
      <c r="B1289" t="s">
        <v>5219</v>
      </c>
      <c r="C1289" t="s">
        <v>84</v>
      </c>
      <c r="D1289" t="s">
        <v>85</v>
      </c>
      <c r="E1289" t="s">
        <v>8</v>
      </c>
      <c r="F1289" t="s">
        <v>10</v>
      </c>
      <c r="G1289" s="16">
        <v>2578.9558000000002</v>
      </c>
      <c r="H1289" s="16">
        <v>2965.7993000000001</v>
      </c>
      <c r="I1289" s="1">
        <v>46188</v>
      </c>
      <c r="J1289">
        <v>65</v>
      </c>
      <c r="K1289" t="s">
        <v>4918</v>
      </c>
      <c r="L1289" t="s">
        <v>5748</v>
      </c>
      <c r="M1289">
        <v>10</v>
      </c>
      <c r="N1289">
        <v>2</v>
      </c>
      <c r="O1289" t="s">
        <v>1036</v>
      </c>
      <c r="P1289" s="17"/>
      <c r="Q1289" s="17" t="str">
        <f>_xlfn.XLOOKUP(Table2[[#This Row],[buyFromVendorNo]],'Next Day Scheduled'!A:A,'Pending Returns'!O:O,"NOT_FOUND")</f>
        <v>NOT_FOUND</v>
      </c>
    </row>
    <row r="1290" spans="1:17" x14ac:dyDescent="0.3">
      <c r="A1290" s="1">
        <v>46194</v>
      </c>
      <c r="B1290" t="s">
        <v>2891</v>
      </c>
      <c r="C1290" t="s">
        <v>43</v>
      </c>
      <c r="D1290" t="s">
        <v>44</v>
      </c>
      <c r="E1290" t="s">
        <v>8</v>
      </c>
      <c r="F1290" t="s">
        <v>38</v>
      </c>
      <c r="G1290" s="16">
        <v>4166.9960000000001</v>
      </c>
      <c r="H1290" s="16">
        <v>4792.0454</v>
      </c>
      <c r="I1290" s="1">
        <v>46189</v>
      </c>
      <c r="J1290">
        <v>65</v>
      </c>
      <c r="K1290" t="s">
        <v>4984</v>
      </c>
      <c r="L1290" t="s">
        <v>5678</v>
      </c>
      <c r="M1290">
        <v>59</v>
      </c>
      <c r="N1290">
        <v>1</v>
      </c>
      <c r="O1290" t="s">
        <v>1036</v>
      </c>
      <c r="P1290" s="17"/>
      <c r="Q1290" s="17" t="str">
        <f>_xlfn.XLOOKUP(Table2[[#This Row],[buyFromVendorNo]],'Next Day Scheduled'!A:A,'Pending Returns'!O:O,"NOT_FOUND")</f>
        <v>Posted Credit Note</v>
      </c>
    </row>
    <row r="1291" spans="1:17" x14ac:dyDescent="0.3">
      <c r="A1291" s="1">
        <v>46194</v>
      </c>
      <c r="B1291" t="s">
        <v>3314</v>
      </c>
      <c r="C1291" t="s">
        <v>3946</v>
      </c>
      <c r="D1291" t="s">
        <v>4628</v>
      </c>
      <c r="E1291" t="s">
        <v>8</v>
      </c>
      <c r="F1291" t="s">
        <v>10</v>
      </c>
      <c r="G1291" s="16">
        <v>456.52170000000001</v>
      </c>
      <c r="H1291" s="16">
        <v>524.99994000000004</v>
      </c>
      <c r="I1291" s="1">
        <v>46194</v>
      </c>
      <c r="J1291">
        <v>65</v>
      </c>
      <c r="K1291" t="s">
        <v>5436</v>
      </c>
      <c r="L1291" t="s">
        <v>5721</v>
      </c>
      <c r="M1291">
        <v>10</v>
      </c>
      <c r="N1291">
        <v>1</v>
      </c>
      <c r="O1291" t="s">
        <v>1036</v>
      </c>
      <c r="P1291" s="17"/>
      <c r="Q1291" s="17" t="str">
        <f>_xlfn.XLOOKUP(Table2[[#This Row],[buyFromVendorNo]],'Next Day Scheduled'!A:A,'Pending Returns'!O:O,"NOT_FOUND")</f>
        <v>NOT_FOUND</v>
      </c>
    </row>
    <row r="1292" spans="1:17" x14ac:dyDescent="0.3">
      <c r="A1292" s="1">
        <v>46194</v>
      </c>
      <c r="B1292" t="s">
        <v>2682</v>
      </c>
      <c r="C1292" t="s">
        <v>65</v>
      </c>
      <c r="D1292" t="s">
        <v>66</v>
      </c>
      <c r="E1292" t="s">
        <v>8</v>
      </c>
      <c r="F1292" t="s">
        <v>10</v>
      </c>
      <c r="G1292" s="16">
        <v>1555.9789000000001</v>
      </c>
      <c r="H1292" s="16">
        <v>1789.3757000000001</v>
      </c>
      <c r="I1292" s="1">
        <v>46191</v>
      </c>
      <c r="J1292">
        <v>65</v>
      </c>
      <c r="K1292" t="s">
        <v>4951</v>
      </c>
      <c r="L1292" t="s">
        <v>5770</v>
      </c>
      <c r="M1292">
        <v>23</v>
      </c>
      <c r="N1292">
        <v>5</v>
      </c>
      <c r="O1292" t="s">
        <v>1036</v>
      </c>
      <c r="P1292" s="17"/>
      <c r="Q1292" s="17" t="str">
        <f>_xlfn.XLOOKUP(Table2[[#This Row],[buyFromVendorNo]],'Next Day Scheduled'!A:A,'Pending Returns'!O:O,"NOT_FOUND")</f>
        <v>Posted Credit Note</v>
      </c>
    </row>
    <row r="1293" spans="1:17" x14ac:dyDescent="0.3">
      <c r="A1293" s="1">
        <v>46194</v>
      </c>
      <c r="B1293" t="s">
        <v>3746</v>
      </c>
      <c r="C1293" t="s">
        <v>2357</v>
      </c>
      <c r="D1293" t="s">
        <v>2358</v>
      </c>
      <c r="E1293" t="s">
        <v>8</v>
      </c>
      <c r="F1293" t="s">
        <v>10</v>
      </c>
      <c r="G1293" s="16">
        <v>325.92</v>
      </c>
      <c r="H1293" s="16">
        <v>374.80799999999999</v>
      </c>
      <c r="I1293" s="1">
        <v>46185</v>
      </c>
      <c r="J1293">
        <v>65</v>
      </c>
      <c r="K1293" t="s">
        <v>4565</v>
      </c>
      <c r="L1293" t="s">
        <v>5755</v>
      </c>
      <c r="M1293">
        <v>9</v>
      </c>
      <c r="N1293">
        <v>6</v>
      </c>
      <c r="O1293" t="s">
        <v>1036</v>
      </c>
      <c r="P1293" s="17"/>
      <c r="Q1293" s="17" t="str">
        <f>_xlfn.XLOOKUP(Table2[[#This Row],[buyFromVendorNo]],'Next Day Scheduled'!A:A,'Pending Returns'!O:O,"NOT_FOUND")</f>
        <v>NOT_FOUND</v>
      </c>
    </row>
    <row r="1294" spans="1:17" x14ac:dyDescent="0.3">
      <c r="A1294" s="1">
        <v>46194</v>
      </c>
      <c r="B1294" t="s">
        <v>3502</v>
      </c>
      <c r="C1294" t="s">
        <v>865</v>
      </c>
      <c r="D1294" t="s">
        <v>866</v>
      </c>
      <c r="E1294" t="s">
        <v>8</v>
      </c>
      <c r="F1294" t="s">
        <v>10</v>
      </c>
      <c r="G1294" s="16">
        <v>622.79999999999995</v>
      </c>
      <c r="H1294" s="16">
        <v>690.57</v>
      </c>
      <c r="I1294" s="1">
        <v>46191</v>
      </c>
      <c r="J1294">
        <v>65</v>
      </c>
      <c r="K1294" t="s">
        <v>4475</v>
      </c>
      <c r="L1294" t="s">
        <v>5756</v>
      </c>
      <c r="M1294">
        <v>9</v>
      </c>
      <c r="N1294">
        <v>7</v>
      </c>
      <c r="O1294" t="s">
        <v>1036</v>
      </c>
      <c r="P1294" s="17"/>
      <c r="Q1294" s="17" t="str">
        <f>_xlfn.XLOOKUP(Table2[[#This Row],[buyFromVendorNo]],'Next Day Scheduled'!A:A,'Pending Returns'!O:O,"NOT_FOUND")</f>
        <v>Posted Credit Note</v>
      </c>
    </row>
    <row r="1295" spans="1:17" x14ac:dyDescent="0.3">
      <c r="A1295" s="1">
        <v>46194</v>
      </c>
      <c r="B1295" t="s">
        <v>3246</v>
      </c>
      <c r="C1295" t="s">
        <v>158</v>
      </c>
      <c r="D1295" t="s">
        <v>159</v>
      </c>
      <c r="E1295" t="s">
        <v>8</v>
      </c>
      <c r="F1295" t="s">
        <v>10</v>
      </c>
      <c r="G1295" s="16">
        <v>634.74599999999998</v>
      </c>
      <c r="H1295" s="16">
        <v>729.9579</v>
      </c>
      <c r="I1295" s="1">
        <v>46175</v>
      </c>
      <c r="J1295">
        <v>65</v>
      </c>
      <c r="K1295" t="s">
        <v>3138</v>
      </c>
      <c r="L1295" t="s">
        <v>5773</v>
      </c>
      <c r="M1295">
        <v>8</v>
      </c>
      <c r="N1295">
        <v>6</v>
      </c>
      <c r="O1295" t="s">
        <v>1036</v>
      </c>
      <c r="P1295" s="17"/>
      <c r="Q1295" s="17" t="str">
        <f>_xlfn.XLOOKUP(Table2[[#This Row],[buyFromVendorNo]],'Next Day Scheduled'!A:A,'Pending Returns'!O:O,"NOT_FOUND")</f>
        <v>Posted Credit Note</v>
      </c>
    </row>
    <row r="1296" spans="1:17" x14ac:dyDescent="0.3">
      <c r="A1296" s="1">
        <v>46194</v>
      </c>
      <c r="B1296" t="s">
        <v>2723</v>
      </c>
      <c r="C1296" t="s">
        <v>621</v>
      </c>
      <c r="D1296" t="s">
        <v>622</v>
      </c>
      <c r="E1296" t="s">
        <v>8</v>
      </c>
      <c r="F1296" t="s">
        <v>10</v>
      </c>
      <c r="G1296" s="16">
        <v>1177.2647999999999</v>
      </c>
      <c r="H1296" s="16">
        <v>1353.8544999999999</v>
      </c>
      <c r="I1296" s="1">
        <v>46194</v>
      </c>
      <c r="J1296">
        <v>65</v>
      </c>
      <c r="K1296" t="s">
        <v>5400</v>
      </c>
      <c r="L1296" t="s">
        <v>5733</v>
      </c>
      <c r="M1296">
        <v>8</v>
      </c>
      <c r="N1296">
        <v>3</v>
      </c>
      <c r="O1296" t="s">
        <v>1036</v>
      </c>
      <c r="P1296" s="17"/>
      <c r="Q1296" s="17" t="str">
        <f>_xlfn.XLOOKUP(Table2[[#This Row],[buyFromVendorNo]],'Next Day Scheduled'!A:A,'Pending Returns'!O:O,"NOT_FOUND")</f>
        <v>NOT_FOUND</v>
      </c>
    </row>
    <row r="1297" spans="1:17" x14ac:dyDescent="0.3">
      <c r="A1297" s="1">
        <v>46194</v>
      </c>
      <c r="B1297" t="s">
        <v>4076</v>
      </c>
      <c r="C1297" t="s">
        <v>873</v>
      </c>
      <c r="D1297" t="s">
        <v>874</v>
      </c>
      <c r="E1297" t="s">
        <v>8</v>
      </c>
      <c r="F1297" t="s">
        <v>38</v>
      </c>
      <c r="G1297" s="16">
        <v>2025.56</v>
      </c>
      <c r="H1297" s="16">
        <v>2329.3939999999998</v>
      </c>
      <c r="I1297" s="1">
        <v>46190</v>
      </c>
      <c r="J1297">
        <v>65</v>
      </c>
      <c r="K1297" t="s">
        <v>4077</v>
      </c>
      <c r="L1297" t="s">
        <v>5761</v>
      </c>
      <c r="M1297">
        <v>2</v>
      </c>
      <c r="N1297">
        <v>6</v>
      </c>
      <c r="O1297" t="s">
        <v>1036</v>
      </c>
      <c r="P1297" s="17"/>
      <c r="Q1297" s="17" t="str">
        <f>_xlfn.XLOOKUP(Table2[[#This Row],[buyFromVendorNo]],'Next Day Scheduled'!A:A,'Pending Returns'!O:O,"NOT_FOUND")</f>
        <v>Posted Credit Note</v>
      </c>
    </row>
    <row r="1298" spans="1:17" x14ac:dyDescent="0.3">
      <c r="A1298" s="1">
        <v>46194</v>
      </c>
      <c r="B1298" t="s">
        <v>4163</v>
      </c>
      <c r="C1298" t="s">
        <v>69</v>
      </c>
      <c r="D1298" t="s">
        <v>70</v>
      </c>
      <c r="E1298" t="s">
        <v>8</v>
      </c>
      <c r="F1298" t="s">
        <v>10</v>
      </c>
      <c r="G1298" s="16">
        <v>590.38</v>
      </c>
      <c r="H1298" s="16">
        <v>678.93700000000001</v>
      </c>
      <c r="I1298" s="1">
        <v>46191</v>
      </c>
      <c r="J1298">
        <v>65</v>
      </c>
      <c r="K1298" t="s">
        <v>5018</v>
      </c>
      <c r="L1298" t="s">
        <v>5676</v>
      </c>
      <c r="M1298">
        <v>38</v>
      </c>
      <c r="N1298">
        <v>1</v>
      </c>
      <c r="O1298" t="s">
        <v>1036</v>
      </c>
      <c r="P1298" s="17"/>
      <c r="Q1298" s="17" t="str">
        <f>_xlfn.XLOOKUP(Table2[[#This Row],[buyFromVendorNo]],'Next Day Scheduled'!A:A,'Pending Returns'!O:O,"NOT_FOUND")</f>
        <v>Posted Credit Note</v>
      </c>
    </row>
    <row r="1299" spans="1:17" x14ac:dyDescent="0.3">
      <c r="A1299" s="1">
        <v>46194</v>
      </c>
      <c r="B1299" t="s">
        <v>4904</v>
      </c>
      <c r="C1299" t="s">
        <v>2276</v>
      </c>
      <c r="D1299" t="s">
        <v>2698</v>
      </c>
      <c r="E1299" t="s">
        <v>8</v>
      </c>
      <c r="F1299" t="s">
        <v>10</v>
      </c>
      <c r="G1299" s="16">
        <v>160.60499999999999</v>
      </c>
      <c r="H1299" s="16">
        <v>184.69576000000001</v>
      </c>
      <c r="I1299" s="1">
        <v>46194</v>
      </c>
      <c r="J1299">
        <v>65</v>
      </c>
      <c r="K1299" t="s">
        <v>4862</v>
      </c>
      <c r="L1299" t="s">
        <v>5735</v>
      </c>
      <c r="M1299">
        <v>9</v>
      </c>
      <c r="N1299">
        <v>9</v>
      </c>
      <c r="O1299" t="s">
        <v>1036</v>
      </c>
      <c r="P1299" s="17"/>
      <c r="Q1299" s="17" t="str">
        <f>_xlfn.XLOOKUP(Table2[[#This Row],[buyFromVendorNo]],'Next Day Scheduled'!A:A,'Pending Returns'!O:O,"NOT_FOUND")</f>
        <v>NOT_FOUND</v>
      </c>
    </row>
    <row r="1300" spans="1:17" x14ac:dyDescent="0.3">
      <c r="A1300" s="1">
        <v>46194</v>
      </c>
      <c r="B1300" t="s">
        <v>2796</v>
      </c>
      <c r="C1300" t="s">
        <v>911</v>
      </c>
      <c r="D1300" t="s">
        <v>912</v>
      </c>
      <c r="E1300" t="s">
        <v>8</v>
      </c>
      <c r="F1300" t="s">
        <v>10</v>
      </c>
      <c r="G1300" s="16">
        <v>563.71</v>
      </c>
      <c r="H1300" s="16">
        <v>629.36649999999997</v>
      </c>
      <c r="I1300" s="1">
        <v>46191</v>
      </c>
      <c r="J1300">
        <v>65</v>
      </c>
      <c r="K1300" t="s">
        <v>4003</v>
      </c>
      <c r="L1300" t="s">
        <v>5709</v>
      </c>
      <c r="M1300">
        <v>8</v>
      </c>
      <c r="N1300">
        <v>5</v>
      </c>
      <c r="O1300" t="s">
        <v>1036</v>
      </c>
      <c r="P1300" s="17"/>
      <c r="Q1300" s="17" t="str">
        <f>_xlfn.XLOOKUP(Table2[[#This Row],[buyFromVendorNo]],'Next Day Scheduled'!A:A,'Pending Returns'!O:O,"NOT_FOUND")</f>
        <v>NOT_FOUND</v>
      </c>
    </row>
    <row r="1301" spans="1:17" x14ac:dyDescent="0.3">
      <c r="A1301" s="1">
        <v>46194</v>
      </c>
      <c r="B1301" t="s">
        <v>3250</v>
      </c>
      <c r="C1301" t="s">
        <v>57</v>
      </c>
      <c r="D1301" t="s">
        <v>58</v>
      </c>
      <c r="E1301" t="s">
        <v>8</v>
      </c>
      <c r="F1301" t="s">
        <v>10</v>
      </c>
      <c r="G1301" s="16">
        <v>370.2</v>
      </c>
      <c r="H1301" s="16">
        <v>425.73</v>
      </c>
      <c r="I1301" s="1">
        <v>46190</v>
      </c>
      <c r="J1301">
        <v>65</v>
      </c>
      <c r="K1301" t="s">
        <v>4870</v>
      </c>
      <c r="L1301" t="s">
        <v>5712</v>
      </c>
      <c r="M1301">
        <v>8</v>
      </c>
      <c r="N1301">
        <v>8</v>
      </c>
      <c r="O1301" t="s">
        <v>1036</v>
      </c>
      <c r="P1301" s="17"/>
      <c r="Q1301" s="17" t="str">
        <f>_xlfn.XLOOKUP(Table2[[#This Row],[buyFromVendorNo]],'Next Day Scheduled'!A:A,'Pending Returns'!O:O,"NOT_FOUND")</f>
        <v>Posted Credit Note</v>
      </c>
    </row>
    <row r="1302" spans="1:17" x14ac:dyDescent="0.3">
      <c r="A1302" s="1">
        <v>46194</v>
      </c>
      <c r="B1302" t="s">
        <v>3574</v>
      </c>
      <c r="C1302" t="s">
        <v>3453</v>
      </c>
      <c r="D1302" t="s">
        <v>3454</v>
      </c>
      <c r="E1302" t="s">
        <v>8</v>
      </c>
      <c r="F1302" t="s">
        <v>10</v>
      </c>
      <c r="G1302" s="16">
        <v>52.5</v>
      </c>
      <c r="H1302" s="16">
        <v>60.375</v>
      </c>
      <c r="I1302" s="1">
        <v>46194</v>
      </c>
      <c r="J1302">
        <v>65</v>
      </c>
      <c r="K1302" t="s">
        <v>4942</v>
      </c>
      <c r="L1302" t="s">
        <v>5713</v>
      </c>
      <c r="M1302">
        <v>9</v>
      </c>
      <c r="N1302">
        <v>5</v>
      </c>
      <c r="O1302" t="s">
        <v>1036</v>
      </c>
      <c r="P1302" s="17"/>
      <c r="Q1302" s="17" t="str">
        <f>_xlfn.XLOOKUP(Table2[[#This Row],[buyFromVendorNo]],'Next Day Scheduled'!A:A,'Pending Returns'!O:O,"NOT_FOUND")</f>
        <v>NOT_FOUND</v>
      </c>
    </row>
    <row r="1303" spans="1:17" x14ac:dyDescent="0.3">
      <c r="A1303" s="1">
        <v>46194</v>
      </c>
      <c r="B1303" t="s">
        <v>488</v>
      </c>
      <c r="C1303" t="s">
        <v>1161</v>
      </c>
      <c r="D1303" t="s">
        <v>1162</v>
      </c>
      <c r="E1303" t="s">
        <v>8</v>
      </c>
      <c r="F1303" t="s">
        <v>10</v>
      </c>
      <c r="G1303" s="16">
        <v>1960.32</v>
      </c>
      <c r="H1303" s="16">
        <v>2254.3679999999999</v>
      </c>
      <c r="I1303" s="1">
        <v>46190</v>
      </c>
      <c r="J1303">
        <v>65</v>
      </c>
      <c r="K1303" t="s">
        <v>4531</v>
      </c>
      <c r="L1303" t="s">
        <v>5694</v>
      </c>
      <c r="M1303">
        <v>8</v>
      </c>
      <c r="N1303">
        <v>6</v>
      </c>
      <c r="O1303" t="s">
        <v>1036</v>
      </c>
      <c r="P1303" s="17"/>
      <c r="Q1303" s="17" t="str">
        <f>_xlfn.XLOOKUP(Table2[[#This Row],[buyFromVendorNo]],'Next Day Scheduled'!A:A,'Pending Returns'!O:O,"NOT_FOUND")</f>
        <v>NOT_FOUND</v>
      </c>
    </row>
    <row r="1304" spans="1:17" x14ac:dyDescent="0.3">
      <c r="A1304" s="1">
        <v>46194</v>
      </c>
      <c r="B1304" t="s">
        <v>2680</v>
      </c>
      <c r="C1304" t="s">
        <v>57</v>
      </c>
      <c r="D1304" t="s">
        <v>58</v>
      </c>
      <c r="E1304" t="s">
        <v>8</v>
      </c>
      <c r="F1304" t="s">
        <v>10</v>
      </c>
      <c r="G1304" s="16">
        <v>1520.35</v>
      </c>
      <c r="H1304" s="16">
        <v>1748.4024999999999</v>
      </c>
      <c r="I1304" s="1">
        <v>46176</v>
      </c>
      <c r="J1304">
        <v>65</v>
      </c>
      <c r="K1304" t="s">
        <v>2681</v>
      </c>
      <c r="L1304" t="s">
        <v>5695</v>
      </c>
      <c r="M1304">
        <v>8</v>
      </c>
      <c r="N1304">
        <v>8</v>
      </c>
      <c r="O1304" t="s">
        <v>1036</v>
      </c>
      <c r="P1304" s="17"/>
      <c r="Q1304" s="17" t="str">
        <f>_xlfn.XLOOKUP(Table2[[#This Row],[buyFromVendorNo]],'Next Day Scheduled'!A:A,'Pending Returns'!O:O,"NOT_FOUND")</f>
        <v>Posted Credit Note</v>
      </c>
    </row>
    <row r="1305" spans="1:17" x14ac:dyDescent="0.3">
      <c r="A1305" s="1">
        <v>46194</v>
      </c>
      <c r="B1305" t="s">
        <v>5185</v>
      </c>
      <c r="C1305" t="s">
        <v>318</v>
      </c>
      <c r="D1305" t="s">
        <v>319</v>
      </c>
      <c r="E1305" t="s">
        <v>8</v>
      </c>
      <c r="F1305" t="s">
        <v>10</v>
      </c>
      <c r="G1305" s="16">
        <v>622.71669999999995</v>
      </c>
      <c r="H1305" s="16">
        <v>716.12414999999999</v>
      </c>
      <c r="I1305" s="1">
        <v>46176</v>
      </c>
      <c r="J1305">
        <v>65</v>
      </c>
      <c r="K1305" t="s">
        <v>4112</v>
      </c>
      <c r="L1305" t="s">
        <v>5696</v>
      </c>
      <c r="M1305">
        <v>11</v>
      </c>
      <c r="N1305">
        <v>2</v>
      </c>
      <c r="O1305" t="s">
        <v>1036</v>
      </c>
      <c r="P1305" s="17"/>
      <c r="Q1305" s="17" t="str">
        <f>_xlfn.XLOOKUP(Table2[[#This Row],[buyFromVendorNo]],'Next Day Scheduled'!A:A,'Pending Returns'!O:O,"NOT_FOUND")</f>
        <v>NOT_FOUND</v>
      </c>
    </row>
    <row r="1306" spans="1:17" x14ac:dyDescent="0.3">
      <c r="A1306" s="1">
        <v>46194</v>
      </c>
      <c r="B1306" t="s">
        <v>1319</v>
      </c>
      <c r="C1306" t="s">
        <v>57</v>
      </c>
      <c r="D1306" t="s">
        <v>58</v>
      </c>
      <c r="E1306" t="s">
        <v>8</v>
      </c>
      <c r="F1306" t="s">
        <v>10</v>
      </c>
      <c r="G1306" s="16">
        <v>1591.95</v>
      </c>
      <c r="H1306" s="16">
        <v>1830.7426</v>
      </c>
      <c r="I1306" s="1">
        <v>46190</v>
      </c>
      <c r="J1306">
        <v>65</v>
      </c>
      <c r="K1306" t="s">
        <v>4477</v>
      </c>
      <c r="L1306" t="s">
        <v>5718</v>
      </c>
      <c r="M1306">
        <v>8</v>
      </c>
      <c r="N1306">
        <v>8</v>
      </c>
      <c r="O1306" t="s">
        <v>1036</v>
      </c>
      <c r="P1306" s="17"/>
      <c r="Q1306" s="17" t="str">
        <f>_xlfn.XLOOKUP(Table2[[#This Row],[buyFromVendorNo]],'Next Day Scheduled'!A:A,'Pending Returns'!O:O,"NOT_FOUND")</f>
        <v>Posted Credit Note</v>
      </c>
    </row>
    <row r="1307" spans="1:17" x14ac:dyDescent="0.3">
      <c r="A1307" s="1">
        <v>46194</v>
      </c>
      <c r="B1307" t="s">
        <v>607</v>
      </c>
      <c r="C1307" t="s">
        <v>2269</v>
      </c>
      <c r="D1307" t="s">
        <v>2270</v>
      </c>
      <c r="E1307" t="s">
        <v>8</v>
      </c>
      <c r="F1307" t="s">
        <v>10</v>
      </c>
      <c r="G1307" s="16">
        <v>392.28116</v>
      </c>
      <c r="H1307" s="16">
        <v>451.12331999999998</v>
      </c>
      <c r="I1307" s="1">
        <v>46181</v>
      </c>
      <c r="J1307">
        <v>65</v>
      </c>
      <c r="K1307" t="s">
        <v>2951</v>
      </c>
      <c r="L1307" t="s">
        <v>5719</v>
      </c>
      <c r="M1307">
        <v>1</v>
      </c>
      <c r="N1307">
        <v>64</v>
      </c>
      <c r="O1307" t="s">
        <v>1036</v>
      </c>
      <c r="P1307" s="17"/>
      <c r="Q1307" s="17" t="str">
        <f>_xlfn.XLOOKUP(Table2[[#This Row],[buyFromVendorNo]],'Next Day Scheduled'!A:A,'Pending Returns'!O:O,"NOT_FOUND")</f>
        <v>NOT_FOUND</v>
      </c>
    </row>
    <row r="1308" spans="1:17" x14ac:dyDescent="0.3">
      <c r="A1308" s="1">
        <v>46194</v>
      </c>
      <c r="B1308" t="s">
        <v>3259</v>
      </c>
      <c r="C1308" t="s">
        <v>2298</v>
      </c>
      <c r="D1308" t="s">
        <v>2299</v>
      </c>
      <c r="E1308" t="s">
        <v>8</v>
      </c>
      <c r="F1308" t="s">
        <v>10</v>
      </c>
      <c r="G1308" s="16">
        <v>9.4204399999999993</v>
      </c>
      <c r="H1308" s="16">
        <v>10.83351</v>
      </c>
      <c r="I1308" s="1">
        <v>46174</v>
      </c>
      <c r="J1308">
        <v>65</v>
      </c>
      <c r="K1308" t="s">
        <v>3139</v>
      </c>
      <c r="L1308" t="s">
        <v>5747</v>
      </c>
      <c r="M1308">
        <v>10</v>
      </c>
      <c r="N1308">
        <v>7</v>
      </c>
      <c r="O1308" t="s">
        <v>1036</v>
      </c>
      <c r="P1308" s="17"/>
      <c r="Q1308" s="17" t="str">
        <f>_xlfn.XLOOKUP(Table2[[#This Row],[buyFromVendorNo]],'Next Day Scheduled'!A:A,'Pending Returns'!O:O,"NOT_FOUND")</f>
        <v>NOT_FOUND</v>
      </c>
    </row>
    <row r="1309" spans="1:17" x14ac:dyDescent="0.3">
      <c r="A1309" s="1">
        <v>46194</v>
      </c>
      <c r="B1309" t="s">
        <v>250</v>
      </c>
      <c r="C1309" t="s">
        <v>122</v>
      </c>
      <c r="D1309" t="s">
        <v>123</v>
      </c>
      <c r="E1309" t="s">
        <v>8</v>
      </c>
      <c r="F1309" t="s">
        <v>10</v>
      </c>
      <c r="G1309" s="16">
        <v>1210.75</v>
      </c>
      <c r="H1309" s="16">
        <v>1392.3625</v>
      </c>
      <c r="I1309" s="1">
        <v>46193</v>
      </c>
      <c r="J1309">
        <v>65</v>
      </c>
      <c r="K1309" t="s">
        <v>4316</v>
      </c>
      <c r="L1309" t="s">
        <v>5767</v>
      </c>
      <c r="M1309">
        <v>22</v>
      </c>
      <c r="N1309">
        <v>1</v>
      </c>
      <c r="O1309" t="s">
        <v>1036</v>
      </c>
      <c r="P1309" s="17"/>
      <c r="Q1309" s="17" t="str">
        <f>_xlfn.XLOOKUP(Table2[[#This Row],[buyFromVendorNo]],'Next Day Scheduled'!A:A,'Pending Returns'!O:O,"NOT_FOUND")</f>
        <v>NOT_FOUND</v>
      </c>
    </row>
    <row r="1310" spans="1:17" x14ac:dyDescent="0.3">
      <c r="A1310" s="1">
        <v>46194</v>
      </c>
      <c r="B1310" t="s">
        <v>5216</v>
      </c>
      <c r="C1310" t="s">
        <v>3239</v>
      </c>
      <c r="D1310" t="s">
        <v>3632</v>
      </c>
      <c r="E1310" t="s">
        <v>8</v>
      </c>
      <c r="F1310" t="s">
        <v>10</v>
      </c>
      <c r="G1310" s="16">
        <v>300</v>
      </c>
      <c r="H1310" s="16">
        <v>345</v>
      </c>
      <c r="I1310" s="1">
        <v>46188</v>
      </c>
      <c r="J1310">
        <v>65</v>
      </c>
      <c r="K1310" t="s">
        <v>4745</v>
      </c>
      <c r="L1310" t="s">
        <v>5703</v>
      </c>
      <c r="M1310">
        <v>6</v>
      </c>
      <c r="N1310">
        <v>14</v>
      </c>
      <c r="O1310" t="s">
        <v>1036</v>
      </c>
      <c r="P1310" s="17"/>
      <c r="Q1310" s="17" t="str">
        <f>_xlfn.XLOOKUP(Table2[[#This Row],[buyFromVendorNo]],'Next Day Scheduled'!A:A,'Pending Returns'!O:O,"NOT_FOUND")</f>
        <v>Posted Credit Note</v>
      </c>
    </row>
    <row r="1311" spans="1:17" x14ac:dyDescent="0.3">
      <c r="A1311" s="1">
        <v>46194</v>
      </c>
      <c r="B1311" t="s">
        <v>5217</v>
      </c>
      <c r="C1311" t="s">
        <v>2361</v>
      </c>
      <c r="D1311" t="s">
        <v>2362</v>
      </c>
      <c r="E1311" t="s">
        <v>8</v>
      </c>
      <c r="F1311" t="s">
        <v>10</v>
      </c>
      <c r="G1311" s="16">
        <v>1492.75</v>
      </c>
      <c r="H1311" s="16">
        <v>1716.6624999999999</v>
      </c>
      <c r="I1311" s="1">
        <v>46188</v>
      </c>
      <c r="J1311">
        <v>65</v>
      </c>
      <c r="K1311" t="s">
        <v>4841</v>
      </c>
      <c r="L1311" t="s">
        <v>5753</v>
      </c>
      <c r="M1311">
        <v>6</v>
      </c>
      <c r="N1311">
        <v>15</v>
      </c>
      <c r="O1311" t="s">
        <v>1036</v>
      </c>
      <c r="P1311" s="17"/>
      <c r="Q1311" s="17" t="str">
        <f>_xlfn.XLOOKUP(Table2[[#This Row],[buyFromVendorNo]],'Next Day Scheduled'!A:A,'Pending Returns'!O:O,"NOT_FOUND")</f>
        <v>NOT_FOUND</v>
      </c>
    </row>
    <row r="1312" spans="1:17" x14ac:dyDescent="0.3">
      <c r="A1312" s="1">
        <v>46194</v>
      </c>
      <c r="B1312" t="s">
        <v>4031</v>
      </c>
      <c r="C1312" t="s">
        <v>327</v>
      </c>
      <c r="D1312" t="s">
        <v>328</v>
      </c>
      <c r="E1312" t="s">
        <v>8</v>
      </c>
      <c r="F1312" t="s">
        <v>169</v>
      </c>
      <c r="G1312" s="16">
        <v>735.81</v>
      </c>
      <c r="H1312" s="16">
        <v>846.18150000000003</v>
      </c>
      <c r="I1312" s="1">
        <v>46194</v>
      </c>
      <c r="J1312">
        <v>65</v>
      </c>
      <c r="K1312" t="s">
        <v>4098</v>
      </c>
      <c r="L1312" t="s">
        <v>5728</v>
      </c>
      <c r="M1312">
        <v>6</v>
      </c>
      <c r="N1312">
        <v>5</v>
      </c>
      <c r="O1312" t="s">
        <v>1036</v>
      </c>
      <c r="P1312" s="17"/>
      <c r="Q1312" s="17" t="str">
        <f>_xlfn.XLOOKUP(Table2[[#This Row],[buyFromVendorNo]],'Next Day Scheduled'!A:A,'Pending Returns'!O:O,"NOT_FOUND")</f>
        <v>NOT_FOUND</v>
      </c>
    </row>
    <row r="1313" spans="1:17" x14ac:dyDescent="0.3">
      <c r="A1313" s="1">
        <v>46194</v>
      </c>
      <c r="B1313" t="s">
        <v>2083</v>
      </c>
      <c r="C1313" t="s">
        <v>873</v>
      </c>
      <c r="D1313" t="s">
        <v>874</v>
      </c>
      <c r="E1313" t="s">
        <v>8</v>
      </c>
      <c r="F1313" t="s">
        <v>38</v>
      </c>
      <c r="G1313" s="16">
        <v>4470.79</v>
      </c>
      <c r="H1313" s="16">
        <v>5141.4087</v>
      </c>
      <c r="I1313" s="1">
        <v>46190</v>
      </c>
      <c r="J1313">
        <v>65</v>
      </c>
      <c r="K1313" t="s">
        <v>2084</v>
      </c>
      <c r="L1313" t="s">
        <v>5730</v>
      </c>
      <c r="M1313">
        <v>2</v>
      </c>
      <c r="N1313">
        <v>6</v>
      </c>
      <c r="O1313" t="s">
        <v>1036</v>
      </c>
      <c r="P1313" s="17"/>
      <c r="Q1313" s="17" t="str">
        <f>_xlfn.XLOOKUP(Table2[[#This Row],[buyFromVendorNo]],'Next Day Scheduled'!A:A,'Pending Returns'!O:O,"NOT_FOUND")</f>
        <v>Posted Credit Note</v>
      </c>
    </row>
    <row r="1314" spans="1:17" x14ac:dyDescent="0.3">
      <c r="A1314" s="1">
        <v>46194</v>
      </c>
      <c r="B1314" t="s">
        <v>5167</v>
      </c>
      <c r="C1314" t="s">
        <v>817</v>
      </c>
      <c r="D1314" t="s">
        <v>818</v>
      </c>
      <c r="E1314" t="s">
        <v>8</v>
      </c>
      <c r="F1314" t="s">
        <v>10</v>
      </c>
      <c r="G1314" s="16">
        <v>6378.4326000000001</v>
      </c>
      <c r="H1314" s="16">
        <v>7335.1972999999998</v>
      </c>
      <c r="I1314" s="1">
        <v>46174</v>
      </c>
      <c r="J1314">
        <v>65</v>
      </c>
      <c r="K1314" t="s">
        <v>3607</v>
      </c>
      <c r="L1314" t="s">
        <v>5704</v>
      </c>
      <c r="M1314">
        <v>9</v>
      </c>
      <c r="N1314">
        <v>5</v>
      </c>
      <c r="O1314" t="s">
        <v>1036</v>
      </c>
      <c r="P1314" s="17"/>
      <c r="Q1314" s="17" t="str">
        <f>_xlfn.XLOOKUP(Table2[[#This Row],[buyFromVendorNo]],'Next Day Scheduled'!A:A,'Pending Returns'!O:O,"NOT_FOUND")</f>
        <v>NOT_FOUND</v>
      </c>
    </row>
    <row r="1315" spans="1:17" x14ac:dyDescent="0.3">
      <c r="A1315" s="1">
        <v>46194</v>
      </c>
      <c r="B1315" t="s">
        <v>281</v>
      </c>
      <c r="C1315" t="s">
        <v>122</v>
      </c>
      <c r="D1315" t="s">
        <v>123</v>
      </c>
      <c r="E1315" t="s">
        <v>8</v>
      </c>
      <c r="F1315" t="s">
        <v>10</v>
      </c>
      <c r="G1315" s="16">
        <v>565.75</v>
      </c>
      <c r="H1315" s="16">
        <v>650.61249999999995</v>
      </c>
      <c r="I1315" s="1">
        <v>46193</v>
      </c>
      <c r="J1315">
        <v>65</v>
      </c>
      <c r="K1315" t="s">
        <v>4556</v>
      </c>
      <c r="L1315" t="s">
        <v>5732</v>
      </c>
      <c r="M1315">
        <v>22</v>
      </c>
      <c r="N1315">
        <v>1</v>
      </c>
      <c r="O1315" t="s">
        <v>1036</v>
      </c>
      <c r="P1315" s="17"/>
      <c r="Q1315" s="17" t="str">
        <f>_xlfn.XLOOKUP(Table2[[#This Row],[buyFromVendorNo]],'Next Day Scheduled'!A:A,'Pending Returns'!O:O,"NOT_FOUND")</f>
        <v>NOT_FOUND</v>
      </c>
    </row>
    <row r="1316" spans="1:17" x14ac:dyDescent="0.3">
      <c r="A1316" s="1">
        <v>46194</v>
      </c>
      <c r="B1316" t="s">
        <v>4162</v>
      </c>
      <c r="C1316" t="s">
        <v>2380</v>
      </c>
      <c r="D1316" t="s">
        <v>2381</v>
      </c>
      <c r="E1316" t="s">
        <v>8</v>
      </c>
      <c r="F1316" t="s">
        <v>10</v>
      </c>
      <c r="G1316" s="16">
        <v>559.55999999999995</v>
      </c>
      <c r="H1316" s="16">
        <v>643.49400000000003</v>
      </c>
      <c r="I1316" s="1">
        <v>46187</v>
      </c>
      <c r="J1316">
        <v>65</v>
      </c>
      <c r="K1316" t="s">
        <v>4135</v>
      </c>
      <c r="L1316" t="s">
        <v>5705</v>
      </c>
      <c r="M1316">
        <v>8</v>
      </c>
      <c r="N1316">
        <v>3</v>
      </c>
      <c r="O1316" t="s">
        <v>1036</v>
      </c>
      <c r="P1316" s="17"/>
      <c r="Q1316" s="17" t="str">
        <f>_xlfn.XLOOKUP(Table2[[#This Row],[buyFromVendorNo]],'Next Day Scheduled'!A:A,'Pending Returns'!O:O,"NOT_FOUND")</f>
        <v>NOT_FOUND</v>
      </c>
    </row>
    <row r="1317" spans="1:17" x14ac:dyDescent="0.3">
      <c r="A1317" s="1">
        <v>46194</v>
      </c>
      <c r="B1317" t="s">
        <v>2382</v>
      </c>
      <c r="C1317" t="s">
        <v>602</v>
      </c>
      <c r="D1317" t="s">
        <v>603</v>
      </c>
      <c r="E1317" t="s">
        <v>8</v>
      </c>
      <c r="F1317" t="s">
        <v>10</v>
      </c>
      <c r="G1317" s="16">
        <v>1866.23</v>
      </c>
      <c r="H1317" s="16">
        <v>2146.1646000000001</v>
      </c>
      <c r="I1317" s="1">
        <v>46186</v>
      </c>
      <c r="J1317">
        <v>65</v>
      </c>
      <c r="K1317" t="s">
        <v>4243</v>
      </c>
      <c r="L1317" t="s">
        <v>5760</v>
      </c>
      <c r="M1317">
        <v>8</v>
      </c>
      <c r="N1317">
        <v>6</v>
      </c>
      <c r="O1317" t="s">
        <v>1036</v>
      </c>
      <c r="P1317" s="17"/>
      <c r="Q1317" s="17" t="str">
        <f>_xlfn.XLOOKUP(Table2[[#This Row],[buyFromVendorNo]],'Next Day Scheduled'!A:A,'Pending Returns'!O:O,"NOT_FOUND")</f>
        <v>NOT_FOUND</v>
      </c>
    </row>
    <row r="1318" spans="1:17" x14ac:dyDescent="0.3">
      <c r="A1318" s="1">
        <v>46195</v>
      </c>
      <c r="B1318" t="s">
        <v>3928</v>
      </c>
      <c r="C1318" t="s">
        <v>826</v>
      </c>
      <c r="D1318" t="s">
        <v>827</v>
      </c>
      <c r="E1318" t="s">
        <v>8</v>
      </c>
      <c r="F1318" t="s">
        <v>10</v>
      </c>
      <c r="G1318" s="16">
        <v>221.56</v>
      </c>
      <c r="H1318" s="16">
        <v>254.79400000000001</v>
      </c>
      <c r="I1318" s="1">
        <v>46191</v>
      </c>
      <c r="J1318">
        <v>64</v>
      </c>
      <c r="K1318" t="s">
        <v>4954</v>
      </c>
      <c r="L1318" t="s">
        <v>5774</v>
      </c>
      <c r="M1318">
        <v>7</v>
      </c>
      <c r="N1318">
        <v>5</v>
      </c>
      <c r="O1318" t="s">
        <v>1036</v>
      </c>
      <c r="P1318" s="17"/>
      <c r="Q1318" s="17" t="str">
        <f>_xlfn.XLOOKUP(Table2[[#This Row],[buyFromVendorNo]],'Next Day Scheduled'!A:A,'Pending Returns'!O:O,"NOT_FOUND")</f>
        <v>NOT_FOUND</v>
      </c>
    </row>
    <row r="1319" spans="1:17" x14ac:dyDescent="0.3">
      <c r="A1319" s="1">
        <v>46195</v>
      </c>
      <c r="B1319" t="s">
        <v>5220</v>
      </c>
      <c r="C1319" t="s">
        <v>562</v>
      </c>
      <c r="D1319" t="s">
        <v>563</v>
      </c>
      <c r="E1319" t="s">
        <v>8</v>
      </c>
      <c r="F1319" t="s">
        <v>10</v>
      </c>
      <c r="G1319" s="16">
        <v>10345.35</v>
      </c>
      <c r="H1319" s="16">
        <v>11897.152</v>
      </c>
      <c r="I1319" s="1">
        <v>46188</v>
      </c>
      <c r="J1319">
        <v>64</v>
      </c>
      <c r="K1319" t="s">
        <v>4880</v>
      </c>
      <c r="L1319" t="s">
        <v>5834</v>
      </c>
      <c r="M1319">
        <v>20</v>
      </c>
      <c r="N1319">
        <v>1</v>
      </c>
      <c r="O1319" t="s">
        <v>1036</v>
      </c>
      <c r="P1319" s="17"/>
      <c r="Q1319" s="17" t="str">
        <f>_xlfn.XLOOKUP(Table2[[#This Row],[buyFromVendorNo]],'Next Day Scheduled'!A:A,'Pending Returns'!O:O,"NOT_FOUND")</f>
        <v>NOT_FOUND</v>
      </c>
    </row>
    <row r="1320" spans="1:17" x14ac:dyDescent="0.3">
      <c r="A1320" s="1">
        <v>46195</v>
      </c>
      <c r="B1320" t="s">
        <v>2205</v>
      </c>
      <c r="C1320" t="s">
        <v>130</v>
      </c>
      <c r="D1320" t="s">
        <v>131</v>
      </c>
      <c r="E1320" t="s">
        <v>8</v>
      </c>
      <c r="F1320" t="s">
        <v>10</v>
      </c>
      <c r="G1320" s="16">
        <v>1933.617</v>
      </c>
      <c r="H1320" s="16">
        <v>2223.6597000000002</v>
      </c>
      <c r="I1320" s="1">
        <v>46186</v>
      </c>
      <c r="J1320">
        <v>64</v>
      </c>
      <c r="K1320" t="s">
        <v>4647</v>
      </c>
      <c r="L1320" t="s">
        <v>5812</v>
      </c>
      <c r="M1320">
        <v>9</v>
      </c>
      <c r="N1320">
        <v>7</v>
      </c>
      <c r="O1320" t="s">
        <v>1036</v>
      </c>
      <c r="P1320" s="17"/>
      <c r="Q1320" s="17" t="str">
        <f>_xlfn.XLOOKUP(Table2[[#This Row],[buyFromVendorNo]],'Next Day Scheduled'!A:A,'Pending Returns'!O:O,"NOT_FOUND")</f>
        <v>Posted Credit Note</v>
      </c>
    </row>
    <row r="1321" spans="1:17" x14ac:dyDescent="0.3">
      <c r="A1321" s="1">
        <v>46195</v>
      </c>
      <c r="B1321" t="s">
        <v>3316</v>
      </c>
      <c r="C1321" t="s">
        <v>2357</v>
      </c>
      <c r="D1321" t="s">
        <v>2358</v>
      </c>
      <c r="E1321" t="s">
        <v>8</v>
      </c>
      <c r="F1321" t="s">
        <v>10</v>
      </c>
      <c r="G1321" s="16">
        <v>5176.8184000000001</v>
      </c>
      <c r="H1321" s="16">
        <v>5953.3410000000003</v>
      </c>
      <c r="I1321" s="1">
        <v>46183</v>
      </c>
      <c r="J1321">
        <v>64</v>
      </c>
      <c r="K1321" t="s">
        <v>3219</v>
      </c>
      <c r="L1321" t="s">
        <v>5813</v>
      </c>
      <c r="M1321">
        <v>8</v>
      </c>
      <c r="N1321">
        <v>6</v>
      </c>
      <c r="O1321" t="s">
        <v>1036</v>
      </c>
      <c r="P1321" s="17"/>
      <c r="Q1321" s="17" t="str">
        <f>_xlfn.XLOOKUP(Table2[[#This Row],[buyFromVendorNo]],'Next Day Scheduled'!A:A,'Pending Returns'!O:O,"NOT_FOUND")</f>
        <v>NOT_FOUND</v>
      </c>
    </row>
    <row r="1322" spans="1:17" x14ac:dyDescent="0.3">
      <c r="A1322" s="1">
        <v>46195</v>
      </c>
      <c r="B1322" t="s">
        <v>5259</v>
      </c>
      <c r="C1322" t="s">
        <v>2256</v>
      </c>
      <c r="D1322" t="s">
        <v>2257</v>
      </c>
      <c r="E1322" t="s">
        <v>8</v>
      </c>
      <c r="F1322" t="s">
        <v>10</v>
      </c>
      <c r="G1322" s="16">
        <v>107.8</v>
      </c>
      <c r="H1322" s="16">
        <v>123.97</v>
      </c>
      <c r="I1322" s="1">
        <v>46195</v>
      </c>
      <c r="J1322">
        <v>64</v>
      </c>
      <c r="K1322" t="s">
        <v>5260</v>
      </c>
      <c r="L1322" t="s">
        <v>5836</v>
      </c>
      <c r="M1322">
        <v>6</v>
      </c>
      <c r="N1322">
        <v>2</v>
      </c>
      <c r="O1322" t="s">
        <v>1036</v>
      </c>
      <c r="P1322" s="17"/>
      <c r="Q1322" s="17" t="str">
        <f>_xlfn.XLOOKUP(Table2[[#This Row],[buyFromVendorNo]],'Next Day Scheduled'!A:A,'Pending Returns'!O:O,"NOT_FOUND")</f>
        <v>NOT_FOUND</v>
      </c>
    </row>
    <row r="1323" spans="1:17" x14ac:dyDescent="0.3">
      <c r="A1323" s="1">
        <v>46195</v>
      </c>
      <c r="B1323" t="s">
        <v>3870</v>
      </c>
      <c r="C1323" t="s">
        <v>302</v>
      </c>
      <c r="D1323" t="s">
        <v>303</v>
      </c>
      <c r="E1323" t="s">
        <v>8</v>
      </c>
      <c r="F1323" t="s">
        <v>10</v>
      </c>
      <c r="G1323" s="16">
        <v>83.491200000000006</v>
      </c>
      <c r="H1323" s="16">
        <v>96.014880000000005</v>
      </c>
      <c r="I1323" s="1">
        <v>46190</v>
      </c>
      <c r="J1323">
        <v>64</v>
      </c>
      <c r="K1323" t="s">
        <v>3871</v>
      </c>
      <c r="L1323" t="s">
        <v>5778</v>
      </c>
      <c r="M1323">
        <v>6</v>
      </c>
      <c r="N1323">
        <v>1</v>
      </c>
      <c r="O1323" t="s">
        <v>1036</v>
      </c>
      <c r="P1323" s="17"/>
      <c r="Q1323" s="17" t="str">
        <f>_xlfn.XLOOKUP(Table2[[#This Row],[buyFromVendorNo]],'Next Day Scheduled'!A:A,'Pending Returns'!O:O,"NOT_FOUND")</f>
        <v>NOT_FOUND</v>
      </c>
    </row>
    <row r="1324" spans="1:17" x14ac:dyDescent="0.3">
      <c r="A1324" s="1">
        <v>46195</v>
      </c>
      <c r="B1324" t="s">
        <v>4696</v>
      </c>
      <c r="C1324" t="s">
        <v>301</v>
      </c>
      <c r="D1324" t="s">
        <v>370</v>
      </c>
      <c r="E1324" t="s">
        <v>8</v>
      </c>
      <c r="F1324" t="s">
        <v>10</v>
      </c>
      <c r="G1324" s="16">
        <v>1105.5</v>
      </c>
      <c r="H1324" s="16">
        <v>1271.325</v>
      </c>
      <c r="I1324" s="1">
        <v>46174</v>
      </c>
      <c r="J1324">
        <v>64</v>
      </c>
      <c r="K1324" t="s">
        <v>3616</v>
      </c>
      <c r="L1324" t="s">
        <v>5780</v>
      </c>
      <c r="M1324">
        <v>18</v>
      </c>
      <c r="N1324">
        <v>5</v>
      </c>
      <c r="O1324" t="s">
        <v>1036</v>
      </c>
      <c r="P1324" s="17"/>
      <c r="Q1324" s="17" t="str">
        <f>_xlfn.XLOOKUP(Table2[[#This Row],[buyFromVendorNo]],'Next Day Scheduled'!A:A,'Pending Returns'!O:O,"NOT_FOUND")</f>
        <v>NOT_FOUND</v>
      </c>
    </row>
    <row r="1325" spans="1:17" x14ac:dyDescent="0.3">
      <c r="A1325" s="1">
        <v>46195</v>
      </c>
      <c r="B1325" t="s">
        <v>2893</v>
      </c>
      <c r="C1325" t="s">
        <v>873</v>
      </c>
      <c r="D1325" t="s">
        <v>874</v>
      </c>
      <c r="E1325" t="s">
        <v>8</v>
      </c>
      <c r="F1325" t="s">
        <v>38</v>
      </c>
      <c r="G1325" s="16">
        <v>5848.3</v>
      </c>
      <c r="H1325" s="16">
        <v>6725.5450000000001</v>
      </c>
      <c r="I1325" s="1">
        <v>46195</v>
      </c>
      <c r="J1325">
        <v>64</v>
      </c>
      <c r="K1325" t="s">
        <v>2894</v>
      </c>
      <c r="L1325" t="s">
        <v>5798</v>
      </c>
      <c r="M1325">
        <v>2</v>
      </c>
      <c r="N1325">
        <v>6</v>
      </c>
      <c r="O1325" t="s">
        <v>1036</v>
      </c>
      <c r="P1325" s="17"/>
      <c r="Q1325" s="17" t="str">
        <f>_xlfn.XLOOKUP(Table2[[#This Row],[buyFromVendorNo]],'Next Day Scheduled'!A:A,'Pending Returns'!O:O,"NOT_FOUND")</f>
        <v>Posted Credit Note</v>
      </c>
    </row>
    <row r="1326" spans="1:17" x14ac:dyDescent="0.3">
      <c r="A1326" s="1">
        <v>46195</v>
      </c>
      <c r="B1326" t="s">
        <v>5223</v>
      </c>
      <c r="C1326" t="s">
        <v>2262</v>
      </c>
      <c r="D1326" t="s">
        <v>2470</v>
      </c>
      <c r="E1326" t="s">
        <v>8</v>
      </c>
      <c r="F1326" t="s">
        <v>10</v>
      </c>
      <c r="G1326" s="16">
        <v>267</v>
      </c>
      <c r="H1326" s="16">
        <v>267</v>
      </c>
      <c r="I1326" s="1">
        <v>46190</v>
      </c>
      <c r="J1326">
        <v>64</v>
      </c>
      <c r="K1326" t="s">
        <v>4994</v>
      </c>
      <c r="L1326" t="s">
        <v>5782</v>
      </c>
      <c r="M1326">
        <v>9</v>
      </c>
      <c r="N1326">
        <v>6</v>
      </c>
      <c r="O1326" t="s">
        <v>1036</v>
      </c>
      <c r="P1326" s="17"/>
      <c r="Q1326" s="17" t="str">
        <f>_xlfn.XLOOKUP(Table2[[#This Row],[buyFromVendorNo]],'Next Day Scheduled'!A:A,'Pending Returns'!O:O,"NOT_FOUND")</f>
        <v>NOT_FOUND</v>
      </c>
    </row>
    <row r="1327" spans="1:17" x14ac:dyDescent="0.3">
      <c r="A1327" s="1">
        <v>46195</v>
      </c>
      <c r="B1327" t="s">
        <v>2165</v>
      </c>
      <c r="C1327" t="s">
        <v>1161</v>
      </c>
      <c r="D1327" t="s">
        <v>1162</v>
      </c>
      <c r="E1327" t="s">
        <v>8</v>
      </c>
      <c r="F1327" t="s">
        <v>10</v>
      </c>
      <c r="G1327" s="16">
        <v>1167.74</v>
      </c>
      <c r="H1327" s="16">
        <v>1342.9010000000001</v>
      </c>
      <c r="I1327" s="1">
        <v>46190</v>
      </c>
      <c r="J1327">
        <v>64</v>
      </c>
      <c r="K1327" t="s">
        <v>4715</v>
      </c>
      <c r="L1327" t="s">
        <v>5785</v>
      </c>
      <c r="M1327">
        <v>8</v>
      </c>
      <c r="N1327">
        <v>6</v>
      </c>
      <c r="O1327" t="s">
        <v>1036</v>
      </c>
      <c r="P1327" s="17"/>
      <c r="Q1327" s="17" t="str">
        <f>_xlfn.XLOOKUP(Table2[[#This Row],[buyFromVendorNo]],'Next Day Scheduled'!A:A,'Pending Returns'!O:O,"NOT_FOUND")</f>
        <v>NOT_FOUND</v>
      </c>
    </row>
    <row r="1328" spans="1:17" x14ac:dyDescent="0.3">
      <c r="A1328" s="1">
        <v>46195</v>
      </c>
      <c r="B1328" t="s">
        <v>4397</v>
      </c>
      <c r="C1328" t="s">
        <v>1161</v>
      </c>
      <c r="D1328" t="s">
        <v>1162</v>
      </c>
      <c r="E1328" t="s">
        <v>8</v>
      </c>
      <c r="F1328" t="s">
        <v>10</v>
      </c>
      <c r="G1328" s="16">
        <v>2096.46</v>
      </c>
      <c r="H1328" s="16">
        <v>2410.9290000000001</v>
      </c>
      <c r="I1328" s="1">
        <v>46190</v>
      </c>
      <c r="J1328">
        <v>64</v>
      </c>
      <c r="K1328" t="s">
        <v>4398</v>
      </c>
      <c r="L1328" t="s">
        <v>5840</v>
      </c>
      <c r="M1328">
        <v>8</v>
      </c>
      <c r="N1328">
        <v>6</v>
      </c>
      <c r="O1328" t="s">
        <v>1036</v>
      </c>
      <c r="P1328" s="17"/>
      <c r="Q1328" s="17" t="str">
        <f>_xlfn.XLOOKUP(Table2[[#This Row],[buyFromVendorNo]],'Next Day Scheduled'!A:A,'Pending Returns'!O:O,"NOT_FOUND")</f>
        <v>NOT_FOUND</v>
      </c>
    </row>
    <row r="1329" spans="1:17" x14ac:dyDescent="0.3">
      <c r="A1329" s="1">
        <v>46195</v>
      </c>
      <c r="B1329" t="s">
        <v>5473</v>
      </c>
      <c r="C1329" t="s">
        <v>1161</v>
      </c>
      <c r="D1329" t="s">
        <v>1162</v>
      </c>
      <c r="E1329" t="s">
        <v>8</v>
      </c>
      <c r="F1329" t="s">
        <v>10</v>
      </c>
      <c r="G1329" s="16">
        <v>1246.26</v>
      </c>
      <c r="H1329" s="16">
        <v>1433.1990000000001</v>
      </c>
      <c r="I1329" s="1">
        <v>46193</v>
      </c>
      <c r="J1329">
        <v>64</v>
      </c>
      <c r="K1329" t="s">
        <v>5051</v>
      </c>
      <c r="L1329" t="s">
        <v>5841</v>
      </c>
      <c r="M1329">
        <v>8</v>
      </c>
      <c r="N1329">
        <v>6</v>
      </c>
      <c r="O1329" t="s">
        <v>1036</v>
      </c>
      <c r="P1329" s="17"/>
      <c r="Q1329" s="17" t="str">
        <f>_xlfn.XLOOKUP(Table2[[#This Row],[buyFromVendorNo]],'Next Day Scheduled'!A:A,'Pending Returns'!O:O,"NOT_FOUND")</f>
        <v>NOT_FOUND</v>
      </c>
    </row>
    <row r="1330" spans="1:17" x14ac:dyDescent="0.3">
      <c r="A1330" s="1">
        <v>46195</v>
      </c>
      <c r="B1330" t="s">
        <v>1782</v>
      </c>
      <c r="C1330" t="s">
        <v>953</v>
      </c>
      <c r="D1330" t="s">
        <v>954</v>
      </c>
      <c r="E1330" t="s">
        <v>8</v>
      </c>
      <c r="F1330" t="s">
        <v>10</v>
      </c>
      <c r="G1330" s="16">
        <v>2243</v>
      </c>
      <c r="H1330" s="16">
        <v>2579.4499999999998</v>
      </c>
      <c r="I1330" s="1">
        <v>46174</v>
      </c>
      <c r="J1330">
        <v>64</v>
      </c>
      <c r="K1330" t="s">
        <v>2829</v>
      </c>
      <c r="L1330" t="s">
        <v>5801</v>
      </c>
      <c r="M1330">
        <v>9</v>
      </c>
      <c r="N1330">
        <v>5</v>
      </c>
      <c r="O1330" t="s">
        <v>1036</v>
      </c>
      <c r="P1330" s="17"/>
      <c r="Q1330" s="17" t="str">
        <f>_xlfn.XLOOKUP(Table2[[#This Row],[buyFromVendorNo]],'Next Day Scheduled'!A:A,'Pending Returns'!O:O,"NOT_FOUND")</f>
        <v>NOT_FOUND</v>
      </c>
    </row>
    <row r="1331" spans="1:17" x14ac:dyDescent="0.3">
      <c r="A1331" s="1">
        <v>46195</v>
      </c>
      <c r="B1331" t="s">
        <v>3689</v>
      </c>
      <c r="C1331" t="s">
        <v>302</v>
      </c>
      <c r="D1331" t="s">
        <v>303</v>
      </c>
      <c r="E1331" t="s">
        <v>8</v>
      </c>
      <c r="F1331" t="s">
        <v>10</v>
      </c>
      <c r="G1331" s="16">
        <v>8122.3076000000001</v>
      </c>
      <c r="H1331" s="16">
        <v>9291.6640000000007</v>
      </c>
      <c r="I1331" s="1">
        <v>46190</v>
      </c>
      <c r="J1331">
        <v>64</v>
      </c>
      <c r="K1331" t="s">
        <v>2399</v>
      </c>
      <c r="L1331" t="s">
        <v>5827</v>
      </c>
      <c r="M1331">
        <v>6</v>
      </c>
      <c r="N1331">
        <v>1</v>
      </c>
      <c r="O1331" t="s">
        <v>1036</v>
      </c>
      <c r="P1331" s="17"/>
      <c r="Q1331" s="17" t="str">
        <f>_xlfn.XLOOKUP(Table2[[#This Row],[buyFromVendorNo]],'Next Day Scheduled'!A:A,'Pending Returns'!O:O,"NOT_FOUND")</f>
        <v>NOT_FOUND</v>
      </c>
    </row>
    <row r="1332" spans="1:17" x14ac:dyDescent="0.3">
      <c r="A1332" s="1">
        <v>46195</v>
      </c>
      <c r="B1332" t="s">
        <v>4159</v>
      </c>
      <c r="C1332" t="s">
        <v>562</v>
      </c>
      <c r="D1332" t="s">
        <v>563</v>
      </c>
      <c r="E1332" t="s">
        <v>8</v>
      </c>
      <c r="F1332" t="s">
        <v>10</v>
      </c>
      <c r="G1332" s="16">
        <v>1583.2270000000001</v>
      </c>
      <c r="H1332" s="16">
        <v>1820.711</v>
      </c>
      <c r="I1332" s="1">
        <v>46188</v>
      </c>
      <c r="J1332">
        <v>64</v>
      </c>
      <c r="K1332" t="s">
        <v>4881</v>
      </c>
      <c r="L1332" t="s">
        <v>5826</v>
      </c>
      <c r="M1332">
        <v>20</v>
      </c>
      <c r="N1332">
        <v>1</v>
      </c>
      <c r="O1332" t="s">
        <v>1036</v>
      </c>
      <c r="P1332" s="17"/>
      <c r="Q1332" s="17" t="str">
        <f>_xlfn.XLOOKUP(Table2[[#This Row],[buyFromVendorNo]],'Next Day Scheduled'!A:A,'Pending Returns'!O:O,"NOT_FOUND")</f>
        <v>NOT_FOUND</v>
      </c>
    </row>
    <row r="1333" spans="1:17" x14ac:dyDescent="0.3">
      <c r="A1333" s="1">
        <v>46195</v>
      </c>
      <c r="B1333" t="s">
        <v>5190</v>
      </c>
      <c r="C1333" t="s">
        <v>810</v>
      </c>
      <c r="D1333" t="s">
        <v>811</v>
      </c>
      <c r="E1333" t="s">
        <v>8</v>
      </c>
      <c r="F1333" t="s">
        <v>38</v>
      </c>
      <c r="G1333" s="16">
        <v>727</v>
      </c>
      <c r="H1333" s="16">
        <v>836.05</v>
      </c>
      <c r="I1333" s="1">
        <v>46191</v>
      </c>
      <c r="J1333">
        <v>64</v>
      </c>
      <c r="K1333" t="s">
        <v>3074</v>
      </c>
      <c r="L1333" t="s">
        <v>5804</v>
      </c>
      <c r="M1333">
        <v>8</v>
      </c>
      <c r="N1333">
        <v>7</v>
      </c>
      <c r="O1333" t="s">
        <v>1036</v>
      </c>
      <c r="P1333" s="17"/>
      <c r="Q1333" s="17" t="str">
        <f>_xlfn.XLOOKUP(Table2[[#This Row],[buyFromVendorNo]],'Next Day Scheduled'!A:A,'Pending Returns'!O:O,"NOT_FOUND")</f>
        <v>NOT_FOUND</v>
      </c>
    </row>
    <row r="1334" spans="1:17" x14ac:dyDescent="0.3">
      <c r="A1334" s="1">
        <v>46195</v>
      </c>
      <c r="B1334" t="s">
        <v>4679</v>
      </c>
      <c r="C1334" t="s">
        <v>548</v>
      </c>
      <c r="D1334" t="s">
        <v>549</v>
      </c>
      <c r="E1334" t="s">
        <v>8</v>
      </c>
      <c r="F1334" t="s">
        <v>10</v>
      </c>
      <c r="G1334" s="16">
        <v>5195.4009999999998</v>
      </c>
      <c r="H1334" s="16">
        <v>5974.7110000000002</v>
      </c>
      <c r="I1334" s="1">
        <v>46174</v>
      </c>
      <c r="J1334">
        <v>64</v>
      </c>
      <c r="K1334" t="s">
        <v>3618</v>
      </c>
      <c r="L1334" t="s">
        <v>5845</v>
      </c>
      <c r="M1334">
        <v>8</v>
      </c>
      <c r="N1334">
        <v>3</v>
      </c>
      <c r="O1334" t="s">
        <v>1036</v>
      </c>
      <c r="P1334" s="17"/>
      <c r="Q1334" s="17" t="str">
        <f>_xlfn.XLOOKUP(Table2[[#This Row],[buyFromVendorNo]],'Next Day Scheduled'!A:A,'Pending Returns'!O:O,"NOT_FOUND")</f>
        <v>NOT_FOUND</v>
      </c>
    </row>
    <row r="1335" spans="1:17" x14ac:dyDescent="0.3">
      <c r="A1335" s="1">
        <v>46195</v>
      </c>
      <c r="B1335" t="s">
        <v>257</v>
      </c>
      <c r="C1335" t="s">
        <v>566</v>
      </c>
      <c r="D1335" t="s">
        <v>590</v>
      </c>
      <c r="E1335" t="s">
        <v>8</v>
      </c>
      <c r="F1335" t="s">
        <v>10</v>
      </c>
      <c r="G1335" s="16">
        <v>4049.9416999999999</v>
      </c>
      <c r="H1335" s="16">
        <v>4657.433</v>
      </c>
      <c r="I1335" s="1">
        <v>46175</v>
      </c>
      <c r="J1335">
        <v>64</v>
      </c>
      <c r="K1335" t="s">
        <v>3621</v>
      </c>
      <c r="L1335" t="s">
        <v>5846</v>
      </c>
      <c r="M1335">
        <v>9</v>
      </c>
      <c r="N1335">
        <v>1</v>
      </c>
      <c r="O1335" t="s">
        <v>1036</v>
      </c>
      <c r="P1335" s="17"/>
      <c r="Q1335" s="17" t="str">
        <f>_xlfn.XLOOKUP(Table2[[#This Row],[buyFromVendorNo]],'Next Day Scheduled'!A:A,'Pending Returns'!O:O,"NOT_FOUND")</f>
        <v>NOT_FOUND</v>
      </c>
    </row>
    <row r="1336" spans="1:17" x14ac:dyDescent="0.3">
      <c r="A1336" s="1">
        <v>46195</v>
      </c>
      <c r="B1336" t="s">
        <v>3798</v>
      </c>
      <c r="C1336" t="s">
        <v>302</v>
      </c>
      <c r="D1336" t="s">
        <v>303</v>
      </c>
      <c r="E1336" t="s">
        <v>8</v>
      </c>
      <c r="F1336" t="s">
        <v>10</v>
      </c>
      <c r="G1336" s="16">
        <v>245.34119999999999</v>
      </c>
      <c r="H1336" s="16">
        <v>282.14240000000001</v>
      </c>
      <c r="I1336" s="1">
        <v>46190</v>
      </c>
      <c r="J1336">
        <v>64</v>
      </c>
      <c r="K1336" t="s">
        <v>3799</v>
      </c>
      <c r="L1336" t="s">
        <v>5847</v>
      </c>
      <c r="M1336">
        <v>6</v>
      </c>
      <c r="N1336">
        <v>1</v>
      </c>
      <c r="O1336" t="s">
        <v>1036</v>
      </c>
      <c r="P1336" s="17"/>
      <c r="Q1336" s="17" t="str">
        <f>_xlfn.XLOOKUP(Table2[[#This Row],[buyFromVendorNo]],'Next Day Scheduled'!A:A,'Pending Returns'!O:O,"NOT_FOUND")</f>
        <v>NOT_FOUND</v>
      </c>
    </row>
    <row r="1337" spans="1:17" x14ac:dyDescent="0.3">
      <c r="A1337" s="1">
        <v>46195</v>
      </c>
      <c r="B1337" t="s">
        <v>3257</v>
      </c>
      <c r="C1337" t="s">
        <v>3518</v>
      </c>
      <c r="D1337" t="s">
        <v>3519</v>
      </c>
      <c r="E1337" t="s">
        <v>8</v>
      </c>
      <c r="F1337" t="s">
        <v>10</v>
      </c>
      <c r="G1337" s="16">
        <v>1069.0217</v>
      </c>
      <c r="H1337" s="16">
        <v>1229.375</v>
      </c>
      <c r="I1337" s="1">
        <v>46188</v>
      </c>
      <c r="J1337">
        <v>64</v>
      </c>
      <c r="K1337" t="s">
        <v>3520</v>
      </c>
      <c r="L1337" t="s">
        <v>5809</v>
      </c>
      <c r="M1337">
        <v>0</v>
      </c>
      <c r="N1337">
        <v>243</v>
      </c>
      <c r="O1337" t="s">
        <v>1036</v>
      </c>
      <c r="P1337" s="17"/>
      <c r="Q1337" s="17" t="str">
        <f>_xlfn.XLOOKUP(Table2[[#This Row],[buyFromVendorNo]],'Next Day Scheduled'!A:A,'Pending Returns'!O:O,"NOT_FOUND")</f>
        <v>NOT_FOUND</v>
      </c>
    </row>
    <row r="1338" spans="1:17" x14ac:dyDescent="0.3">
      <c r="A1338" s="1">
        <v>46195</v>
      </c>
      <c r="B1338" t="s">
        <v>5205</v>
      </c>
      <c r="C1338" t="s">
        <v>562</v>
      </c>
      <c r="D1338" t="s">
        <v>563</v>
      </c>
      <c r="E1338" t="s">
        <v>8</v>
      </c>
      <c r="F1338" t="s">
        <v>38</v>
      </c>
      <c r="G1338" s="16">
        <v>1948.3351</v>
      </c>
      <c r="H1338" s="16">
        <v>2240.5853999999999</v>
      </c>
      <c r="I1338" s="1">
        <v>46182</v>
      </c>
      <c r="J1338">
        <v>64</v>
      </c>
      <c r="K1338" t="s">
        <v>4625</v>
      </c>
      <c r="L1338" t="s">
        <v>5814</v>
      </c>
      <c r="M1338">
        <v>24</v>
      </c>
      <c r="N1338">
        <v>23</v>
      </c>
      <c r="O1338" t="s">
        <v>1036</v>
      </c>
      <c r="P1338" s="17"/>
      <c r="Q1338" s="17" t="str">
        <f>_xlfn.XLOOKUP(Table2[[#This Row],[buyFromVendorNo]],'Next Day Scheduled'!A:A,'Pending Returns'!O:O,"NOT_FOUND")</f>
        <v>NOT_FOUND</v>
      </c>
    </row>
    <row r="1339" spans="1:17" x14ac:dyDescent="0.3">
      <c r="A1339" s="1">
        <v>46195</v>
      </c>
      <c r="B1339" t="s">
        <v>3267</v>
      </c>
      <c r="C1339" t="s">
        <v>364</v>
      </c>
      <c r="D1339" t="s">
        <v>375</v>
      </c>
      <c r="E1339" t="s">
        <v>8</v>
      </c>
      <c r="F1339" t="s">
        <v>10</v>
      </c>
      <c r="G1339" s="16">
        <v>178.98</v>
      </c>
      <c r="H1339" s="16">
        <v>205.827</v>
      </c>
      <c r="I1339" s="1">
        <v>46188</v>
      </c>
      <c r="J1339">
        <v>64</v>
      </c>
      <c r="K1339" t="s">
        <v>4752</v>
      </c>
      <c r="L1339" t="s">
        <v>5793</v>
      </c>
      <c r="M1339">
        <v>9</v>
      </c>
      <c r="N1339">
        <v>5</v>
      </c>
      <c r="O1339" t="s">
        <v>1036</v>
      </c>
      <c r="P1339" s="17"/>
      <c r="Q1339" s="17" t="str">
        <f>_xlfn.XLOOKUP(Table2[[#This Row],[buyFromVendorNo]],'Next Day Scheduled'!A:A,'Pending Returns'!O:O,"NOT_FOUND")</f>
        <v>NOT_FOUND</v>
      </c>
    </row>
    <row r="1340" spans="1:17" x14ac:dyDescent="0.3">
      <c r="A1340" s="1">
        <v>46195</v>
      </c>
      <c r="B1340" t="s">
        <v>4048</v>
      </c>
      <c r="C1340" t="s">
        <v>1643</v>
      </c>
      <c r="D1340" t="s">
        <v>1644</v>
      </c>
      <c r="E1340" t="s">
        <v>8</v>
      </c>
      <c r="F1340" t="s">
        <v>38</v>
      </c>
      <c r="G1340" s="16">
        <v>3943.8440000000001</v>
      </c>
      <c r="H1340" s="16">
        <v>4535.4204</v>
      </c>
      <c r="I1340" s="1">
        <v>46195</v>
      </c>
      <c r="J1340">
        <v>64</v>
      </c>
      <c r="K1340" t="s">
        <v>5539</v>
      </c>
      <c r="L1340" t="s">
        <v>5777</v>
      </c>
      <c r="M1340">
        <v>9</v>
      </c>
      <c r="N1340">
        <v>2</v>
      </c>
      <c r="O1340" t="s">
        <v>1036</v>
      </c>
      <c r="P1340" s="17"/>
      <c r="Q1340" s="17" t="str">
        <f>_xlfn.XLOOKUP(Table2[[#This Row],[buyFromVendorNo]],'Next Day Scheduled'!A:A,'Pending Returns'!O:O,"NOT_FOUND")</f>
        <v>NOT_FOUND</v>
      </c>
    </row>
    <row r="1341" spans="1:17" x14ac:dyDescent="0.3">
      <c r="A1341" s="1">
        <v>46195</v>
      </c>
      <c r="B1341" t="s">
        <v>2506</v>
      </c>
      <c r="C1341" t="s">
        <v>562</v>
      </c>
      <c r="D1341" t="s">
        <v>563</v>
      </c>
      <c r="E1341" t="s">
        <v>8</v>
      </c>
      <c r="F1341" t="s">
        <v>38</v>
      </c>
      <c r="G1341" s="16">
        <v>2841.81</v>
      </c>
      <c r="H1341" s="16">
        <v>3268.0814999999998</v>
      </c>
      <c r="I1341" s="1">
        <v>46184</v>
      </c>
      <c r="J1341">
        <v>64</v>
      </c>
      <c r="K1341" t="s">
        <v>4632</v>
      </c>
      <c r="L1341" t="s">
        <v>5776</v>
      </c>
      <c r="M1341">
        <v>24</v>
      </c>
      <c r="N1341">
        <v>23</v>
      </c>
      <c r="O1341" t="s">
        <v>1036</v>
      </c>
      <c r="P1341" s="17"/>
      <c r="Q1341" s="17" t="str">
        <f>_xlfn.XLOOKUP(Table2[[#This Row],[buyFromVendorNo]],'Next Day Scheduled'!A:A,'Pending Returns'!O:O,"NOT_FOUND")</f>
        <v>NOT_FOUND</v>
      </c>
    </row>
    <row r="1342" spans="1:17" x14ac:dyDescent="0.3">
      <c r="A1342" s="1">
        <v>46195</v>
      </c>
      <c r="B1342" t="s">
        <v>3433</v>
      </c>
      <c r="C1342" t="s">
        <v>2264</v>
      </c>
      <c r="D1342" t="s">
        <v>3072</v>
      </c>
      <c r="E1342" t="s">
        <v>8</v>
      </c>
      <c r="F1342" t="s">
        <v>10</v>
      </c>
      <c r="G1342" s="16">
        <v>150.73695000000001</v>
      </c>
      <c r="H1342" s="16">
        <v>173.3475</v>
      </c>
      <c r="I1342" s="1">
        <v>46176</v>
      </c>
      <c r="J1342">
        <v>64</v>
      </c>
      <c r="K1342" t="s">
        <v>3434</v>
      </c>
      <c r="L1342" t="s">
        <v>5779</v>
      </c>
      <c r="M1342">
        <v>6</v>
      </c>
      <c r="N1342">
        <v>6</v>
      </c>
      <c r="O1342" t="s">
        <v>1036</v>
      </c>
      <c r="P1342" s="17"/>
      <c r="Q1342" s="17" t="str">
        <f>_xlfn.XLOOKUP(Table2[[#This Row],[buyFromVendorNo]],'Next Day Scheduled'!A:A,'Pending Returns'!O:O,"NOT_FOUND")</f>
        <v>NOT_FOUND</v>
      </c>
    </row>
    <row r="1343" spans="1:17" x14ac:dyDescent="0.3">
      <c r="A1343" s="1">
        <v>46195</v>
      </c>
      <c r="B1343" t="s">
        <v>2737</v>
      </c>
      <c r="C1343" t="s">
        <v>154</v>
      </c>
      <c r="D1343" t="s">
        <v>155</v>
      </c>
      <c r="E1343" t="s">
        <v>8</v>
      </c>
      <c r="F1343" t="s">
        <v>10</v>
      </c>
      <c r="G1343" s="16">
        <v>4862.4799999999996</v>
      </c>
      <c r="H1343" s="16">
        <v>5591.8519999999999</v>
      </c>
      <c r="I1343" s="1">
        <v>46182</v>
      </c>
      <c r="J1343">
        <v>64</v>
      </c>
      <c r="K1343" t="s">
        <v>4073</v>
      </c>
      <c r="L1343" t="s">
        <v>5837</v>
      </c>
      <c r="M1343">
        <v>8</v>
      </c>
      <c r="N1343">
        <v>7</v>
      </c>
      <c r="O1343" t="s">
        <v>1036</v>
      </c>
      <c r="P1343" s="17"/>
      <c r="Q1343" s="17" t="str">
        <f>_xlfn.XLOOKUP(Table2[[#This Row],[buyFromVendorNo]],'Next Day Scheduled'!A:A,'Pending Returns'!O:O,"NOT_FOUND")</f>
        <v>NOT_FOUND</v>
      </c>
    </row>
    <row r="1344" spans="1:17" x14ac:dyDescent="0.3">
      <c r="A1344" s="1">
        <v>46195</v>
      </c>
      <c r="B1344" t="s">
        <v>2823</v>
      </c>
      <c r="C1344" t="s">
        <v>2371</v>
      </c>
      <c r="D1344" t="s">
        <v>2372</v>
      </c>
      <c r="E1344" t="s">
        <v>8</v>
      </c>
      <c r="F1344" t="s">
        <v>10</v>
      </c>
      <c r="G1344" s="16">
        <v>75.19</v>
      </c>
      <c r="H1344" s="16">
        <v>86.468500000000006</v>
      </c>
      <c r="I1344" s="1">
        <v>46195</v>
      </c>
      <c r="J1344">
        <v>64</v>
      </c>
      <c r="K1344" t="s">
        <v>5308</v>
      </c>
      <c r="L1344" t="s">
        <v>5815</v>
      </c>
      <c r="M1344">
        <v>5</v>
      </c>
      <c r="N1344">
        <v>9</v>
      </c>
      <c r="O1344" t="s">
        <v>1036</v>
      </c>
      <c r="P1344" s="17"/>
      <c r="Q1344" s="17" t="str">
        <f>_xlfn.XLOOKUP(Table2[[#This Row],[buyFromVendorNo]],'Next Day Scheduled'!A:A,'Pending Returns'!O:O,"NOT_FOUND")</f>
        <v>NOT_FOUND</v>
      </c>
    </row>
    <row r="1345" spans="1:17" x14ac:dyDescent="0.3">
      <c r="A1345" s="1">
        <v>46195</v>
      </c>
      <c r="B1345" t="s">
        <v>5169</v>
      </c>
      <c r="C1345" t="s">
        <v>301</v>
      </c>
      <c r="D1345" t="s">
        <v>370</v>
      </c>
      <c r="E1345" t="s">
        <v>8</v>
      </c>
      <c r="F1345" t="s">
        <v>10</v>
      </c>
      <c r="G1345" s="16">
        <v>772.93</v>
      </c>
      <c r="H1345" s="16">
        <v>888.86950000000002</v>
      </c>
      <c r="I1345" s="1">
        <v>46174</v>
      </c>
      <c r="J1345">
        <v>64</v>
      </c>
      <c r="K1345" t="s">
        <v>3612</v>
      </c>
      <c r="L1345" t="s">
        <v>5795</v>
      </c>
      <c r="M1345">
        <v>18</v>
      </c>
      <c r="N1345">
        <v>5</v>
      </c>
      <c r="O1345" t="s">
        <v>1036</v>
      </c>
      <c r="P1345" s="17"/>
      <c r="Q1345" s="17" t="str">
        <f>_xlfn.XLOOKUP(Table2[[#This Row],[buyFromVendorNo]],'Next Day Scheduled'!A:A,'Pending Returns'!O:O,"NOT_FOUND")</f>
        <v>NOT_FOUND</v>
      </c>
    </row>
    <row r="1346" spans="1:17" x14ac:dyDescent="0.3">
      <c r="A1346" s="1">
        <v>46195</v>
      </c>
      <c r="B1346" t="s">
        <v>1954</v>
      </c>
      <c r="C1346" t="s">
        <v>130</v>
      </c>
      <c r="D1346" t="s">
        <v>131</v>
      </c>
      <c r="E1346" t="s">
        <v>8</v>
      </c>
      <c r="F1346" t="s">
        <v>10</v>
      </c>
      <c r="G1346" s="16">
        <v>9284.5339999999997</v>
      </c>
      <c r="H1346" s="16">
        <v>10677.215</v>
      </c>
      <c r="I1346" s="1">
        <v>46186</v>
      </c>
      <c r="J1346">
        <v>64</v>
      </c>
      <c r="K1346" t="s">
        <v>1908</v>
      </c>
      <c r="L1346" t="s">
        <v>5817</v>
      </c>
      <c r="M1346">
        <v>9</v>
      </c>
      <c r="N1346">
        <v>7</v>
      </c>
      <c r="O1346" t="s">
        <v>1036</v>
      </c>
      <c r="P1346" s="17"/>
      <c r="Q1346" s="17" t="str">
        <f>_xlfn.XLOOKUP(Table2[[#This Row],[buyFromVendorNo]],'Next Day Scheduled'!A:A,'Pending Returns'!O:O,"NOT_FOUND")</f>
        <v>Posted Credit Note</v>
      </c>
    </row>
    <row r="1347" spans="1:17" x14ac:dyDescent="0.3">
      <c r="A1347" s="1">
        <v>46195</v>
      </c>
      <c r="B1347" t="s">
        <v>3456</v>
      </c>
      <c r="C1347" t="s">
        <v>1161</v>
      </c>
      <c r="D1347" t="s">
        <v>1162</v>
      </c>
      <c r="E1347" t="s">
        <v>8</v>
      </c>
      <c r="F1347" t="s">
        <v>10</v>
      </c>
      <c r="G1347" s="16">
        <v>1134.6600000000001</v>
      </c>
      <c r="H1347" s="16">
        <v>1304.8589999999999</v>
      </c>
      <c r="I1347" s="1">
        <v>46190</v>
      </c>
      <c r="J1347">
        <v>64</v>
      </c>
      <c r="K1347" t="s">
        <v>4554</v>
      </c>
      <c r="L1347" t="s">
        <v>5818</v>
      </c>
      <c r="M1347">
        <v>8</v>
      </c>
      <c r="N1347">
        <v>6</v>
      </c>
      <c r="O1347" t="s">
        <v>1036</v>
      </c>
      <c r="P1347" s="17"/>
      <c r="Q1347" s="17" t="str">
        <f>_xlfn.XLOOKUP(Table2[[#This Row],[buyFromVendorNo]],'Next Day Scheduled'!A:A,'Pending Returns'!O:O,"NOT_FOUND")</f>
        <v>NOT_FOUND</v>
      </c>
    </row>
    <row r="1348" spans="1:17" x14ac:dyDescent="0.3">
      <c r="A1348" s="1">
        <v>46195</v>
      </c>
      <c r="B1348" t="s">
        <v>4191</v>
      </c>
      <c r="C1348" t="s">
        <v>957</v>
      </c>
      <c r="D1348" t="s">
        <v>958</v>
      </c>
      <c r="E1348" t="s">
        <v>8</v>
      </c>
      <c r="F1348" t="s">
        <v>10</v>
      </c>
      <c r="G1348" s="16">
        <v>7616.0043999999998</v>
      </c>
      <c r="H1348" s="16">
        <v>8758.4050000000007</v>
      </c>
      <c r="I1348" s="1">
        <v>46190</v>
      </c>
      <c r="J1348">
        <v>64</v>
      </c>
      <c r="K1348" t="s">
        <v>4925</v>
      </c>
      <c r="L1348" t="s">
        <v>5783</v>
      </c>
      <c r="M1348">
        <v>7</v>
      </c>
      <c r="N1348">
        <v>3</v>
      </c>
      <c r="O1348" t="s">
        <v>1036</v>
      </c>
      <c r="P1348" s="17"/>
      <c r="Q1348" s="17" t="str">
        <f>_xlfn.XLOOKUP(Table2[[#This Row],[buyFromVendorNo]],'Next Day Scheduled'!A:A,'Pending Returns'!O:O,"NOT_FOUND")</f>
        <v>NOT_FOUND</v>
      </c>
    </row>
    <row r="1349" spans="1:17" x14ac:dyDescent="0.3">
      <c r="A1349" s="1">
        <v>46195</v>
      </c>
      <c r="B1349" t="s">
        <v>3932</v>
      </c>
      <c r="C1349" t="s">
        <v>302</v>
      </c>
      <c r="D1349" t="s">
        <v>303</v>
      </c>
      <c r="E1349" t="s">
        <v>8</v>
      </c>
      <c r="F1349" t="s">
        <v>10</v>
      </c>
      <c r="G1349" s="16">
        <v>517.81020000000001</v>
      </c>
      <c r="H1349" s="16">
        <v>589.26984000000004</v>
      </c>
      <c r="I1349" s="1">
        <v>46190</v>
      </c>
      <c r="J1349">
        <v>64</v>
      </c>
      <c r="K1349" t="s">
        <v>4562</v>
      </c>
      <c r="L1349" t="s">
        <v>5825</v>
      </c>
      <c r="M1349">
        <v>6</v>
      </c>
      <c r="N1349">
        <v>1</v>
      </c>
      <c r="O1349" t="s">
        <v>1036</v>
      </c>
      <c r="P1349" s="17"/>
      <c r="Q1349" s="17" t="str">
        <f>_xlfn.XLOOKUP(Table2[[#This Row],[buyFromVendorNo]],'Next Day Scheduled'!A:A,'Pending Returns'!O:O,"NOT_FOUND")</f>
        <v>NOT_FOUND</v>
      </c>
    </row>
    <row r="1350" spans="1:17" x14ac:dyDescent="0.3">
      <c r="A1350" s="1">
        <v>46195</v>
      </c>
      <c r="B1350" t="s">
        <v>478</v>
      </c>
      <c r="C1350" t="s">
        <v>953</v>
      </c>
      <c r="D1350" t="s">
        <v>954</v>
      </c>
      <c r="E1350" t="s">
        <v>8</v>
      </c>
      <c r="F1350" t="s">
        <v>10</v>
      </c>
      <c r="G1350" s="16">
        <v>266</v>
      </c>
      <c r="H1350" s="16">
        <v>305.89999999999998</v>
      </c>
      <c r="I1350" s="1">
        <v>46174</v>
      </c>
      <c r="J1350">
        <v>64</v>
      </c>
      <c r="K1350" t="s">
        <v>955</v>
      </c>
      <c r="L1350" t="s">
        <v>5786</v>
      </c>
      <c r="M1350">
        <v>9</v>
      </c>
      <c r="N1350">
        <v>5</v>
      </c>
      <c r="O1350" t="s">
        <v>1036</v>
      </c>
      <c r="P1350" s="17"/>
      <c r="Q1350" s="17" t="str">
        <f>_xlfn.XLOOKUP(Table2[[#This Row],[buyFromVendorNo]],'Next Day Scheduled'!A:A,'Pending Returns'!O:O,"NOT_FOUND")</f>
        <v>NOT_FOUND</v>
      </c>
    </row>
    <row r="1351" spans="1:17" x14ac:dyDescent="0.3">
      <c r="A1351" s="1">
        <v>46195</v>
      </c>
      <c r="B1351" t="s">
        <v>2657</v>
      </c>
      <c r="C1351" t="s">
        <v>1407</v>
      </c>
      <c r="D1351" t="s">
        <v>2306</v>
      </c>
      <c r="E1351" t="s">
        <v>8</v>
      </c>
      <c r="F1351" t="s">
        <v>10</v>
      </c>
      <c r="G1351" s="16">
        <v>937.3</v>
      </c>
      <c r="H1351" s="16">
        <v>1077.895</v>
      </c>
      <c r="I1351" s="1">
        <v>46195</v>
      </c>
      <c r="J1351">
        <v>64</v>
      </c>
      <c r="K1351" t="s">
        <v>4759</v>
      </c>
      <c r="L1351" t="s">
        <v>5788</v>
      </c>
      <c r="M1351">
        <v>7</v>
      </c>
      <c r="N1351">
        <v>16</v>
      </c>
      <c r="O1351" t="s">
        <v>1036</v>
      </c>
      <c r="P1351" s="17"/>
      <c r="Q1351" s="17" t="str">
        <f>_xlfn.XLOOKUP(Table2[[#This Row],[buyFromVendorNo]],'Next Day Scheduled'!A:A,'Pending Returns'!O:O,"NOT_FOUND")</f>
        <v>NOT_FOUND</v>
      </c>
    </row>
    <row r="1352" spans="1:17" x14ac:dyDescent="0.3">
      <c r="A1352" s="1">
        <v>46195</v>
      </c>
      <c r="B1352" t="s">
        <v>1889</v>
      </c>
      <c r="C1352" t="s">
        <v>953</v>
      </c>
      <c r="D1352" t="s">
        <v>954</v>
      </c>
      <c r="E1352" t="s">
        <v>8</v>
      </c>
      <c r="F1352" t="s">
        <v>10</v>
      </c>
      <c r="G1352" s="16">
        <v>2432</v>
      </c>
      <c r="H1352" s="16">
        <v>2796.8</v>
      </c>
      <c r="I1352" s="1">
        <v>46174</v>
      </c>
      <c r="J1352">
        <v>64</v>
      </c>
      <c r="K1352" t="s">
        <v>977</v>
      </c>
      <c r="L1352" t="s">
        <v>5843</v>
      </c>
      <c r="M1352">
        <v>9</v>
      </c>
      <c r="N1352">
        <v>5</v>
      </c>
      <c r="O1352" t="s">
        <v>1036</v>
      </c>
      <c r="P1352" s="17"/>
      <c r="Q1352" s="17" t="str">
        <f>_xlfn.XLOOKUP(Table2[[#This Row],[buyFromVendorNo]],'Next Day Scheduled'!A:A,'Pending Returns'!O:O,"NOT_FOUND")</f>
        <v>NOT_FOUND</v>
      </c>
    </row>
    <row r="1353" spans="1:17" x14ac:dyDescent="0.3">
      <c r="A1353" s="1">
        <v>46195</v>
      </c>
      <c r="B1353" t="s">
        <v>5284</v>
      </c>
      <c r="C1353" t="s">
        <v>548</v>
      </c>
      <c r="D1353" t="s">
        <v>549</v>
      </c>
      <c r="E1353" t="s">
        <v>8</v>
      </c>
      <c r="F1353" t="s">
        <v>10</v>
      </c>
      <c r="G1353" s="16">
        <v>692.66534000000001</v>
      </c>
      <c r="H1353" s="16">
        <v>796.56510000000003</v>
      </c>
      <c r="I1353" s="1">
        <v>46194</v>
      </c>
      <c r="J1353">
        <v>64</v>
      </c>
      <c r="K1353" t="s">
        <v>5285</v>
      </c>
      <c r="L1353" t="s">
        <v>5828</v>
      </c>
      <c r="M1353">
        <v>8</v>
      </c>
      <c r="N1353">
        <v>3</v>
      </c>
      <c r="O1353" t="s">
        <v>1036</v>
      </c>
      <c r="P1353" s="17"/>
      <c r="Q1353" s="17" t="str">
        <f>_xlfn.XLOOKUP(Table2[[#This Row],[buyFromVendorNo]],'Next Day Scheduled'!A:A,'Pending Returns'!O:O,"NOT_FOUND")</f>
        <v>NOT_FOUND</v>
      </c>
    </row>
    <row r="1354" spans="1:17" x14ac:dyDescent="0.3">
      <c r="A1354" s="1">
        <v>46195</v>
      </c>
      <c r="B1354" t="s">
        <v>3384</v>
      </c>
      <c r="C1354" t="s">
        <v>633</v>
      </c>
      <c r="D1354" t="s">
        <v>690</v>
      </c>
      <c r="E1354" t="s">
        <v>8</v>
      </c>
      <c r="F1354" t="s">
        <v>10</v>
      </c>
      <c r="G1354" s="16">
        <v>1768.1849999999999</v>
      </c>
      <c r="H1354" s="16">
        <v>2033.4128000000001</v>
      </c>
      <c r="I1354" s="1">
        <v>46177</v>
      </c>
      <c r="J1354">
        <v>64</v>
      </c>
      <c r="K1354" t="s">
        <v>3160</v>
      </c>
      <c r="L1354" t="s">
        <v>5830</v>
      </c>
      <c r="M1354">
        <v>9</v>
      </c>
      <c r="N1354">
        <v>6</v>
      </c>
      <c r="O1354" t="s">
        <v>1036</v>
      </c>
      <c r="P1354" s="17"/>
      <c r="Q1354" s="17" t="str">
        <f>_xlfn.XLOOKUP(Table2[[#This Row],[buyFromVendorNo]],'Next Day Scheduled'!A:A,'Pending Returns'!O:O,"NOT_FOUND")</f>
        <v>NOT_FOUND</v>
      </c>
    </row>
    <row r="1355" spans="1:17" x14ac:dyDescent="0.3">
      <c r="A1355" s="1">
        <v>46195</v>
      </c>
      <c r="B1355" t="s">
        <v>2981</v>
      </c>
      <c r="C1355" t="s">
        <v>302</v>
      </c>
      <c r="D1355" t="s">
        <v>303</v>
      </c>
      <c r="E1355" t="s">
        <v>8</v>
      </c>
      <c r="F1355" t="s">
        <v>10</v>
      </c>
      <c r="G1355" s="16">
        <v>307.85989999999998</v>
      </c>
      <c r="H1355" s="16">
        <v>342.38135</v>
      </c>
      <c r="I1355" s="1">
        <v>46190</v>
      </c>
      <c r="J1355">
        <v>64</v>
      </c>
      <c r="K1355" t="s">
        <v>4406</v>
      </c>
      <c r="L1355" t="s">
        <v>5831</v>
      </c>
      <c r="M1355">
        <v>6</v>
      </c>
      <c r="N1355">
        <v>1</v>
      </c>
      <c r="O1355" t="s">
        <v>1036</v>
      </c>
      <c r="P1355" s="17"/>
      <c r="Q1355" s="17" t="str">
        <f>_xlfn.XLOOKUP(Table2[[#This Row],[buyFromVendorNo]],'Next Day Scheduled'!A:A,'Pending Returns'!O:O,"NOT_FOUND")</f>
        <v>NOT_FOUND</v>
      </c>
    </row>
    <row r="1356" spans="1:17" x14ac:dyDescent="0.3">
      <c r="A1356" s="1">
        <v>46195</v>
      </c>
      <c r="B1356" t="s">
        <v>392</v>
      </c>
      <c r="C1356" t="s">
        <v>1161</v>
      </c>
      <c r="D1356" t="s">
        <v>1162</v>
      </c>
      <c r="E1356" t="s">
        <v>8</v>
      </c>
      <c r="F1356" t="s">
        <v>10</v>
      </c>
      <c r="G1356" s="16">
        <v>513.76</v>
      </c>
      <c r="H1356" s="16">
        <v>590.82399999999996</v>
      </c>
      <c r="I1356" s="1">
        <v>46190</v>
      </c>
      <c r="J1356">
        <v>64</v>
      </c>
      <c r="K1356" t="s">
        <v>4931</v>
      </c>
      <c r="L1356" t="s">
        <v>5807</v>
      </c>
      <c r="M1356">
        <v>8</v>
      </c>
      <c r="N1356">
        <v>6</v>
      </c>
      <c r="O1356" t="s">
        <v>1036</v>
      </c>
      <c r="P1356" s="17"/>
      <c r="Q1356" s="17" t="str">
        <f>_xlfn.XLOOKUP(Table2[[#This Row],[buyFromVendorNo]],'Next Day Scheduled'!A:A,'Pending Returns'!O:O,"NOT_FOUND")</f>
        <v>NOT_FOUND</v>
      </c>
    </row>
    <row r="1357" spans="1:17" x14ac:dyDescent="0.3">
      <c r="A1357" s="1">
        <v>46195</v>
      </c>
      <c r="B1357" t="s">
        <v>5195</v>
      </c>
      <c r="C1357" t="s">
        <v>562</v>
      </c>
      <c r="D1357" t="s">
        <v>563</v>
      </c>
      <c r="E1357" t="s">
        <v>8</v>
      </c>
      <c r="F1357" t="s">
        <v>38</v>
      </c>
      <c r="G1357" s="16">
        <v>791.74300000000005</v>
      </c>
      <c r="H1357" s="16">
        <v>910.50445999999999</v>
      </c>
      <c r="I1357" s="1">
        <v>46181</v>
      </c>
      <c r="J1357">
        <v>64</v>
      </c>
      <c r="K1357" t="s">
        <v>4618</v>
      </c>
      <c r="L1357" t="s">
        <v>5810</v>
      </c>
      <c r="M1357">
        <v>24</v>
      </c>
      <c r="N1357">
        <v>23</v>
      </c>
      <c r="O1357" t="s">
        <v>1036</v>
      </c>
      <c r="P1357" s="17"/>
      <c r="Q1357" s="17" t="str">
        <f>_xlfn.XLOOKUP(Table2[[#This Row],[buyFromVendorNo]],'Next Day Scheduled'!A:A,'Pending Returns'!O:O,"NOT_FOUND")</f>
        <v>NOT_FOUND</v>
      </c>
    </row>
    <row r="1358" spans="1:17" x14ac:dyDescent="0.3">
      <c r="A1358" s="1">
        <v>46195</v>
      </c>
      <c r="B1358" t="s">
        <v>488</v>
      </c>
      <c r="C1358" t="s">
        <v>633</v>
      </c>
      <c r="D1358" t="s">
        <v>690</v>
      </c>
      <c r="E1358" t="s">
        <v>8</v>
      </c>
      <c r="F1358" t="s">
        <v>10</v>
      </c>
      <c r="G1358" s="16">
        <v>18331.065999999999</v>
      </c>
      <c r="H1358" s="16">
        <v>21080.726999999999</v>
      </c>
      <c r="I1358" s="1">
        <v>46174</v>
      </c>
      <c r="J1358">
        <v>64</v>
      </c>
      <c r="K1358" t="s">
        <v>2235</v>
      </c>
      <c r="L1358" t="s">
        <v>5835</v>
      </c>
      <c r="M1358">
        <v>9</v>
      </c>
      <c r="N1358">
        <v>6</v>
      </c>
      <c r="O1358" t="s">
        <v>1036</v>
      </c>
      <c r="P1358" s="17"/>
      <c r="Q1358" s="17" t="str">
        <f>_xlfn.XLOOKUP(Table2[[#This Row],[buyFromVendorNo]],'Next Day Scheduled'!A:A,'Pending Returns'!O:O,"NOT_FOUND")</f>
        <v>NOT_FOUND</v>
      </c>
    </row>
    <row r="1359" spans="1:17" x14ac:dyDescent="0.3">
      <c r="A1359" s="1">
        <v>46195</v>
      </c>
      <c r="B1359" t="s">
        <v>6314</v>
      </c>
      <c r="C1359" t="s">
        <v>923</v>
      </c>
      <c r="D1359" t="s">
        <v>924</v>
      </c>
      <c r="E1359" t="s">
        <v>8</v>
      </c>
      <c r="F1359" t="s">
        <v>10</v>
      </c>
      <c r="G1359" s="16">
        <v>54.145000000000003</v>
      </c>
      <c r="H1359" s="16">
        <v>62.266750000000002</v>
      </c>
      <c r="J1359">
        <v>64</v>
      </c>
      <c r="K1359" t="s">
        <v>5802</v>
      </c>
      <c r="M1359">
        <v>0</v>
      </c>
      <c r="N1359">
        <v>257</v>
      </c>
      <c r="O1359" t="s">
        <v>216</v>
      </c>
      <c r="P1359" s="17"/>
      <c r="Q1359" s="17" t="str">
        <f>_xlfn.XLOOKUP(Table2[[#This Row],[buyFromVendorNo]],'Next Day Scheduled'!A:A,'Pending Returns'!O:O,"NOT_FOUND")</f>
        <v>NOT_FOUND</v>
      </c>
    </row>
    <row r="1360" spans="1:17" x14ac:dyDescent="0.3">
      <c r="A1360" s="1">
        <v>46195</v>
      </c>
      <c r="B1360" t="s">
        <v>2088</v>
      </c>
      <c r="C1360" t="s">
        <v>562</v>
      </c>
      <c r="D1360" t="s">
        <v>563</v>
      </c>
      <c r="E1360" t="s">
        <v>8</v>
      </c>
      <c r="F1360" t="s">
        <v>38</v>
      </c>
      <c r="G1360" s="16">
        <v>1766.2815000000001</v>
      </c>
      <c r="H1360" s="16">
        <v>2031.2238</v>
      </c>
      <c r="I1360" s="1">
        <v>46191</v>
      </c>
      <c r="J1360">
        <v>64</v>
      </c>
      <c r="K1360" t="s">
        <v>4882</v>
      </c>
      <c r="L1360" t="s">
        <v>5794</v>
      </c>
      <c r="M1360">
        <v>24</v>
      </c>
      <c r="N1360">
        <v>23</v>
      </c>
      <c r="O1360" t="s">
        <v>1036</v>
      </c>
      <c r="P1360" s="17"/>
      <c r="Q1360" s="17" t="str">
        <f>_xlfn.XLOOKUP(Table2[[#This Row],[buyFromVendorNo]],'Next Day Scheduled'!A:A,'Pending Returns'!O:O,"NOT_FOUND")</f>
        <v>NOT_FOUND</v>
      </c>
    </row>
    <row r="1361" spans="1:17" x14ac:dyDescent="0.3">
      <c r="A1361" s="1">
        <v>46195</v>
      </c>
      <c r="B1361" t="s">
        <v>2747</v>
      </c>
      <c r="C1361" t="s">
        <v>665</v>
      </c>
      <c r="D1361" t="s">
        <v>666</v>
      </c>
      <c r="E1361" t="s">
        <v>8</v>
      </c>
      <c r="F1361" t="s">
        <v>10</v>
      </c>
      <c r="G1361" s="16">
        <v>19.78248</v>
      </c>
      <c r="H1361" s="16">
        <v>22.749849999999999</v>
      </c>
      <c r="I1361" s="1">
        <v>46195</v>
      </c>
      <c r="J1361">
        <v>64</v>
      </c>
      <c r="K1361" t="s">
        <v>5390</v>
      </c>
      <c r="L1361" t="s">
        <v>5797</v>
      </c>
      <c r="M1361">
        <v>0</v>
      </c>
      <c r="N1361">
        <v>147</v>
      </c>
      <c r="O1361" t="s">
        <v>1036</v>
      </c>
      <c r="P1361" s="17"/>
      <c r="Q1361" s="17" t="str">
        <f>_xlfn.XLOOKUP(Table2[[#This Row],[buyFromVendorNo]],'Next Day Scheduled'!A:A,'Pending Returns'!O:O,"NOT_FOUND")</f>
        <v>NOT_FOUND</v>
      </c>
    </row>
    <row r="1362" spans="1:17" x14ac:dyDescent="0.3">
      <c r="A1362" s="1">
        <v>46195</v>
      </c>
      <c r="B1362" t="s">
        <v>3009</v>
      </c>
      <c r="C1362" t="s">
        <v>573</v>
      </c>
      <c r="D1362" t="s">
        <v>574</v>
      </c>
      <c r="E1362" t="s">
        <v>8</v>
      </c>
      <c r="F1362" t="s">
        <v>10</v>
      </c>
      <c r="G1362" s="16">
        <v>39</v>
      </c>
      <c r="H1362" s="16">
        <v>44.85</v>
      </c>
      <c r="I1362" s="1">
        <v>46186</v>
      </c>
      <c r="J1362">
        <v>64</v>
      </c>
      <c r="K1362" t="s">
        <v>3010</v>
      </c>
      <c r="L1362" t="s">
        <v>5796</v>
      </c>
      <c r="M1362">
        <v>9</v>
      </c>
      <c r="N1362">
        <v>2</v>
      </c>
      <c r="O1362" t="s">
        <v>1036</v>
      </c>
      <c r="P1362" s="17"/>
      <c r="Q1362" s="17" t="str">
        <f>_xlfn.XLOOKUP(Table2[[#This Row],[buyFromVendorNo]],'Next Day Scheduled'!A:A,'Pending Returns'!O:O,"NOT_FOUND")</f>
        <v>NOT_FOUND</v>
      </c>
    </row>
    <row r="1363" spans="1:17" x14ac:dyDescent="0.3">
      <c r="A1363" s="1">
        <v>46195</v>
      </c>
      <c r="B1363" t="s">
        <v>5170</v>
      </c>
      <c r="C1363" t="s">
        <v>79</v>
      </c>
      <c r="D1363" t="s">
        <v>80</v>
      </c>
      <c r="E1363" t="s">
        <v>8</v>
      </c>
      <c r="F1363" t="s">
        <v>10</v>
      </c>
      <c r="G1363" s="16">
        <v>526.70465000000002</v>
      </c>
      <c r="H1363" s="16">
        <v>605.71040000000005</v>
      </c>
      <c r="I1363" s="1">
        <v>46174</v>
      </c>
      <c r="J1363">
        <v>64</v>
      </c>
      <c r="K1363" t="s">
        <v>3611</v>
      </c>
      <c r="L1363" t="s">
        <v>5816</v>
      </c>
      <c r="M1363">
        <v>9</v>
      </c>
      <c r="N1363">
        <v>2</v>
      </c>
      <c r="O1363" t="s">
        <v>1036</v>
      </c>
      <c r="P1363" s="17"/>
      <c r="Q1363" s="17" t="str">
        <f>_xlfn.XLOOKUP(Table2[[#This Row],[buyFromVendorNo]],'Next Day Scheduled'!A:A,'Pending Returns'!O:O,"NOT_FOUND")</f>
        <v>NOT_FOUND</v>
      </c>
    </row>
    <row r="1364" spans="1:17" x14ac:dyDescent="0.3">
      <c r="A1364" s="1">
        <v>46195</v>
      </c>
      <c r="B1364" t="s">
        <v>3747</v>
      </c>
      <c r="C1364" t="s">
        <v>302</v>
      </c>
      <c r="D1364" t="s">
        <v>303</v>
      </c>
      <c r="E1364" t="s">
        <v>8</v>
      </c>
      <c r="F1364" t="s">
        <v>10</v>
      </c>
      <c r="G1364" s="16">
        <v>312.62157999999999</v>
      </c>
      <c r="H1364" s="16">
        <v>359.51483000000002</v>
      </c>
      <c r="I1364" s="1">
        <v>46190</v>
      </c>
      <c r="J1364">
        <v>64</v>
      </c>
      <c r="K1364" t="s">
        <v>3658</v>
      </c>
      <c r="L1364" t="s">
        <v>5821</v>
      </c>
      <c r="M1364">
        <v>6</v>
      </c>
      <c r="N1364">
        <v>1</v>
      </c>
      <c r="O1364" t="s">
        <v>1036</v>
      </c>
      <c r="P1364" s="17"/>
      <c r="Q1364" s="17" t="str">
        <f>_xlfn.XLOOKUP(Table2[[#This Row],[buyFromVendorNo]],'Next Day Scheduled'!A:A,'Pending Returns'!O:O,"NOT_FOUND")</f>
        <v>NOT_FOUND</v>
      </c>
    </row>
    <row r="1365" spans="1:17" x14ac:dyDescent="0.3">
      <c r="A1365" s="1">
        <v>46195</v>
      </c>
      <c r="B1365" t="s">
        <v>3996</v>
      </c>
      <c r="C1365" t="s">
        <v>776</v>
      </c>
      <c r="D1365" t="s">
        <v>777</v>
      </c>
      <c r="E1365" t="s">
        <v>8</v>
      </c>
      <c r="F1365" t="s">
        <v>38</v>
      </c>
      <c r="G1365" s="16">
        <v>406.51</v>
      </c>
      <c r="H1365" s="16">
        <v>467.48649999999998</v>
      </c>
      <c r="I1365" s="1">
        <v>46195</v>
      </c>
      <c r="J1365">
        <v>64</v>
      </c>
      <c r="K1365" t="s">
        <v>3997</v>
      </c>
      <c r="L1365" t="s">
        <v>5784</v>
      </c>
      <c r="M1365">
        <v>10</v>
      </c>
      <c r="N1365">
        <v>2</v>
      </c>
      <c r="O1365" t="s">
        <v>1036</v>
      </c>
      <c r="P1365" s="17"/>
      <c r="Q1365" s="17" t="str">
        <f>_xlfn.XLOOKUP(Table2[[#This Row],[buyFromVendorNo]],'Next Day Scheduled'!A:A,'Pending Returns'!O:O,"NOT_FOUND")</f>
        <v>Posted Credit Note</v>
      </c>
    </row>
    <row r="1366" spans="1:17" x14ac:dyDescent="0.3">
      <c r="A1366" s="1">
        <v>46195</v>
      </c>
      <c r="B1366" t="s">
        <v>5227</v>
      </c>
      <c r="C1366" t="s">
        <v>869</v>
      </c>
      <c r="D1366" t="s">
        <v>870</v>
      </c>
      <c r="E1366" t="s">
        <v>8</v>
      </c>
      <c r="F1366" t="s">
        <v>10</v>
      </c>
      <c r="G1366" s="16">
        <v>1114</v>
      </c>
      <c r="H1366" s="16">
        <v>1281.0999999999999</v>
      </c>
      <c r="I1366" s="1">
        <v>46190</v>
      </c>
      <c r="J1366">
        <v>64</v>
      </c>
      <c r="K1366" t="s">
        <v>4988</v>
      </c>
      <c r="L1366" t="s">
        <v>5823</v>
      </c>
      <c r="M1366">
        <v>5</v>
      </c>
      <c r="N1366">
        <v>10</v>
      </c>
      <c r="O1366" t="s">
        <v>1036</v>
      </c>
      <c r="P1366" s="17"/>
      <c r="Q1366" s="17" t="str">
        <f>_xlfn.XLOOKUP(Table2[[#This Row],[buyFromVendorNo]],'Next Day Scheduled'!A:A,'Pending Returns'!O:O,"NOT_FOUND")</f>
        <v>NOT_FOUND</v>
      </c>
    </row>
    <row r="1367" spans="1:17" x14ac:dyDescent="0.3">
      <c r="A1367" s="1">
        <v>46195</v>
      </c>
      <c r="B1367" t="s">
        <v>4028</v>
      </c>
      <c r="C1367" t="s">
        <v>633</v>
      </c>
      <c r="D1367" t="s">
        <v>690</v>
      </c>
      <c r="E1367" t="s">
        <v>8</v>
      </c>
      <c r="F1367" t="s">
        <v>10</v>
      </c>
      <c r="G1367" s="16">
        <v>371.71</v>
      </c>
      <c r="H1367" s="16">
        <v>427.4665</v>
      </c>
      <c r="I1367" s="1">
        <v>46185</v>
      </c>
      <c r="J1367">
        <v>64</v>
      </c>
      <c r="K1367" t="s">
        <v>4229</v>
      </c>
      <c r="L1367" t="s">
        <v>5800</v>
      </c>
      <c r="M1367">
        <v>9</v>
      </c>
      <c r="N1367">
        <v>6</v>
      </c>
      <c r="O1367" t="s">
        <v>1036</v>
      </c>
      <c r="P1367" s="17"/>
      <c r="Q1367" s="17" t="str">
        <f>_xlfn.XLOOKUP(Table2[[#This Row],[buyFromVendorNo]],'Next Day Scheduled'!A:A,'Pending Returns'!O:O,"NOT_FOUND")</f>
        <v>NOT_FOUND</v>
      </c>
    </row>
    <row r="1368" spans="1:17" x14ac:dyDescent="0.3">
      <c r="A1368" s="1">
        <v>46195</v>
      </c>
      <c r="B1368" t="s">
        <v>558</v>
      </c>
      <c r="C1368" t="s">
        <v>364</v>
      </c>
      <c r="D1368" t="s">
        <v>375</v>
      </c>
      <c r="E1368" t="s">
        <v>8</v>
      </c>
      <c r="F1368" t="s">
        <v>10</v>
      </c>
      <c r="G1368" s="16">
        <v>456.95</v>
      </c>
      <c r="H1368" s="16">
        <v>520.71500000000003</v>
      </c>
      <c r="I1368" s="1">
        <v>46188</v>
      </c>
      <c r="J1368">
        <v>64</v>
      </c>
      <c r="K1368" t="s">
        <v>4563</v>
      </c>
      <c r="L1368" t="s">
        <v>5787</v>
      </c>
      <c r="M1368">
        <v>9</v>
      </c>
      <c r="N1368">
        <v>5</v>
      </c>
      <c r="O1368" t="s">
        <v>1036</v>
      </c>
      <c r="P1368" s="17"/>
      <c r="Q1368" s="17" t="str">
        <f>_xlfn.XLOOKUP(Table2[[#This Row],[buyFromVendorNo]],'Next Day Scheduled'!A:A,'Pending Returns'!O:O,"NOT_FOUND")</f>
        <v>NOT_FOUND</v>
      </c>
    </row>
    <row r="1369" spans="1:17" x14ac:dyDescent="0.3">
      <c r="A1369" s="1">
        <v>46195</v>
      </c>
      <c r="B1369" t="s">
        <v>5226</v>
      </c>
      <c r="C1369" t="s">
        <v>957</v>
      </c>
      <c r="D1369" t="s">
        <v>958</v>
      </c>
      <c r="E1369" t="s">
        <v>8</v>
      </c>
      <c r="F1369" t="s">
        <v>10</v>
      </c>
      <c r="G1369" s="16">
        <v>6392.0039999999999</v>
      </c>
      <c r="H1369" s="16">
        <v>7350.8040000000001</v>
      </c>
      <c r="I1369" s="1">
        <v>46190</v>
      </c>
      <c r="J1369">
        <v>64</v>
      </c>
      <c r="K1369" t="s">
        <v>4920</v>
      </c>
      <c r="L1369" t="s">
        <v>5842</v>
      </c>
      <c r="M1369">
        <v>7</v>
      </c>
      <c r="N1369">
        <v>3</v>
      </c>
      <c r="O1369" t="s">
        <v>1036</v>
      </c>
      <c r="P1369" s="17"/>
      <c r="Q1369" s="17" t="str">
        <f>_xlfn.XLOOKUP(Table2[[#This Row],[buyFromVendorNo]],'Next Day Scheduled'!A:A,'Pending Returns'!O:O,"NOT_FOUND")</f>
        <v>NOT_FOUND</v>
      </c>
    </row>
    <row r="1370" spans="1:17" x14ac:dyDescent="0.3">
      <c r="A1370" s="1">
        <v>46195</v>
      </c>
      <c r="B1370" t="s">
        <v>2447</v>
      </c>
      <c r="C1370" t="s">
        <v>130</v>
      </c>
      <c r="D1370" t="s">
        <v>131</v>
      </c>
      <c r="E1370" t="s">
        <v>8</v>
      </c>
      <c r="F1370" t="s">
        <v>10</v>
      </c>
      <c r="G1370" s="16">
        <v>183.9</v>
      </c>
      <c r="H1370" s="16">
        <v>211.48500000000001</v>
      </c>
      <c r="I1370" s="1">
        <v>46187</v>
      </c>
      <c r="J1370">
        <v>64</v>
      </c>
      <c r="K1370" t="s">
        <v>2935</v>
      </c>
      <c r="L1370" t="s">
        <v>5805</v>
      </c>
      <c r="M1370">
        <v>9</v>
      </c>
      <c r="N1370">
        <v>7</v>
      </c>
      <c r="O1370" t="s">
        <v>1036</v>
      </c>
      <c r="P1370" s="17"/>
      <c r="Q1370" s="17" t="str">
        <f>_xlfn.XLOOKUP(Table2[[#This Row],[buyFromVendorNo]],'Next Day Scheduled'!A:A,'Pending Returns'!O:O,"NOT_FOUND")</f>
        <v>Posted Credit Note</v>
      </c>
    </row>
    <row r="1371" spans="1:17" x14ac:dyDescent="0.3">
      <c r="A1371" s="1">
        <v>46195</v>
      </c>
      <c r="B1371" t="s">
        <v>2821</v>
      </c>
      <c r="C1371" t="s">
        <v>1018</v>
      </c>
      <c r="D1371" t="s">
        <v>1019</v>
      </c>
      <c r="E1371" t="s">
        <v>8</v>
      </c>
      <c r="F1371" t="s">
        <v>10</v>
      </c>
      <c r="G1371" s="16">
        <v>701.55470000000003</v>
      </c>
      <c r="H1371" s="16">
        <v>806.78790000000004</v>
      </c>
      <c r="I1371" s="1">
        <v>46194</v>
      </c>
      <c r="J1371">
        <v>64</v>
      </c>
      <c r="K1371" t="s">
        <v>5277</v>
      </c>
      <c r="L1371" t="s">
        <v>5792</v>
      </c>
      <c r="M1371">
        <v>9</v>
      </c>
      <c r="N1371">
        <v>3</v>
      </c>
      <c r="O1371" t="s">
        <v>1036</v>
      </c>
      <c r="P1371" s="17"/>
      <c r="Q1371" s="17" t="str">
        <f>_xlfn.XLOOKUP(Table2[[#This Row],[buyFromVendorNo]],'Next Day Scheduled'!A:A,'Pending Returns'!O:O,"NOT_FOUND")</f>
        <v>NOT_FOUND</v>
      </c>
    </row>
    <row r="1372" spans="1:17" x14ac:dyDescent="0.3">
      <c r="A1372" s="1">
        <v>46195</v>
      </c>
      <c r="B1372" t="s">
        <v>3035</v>
      </c>
      <c r="C1372" t="s">
        <v>1407</v>
      </c>
      <c r="D1372" t="s">
        <v>2306</v>
      </c>
      <c r="E1372" t="s">
        <v>8</v>
      </c>
      <c r="F1372" t="s">
        <v>10</v>
      </c>
      <c r="G1372" s="16">
        <v>1671</v>
      </c>
      <c r="H1372" s="16">
        <v>1921.65</v>
      </c>
      <c r="I1372" s="1">
        <v>46195</v>
      </c>
      <c r="J1372">
        <v>64</v>
      </c>
      <c r="K1372" t="s">
        <v>3036</v>
      </c>
      <c r="L1372" t="s">
        <v>5808</v>
      </c>
      <c r="M1372">
        <v>7</v>
      </c>
      <c r="N1372">
        <v>16</v>
      </c>
      <c r="O1372" t="s">
        <v>1036</v>
      </c>
      <c r="P1372" s="17"/>
      <c r="Q1372" s="17" t="str">
        <f>_xlfn.XLOOKUP(Table2[[#This Row],[buyFromVendorNo]],'Next Day Scheduled'!A:A,'Pending Returns'!O:O,"NOT_FOUND")</f>
        <v>NOT_FOUND</v>
      </c>
    </row>
    <row r="1373" spans="1:17" x14ac:dyDescent="0.3">
      <c r="A1373" s="1">
        <v>46195</v>
      </c>
      <c r="B1373" t="s">
        <v>2410</v>
      </c>
      <c r="C1373" t="s">
        <v>57</v>
      </c>
      <c r="D1373" t="s">
        <v>58</v>
      </c>
      <c r="E1373" t="s">
        <v>8</v>
      </c>
      <c r="F1373" t="s">
        <v>10</v>
      </c>
      <c r="G1373" s="16">
        <v>632.01</v>
      </c>
      <c r="H1373" s="16">
        <v>726.81150000000002</v>
      </c>
      <c r="I1373" s="1">
        <v>46190</v>
      </c>
      <c r="J1373">
        <v>64</v>
      </c>
      <c r="K1373" t="s">
        <v>4596</v>
      </c>
      <c r="L1373" t="s">
        <v>5833</v>
      </c>
      <c r="M1373">
        <v>8</v>
      </c>
      <c r="N1373">
        <v>8</v>
      </c>
      <c r="O1373" t="s">
        <v>1036</v>
      </c>
      <c r="P1373" s="17"/>
      <c r="Q1373" s="17" t="str">
        <f>_xlfn.XLOOKUP(Table2[[#This Row],[buyFromVendorNo]],'Next Day Scheduled'!A:A,'Pending Returns'!O:O,"NOT_FOUND")</f>
        <v>Posted Credit Note</v>
      </c>
    </row>
    <row r="1374" spans="1:17" x14ac:dyDescent="0.3">
      <c r="A1374" s="1">
        <v>46195</v>
      </c>
      <c r="B1374" t="s">
        <v>5172</v>
      </c>
      <c r="C1374" t="s">
        <v>785</v>
      </c>
      <c r="D1374" t="s">
        <v>786</v>
      </c>
      <c r="E1374" t="s">
        <v>8</v>
      </c>
      <c r="F1374" t="s">
        <v>10</v>
      </c>
      <c r="G1374" s="16">
        <v>6013</v>
      </c>
      <c r="H1374" s="16">
        <v>6914.95</v>
      </c>
      <c r="I1374" s="1">
        <v>46174</v>
      </c>
      <c r="J1374">
        <v>64</v>
      </c>
      <c r="K1374" t="s">
        <v>3615</v>
      </c>
      <c r="L1374" t="s">
        <v>5838</v>
      </c>
      <c r="M1374">
        <v>10</v>
      </c>
      <c r="N1374">
        <v>5</v>
      </c>
      <c r="O1374" t="s">
        <v>1036</v>
      </c>
      <c r="P1374" s="17"/>
      <c r="Q1374" s="17" t="str">
        <f>_xlfn.XLOOKUP(Table2[[#This Row],[buyFromVendorNo]],'Next Day Scheduled'!A:A,'Pending Returns'!O:O,"NOT_FOUND")</f>
        <v>NOT_FOUND</v>
      </c>
    </row>
    <row r="1375" spans="1:17" x14ac:dyDescent="0.3">
      <c r="A1375" s="1">
        <v>46195</v>
      </c>
      <c r="B1375" t="s">
        <v>5162</v>
      </c>
      <c r="C1375" t="s">
        <v>1026</v>
      </c>
      <c r="D1375" t="s">
        <v>1873</v>
      </c>
      <c r="E1375" t="s">
        <v>8</v>
      </c>
      <c r="F1375" t="s">
        <v>10</v>
      </c>
      <c r="G1375" s="16">
        <v>800.54332999999997</v>
      </c>
      <c r="H1375" s="16">
        <v>920.62480000000005</v>
      </c>
      <c r="I1375" s="1">
        <v>46174</v>
      </c>
      <c r="J1375">
        <v>64</v>
      </c>
      <c r="K1375" t="s">
        <v>3605</v>
      </c>
      <c r="L1375" t="s">
        <v>5839</v>
      </c>
      <c r="M1375">
        <v>8</v>
      </c>
      <c r="N1375">
        <v>6</v>
      </c>
      <c r="O1375" t="s">
        <v>1036</v>
      </c>
      <c r="P1375" s="17"/>
      <c r="Q1375" s="17" t="str">
        <f>_xlfn.XLOOKUP(Table2[[#This Row],[buyFromVendorNo]],'Next Day Scheduled'!A:A,'Pending Returns'!O:O,"NOT_FOUND")</f>
        <v>NOT_FOUND</v>
      </c>
    </row>
    <row r="1376" spans="1:17" x14ac:dyDescent="0.3">
      <c r="A1376" s="1">
        <v>46195</v>
      </c>
      <c r="B1376" t="s">
        <v>2517</v>
      </c>
      <c r="C1376" t="s">
        <v>1915</v>
      </c>
      <c r="D1376" t="s">
        <v>3229</v>
      </c>
      <c r="E1376" t="s">
        <v>8</v>
      </c>
      <c r="F1376" t="s">
        <v>10</v>
      </c>
      <c r="G1376" s="16">
        <v>40.799999999999997</v>
      </c>
      <c r="H1376" s="16">
        <v>46.92</v>
      </c>
      <c r="I1376" s="1">
        <v>46195</v>
      </c>
      <c r="J1376">
        <v>64</v>
      </c>
      <c r="K1376" t="s">
        <v>5476</v>
      </c>
      <c r="L1376" t="s">
        <v>5819</v>
      </c>
      <c r="M1376">
        <v>10</v>
      </c>
      <c r="N1376">
        <v>1</v>
      </c>
      <c r="O1376" t="s">
        <v>1036</v>
      </c>
      <c r="P1376" s="17"/>
      <c r="Q1376" s="17" t="str">
        <f>_xlfn.XLOOKUP(Table2[[#This Row],[buyFromVendorNo]],'Next Day Scheduled'!A:A,'Pending Returns'!O:O,"NOT_FOUND")</f>
        <v>NOT_FOUND</v>
      </c>
    </row>
    <row r="1377" spans="1:17" x14ac:dyDescent="0.3">
      <c r="A1377" s="1">
        <v>46195</v>
      </c>
      <c r="B1377" t="s">
        <v>4485</v>
      </c>
      <c r="C1377" t="s">
        <v>1018</v>
      </c>
      <c r="D1377" t="s">
        <v>1019</v>
      </c>
      <c r="E1377" t="s">
        <v>8</v>
      </c>
      <c r="F1377" t="s">
        <v>10</v>
      </c>
      <c r="G1377" s="16">
        <v>4230.8689999999997</v>
      </c>
      <c r="H1377" s="16">
        <v>4865.4994999999999</v>
      </c>
      <c r="I1377" s="1">
        <v>46194</v>
      </c>
      <c r="J1377">
        <v>64</v>
      </c>
      <c r="K1377" t="s">
        <v>5032</v>
      </c>
      <c r="L1377" t="s">
        <v>5820</v>
      </c>
      <c r="M1377">
        <v>9</v>
      </c>
      <c r="N1377">
        <v>3</v>
      </c>
      <c r="O1377" t="s">
        <v>1036</v>
      </c>
      <c r="P1377" s="17"/>
      <c r="Q1377" s="17" t="str">
        <f>_xlfn.XLOOKUP(Table2[[#This Row],[buyFromVendorNo]],'Next Day Scheduled'!A:A,'Pending Returns'!O:O,"NOT_FOUND")</f>
        <v>NOT_FOUND</v>
      </c>
    </row>
    <row r="1378" spans="1:17" x14ac:dyDescent="0.3">
      <c r="A1378" s="1">
        <v>46195</v>
      </c>
      <c r="B1378" t="s">
        <v>5380</v>
      </c>
      <c r="C1378" t="s">
        <v>2256</v>
      </c>
      <c r="D1378" t="s">
        <v>2257</v>
      </c>
      <c r="E1378" t="s">
        <v>8</v>
      </c>
      <c r="F1378" t="s">
        <v>10</v>
      </c>
      <c r="G1378" s="16">
        <v>88.2</v>
      </c>
      <c r="H1378" s="16">
        <v>101.43</v>
      </c>
      <c r="I1378" s="1">
        <v>46195</v>
      </c>
      <c r="J1378">
        <v>64</v>
      </c>
      <c r="K1378" t="s">
        <v>5381</v>
      </c>
      <c r="L1378" t="s">
        <v>5844</v>
      </c>
      <c r="M1378">
        <v>6</v>
      </c>
      <c r="N1378">
        <v>2</v>
      </c>
      <c r="O1378" t="s">
        <v>1036</v>
      </c>
      <c r="P1378" s="17"/>
      <c r="Q1378" s="17" t="str">
        <f>_xlfn.XLOOKUP(Table2[[#This Row],[buyFromVendorNo]],'Next Day Scheduled'!A:A,'Pending Returns'!O:O,"NOT_FOUND")</f>
        <v>NOT_FOUND</v>
      </c>
    </row>
    <row r="1379" spans="1:17" x14ac:dyDescent="0.3">
      <c r="A1379" s="1">
        <v>46195</v>
      </c>
      <c r="B1379" t="s">
        <v>3321</v>
      </c>
      <c r="C1379" t="s">
        <v>933</v>
      </c>
      <c r="D1379" t="s">
        <v>934</v>
      </c>
      <c r="E1379" t="s">
        <v>8</v>
      </c>
      <c r="F1379" t="s">
        <v>10</v>
      </c>
      <c r="G1379" s="16">
        <v>5183.8999999999996</v>
      </c>
      <c r="H1379" s="16">
        <v>5961.4849999999997</v>
      </c>
      <c r="I1379" s="1">
        <v>46191</v>
      </c>
      <c r="J1379">
        <v>64</v>
      </c>
      <c r="K1379" t="s">
        <v>3322</v>
      </c>
      <c r="L1379" t="s">
        <v>5789</v>
      </c>
      <c r="M1379">
        <v>9</v>
      </c>
      <c r="N1379">
        <v>2</v>
      </c>
      <c r="O1379" t="s">
        <v>1036</v>
      </c>
      <c r="P1379" s="17"/>
      <c r="Q1379" s="17" t="str">
        <f>_xlfn.XLOOKUP(Table2[[#This Row],[buyFromVendorNo]],'Next Day Scheduled'!A:A,'Pending Returns'!O:O,"NOT_FOUND")</f>
        <v>NOT_FOUND</v>
      </c>
    </row>
    <row r="1380" spans="1:17" x14ac:dyDescent="0.3">
      <c r="A1380" s="1">
        <v>46195</v>
      </c>
      <c r="B1380" t="s">
        <v>2868</v>
      </c>
      <c r="C1380" t="s">
        <v>130</v>
      </c>
      <c r="D1380" t="s">
        <v>131</v>
      </c>
      <c r="E1380" t="s">
        <v>8</v>
      </c>
      <c r="F1380" t="s">
        <v>10</v>
      </c>
      <c r="G1380" s="16">
        <v>3108.1873000000001</v>
      </c>
      <c r="H1380" s="16">
        <v>3574.4155000000001</v>
      </c>
      <c r="I1380" s="1">
        <v>46186</v>
      </c>
      <c r="J1380">
        <v>64</v>
      </c>
      <c r="K1380" t="s">
        <v>2869</v>
      </c>
      <c r="L1380" t="s">
        <v>5790</v>
      </c>
      <c r="M1380">
        <v>9</v>
      </c>
      <c r="N1380">
        <v>7</v>
      </c>
      <c r="O1380" t="s">
        <v>1036</v>
      </c>
      <c r="P1380" s="17"/>
      <c r="Q1380" s="17" t="str">
        <f>_xlfn.XLOOKUP(Table2[[#This Row],[buyFromVendorNo]],'Next Day Scheduled'!A:A,'Pending Returns'!O:O,"NOT_FOUND")</f>
        <v>Posted Credit Note</v>
      </c>
    </row>
    <row r="1381" spans="1:17" x14ac:dyDescent="0.3">
      <c r="A1381" s="1">
        <v>46195</v>
      </c>
      <c r="B1381" t="s">
        <v>5187</v>
      </c>
      <c r="C1381" t="s">
        <v>2285</v>
      </c>
      <c r="D1381" t="s">
        <v>2286</v>
      </c>
      <c r="E1381" t="s">
        <v>8</v>
      </c>
      <c r="F1381" t="s">
        <v>10</v>
      </c>
      <c r="G1381" s="16">
        <v>1984.12</v>
      </c>
      <c r="H1381" s="16">
        <v>2281.7379999999998</v>
      </c>
      <c r="I1381" s="1">
        <v>46177</v>
      </c>
      <c r="J1381">
        <v>64</v>
      </c>
      <c r="K1381" t="s">
        <v>4121</v>
      </c>
      <c r="L1381" t="s">
        <v>5803</v>
      </c>
      <c r="M1381">
        <v>10</v>
      </c>
      <c r="N1381">
        <v>6</v>
      </c>
      <c r="O1381" t="s">
        <v>1036</v>
      </c>
      <c r="P1381" s="17"/>
      <c r="Q1381" s="17" t="str">
        <f>_xlfn.XLOOKUP(Table2[[#This Row],[buyFromVendorNo]],'Next Day Scheduled'!A:A,'Pending Returns'!O:O,"NOT_FOUND")</f>
        <v>Posted Credit Note</v>
      </c>
    </row>
    <row r="1382" spans="1:17" x14ac:dyDescent="0.3">
      <c r="A1382" s="1">
        <v>46195</v>
      </c>
      <c r="B1382" t="s">
        <v>2079</v>
      </c>
      <c r="C1382" t="s">
        <v>562</v>
      </c>
      <c r="D1382" t="s">
        <v>563</v>
      </c>
      <c r="E1382" t="s">
        <v>8</v>
      </c>
      <c r="F1382" t="s">
        <v>38</v>
      </c>
      <c r="G1382" s="16">
        <v>2080.58</v>
      </c>
      <c r="H1382" s="16">
        <v>2392.6669999999999</v>
      </c>
      <c r="I1382" s="1">
        <v>46181</v>
      </c>
      <c r="J1382">
        <v>64</v>
      </c>
      <c r="K1382" t="s">
        <v>4619</v>
      </c>
      <c r="L1382" t="s">
        <v>5791</v>
      </c>
      <c r="M1382">
        <v>24</v>
      </c>
      <c r="N1382">
        <v>23</v>
      </c>
      <c r="O1382" t="s">
        <v>1036</v>
      </c>
      <c r="P1382" s="17"/>
      <c r="Q1382" s="17" t="str">
        <f>_xlfn.XLOOKUP(Table2[[#This Row],[buyFromVendorNo]],'Next Day Scheduled'!A:A,'Pending Returns'!O:O,"NOT_FOUND")</f>
        <v>NOT_FOUND</v>
      </c>
    </row>
    <row r="1383" spans="1:17" x14ac:dyDescent="0.3">
      <c r="A1383" s="1">
        <v>46195</v>
      </c>
      <c r="B1383" t="s">
        <v>2704</v>
      </c>
      <c r="C1383" t="s">
        <v>665</v>
      </c>
      <c r="D1383" t="s">
        <v>666</v>
      </c>
      <c r="E1383" t="s">
        <v>8</v>
      </c>
      <c r="F1383" t="s">
        <v>10</v>
      </c>
      <c r="G1383" s="16">
        <v>1484.5453</v>
      </c>
      <c r="H1383" s="16">
        <v>1707.2270000000001</v>
      </c>
      <c r="I1383" s="1">
        <v>46195</v>
      </c>
      <c r="J1383">
        <v>64</v>
      </c>
      <c r="K1383" t="s">
        <v>2232</v>
      </c>
      <c r="L1383" t="s">
        <v>5806</v>
      </c>
      <c r="M1383">
        <v>0</v>
      </c>
      <c r="N1383">
        <v>147</v>
      </c>
      <c r="O1383" t="s">
        <v>1036</v>
      </c>
      <c r="P1383" s="17"/>
      <c r="Q1383" s="17" t="str">
        <f>_xlfn.XLOOKUP(Table2[[#This Row],[buyFromVendorNo]],'Next Day Scheduled'!A:A,'Pending Returns'!O:O,"NOT_FOUND")</f>
        <v>NOT_FOUND</v>
      </c>
    </row>
    <row r="1384" spans="1:17" x14ac:dyDescent="0.3">
      <c r="A1384" s="1">
        <v>46195</v>
      </c>
      <c r="B1384" t="s">
        <v>472</v>
      </c>
      <c r="C1384" t="s">
        <v>2363</v>
      </c>
      <c r="D1384" t="s">
        <v>2364</v>
      </c>
      <c r="E1384" t="s">
        <v>8</v>
      </c>
      <c r="F1384" t="s">
        <v>10</v>
      </c>
      <c r="G1384" s="16">
        <v>840.04</v>
      </c>
      <c r="H1384" s="16">
        <v>966.04600000000005</v>
      </c>
      <c r="I1384" s="1">
        <v>46194</v>
      </c>
      <c r="J1384">
        <v>64</v>
      </c>
      <c r="K1384" t="s">
        <v>4998</v>
      </c>
      <c r="L1384" t="s">
        <v>5832</v>
      </c>
      <c r="M1384">
        <v>9</v>
      </c>
      <c r="N1384">
        <v>6</v>
      </c>
      <c r="O1384" t="s">
        <v>1036</v>
      </c>
      <c r="P1384" s="17"/>
      <c r="Q1384" s="17" t="str">
        <f>_xlfn.XLOOKUP(Table2[[#This Row],[buyFromVendorNo]],'Next Day Scheduled'!A:A,'Pending Returns'!O:O,"NOT_FOUND")</f>
        <v>NOT_FOUND</v>
      </c>
    </row>
    <row r="1385" spans="1:17" x14ac:dyDescent="0.3">
      <c r="A1385" s="1">
        <v>46195</v>
      </c>
      <c r="B1385" t="s">
        <v>3998</v>
      </c>
      <c r="C1385" t="s">
        <v>364</v>
      </c>
      <c r="D1385" t="s">
        <v>375</v>
      </c>
      <c r="E1385" t="s">
        <v>8</v>
      </c>
      <c r="F1385" t="s">
        <v>10</v>
      </c>
      <c r="G1385" s="16">
        <v>193.49199999999999</v>
      </c>
      <c r="H1385" s="16">
        <v>222.51580000000001</v>
      </c>
      <c r="I1385" s="1">
        <v>46188</v>
      </c>
      <c r="J1385">
        <v>64</v>
      </c>
      <c r="K1385" t="s">
        <v>4261</v>
      </c>
      <c r="L1385" t="s">
        <v>5848</v>
      </c>
      <c r="M1385">
        <v>9</v>
      </c>
      <c r="N1385">
        <v>5</v>
      </c>
      <c r="O1385" t="s">
        <v>1036</v>
      </c>
      <c r="P1385" s="17"/>
      <c r="Q1385" s="17" t="str">
        <f>_xlfn.XLOOKUP(Table2[[#This Row],[buyFromVendorNo]],'Next Day Scheduled'!A:A,'Pending Returns'!O:O,"NOT_FOUND")</f>
        <v>NOT_FOUND</v>
      </c>
    </row>
    <row r="1386" spans="1:17" x14ac:dyDescent="0.3">
      <c r="A1386" s="1">
        <v>46196</v>
      </c>
      <c r="B1386" t="s">
        <v>3349</v>
      </c>
      <c r="C1386" t="s">
        <v>154</v>
      </c>
      <c r="D1386" t="s">
        <v>155</v>
      </c>
      <c r="E1386" t="s">
        <v>8</v>
      </c>
      <c r="F1386" t="s">
        <v>10</v>
      </c>
      <c r="G1386" s="16">
        <v>2336.9587000000001</v>
      </c>
      <c r="H1386" s="16">
        <v>2687.5027</v>
      </c>
      <c r="I1386" s="1">
        <v>46196</v>
      </c>
      <c r="J1386">
        <v>63</v>
      </c>
      <c r="K1386" t="s">
        <v>4987</v>
      </c>
      <c r="L1386" t="s">
        <v>5849</v>
      </c>
      <c r="M1386">
        <v>8</v>
      </c>
      <c r="N1386">
        <v>7</v>
      </c>
      <c r="O1386" t="s">
        <v>1036</v>
      </c>
      <c r="P1386" s="17"/>
      <c r="Q1386" s="17" t="str">
        <f>_xlfn.XLOOKUP(Table2[[#This Row],[buyFromVendorNo]],'Next Day Scheduled'!A:A,'Pending Returns'!O:O,"NOT_FOUND")</f>
        <v>NOT_FOUND</v>
      </c>
    </row>
    <row r="1387" spans="1:17" x14ac:dyDescent="0.3">
      <c r="A1387" s="1">
        <v>46196</v>
      </c>
      <c r="B1387" t="s">
        <v>443</v>
      </c>
      <c r="C1387" t="s">
        <v>444</v>
      </c>
      <c r="D1387" t="s">
        <v>445</v>
      </c>
      <c r="E1387" t="s">
        <v>8</v>
      </c>
      <c r="F1387" t="s">
        <v>38</v>
      </c>
      <c r="G1387" s="16">
        <v>6288.59</v>
      </c>
      <c r="H1387" s="16">
        <v>7231.8783999999996</v>
      </c>
      <c r="I1387" s="1">
        <v>46181</v>
      </c>
      <c r="J1387">
        <v>63</v>
      </c>
      <c r="K1387" t="s">
        <v>446</v>
      </c>
      <c r="L1387" t="s">
        <v>5851</v>
      </c>
      <c r="M1387">
        <v>2</v>
      </c>
      <c r="N1387">
        <v>9</v>
      </c>
      <c r="O1387" t="s">
        <v>1036</v>
      </c>
      <c r="P1387" s="17"/>
      <c r="Q1387" s="17" t="str">
        <f>_xlfn.XLOOKUP(Table2[[#This Row],[buyFromVendorNo]],'Next Day Scheduled'!A:A,'Pending Returns'!O:O,"NOT_FOUND")</f>
        <v>NOT_FOUND</v>
      </c>
    </row>
    <row r="1388" spans="1:17" x14ac:dyDescent="0.3">
      <c r="A1388" s="1">
        <v>46196</v>
      </c>
      <c r="B1388" t="s">
        <v>5161</v>
      </c>
      <c r="C1388" t="s">
        <v>79</v>
      </c>
      <c r="D1388" t="s">
        <v>80</v>
      </c>
      <c r="E1388" t="s">
        <v>8</v>
      </c>
      <c r="F1388" t="s">
        <v>10</v>
      </c>
      <c r="G1388" s="16">
        <v>1105.4348</v>
      </c>
      <c r="H1388" s="16">
        <v>1271.25</v>
      </c>
      <c r="I1388" s="1">
        <v>46174</v>
      </c>
      <c r="J1388">
        <v>63</v>
      </c>
      <c r="K1388" t="s">
        <v>3620</v>
      </c>
      <c r="L1388" t="s">
        <v>5850</v>
      </c>
      <c r="M1388">
        <v>8</v>
      </c>
      <c r="N1388">
        <v>2</v>
      </c>
      <c r="O1388" t="s">
        <v>1036</v>
      </c>
      <c r="P1388" s="17"/>
      <c r="Q1388" s="17" t="str">
        <f>_xlfn.XLOOKUP(Table2[[#This Row],[buyFromVendorNo]],'Next Day Scheduled'!A:A,'Pending Returns'!O:O,"NOT_FOUND")</f>
        <v>NOT_FOUND</v>
      </c>
    </row>
    <row r="1389" spans="1:17" x14ac:dyDescent="0.3">
      <c r="A1389" s="1">
        <v>46196</v>
      </c>
      <c r="B1389" t="s">
        <v>5103</v>
      </c>
      <c r="C1389" t="s">
        <v>2359</v>
      </c>
      <c r="D1389" t="s">
        <v>2360</v>
      </c>
      <c r="E1389" t="s">
        <v>8</v>
      </c>
      <c r="F1389" t="s">
        <v>10</v>
      </c>
      <c r="G1389" s="16">
        <v>112.5</v>
      </c>
      <c r="H1389" s="16">
        <v>129.375</v>
      </c>
      <c r="I1389" s="1">
        <v>46195</v>
      </c>
      <c r="J1389">
        <v>63</v>
      </c>
      <c r="K1389" t="s">
        <v>4940</v>
      </c>
      <c r="L1389" t="s">
        <v>5942</v>
      </c>
      <c r="M1389">
        <v>4</v>
      </c>
      <c r="N1389">
        <v>22</v>
      </c>
      <c r="O1389" t="s">
        <v>1036</v>
      </c>
      <c r="P1389" s="17"/>
      <c r="Q1389" s="17" t="str">
        <f>_xlfn.XLOOKUP(Table2[[#This Row],[buyFromVendorNo]],'Next Day Scheduled'!A:A,'Pending Returns'!O:O,"NOT_FOUND")</f>
        <v>NOT_FOUND</v>
      </c>
    </row>
    <row r="1390" spans="1:17" x14ac:dyDescent="0.3">
      <c r="A1390" s="1">
        <v>46196</v>
      </c>
      <c r="B1390" t="s">
        <v>999</v>
      </c>
      <c r="C1390" t="s">
        <v>776</v>
      </c>
      <c r="D1390" t="s">
        <v>777</v>
      </c>
      <c r="E1390" t="s">
        <v>8</v>
      </c>
      <c r="F1390" t="s">
        <v>10</v>
      </c>
      <c r="G1390" s="16">
        <v>537.44000000000005</v>
      </c>
      <c r="H1390" s="16">
        <v>618.05600000000004</v>
      </c>
      <c r="I1390" s="1">
        <v>46196</v>
      </c>
      <c r="J1390">
        <v>63</v>
      </c>
      <c r="K1390" t="s">
        <v>5494</v>
      </c>
      <c r="L1390" t="s">
        <v>5854</v>
      </c>
      <c r="M1390">
        <v>24</v>
      </c>
      <c r="N1390">
        <v>2</v>
      </c>
      <c r="O1390" t="s">
        <v>1036</v>
      </c>
      <c r="P1390" s="17"/>
      <c r="Q1390" s="17" t="str">
        <f>_xlfn.XLOOKUP(Table2[[#This Row],[buyFromVendorNo]],'Next Day Scheduled'!A:A,'Pending Returns'!O:O,"NOT_FOUND")</f>
        <v>Posted Credit Note</v>
      </c>
    </row>
    <row r="1391" spans="1:17" x14ac:dyDescent="0.3">
      <c r="A1391" s="1">
        <v>46196</v>
      </c>
      <c r="B1391" t="s">
        <v>2895</v>
      </c>
      <c r="C1391" t="s">
        <v>949</v>
      </c>
      <c r="D1391" t="s">
        <v>950</v>
      </c>
      <c r="E1391" t="s">
        <v>8</v>
      </c>
      <c r="F1391" t="s">
        <v>10</v>
      </c>
      <c r="G1391" s="16">
        <v>604.06899999999996</v>
      </c>
      <c r="H1391" s="16">
        <v>692.58025999999995</v>
      </c>
      <c r="I1391" s="1">
        <v>46194</v>
      </c>
      <c r="J1391">
        <v>63</v>
      </c>
      <c r="K1391" t="s">
        <v>2896</v>
      </c>
      <c r="L1391" t="s">
        <v>5855</v>
      </c>
      <c r="M1391">
        <v>8</v>
      </c>
      <c r="N1391">
        <v>3</v>
      </c>
      <c r="O1391" t="s">
        <v>1036</v>
      </c>
      <c r="P1391" s="17"/>
      <c r="Q1391" s="17" t="str">
        <f>_xlfn.XLOOKUP(Table2[[#This Row],[buyFromVendorNo]],'Next Day Scheduled'!A:A,'Pending Returns'!O:O,"NOT_FOUND")</f>
        <v>NOT_FOUND</v>
      </c>
    </row>
    <row r="1392" spans="1:17" x14ac:dyDescent="0.3">
      <c r="A1392" s="1">
        <v>46196</v>
      </c>
      <c r="B1392" t="s">
        <v>2117</v>
      </c>
      <c r="C1392" t="s">
        <v>1020</v>
      </c>
      <c r="D1392" t="s">
        <v>1021</v>
      </c>
      <c r="E1392" t="s">
        <v>8</v>
      </c>
      <c r="F1392" t="s">
        <v>10</v>
      </c>
      <c r="G1392" s="16">
        <v>3678.0709999999999</v>
      </c>
      <c r="H1392" s="16">
        <v>4229.7816999999995</v>
      </c>
      <c r="I1392" s="1">
        <v>46196</v>
      </c>
      <c r="J1392">
        <v>63</v>
      </c>
      <c r="K1392" t="s">
        <v>4849</v>
      </c>
      <c r="L1392" t="s">
        <v>5874</v>
      </c>
      <c r="M1392">
        <v>9</v>
      </c>
      <c r="N1392">
        <v>2</v>
      </c>
      <c r="O1392" t="s">
        <v>1036</v>
      </c>
      <c r="P1392" s="17"/>
      <c r="Q1392" s="17" t="str">
        <f>_xlfn.XLOOKUP(Table2[[#This Row],[buyFromVendorNo]],'Next Day Scheduled'!A:A,'Pending Returns'!O:O,"NOT_FOUND")</f>
        <v>NOT_FOUND</v>
      </c>
    </row>
    <row r="1393" spans="1:17" x14ac:dyDescent="0.3">
      <c r="A1393" s="1">
        <v>46196</v>
      </c>
      <c r="B1393" t="s">
        <v>3719</v>
      </c>
      <c r="C1393" t="s">
        <v>2369</v>
      </c>
      <c r="D1393" t="s">
        <v>2370</v>
      </c>
      <c r="E1393" t="s">
        <v>8</v>
      </c>
      <c r="F1393" t="s">
        <v>10</v>
      </c>
      <c r="G1393" s="16">
        <v>591</v>
      </c>
      <c r="H1393" s="16">
        <v>664.65</v>
      </c>
      <c r="I1393" s="1">
        <v>46187</v>
      </c>
      <c r="J1393">
        <v>63</v>
      </c>
      <c r="K1393" t="s">
        <v>3660</v>
      </c>
      <c r="L1393" t="s">
        <v>5856</v>
      </c>
      <c r="M1393">
        <v>9</v>
      </c>
      <c r="N1393">
        <v>2</v>
      </c>
      <c r="O1393" t="s">
        <v>1036</v>
      </c>
      <c r="P1393" s="17"/>
      <c r="Q1393" s="17" t="str">
        <f>_xlfn.XLOOKUP(Table2[[#This Row],[buyFromVendorNo]],'Next Day Scheduled'!A:A,'Pending Returns'!O:O,"NOT_FOUND")</f>
        <v>NOT_FOUND</v>
      </c>
    </row>
    <row r="1394" spans="1:17" x14ac:dyDescent="0.3">
      <c r="A1394" s="1">
        <v>46196</v>
      </c>
      <c r="B1394" t="s">
        <v>5194</v>
      </c>
      <c r="C1394" t="s">
        <v>1216</v>
      </c>
      <c r="D1394" t="s">
        <v>1217</v>
      </c>
      <c r="E1394" t="s">
        <v>8</v>
      </c>
      <c r="F1394" t="s">
        <v>10</v>
      </c>
      <c r="G1394" s="16">
        <v>2166</v>
      </c>
      <c r="H1394" s="16">
        <v>2490.9</v>
      </c>
      <c r="I1394" s="1">
        <v>46181</v>
      </c>
      <c r="J1394">
        <v>63</v>
      </c>
      <c r="K1394" t="s">
        <v>4611</v>
      </c>
      <c r="L1394" t="s">
        <v>5866</v>
      </c>
      <c r="M1394">
        <v>0</v>
      </c>
      <c r="N1394">
        <v>224</v>
      </c>
      <c r="O1394" t="s">
        <v>1036</v>
      </c>
      <c r="P1394" s="17"/>
      <c r="Q1394" s="17" t="str">
        <f>_xlfn.XLOOKUP(Table2[[#This Row],[buyFromVendorNo]],'Next Day Scheduled'!A:A,'Pending Returns'!O:O,"NOT_FOUND")</f>
        <v>NOT_FOUND</v>
      </c>
    </row>
    <row r="1395" spans="1:17" x14ac:dyDescent="0.3">
      <c r="A1395" s="1">
        <v>46196</v>
      </c>
      <c r="B1395" t="s">
        <v>2765</v>
      </c>
      <c r="C1395" t="s">
        <v>665</v>
      </c>
      <c r="D1395" t="s">
        <v>666</v>
      </c>
      <c r="E1395" t="s">
        <v>8</v>
      </c>
      <c r="F1395" t="s">
        <v>10</v>
      </c>
      <c r="G1395" s="16">
        <v>109.82643</v>
      </c>
      <c r="H1395" s="16">
        <v>126.30038999999999</v>
      </c>
      <c r="I1395" s="1">
        <v>46195</v>
      </c>
      <c r="J1395">
        <v>63</v>
      </c>
      <c r="K1395" t="s">
        <v>2766</v>
      </c>
      <c r="L1395" t="s">
        <v>5879</v>
      </c>
      <c r="M1395">
        <v>0</v>
      </c>
      <c r="N1395">
        <v>147</v>
      </c>
      <c r="O1395" t="s">
        <v>1036</v>
      </c>
      <c r="P1395" s="17"/>
      <c r="Q1395" s="17" t="str">
        <f>_xlfn.XLOOKUP(Table2[[#This Row],[buyFromVendorNo]],'Next Day Scheduled'!A:A,'Pending Returns'!O:O,"NOT_FOUND")</f>
        <v>NOT_FOUND</v>
      </c>
    </row>
    <row r="1396" spans="1:17" x14ac:dyDescent="0.3">
      <c r="A1396" s="1">
        <v>46196</v>
      </c>
      <c r="B1396" t="s">
        <v>4227</v>
      </c>
      <c r="C1396" t="s">
        <v>2359</v>
      </c>
      <c r="D1396" t="s">
        <v>2360</v>
      </c>
      <c r="E1396" t="s">
        <v>8</v>
      </c>
      <c r="F1396" t="s">
        <v>10</v>
      </c>
      <c r="G1396" s="16">
        <v>45</v>
      </c>
      <c r="H1396" s="16">
        <v>51.75</v>
      </c>
      <c r="I1396" s="1">
        <v>46195</v>
      </c>
      <c r="J1396">
        <v>63</v>
      </c>
      <c r="K1396" t="s">
        <v>5585</v>
      </c>
      <c r="L1396" t="s">
        <v>5944</v>
      </c>
      <c r="M1396">
        <v>4</v>
      </c>
      <c r="N1396">
        <v>22</v>
      </c>
      <c r="O1396" t="s">
        <v>1036</v>
      </c>
      <c r="P1396" s="17"/>
      <c r="Q1396" s="17" t="str">
        <f>_xlfn.XLOOKUP(Table2[[#This Row],[buyFromVendorNo]],'Next Day Scheduled'!A:A,'Pending Returns'!O:O,"NOT_FOUND")</f>
        <v>NOT_FOUND</v>
      </c>
    </row>
    <row r="1397" spans="1:17" x14ac:dyDescent="0.3">
      <c r="A1397" s="1">
        <v>46196</v>
      </c>
      <c r="B1397" t="s">
        <v>5180</v>
      </c>
      <c r="C1397" t="s">
        <v>506</v>
      </c>
      <c r="D1397" t="s">
        <v>507</v>
      </c>
      <c r="E1397" t="s">
        <v>8</v>
      </c>
      <c r="F1397" t="s">
        <v>10</v>
      </c>
      <c r="G1397" s="16">
        <v>1056.9087</v>
      </c>
      <c r="H1397" s="16">
        <v>1104.2139999999999</v>
      </c>
      <c r="I1397" s="1">
        <v>46177</v>
      </c>
      <c r="J1397">
        <v>63</v>
      </c>
      <c r="K1397" t="s">
        <v>4117</v>
      </c>
      <c r="L1397" t="s">
        <v>5945</v>
      </c>
      <c r="M1397">
        <v>9</v>
      </c>
      <c r="N1397">
        <v>5</v>
      </c>
      <c r="O1397" t="s">
        <v>1036</v>
      </c>
      <c r="P1397" s="17"/>
      <c r="Q1397" s="17" t="str">
        <f>_xlfn.XLOOKUP(Table2[[#This Row],[buyFromVendorNo]],'Next Day Scheduled'!A:A,'Pending Returns'!O:O,"NOT_FOUND")</f>
        <v>Posted Credit Note</v>
      </c>
    </row>
    <row r="1398" spans="1:17" x14ac:dyDescent="0.3">
      <c r="A1398" s="1">
        <v>46196</v>
      </c>
      <c r="B1398" t="s">
        <v>611</v>
      </c>
      <c r="C1398" t="s">
        <v>49</v>
      </c>
      <c r="D1398" t="s">
        <v>50</v>
      </c>
      <c r="E1398" t="s">
        <v>8</v>
      </c>
      <c r="F1398" t="s">
        <v>10</v>
      </c>
      <c r="G1398" s="16">
        <v>8851.1270000000004</v>
      </c>
      <c r="H1398" s="16">
        <v>10178.796</v>
      </c>
      <c r="I1398" s="1">
        <v>46185</v>
      </c>
      <c r="J1398">
        <v>63</v>
      </c>
      <c r="K1398" t="s">
        <v>588</v>
      </c>
      <c r="L1398" t="s">
        <v>5867</v>
      </c>
      <c r="M1398">
        <v>6</v>
      </c>
      <c r="N1398">
        <v>15</v>
      </c>
      <c r="O1398" t="s">
        <v>1036</v>
      </c>
      <c r="P1398" s="17"/>
      <c r="Q1398" s="17" t="str">
        <f>_xlfn.XLOOKUP(Table2[[#This Row],[buyFromVendorNo]],'Next Day Scheduled'!A:A,'Pending Returns'!O:O,"NOT_FOUND")</f>
        <v>NOT_FOUND</v>
      </c>
    </row>
    <row r="1399" spans="1:17" x14ac:dyDescent="0.3">
      <c r="A1399" s="1">
        <v>46196</v>
      </c>
      <c r="B1399" t="s">
        <v>5206</v>
      </c>
      <c r="C1399" t="s">
        <v>67</v>
      </c>
      <c r="D1399" t="s">
        <v>68</v>
      </c>
      <c r="E1399" t="s">
        <v>8</v>
      </c>
      <c r="F1399" t="s">
        <v>10</v>
      </c>
      <c r="G1399" s="16">
        <v>6530.2505000000001</v>
      </c>
      <c r="H1399" s="16">
        <v>7509.7879999999996</v>
      </c>
      <c r="I1399" s="1">
        <v>46184</v>
      </c>
      <c r="J1399">
        <v>63</v>
      </c>
      <c r="K1399" t="s">
        <v>4630</v>
      </c>
      <c r="L1399" t="s">
        <v>5930</v>
      </c>
      <c r="M1399">
        <v>6</v>
      </c>
      <c r="N1399">
        <v>1</v>
      </c>
      <c r="O1399" t="s">
        <v>1036</v>
      </c>
      <c r="P1399" s="17"/>
      <c r="Q1399" s="17" t="str">
        <f>_xlfn.XLOOKUP(Table2[[#This Row],[buyFromVendorNo]],'Next Day Scheduled'!A:A,'Pending Returns'!O:O,"NOT_FOUND")</f>
        <v>NOT_FOUND</v>
      </c>
    </row>
    <row r="1400" spans="1:17" x14ac:dyDescent="0.3">
      <c r="A1400" s="1">
        <v>46196</v>
      </c>
      <c r="B1400" t="s">
        <v>2138</v>
      </c>
      <c r="C1400" t="s">
        <v>49</v>
      </c>
      <c r="D1400" t="s">
        <v>50</v>
      </c>
      <c r="E1400" t="s">
        <v>8</v>
      </c>
      <c r="F1400" t="s">
        <v>10</v>
      </c>
      <c r="G1400" s="16">
        <v>9019.5</v>
      </c>
      <c r="H1400" s="16">
        <v>10372.424999999999</v>
      </c>
      <c r="I1400" s="1">
        <v>46185</v>
      </c>
      <c r="J1400">
        <v>63</v>
      </c>
      <c r="K1400" t="s">
        <v>2445</v>
      </c>
      <c r="L1400" t="s">
        <v>5880</v>
      </c>
      <c r="M1400">
        <v>6</v>
      </c>
      <c r="N1400">
        <v>15</v>
      </c>
      <c r="O1400" t="s">
        <v>1036</v>
      </c>
      <c r="P1400" s="17"/>
      <c r="Q1400" s="17" t="str">
        <f>_xlfn.XLOOKUP(Table2[[#This Row],[buyFromVendorNo]],'Next Day Scheduled'!A:A,'Pending Returns'!O:O,"NOT_FOUND")</f>
        <v>NOT_FOUND</v>
      </c>
    </row>
    <row r="1401" spans="1:17" x14ac:dyDescent="0.3">
      <c r="A1401" s="1">
        <v>46196</v>
      </c>
      <c r="B1401" t="s">
        <v>2901</v>
      </c>
      <c r="C1401" t="s">
        <v>578</v>
      </c>
      <c r="D1401" t="s">
        <v>579</v>
      </c>
      <c r="E1401" t="s">
        <v>8</v>
      </c>
      <c r="F1401" t="s">
        <v>10</v>
      </c>
      <c r="G1401" s="16">
        <v>1575.2</v>
      </c>
      <c r="H1401" s="16">
        <v>1811.48</v>
      </c>
      <c r="I1401" s="1">
        <v>46177</v>
      </c>
      <c r="J1401">
        <v>63</v>
      </c>
      <c r="K1401" t="s">
        <v>2902</v>
      </c>
      <c r="L1401" t="s">
        <v>5869</v>
      </c>
      <c r="M1401">
        <v>9</v>
      </c>
      <c r="N1401">
        <v>2</v>
      </c>
      <c r="O1401" t="s">
        <v>1036</v>
      </c>
      <c r="P1401" s="17"/>
      <c r="Q1401" s="17" t="str">
        <f>_xlfn.XLOOKUP(Table2[[#This Row],[buyFromVendorNo]],'Next Day Scheduled'!A:A,'Pending Returns'!O:O,"NOT_FOUND")</f>
        <v>NOT_FOUND</v>
      </c>
    </row>
    <row r="1402" spans="1:17" x14ac:dyDescent="0.3">
      <c r="A1402" s="1">
        <v>46196</v>
      </c>
      <c r="B1402" t="s">
        <v>3459</v>
      </c>
      <c r="C1402" t="s">
        <v>49</v>
      </c>
      <c r="D1402" t="s">
        <v>50</v>
      </c>
      <c r="E1402" t="s">
        <v>8</v>
      </c>
      <c r="F1402" t="s">
        <v>10</v>
      </c>
      <c r="G1402" s="16">
        <v>546.84670000000006</v>
      </c>
      <c r="H1402" s="16">
        <v>628.87365999999997</v>
      </c>
      <c r="I1402" s="1">
        <v>46185</v>
      </c>
      <c r="J1402">
        <v>63</v>
      </c>
      <c r="K1402" t="s">
        <v>3142</v>
      </c>
      <c r="L1402" t="s">
        <v>5892</v>
      </c>
      <c r="M1402">
        <v>6</v>
      </c>
      <c r="N1402">
        <v>15</v>
      </c>
      <c r="O1402" t="s">
        <v>1036</v>
      </c>
      <c r="P1402" s="17"/>
      <c r="Q1402" s="17" t="str">
        <f>_xlfn.XLOOKUP(Table2[[#This Row],[buyFromVendorNo]],'Next Day Scheduled'!A:A,'Pending Returns'!O:O,"NOT_FOUND")</f>
        <v>NOT_FOUND</v>
      </c>
    </row>
    <row r="1403" spans="1:17" x14ac:dyDescent="0.3">
      <c r="A1403" s="1">
        <v>46196</v>
      </c>
      <c r="B1403" t="s">
        <v>3337</v>
      </c>
      <c r="C1403" t="s">
        <v>1216</v>
      </c>
      <c r="D1403" t="s">
        <v>1217</v>
      </c>
      <c r="E1403" t="s">
        <v>8</v>
      </c>
      <c r="F1403" t="s">
        <v>10</v>
      </c>
      <c r="G1403" s="16">
        <v>866</v>
      </c>
      <c r="H1403" s="16">
        <v>995.9</v>
      </c>
      <c r="I1403" s="1">
        <v>46181</v>
      </c>
      <c r="J1403">
        <v>63</v>
      </c>
      <c r="K1403" t="s">
        <v>3183</v>
      </c>
      <c r="L1403" t="s">
        <v>5883</v>
      </c>
      <c r="M1403">
        <v>0</v>
      </c>
      <c r="N1403">
        <v>224</v>
      </c>
      <c r="O1403" t="s">
        <v>1036</v>
      </c>
      <c r="P1403" s="17"/>
      <c r="Q1403" s="17" t="str">
        <f>_xlfn.XLOOKUP(Table2[[#This Row],[buyFromVendorNo]],'Next Day Scheduled'!A:A,'Pending Returns'!O:O,"NOT_FOUND")</f>
        <v>NOT_FOUND</v>
      </c>
    </row>
    <row r="1404" spans="1:17" x14ac:dyDescent="0.3">
      <c r="A1404" s="1">
        <v>46196</v>
      </c>
      <c r="B1404" t="s">
        <v>2600</v>
      </c>
      <c r="C1404" t="s">
        <v>1407</v>
      </c>
      <c r="D1404" t="s">
        <v>2306</v>
      </c>
      <c r="E1404" t="s">
        <v>8</v>
      </c>
      <c r="F1404" t="s">
        <v>10</v>
      </c>
      <c r="G1404" s="16">
        <v>117.1</v>
      </c>
      <c r="H1404" s="16">
        <v>134.66499999999999</v>
      </c>
      <c r="I1404" s="1">
        <v>46196</v>
      </c>
      <c r="J1404">
        <v>63</v>
      </c>
      <c r="K1404" t="s">
        <v>5404</v>
      </c>
      <c r="L1404" t="s">
        <v>5859</v>
      </c>
      <c r="M1404">
        <v>7</v>
      </c>
      <c r="N1404">
        <v>16</v>
      </c>
      <c r="O1404" t="s">
        <v>1036</v>
      </c>
      <c r="P1404" s="17"/>
      <c r="Q1404" s="17" t="str">
        <f>_xlfn.XLOOKUP(Table2[[#This Row],[buyFromVendorNo]],'Next Day Scheduled'!A:A,'Pending Returns'!O:O,"NOT_FOUND")</f>
        <v>NOT_FOUND</v>
      </c>
    </row>
    <row r="1405" spans="1:17" x14ac:dyDescent="0.3">
      <c r="A1405" s="1">
        <v>46196</v>
      </c>
      <c r="B1405" t="s">
        <v>3829</v>
      </c>
      <c r="C1405" t="s">
        <v>911</v>
      </c>
      <c r="D1405" t="s">
        <v>912</v>
      </c>
      <c r="E1405" t="s">
        <v>8</v>
      </c>
      <c r="F1405" t="s">
        <v>10</v>
      </c>
      <c r="G1405" s="16">
        <v>268.55</v>
      </c>
      <c r="H1405" s="16">
        <v>306.68450000000001</v>
      </c>
      <c r="I1405" s="1">
        <v>46191</v>
      </c>
      <c r="J1405">
        <v>63</v>
      </c>
      <c r="K1405" t="s">
        <v>3830</v>
      </c>
      <c r="L1405" t="s">
        <v>5938</v>
      </c>
      <c r="M1405">
        <v>8</v>
      </c>
      <c r="N1405">
        <v>5</v>
      </c>
      <c r="O1405" t="s">
        <v>1036</v>
      </c>
      <c r="P1405" s="17"/>
      <c r="Q1405" s="17" t="str">
        <f>_xlfn.XLOOKUP(Table2[[#This Row],[buyFromVendorNo]],'Next Day Scheduled'!A:A,'Pending Returns'!O:O,"NOT_FOUND")</f>
        <v>NOT_FOUND</v>
      </c>
    </row>
    <row r="1406" spans="1:17" x14ac:dyDescent="0.3">
      <c r="A1406" s="1">
        <v>46196</v>
      </c>
      <c r="B1406" t="s">
        <v>1549</v>
      </c>
      <c r="C1406" t="s">
        <v>49</v>
      </c>
      <c r="D1406" t="s">
        <v>50</v>
      </c>
      <c r="E1406" t="s">
        <v>8</v>
      </c>
      <c r="F1406" t="s">
        <v>10</v>
      </c>
      <c r="G1406" s="16">
        <v>7462.56</v>
      </c>
      <c r="H1406" s="16">
        <v>8581.9439999999995</v>
      </c>
      <c r="I1406" s="1">
        <v>46185</v>
      </c>
      <c r="J1406">
        <v>63</v>
      </c>
      <c r="K1406" t="s">
        <v>1909</v>
      </c>
      <c r="L1406" t="s">
        <v>5862</v>
      </c>
      <c r="M1406">
        <v>6</v>
      </c>
      <c r="N1406">
        <v>15</v>
      </c>
      <c r="O1406" t="s">
        <v>1036</v>
      </c>
      <c r="P1406" s="17"/>
      <c r="Q1406" s="17" t="str">
        <f>_xlfn.XLOOKUP(Table2[[#This Row],[buyFromVendorNo]],'Next Day Scheduled'!A:A,'Pending Returns'!O:O,"NOT_FOUND")</f>
        <v>NOT_FOUND</v>
      </c>
    </row>
    <row r="1407" spans="1:17" x14ac:dyDescent="0.3">
      <c r="A1407" s="1">
        <v>46196</v>
      </c>
      <c r="B1407" t="s">
        <v>2940</v>
      </c>
      <c r="C1407" t="s">
        <v>297</v>
      </c>
      <c r="D1407" t="s">
        <v>298</v>
      </c>
      <c r="E1407" t="s">
        <v>8</v>
      </c>
      <c r="F1407" t="s">
        <v>10</v>
      </c>
      <c r="G1407" s="16">
        <v>273.36</v>
      </c>
      <c r="H1407" s="16">
        <v>314.36399999999998</v>
      </c>
      <c r="I1407" s="1">
        <v>46188</v>
      </c>
      <c r="J1407">
        <v>63</v>
      </c>
      <c r="K1407" t="s">
        <v>2941</v>
      </c>
      <c r="L1407" t="s">
        <v>5922</v>
      </c>
      <c r="M1407">
        <v>10</v>
      </c>
      <c r="N1407">
        <v>7</v>
      </c>
      <c r="O1407" t="s">
        <v>1036</v>
      </c>
      <c r="P1407" s="17"/>
      <c r="Q1407" s="17" t="str">
        <f>_xlfn.XLOOKUP(Table2[[#This Row],[buyFromVendorNo]],'Next Day Scheduled'!A:A,'Pending Returns'!O:O,"NOT_FOUND")</f>
        <v>NOT_FOUND</v>
      </c>
    </row>
    <row r="1408" spans="1:17" x14ac:dyDescent="0.3">
      <c r="A1408" s="1">
        <v>46196</v>
      </c>
      <c r="B1408" t="s">
        <v>3289</v>
      </c>
      <c r="C1408" t="s">
        <v>67</v>
      </c>
      <c r="D1408" t="s">
        <v>68</v>
      </c>
      <c r="E1408" t="s">
        <v>8</v>
      </c>
      <c r="F1408" t="s">
        <v>10</v>
      </c>
      <c r="G1408" s="16">
        <v>384.23700000000002</v>
      </c>
      <c r="H1408" s="16">
        <v>441.87256000000002</v>
      </c>
      <c r="I1408" s="1">
        <v>46184</v>
      </c>
      <c r="J1408">
        <v>63</v>
      </c>
      <c r="K1408" t="s">
        <v>3146</v>
      </c>
      <c r="L1408" t="s">
        <v>5940</v>
      </c>
      <c r="M1408">
        <v>6</v>
      </c>
      <c r="N1408">
        <v>1</v>
      </c>
      <c r="O1408" t="s">
        <v>1036</v>
      </c>
      <c r="P1408" s="17"/>
      <c r="Q1408" s="17" t="str">
        <f>_xlfn.XLOOKUP(Table2[[#This Row],[buyFromVendorNo]],'Next Day Scheduled'!A:A,'Pending Returns'!O:O,"NOT_FOUND")</f>
        <v>NOT_FOUND</v>
      </c>
    </row>
    <row r="1409" spans="1:17" x14ac:dyDescent="0.3">
      <c r="A1409" s="1">
        <v>46196</v>
      </c>
      <c r="B1409" t="s">
        <v>3258</v>
      </c>
      <c r="C1409" t="s">
        <v>972</v>
      </c>
      <c r="D1409" t="s">
        <v>973</v>
      </c>
      <c r="E1409" t="s">
        <v>8</v>
      </c>
      <c r="F1409" t="s">
        <v>10</v>
      </c>
      <c r="G1409" s="16">
        <v>529.47</v>
      </c>
      <c r="H1409" s="16">
        <v>608.89049999999997</v>
      </c>
      <c r="I1409" s="1">
        <v>46196</v>
      </c>
      <c r="J1409">
        <v>63</v>
      </c>
      <c r="K1409" t="s">
        <v>4855</v>
      </c>
      <c r="L1409" t="s">
        <v>5876</v>
      </c>
      <c r="M1409">
        <v>9</v>
      </c>
      <c r="N1409">
        <v>5</v>
      </c>
      <c r="O1409" t="s">
        <v>1036</v>
      </c>
      <c r="P1409" s="17"/>
      <c r="Q1409" s="17" t="str">
        <f>_xlfn.XLOOKUP(Table2[[#This Row],[buyFromVendorNo]],'Next Day Scheduled'!A:A,'Pending Returns'!O:O,"NOT_FOUND")</f>
        <v>Posted Credit Note</v>
      </c>
    </row>
    <row r="1410" spans="1:17" x14ac:dyDescent="0.3">
      <c r="A1410" s="1">
        <v>46196</v>
      </c>
      <c r="B1410" t="s">
        <v>5593</v>
      </c>
      <c r="C1410" t="s">
        <v>697</v>
      </c>
      <c r="D1410" t="s">
        <v>698</v>
      </c>
      <c r="E1410" t="s">
        <v>8</v>
      </c>
      <c r="F1410" t="s">
        <v>10</v>
      </c>
      <c r="G1410" s="16">
        <v>141.88815</v>
      </c>
      <c r="H1410" s="16">
        <v>163.17137</v>
      </c>
      <c r="I1410" s="1">
        <v>46195</v>
      </c>
      <c r="J1410">
        <v>63</v>
      </c>
      <c r="K1410" t="s">
        <v>4308</v>
      </c>
      <c r="L1410" t="s">
        <v>5913</v>
      </c>
      <c r="M1410">
        <v>11</v>
      </c>
      <c r="N1410">
        <v>2</v>
      </c>
      <c r="O1410" t="s">
        <v>1036</v>
      </c>
      <c r="P1410" s="17"/>
      <c r="Q1410" s="17" t="str">
        <f>_xlfn.XLOOKUP(Table2[[#This Row],[buyFromVendorNo]],'Next Day Scheduled'!A:A,'Pending Returns'!O:O,"NOT_FOUND")</f>
        <v>NOT_FOUND</v>
      </c>
    </row>
    <row r="1411" spans="1:17" x14ac:dyDescent="0.3">
      <c r="A1411" s="1">
        <v>46196</v>
      </c>
      <c r="B1411" t="s">
        <v>4264</v>
      </c>
      <c r="C1411" t="s">
        <v>697</v>
      </c>
      <c r="D1411" t="s">
        <v>698</v>
      </c>
      <c r="E1411" t="s">
        <v>8</v>
      </c>
      <c r="F1411" t="s">
        <v>10</v>
      </c>
      <c r="G1411" s="16">
        <v>28.8</v>
      </c>
      <c r="H1411" s="16">
        <v>33.119999999999997</v>
      </c>
      <c r="I1411" s="1">
        <v>46195</v>
      </c>
      <c r="J1411">
        <v>63</v>
      </c>
      <c r="K1411" t="s">
        <v>4265</v>
      </c>
      <c r="L1411" t="s">
        <v>5926</v>
      </c>
      <c r="M1411">
        <v>11</v>
      </c>
      <c r="N1411">
        <v>2</v>
      </c>
      <c r="O1411" t="s">
        <v>1036</v>
      </c>
      <c r="P1411" s="17"/>
      <c r="Q1411" s="17" t="str">
        <f>_xlfn.XLOOKUP(Table2[[#This Row],[buyFromVendorNo]],'Next Day Scheduled'!A:A,'Pending Returns'!O:O,"NOT_FOUND")</f>
        <v>NOT_FOUND</v>
      </c>
    </row>
    <row r="1412" spans="1:17" x14ac:dyDescent="0.3">
      <c r="A1412" s="1">
        <v>46196</v>
      </c>
      <c r="B1412" t="s">
        <v>2833</v>
      </c>
      <c r="C1412" t="s">
        <v>1020</v>
      </c>
      <c r="D1412" t="s">
        <v>1021</v>
      </c>
      <c r="E1412" t="s">
        <v>8</v>
      </c>
      <c r="F1412" t="s">
        <v>10</v>
      </c>
      <c r="G1412" s="16">
        <v>153.04177999999999</v>
      </c>
      <c r="H1412" s="16">
        <v>175.99805000000001</v>
      </c>
      <c r="I1412" s="1">
        <v>46196</v>
      </c>
      <c r="J1412">
        <v>63</v>
      </c>
      <c r="K1412" t="s">
        <v>5420</v>
      </c>
      <c r="L1412" t="s">
        <v>5877</v>
      </c>
      <c r="M1412">
        <v>9</v>
      </c>
      <c r="N1412">
        <v>2</v>
      </c>
      <c r="O1412" t="s">
        <v>1036</v>
      </c>
      <c r="P1412" s="17"/>
      <c r="Q1412" s="17" t="str">
        <f>_xlfn.XLOOKUP(Table2[[#This Row],[buyFromVendorNo]],'Next Day Scheduled'!A:A,'Pending Returns'!O:O,"NOT_FOUND")</f>
        <v>NOT_FOUND</v>
      </c>
    </row>
    <row r="1413" spans="1:17" x14ac:dyDescent="0.3">
      <c r="A1413" s="1">
        <v>46196</v>
      </c>
      <c r="B1413" t="s">
        <v>5192</v>
      </c>
      <c r="C1413" t="s">
        <v>1216</v>
      </c>
      <c r="D1413" t="s">
        <v>1217</v>
      </c>
      <c r="E1413" t="s">
        <v>8</v>
      </c>
      <c r="F1413" t="s">
        <v>10</v>
      </c>
      <c r="G1413" s="16">
        <v>3093</v>
      </c>
      <c r="H1413" s="16">
        <v>3556.95</v>
      </c>
      <c r="I1413" s="1">
        <v>46181</v>
      </c>
      <c r="J1413">
        <v>63</v>
      </c>
      <c r="K1413" t="s">
        <v>4615</v>
      </c>
      <c r="L1413" t="s">
        <v>5858</v>
      </c>
      <c r="M1413">
        <v>0</v>
      </c>
      <c r="N1413">
        <v>224</v>
      </c>
      <c r="O1413" t="s">
        <v>1036</v>
      </c>
      <c r="P1413" s="17"/>
      <c r="Q1413" s="17" t="str">
        <f>_xlfn.XLOOKUP(Table2[[#This Row],[buyFromVendorNo]],'Next Day Scheduled'!A:A,'Pending Returns'!O:O,"NOT_FOUND")</f>
        <v>NOT_FOUND</v>
      </c>
    </row>
    <row r="1414" spans="1:17" x14ac:dyDescent="0.3">
      <c r="A1414" s="1">
        <v>46196</v>
      </c>
      <c r="B1414" t="s">
        <v>3256</v>
      </c>
      <c r="C1414" t="s">
        <v>154</v>
      </c>
      <c r="D1414" t="s">
        <v>155</v>
      </c>
      <c r="E1414" t="s">
        <v>8</v>
      </c>
      <c r="F1414" t="s">
        <v>10</v>
      </c>
      <c r="G1414" s="16">
        <v>353.52609999999999</v>
      </c>
      <c r="H1414" s="16">
        <v>406.55502000000001</v>
      </c>
      <c r="I1414" s="1">
        <v>46196</v>
      </c>
      <c r="J1414">
        <v>63</v>
      </c>
      <c r="K1414" t="s">
        <v>5322</v>
      </c>
      <c r="L1414" t="s">
        <v>5857</v>
      </c>
      <c r="M1414">
        <v>8</v>
      </c>
      <c r="N1414">
        <v>7</v>
      </c>
      <c r="O1414" t="s">
        <v>1036</v>
      </c>
      <c r="P1414" s="17"/>
      <c r="Q1414" s="17" t="str">
        <f>_xlfn.XLOOKUP(Table2[[#This Row],[buyFromVendorNo]],'Next Day Scheduled'!A:A,'Pending Returns'!O:O,"NOT_FOUND")</f>
        <v>NOT_FOUND</v>
      </c>
    </row>
    <row r="1415" spans="1:17" x14ac:dyDescent="0.3">
      <c r="A1415" s="1">
        <v>46196</v>
      </c>
      <c r="B1415" t="s">
        <v>1844</v>
      </c>
      <c r="C1415" t="s">
        <v>1161</v>
      </c>
      <c r="D1415" t="s">
        <v>1162</v>
      </c>
      <c r="E1415" t="s">
        <v>8</v>
      </c>
      <c r="F1415" t="s">
        <v>10</v>
      </c>
      <c r="G1415" s="16">
        <v>277.16000000000003</v>
      </c>
      <c r="H1415" s="16">
        <v>318.73399999999998</v>
      </c>
      <c r="I1415" s="1">
        <v>46196</v>
      </c>
      <c r="J1415">
        <v>63</v>
      </c>
      <c r="K1415" t="s">
        <v>5361</v>
      </c>
      <c r="L1415" t="s">
        <v>5917</v>
      </c>
      <c r="M1415">
        <v>8</v>
      </c>
      <c r="N1415">
        <v>6</v>
      </c>
      <c r="O1415" t="s">
        <v>1036</v>
      </c>
      <c r="P1415" s="17"/>
      <c r="Q1415" s="17" t="str">
        <f>_xlfn.XLOOKUP(Table2[[#This Row],[buyFromVendorNo]],'Next Day Scheduled'!A:A,'Pending Returns'!O:O,"NOT_FOUND")</f>
        <v>NOT_FOUND</v>
      </c>
    </row>
    <row r="1416" spans="1:17" x14ac:dyDescent="0.3">
      <c r="A1416" s="1">
        <v>46196</v>
      </c>
      <c r="B1416" t="s">
        <v>1891</v>
      </c>
      <c r="C1416" t="s">
        <v>49</v>
      </c>
      <c r="D1416" t="s">
        <v>50</v>
      </c>
      <c r="E1416" t="s">
        <v>8</v>
      </c>
      <c r="F1416" t="s">
        <v>169</v>
      </c>
      <c r="G1416" s="16">
        <v>9516.4</v>
      </c>
      <c r="H1416" s="16">
        <v>10943.86</v>
      </c>
      <c r="I1416" s="1">
        <v>46175</v>
      </c>
      <c r="J1416">
        <v>63</v>
      </c>
      <c r="K1416" t="s">
        <v>3591</v>
      </c>
      <c r="L1416" t="s">
        <v>5891</v>
      </c>
      <c r="M1416">
        <v>5</v>
      </c>
      <c r="N1416">
        <v>7</v>
      </c>
      <c r="O1416" t="s">
        <v>1036</v>
      </c>
      <c r="P1416" s="17"/>
      <c r="Q1416" s="17" t="str">
        <f>_xlfn.XLOOKUP(Table2[[#This Row],[buyFromVendorNo]],'Next Day Scheduled'!A:A,'Pending Returns'!O:O,"NOT_FOUND")</f>
        <v>NOT_FOUND</v>
      </c>
    </row>
    <row r="1417" spans="1:17" x14ac:dyDescent="0.3">
      <c r="A1417" s="1">
        <v>46196</v>
      </c>
      <c r="B1417" t="s">
        <v>5175</v>
      </c>
      <c r="C1417" t="s">
        <v>2369</v>
      </c>
      <c r="D1417" t="s">
        <v>2370</v>
      </c>
      <c r="E1417" t="s">
        <v>8</v>
      </c>
      <c r="F1417" t="s">
        <v>10</v>
      </c>
      <c r="G1417" s="16">
        <v>163</v>
      </c>
      <c r="H1417" s="16">
        <v>187.45</v>
      </c>
      <c r="I1417" s="1">
        <v>46176</v>
      </c>
      <c r="J1417">
        <v>63</v>
      </c>
      <c r="K1417" t="s">
        <v>3630</v>
      </c>
      <c r="L1417" t="s">
        <v>5882</v>
      </c>
      <c r="M1417">
        <v>9</v>
      </c>
      <c r="N1417">
        <v>2</v>
      </c>
      <c r="O1417" t="s">
        <v>1036</v>
      </c>
      <c r="P1417" s="17"/>
      <c r="Q1417" s="17" t="str">
        <f>_xlfn.XLOOKUP(Table2[[#This Row],[buyFromVendorNo]],'Next Day Scheduled'!A:A,'Pending Returns'!O:O,"NOT_FOUND")</f>
        <v>NOT_FOUND</v>
      </c>
    </row>
    <row r="1418" spans="1:17" x14ac:dyDescent="0.3">
      <c r="A1418" s="1">
        <v>46196</v>
      </c>
      <c r="B1418" t="s">
        <v>4183</v>
      </c>
      <c r="C1418" t="s">
        <v>506</v>
      </c>
      <c r="D1418" t="s">
        <v>507</v>
      </c>
      <c r="E1418" t="s">
        <v>8</v>
      </c>
      <c r="F1418" t="s">
        <v>10</v>
      </c>
      <c r="G1418" s="16">
        <v>496.88</v>
      </c>
      <c r="H1418" s="16">
        <v>502.43</v>
      </c>
      <c r="I1418" s="1">
        <v>46177</v>
      </c>
      <c r="J1418">
        <v>63</v>
      </c>
      <c r="K1418" t="s">
        <v>4113</v>
      </c>
      <c r="L1418" t="s">
        <v>5936</v>
      </c>
      <c r="M1418">
        <v>9</v>
      </c>
      <c r="N1418">
        <v>5</v>
      </c>
      <c r="O1418" t="s">
        <v>1036</v>
      </c>
      <c r="P1418" s="17"/>
      <c r="Q1418" s="17" t="str">
        <f>_xlfn.XLOOKUP(Table2[[#This Row],[buyFromVendorNo]],'Next Day Scheduled'!A:A,'Pending Returns'!O:O,"NOT_FOUND")</f>
        <v>Posted Credit Note</v>
      </c>
    </row>
    <row r="1419" spans="1:17" x14ac:dyDescent="0.3">
      <c r="A1419" s="1">
        <v>46196</v>
      </c>
      <c r="B1419" t="s">
        <v>5201</v>
      </c>
      <c r="C1419" t="s">
        <v>67</v>
      </c>
      <c r="D1419" t="s">
        <v>68</v>
      </c>
      <c r="E1419" t="s">
        <v>8</v>
      </c>
      <c r="F1419" t="s">
        <v>10</v>
      </c>
      <c r="G1419" s="16">
        <v>4375.7227000000003</v>
      </c>
      <c r="H1419" s="16">
        <v>5032.0810000000001</v>
      </c>
      <c r="I1419" s="1">
        <v>46183</v>
      </c>
      <c r="J1419">
        <v>63</v>
      </c>
      <c r="K1419" t="s">
        <v>4624</v>
      </c>
      <c r="L1419" t="s">
        <v>5935</v>
      </c>
      <c r="M1419">
        <v>6</v>
      </c>
      <c r="N1419">
        <v>1</v>
      </c>
      <c r="O1419" t="s">
        <v>1036</v>
      </c>
      <c r="P1419" s="17"/>
      <c r="Q1419" s="17" t="str">
        <f>_xlfn.XLOOKUP(Table2[[#This Row],[buyFromVendorNo]],'Next Day Scheduled'!A:A,'Pending Returns'!O:O,"NOT_FOUND")</f>
        <v>NOT_FOUND</v>
      </c>
    </row>
    <row r="1420" spans="1:17" x14ac:dyDescent="0.3">
      <c r="A1420" s="1">
        <v>46196</v>
      </c>
      <c r="B1420" t="s">
        <v>3326</v>
      </c>
      <c r="C1420" t="s">
        <v>2269</v>
      </c>
      <c r="D1420" t="s">
        <v>2270</v>
      </c>
      <c r="E1420" t="s">
        <v>8</v>
      </c>
      <c r="F1420" t="s">
        <v>10</v>
      </c>
      <c r="G1420" s="16">
        <v>96.118639999999999</v>
      </c>
      <c r="H1420" s="16">
        <v>110.53643</v>
      </c>
      <c r="I1420" s="1">
        <v>46196</v>
      </c>
      <c r="J1420">
        <v>63</v>
      </c>
      <c r="K1420" t="s">
        <v>5472</v>
      </c>
      <c r="L1420" t="s">
        <v>5919</v>
      </c>
      <c r="M1420">
        <v>0</v>
      </c>
      <c r="N1420">
        <v>64</v>
      </c>
      <c r="O1420" t="s">
        <v>1036</v>
      </c>
      <c r="P1420" s="17"/>
      <c r="Q1420" s="17" t="str">
        <f>_xlfn.XLOOKUP(Table2[[#This Row],[buyFromVendorNo]],'Next Day Scheduled'!A:A,'Pending Returns'!O:O,"NOT_FOUND")</f>
        <v>NOT_FOUND</v>
      </c>
    </row>
    <row r="1421" spans="1:17" x14ac:dyDescent="0.3">
      <c r="A1421" s="1">
        <v>46196</v>
      </c>
      <c r="B1421" t="s">
        <v>3441</v>
      </c>
      <c r="C1421" t="s">
        <v>697</v>
      </c>
      <c r="D1421" t="s">
        <v>698</v>
      </c>
      <c r="E1421" t="s">
        <v>8</v>
      </c>
      <c r="F1421" t="s">
        <v>10</v>
      </c>
      <c r="G1421" s="16">
        <v>444.26</v>
      </c>
      <c r="H1421" s="16">
        <v>510.899</v>
      </c>
      <c r="I1421" s="1">
        <v>46195</v>
      </c>
      <c r="J1421">
        <v>63</v>
      </c>
      <c r="K1421" t="s">
        <v>4755</v>
      </c>
      <c r="L1421" t="s">
        <v>5920</v>
      </c>
      <c r="M1421">
        <v>11</v>
      </c>
      <c r="N1421">
        <v>2</v>
      </c>
      <c r="O1421" t="s">
        <v>1036</v>
      </c>
      <c r="P1421" s="17"/>
      <c r="Q1421" s="17" t="str">
        <f>_xlfn.XLOOKUP(Table2[[#This Row],[buyFromVendorNo]],'Next Day Scheduled'!A:A,'Pending Returns'!O:O,"NOT_FOUND")</f>
        <v>NOT_FOUND</v>
      </c>
    </row>
    <row r="1422" spans="1:17" x14ac:dyDescent="0.3">
      <c r="A1422" s="1">
        <v>46196</v>
      </c>
      <c r="B1422" t="s">
        <v>3979</v>
      </c>
      <c r="C1422" t="s">
        <v>302</v>
      </c>
      <c r="D1422" t="s">
        <v>303</v>
      </c>
      <c r="E1422" t="s">
        <v>8</v>
      </c>
      <c r="F1422" t="s">
        <v>10</v>
      </c>
      <c r="G1422" s="16">
        <v>153.07374999999999</v>
      </c>
      <c r="H1422" s="16">
        <v>176.03482</v>
      </c>
      <c r="I1422" s="1">
        <v>46190</v>
      </c>
      <c r="J1422">
        <v>63</v>
      </c>
      <c r="K1422" t="s">
        <v>3980</v>
      </c>
      <c r="L1422" t="s">
        <v>5884</v>
      </c>
      <c r="M1422">
        <v>6</v>
      </c>
      <c r="N1422">
        <v>1</v>
      </c>
      <c r="O1422" t="s">
        <v>1036</v>
      </c>
      <c r="P1422" s="17"/>
      <c r="Q1422" s="17" t="str">
        <f>_xlfn.XLOOKUP(Table2[[#This Row],[buyFromVendorNo]],'Next Day Scheduled'!A:A,'Pending Returns'!O:O,"NOT_FOUND")</f>
        <v>NOT_FOUND</v>
      </c>
    </row>
    <row r="1423" spans="1:17" x14ac:dyDescent="0.3">
      <c r="A1423" s="1">
        <v>46196</v>
      </c>
      <c r="B1423" t="s">
        <v>5483</v>
      </c>
      <c r="C1423" t="s">
        <v>5484</v>
      </c>
      <c r="D1423" t="s">
        <v>5485</v>
      </c>
      <c r="E1423" t="s">
        <v>8</v>
      </c>
      <c r="F1423" t="s">
        <v>10</v>
      </c>
      <c r="G1423" s="16">
        <v>57</v>
      </c>
      <c r="H1423" s="16">
        <v>65.55</v>
      </c>
      <c r="I1423" s="1">
        <v>46196</v>
      </c>
      <c r="J1423">
        <v>63</v>
      </c>
      <c r="K1423" t="s">
        <v>5486</v>
      </c>
      <c r="L1423" t="s">
        <v>5885</v>
      </c>
      <c r="M1423">
        <v>0</v>
      </c>
      <c r="N1423">
        <v>258</v>
      </c>
      <c r="O1423" t="s">
        <v>1036</v>
      </c>
      <c r="P1423" s="17"/>
      <c r="Q1423" s="17" t="str">
        <f>_xlfn.XLOOKUP(Table2[[#This Row],[buyFromVendorNo]],'Next Day Scheduled'!A:A,'Pending Returns'!O:O,"NOT_FOUND")</f>
        <v>NOT_FOUND</v>
      </c>
    </row>
    <row r="1424" spans="1:17" x14ac:dyDescent="0.3">
      <c r="A1424" s="1">
        <v>46196</v>
      </c>
      <c r="B1424" t="s">
        <v>3284</v>
      </c>
      <c r="C1424" t="s">
        <v>2369</v>
      </c>
      <c r="D1424" t="s">
        <v>2370</v>
      </c>
      <c r="E1424" t="s">
        <v>8</v>
      </c>
      <c r="F1424" t="s">
        <v>10</v>
      </c>
      <c r="G1424" s="16">
        <v>100</v>
      </c>
      <c r="H1424" s="16">
        <v>100</v>
      </c>
      <c r="I1424" s="1">
        <v>46194</v>
      </c>
      <c r="J1424">
        <v>63</v>
      </c>
      <c r="K1424" t="s">
        <v>4761</v>
      </c>
      <c r="L1424" t="s">
        <v>5852</v>
      </c>
      <c r="M1424">
        <v>9</v>
      </c>
      <c r="N1424">
        <v>2</v>
      </c>
      <c r="O1424" t="s">
        <v>1036</v>
      </c>
      <c r="P1424" s="17"/>
      <c r="Q1424" s="17" t="str">
        <f>_xlfn.XLOOKUP(Table2[[#This Row],[buyFromVendorNo]],'Next Day Scheduled'!A:A,'Pending Returns'!O:O,"NOT_FOUND")</f>
        <v>NOT_FOUND</v>
      </c>
    </row>
    <row r="1425" spans="1:17" x14ac:dyDescent="0.3">
      <c r="A1425" s="1">
        <v>46196</v>
      </c>
      <c r="B1425" t="s">
        <v>3592</v>
      </c>
      <c r="C1425" t="s">
        <v>2294</v>
      </c>
      <c r="D1425" t="s">
        <v>2295</v>
      </c>
      <c r="E1425" t="s">
        <v>8</v>
      </c>
      <c r="F1425" t="s">
        <v>10</v>
      </c>
      <c r="G1425" s="16">
        <v>521.4</v>
      </c>
      <c r="H1425" s="16">
        <v>599.61</v>
      </c>
      <c r="I1425" s="1">
        <v>46196</v>
      </c>
      <c r="J1425">
        <v>63</v>
      </c>
      <c r="K1425" t="s">
        <v>4867</v>
      </c>
      <c r="L1425" t="s">
        <v>5872</v>
      </c>
      <c r="M1425">
        <v>8</v>
      </c>
      <c r="N1425">
        <v>14</v>
      </c>
      <c r="O1425" t="s">
        <v>1036</v>
      </c>
      <c r="P1425" s="17"/>
      <c r="Q1425" s="17" t="str">
        <f>_xlfn.XLOOKUP(Table2[[#This Row],[buyFromVendorNo]],'Next Day Scheduled'!A:A,'Pending Returns'!O:O,"NOT_FOUND")</f>
        <v>NOT_FOUND</v>
      </c>
    </row>
    <row r="1426" spans="1:17" x14ac:dyDescent="0.3">
      <c r="A1426" s="1">
        <v>46196</v>
      </c>
      <c r="B1426" t="s">
        <v>313</v>
      </c>
      <c r="C1426" t="s">
        <v>49</v>
      </c>
      <c r="D1426" t="s">
        <v>50</v>
      </c>
      <c r="E1426" t="s">
        <v>8</v>
      </c>
      <c r="F1426" t="s">
        <v>10</v>
      </c>
      <c r="G1426" s="16">
        <v>7656.19</v>
      </c>
      <c r="H1426" s="16">
        <v>8804.6180000000004</v>
      </c>
      <c r="I1426" s="1">
        <v>46185</v>
      </c>
      <c r="J1426">
        <v>63</v>
      </c>
      <c r="K1426" t="s">
        <v>742</v>
      </c>
      <c r="L1426" t="s">
        <v>5861</v>
      </c>
      <c r="M1426">
        <v>6</v>
      </c>
      <c r="N1426">
        <v>15</v>
      </c>
      <c r="O1426" t="s">
        <v>1036</v>
      </c>
      <c r="P1426" s="17"/>
      <c r="Q1426" s="17" t="str">
        <f>_xlfn.XLOOKUP(Table2[[#This Row],[buyFromVendorNo]],'Next Day Scheduled'!A:A,'Pending Returns'!O:O,"NOT_FOUND")</f>
        <v>NOT_FOUND</v>
      </c>
    </row>
    <row r="1427" spans="1:17" x14ac:dyDescent="0.3">
      <c r="A1427" s="1">
        <v>46196</v>
      </c>
      <c r="B1427" t="s">
        <v>5207</v>
      </c>
      <c r="C1427" t="s">
        <v>67</v>
      </c>
      <c r="D1427" t="s">
        <v>68</v>
      </c>
      <c r="E1427" t="s">
        <v>8</v>
      </c>
      <c r="F1427" t="s">
        <v>10</v>
      </c>
      <c r="G1427" s="16">
        <v>7180.1809999999996</v>
      </c>
      <c r="H1427" s="16">
        <v>8257.2080000000005</v>
      </c>
      <c r="I1427" s="1">
        <v>46184</v>
      </c>
      <c r="J1427">
        <v>63</v>
      </c>
      <c r="K1427" t="s">
        <v>4629</v>
      </c>
      <c r="L1427" t="s">
        <v>5923</v>
      </c>
      <c r="M1427">
        <v>6</v>
      </c>
      <c r="N1427">
        <v>1</v>
      </c>
      <c r="O1427" t="s">
        <v>1036</v>
      </c>
      <c r="P1427" s="17"/>
      <c r="Q1427" s="17" t="str">
        <f>_xlfn.XLOOKUP(Table2[[#This Row],[buyFromVendorNo]],'Next Day Scheduled'!A:A,'Pending Returns'!O:O,"NOT_FOUND")</f>
        <v>NOT_FOUND</v>
      </c>
    </row>
    <row r="1428" spans="1:17" x14ac:dyDescent="0.3">
      <c r="A1428" s="1">
        <v>46196</v>
      </c>
      <c r="B1428" t="s">
        <v>3954</v>
      </c>
      <c r="C1428" t="s">
        <v>364</v>
      </c>
      <c r="D1428" t="s">
        <v>375</v>
      </c>
      <c r="E1428" t="s">
        <v>8</v>
      </c>
      <c r="F1428" t="s">
        <v>10</v>
      </c>
      <c r="G1428" s="16">
        <v>318.5</v>
      </c>
      <c r="H1428" s="16">
        <v>346.97</v>
      </c>
      <c r="I1428" s="1">
        <v>46188</v>
      </c>
      <c r="J1428">
        <v>63</v>
      </c>
      <c r="K1428" t="s">
        <v>3955</v>
      </c>
      <c r="L1428" t="s">
        <v>5873</v>
      </c>
      <c r="M1428">
        <v>9</v>
      </c>
      <c r="N1428">
        <v>5</v>
      </c>
      <c r="O1428" t="s">
        <v>1036</v>
      </c>
      <c r="P1428" s="17"/>
      <c r="Q1428" s="17" t="str">
        <f>_xlfn.XLOOKUP(Table2[[#This Row],[buyFromVendorNo]],'Next Day Scheduled'!A:A,'Pending Returns'!O:O,"NOT_FOUND")</f>
        <v>NOT_FOUND</v>
      </c>
    </row>
    <row r="1429" spans="1:17" x14ac:dyDescent="0.3">
      <c r="A1429" s="1">
        <v>46196</v>
      </c>
      <c r="B1429" t="s">
        <v>3735</v>
      </c>
      <c r="C1429" t="s">
        <v>302</v>
      </c>
      <c r="D1429" t="s">
        <v>303</v>
      </c>
      <c r="E1429" t="s">
        <v>8</v>
      </c>
      <c r="F1429" t="s">
        <v>10</v>
      </c>
      <c r="G1429" s="16">
        <v>458.90417000000002</v>
      </c>
      <c r="H1429" s="16">
        <v>526.53980000000001</v>
      </c>
      <c r="I1429" s="1">
        <v>46190</v>
      </c>
      <c r="J1429">
        <v>63</v>
      </c>
      <c r="K1429" t="s">
        <v>3664</v>
      </c>
      <c r="L1429" t="s">
        <v>5887</v>
      </c>
      <c r="M1429">
        <v>6</v>
      </c>
      <c r="N1429">
        <v>1</v>
      </c>
      <c r="O1429" t="s">
        <v>1036</v>
      </c>
      <c r="P1429" s="17"/>
      <c r="Q1429" s="17" t="str">
        <f>_xlfn.XLOOKUP(Table2[[#This Row],[buyFromVendorNo]],'Next Day Scheduled'!A:A,'Pending Returns'!O:O,"NOT_FOUND")</f>
        <v>NOT_FOUND</v>
      </c>
    </row>
    <row r="1430" spans="1:17" x14ac:dyDescent="0.3">
      <c r="A1430" s="1">
        <v>46196</v>
      </c>
      <c r="B1430" t="s">
        <v>2149</v>
      </c>
      <c r="C1430" t="s">
        <v>776</v>
      </c>
      <c r="D1430" t="s">
        <v>777</v>
      </c>
      <c r="E1430" t="s">
        <v>8</v>
      </c>
      <c r="F1430" t="s">
        <v>38</v>
      </c>
      <c r="G1430" s="16">
        <v>1434.67</v>
      </c>
      <c r="H1430" s="16">
        <v>1649.8705</v>
      </c>
      <c r="I1430" s="1">
        <v>46196</v>
      </c>
      <c r="J1430">
        <v>63</v>
      </c>
      <c r="K1430" t="s">
        <v>5558</v>
      </c>
      <c r="L1430" t="s">
        <v>5886</v>
      </c>
      <c r="M1430">
        <v>10</v>
      </c>
      <c r="N1430">
        <v>2</v>
      </c>
      <c r="O1430" t="s">
        <v>1036</v>
      </c>
      <c r="P1430" s="17"/>
      <c r="Q1430" s="17" t="str">
        <f>_xlfn.XLOOKUP(Table2[[#This Row],[buyFromVendorNo]],'Next Day Scheduled'!A:A,'Pending Returns'!O:O,"NOT_FOUND")</f>
        <v>Posted Credit Note</v>
      </c>
    </row>
    <row r="1431" spans="1:17" x14ac:dyDescent="0.3">
      <c r="A1431" s="1">
        <v>46196</v>
      </c>
      <c r="B1431" t="s">
        <v>4195</v>
      </c>
      <c r="C1431" t="s">
        <v>302</v>
      </c>
      <c r="D1431" t="s">
        <v>303</v>
      </c>
      <c r="E1431" t="s">
        <v>8</v>
      </c>
      <c r="F1431" t="s">
        <v>10</v>
      </c>
      <c r="G1431" s="16">
        <v>244.72284999999999</v>
      </c>
      <c r="H1431" s="16">
        <v>281.43130000000002</v>
      </c>
      <c r="I1431" s="1">
        <v>46190</v>
      </c>
      <c r="J1431">
        <v>63</v>
      </c>
      <c r="K1431" t="s">
        <v>4141</v>
      </c>
      <c r="L1431" t="s">
        <v>5863</v>
      </c>
      <c r="M1431">
        <v>6</v>
      </c>
      <c r="N1431">
        <v>1</v>
      </c>
      <c r="O1431" t="s">
        <v>1036</v>
      </c>
      <c r="P1431" s="17"/>
      <c r="Q1431" s="17" t="str">
        <f>_xlfn.XLOOKUP(Table2[[#This Row],[buyFromVendorNo]],'Next Day Scheduled'!A:A,'Pending Returns'!O:O,"NOT_FOUND")</f>
        <v>NOT_FOUND</v>
      </c>
    </row>
    <row r="1432" spans="1:17" x14ac:dyDescent="0.3">
      <c r="A1432" s="1">
        <v>46196</v>
      </c>
      <c r="B1432" t="s">
        <v>3691</v>
      </c>
      <c r="C1432" t="s">
        <v>302</v>
      </c>
      <c r="D1432" t="s">
        <v>303</v>
      </c>
      <c r="E1432" t="s">
        <v>8</v>
      </c>
      <c r="F1432" t="s">
        <v>10</v>
      </c>
      <c r="G1432" s="16">
        <v>1221.6876</v>
      </c>
      <c r="H1432" s="16">
        <v>1404.9408000000001</v>
      </c>
      <c r="I1432" s="1">
        <v>46190</v>
      </c>
      <c r="J1432">
        <v>63</v>
      </c>
      <c r="K1432" t="s">
        <v>3623</v>
      </c>
      <c r="L1432" t="s">
        <v>5864</v>
      </c>
      <c r="M1432">
        <v>6</v>
      </c>
      <c r="N1432">
        <v>1</v>
      </c>
      <c r="O1432" t="s">
        <v>1036</v>
      </c>
      <c r="P1432" s="17"/>
      <c r="Q1432" s="17" t="str">
        <f>_xlfn.XLOOKUP(Table2[[#This Row],[buyFromVendorNo]],'Next Day Scheduled'!A:A,'Pending Returns'!O:O,"NOT_FOUND")</f>
        <v>NOT_FOUND</v>
      </c>
    </row>
    <row r="1433" spans="1:17" x14ac:dyDescent="0.3">
      <c r="A1433" s="1">
        <v>46196</v>
      </c>
      <c r="B1433" t="s">
        <v>3516</v>
      </c>
      <c r="C1433" t="s">
        <v>2369</v>
      </c>
      <c r="D1433" t="s">
        <v>2370</v>
      </c>
      <c r="E1433" t="s">
        <v>8</v>
      </c>
      <c r="F1433" t="s">
        <v>10</v>
      </c>
      <c r="G1433" s="16">
        <v>237</v>
      </c>
      <c r="H1433" s="16">
        <v>272.55</v>
      </c>
      <c r="I1433" s="1">
        <v>46194</v>
      </c>
      <c r="J1433">
        <v>63</v>
      </c>
      <c r="K1433" t="s">
        <v>4971</v>
      </c>
      <c r="L1433" t="s">
        <v>5875</v>
      </c>
      <c r="M1433">
        <v>9</v>
      </c>
      <c r="N1433">
        <v>2</v>
      </c>
      <c r="O1433" t="s">
        <v>1036</v>
      </c>
      <c r="P1433" s="17"/>
      <c r="Q1433" s="17" t="str">
        <f>_xlfn.XLOOKUP(Table2[[#This Row],[buyFromVendorNo]],'Next Day Scheduled'!A:A,'Pending Returns'!O:O,"NOT_FOUND")</f>
        <v>NOT_FOUND</v>
      </c>
    </row>
    <row r="1434" spans="1:17" x14ac:dyDescent="0.3">
      <c r="A1434" s="1">
        <v>46196</v>
      </c>
      <c r="B1434" t="s">
        <v>4175</v>
      </c>
      <c r="C1434" t="s">
        <v>2269</v>
      </c>
      <c r="D1434" t="s">
        <v>2270</v>
      </c>
      <c r="E1434" t="s">
        <v>8</v>
      </c>
      <c r="F1434" t="s">
        <v>10</v>
      </c>
      <c r="G1434" s="16">
        <v>2461.8208</v>
      </c>
      <c r="H1434" s="16">
        <v>2831.0940000000001</v>
      </c>
      <c r="I1434" s="1">
        <v>46196</v>
      </c>
      <c r="J1434">
        <v>63</v>
      </c>
      <c r="K1434" t="s">
        <v>5050</v>
      </c>
      <c r="L1434" t="s">
        <v>5925</v>
      </c>
      <c r="M1434">
        <v>0</v>
      </c>
      <c r="N1434">
        <v>64</v>
      </c>
      <c r="O1434" t="s">
        <v>1036</v>
      </c>
      <c r="P1434" s="17"/>
      <c r="Q1434" s="17" t="str">
        <f>_xlfn.XLOOKUP(Table2[[#This Row],[buyFromVendorNo]],'Next Day Scheduled'!A:A,'Pending Returns'!O:O,"NOT_FOUND")</f>
        <v>NOT_FOUND</v>
      </c>
    </row>
    <row r="1435" spans="1:17" x14ac:dyDescent="0.3">
      <c r="A1435" s="1">
        <v>46196</v>
      </c>
      <c r="B1435" t="s">
        <v>5356</v>
      </c>
      <c r="C1435" t="s">
        <v>776</v>
      </c>
      <c r="D1435" t="s">
        <v>777</v>
      </c>
      <c r="E1435" t="s">
        <v>8</v>
      </c>
      <c r="F1435" t="s">
        <v>10</v>
      </c>
      <c r="G1435" s="16">
        <v>2099.096</v>
      </c>
      <c r="H1435" s="16">
        <v>2413.9603999999999</v>
      </c>
      <c r="I1435" s="1">
        <v>46196</v>
      </c>
      <c r="J1435">
        <v>63</v>
      </c>
      <c r="K1435" t="s">
        <v>5357</v>
      </c>
      <c r="L1435" t="s">
        <v>5889</v>
      </c>
      <c r="M1435">
        <v>24</v>
      </c>
      <c r="N1435">
        <v>2</v>
      </c>
      <c r="O1435" t="s">
        <v>1036</v>
      </c>
      <c r="P1435" s="17"/>
      <c r="Q1435" s="17" t="str">
        <f>_xlfn.XLOOKUP(Table2[[#This Row],[buyFromVendorNo]],'Next Day Scheduled'!A:A,'Pending Returns'!O:O,"NOT_FOUND")</f>
        <v>Posted Credit Note</v>
      </c>
    </row>
    <row r="1436" spans="1:17" x14ac:dyDescent="0.3">
      <c r="A1436" s="1">
        <v>46196</v>
      </c>
      <c r="B1436" t="s">
        <v>5198</v>
      </c>
      <c r="C1436" t="s">
        <v>67</v>
      </c>
      <c r="D1436" t="s">
        <v>68</v>
      </c>
      <c r="E1436" t="s">
        <v>8</v>
      </c>
      <c r="F1436" t="s">
        <v>10</v>
      </c>
      <c r="G1436" s="16">
        <v>4747.2704999999996</v>
      </c>
      <c r="H1436" s="16">
        <v>5459.3612999999996</v>
      </c>
      <c r="I1436" s="1">
        <v>46183</v>
      </c>
      <c r="J1436">
        <v>63</v>
      </c>
      <c r="K1436" t="s">
        <v>4627</v>
      </c>
      <c r="L1436" t="s">
        <v>5934</v>
      </c>
      <c r="M1436">
        <v>6</v>
      </c>
      <c r="N1436">
        <v>1</v>
      </c>
      <c r="O1436" t="s">
        <v>1036</v>
      </c>
      <c r="P1436" s="17"/>
      <c r="Q1436" s="17" t="str">
        <f>_xlfn.XLOOKUP(Table2[[#This Row],[buyFromVendorNo]],'Next Day Scheduled'!A:A,'Pending Returns'!O:O,"NOT_FOUND")</f>
        <v>NOT_FOUND</v>
      </c>
    </row>
    <row r="1437" spans="1:17" x14ac:dyDescent="0.3">
      <c r="A1437" s="1">
        <v>46196</v>
      </c>
      <c r="B1437" t="s">
        <v>3264</v>
      </c>
      <c r="C1437" t="s">
        <v>2288</v>
      </c>
      <c r="D1437" t="s">
        <v>2354</v>
      </c>
      <c r="E1437" t="s">
        <v>8</v>
      </c>
      <c r="F1437" t="s">
        <v>10</v>
      </c>
      <c r="G1437" s="16">
        <v>2389.1999999999998</v>
      </c>
      <c r="H1437" s="16">
        <v>2747.58</v>
      </c>
      <c r="I1437" s="1">
        <v>46182</v>
      </c>
      <c r="J1437">
        <v>63</v>
      </c>
      <c r="K1437" t="s">
        <v>3079</v>
      </c>
      <c r="L1437" t="s">
        <v>5915</v>
      </c>
      <c r="M1437">
        <v>6</v>
      </c>
      <c r="N1437">
        <v>13</v>
      </c>
      <c r="O1437" t="s">
        <v>1036</v>
      </c>
      <c r="P1437" s="17"/>
      <c r="Q1437" s="17" t="str">
        <f>_xlfn.XLOOKUP(Table2[[#This Row],[buyFromVendorNo]],'Next Day Scheduled'!A:A,'Pending Returns'!O:O,"NOT_FOUND")</f>
        <v>NOT_FOUND</v>
      </c>
    </row>
    <row r="1438" spans="1:17" x14ac:dyDescent="0.3">
      <c r="A1438" s="1">
        <v>46196</v>
      </c>
      <c r="B1438" t="s">
        <v>674</v>
      </c>
      <c r="C1438" t="s">
        <v>697</v>
      </c>
      <c r="D1438" t="s">
        <v>698</v>
      </c>
      <c r="E1438" t="s">
        <v>8</v>
      </c>
      <c r="F1438" t="s">
        <v>10</v>
      </c>
      <c r="G1438" s="16">
        <v>84.197819999999993</v>
      </c>
      <c r="H1438" s="16">
        <v>96.827489999999997</v>
      </c>
      <c r="I1438" s="1">
        <v>46195</v>
      </c>
      <c r="J1438">
        <v>63</v>
      </c>
      <c r="K1438" t="s">
        <v>5584</v>
      </c>
      <c r="L1438" t="s">
        <v>5937</v>
      </c>
      <c r="M1438">
        <v>11</v>
      </c>
      <c r="N1438">
        <v>2</v>
      </c>
      <c r="O1438" t="s">
        <v>1036</v>
      </c>
      <c r="P1438" s="17"/>
      <c r="Q1438" s="17" t="str">
        <f>_xlfn.XLOOKUP(Table2[[#This Row],[buyFromVendorNo]],'Next Day Scheduled'!A:A,'Pending Returns'!O:O,"NOT_FOUND")</f>
        <v>NOT_FOUND</v>
      </c>
    </row>
    <row r="1439" spans="1:17" x14ac:dyDescent="0.3">
      <c r="A1439" s="1">
        <v>46196</v>
      </c>
      <c r="B1439" t="s">
        <v>638</v>
      </c>
      <c r="C1439" t="s">
        <v>697</v>
      </c>
      <c r="D1439" t="s">
        <v>698</v>
      </c>
      <c r="E1439" t="s">
        <v>8</v>
      </c>
      <c r="F1439" t="s">
        <v>10</v>
      </c>
      <c r="G1439" s="16">
        <v>5415.4759999999997</v>
      </c>
      <c r="H1439" s="16">
        <v>6227.7974000000004</v>
      </c>
      <c r="I1439" s="1">
        <v>46195</v>
      </c>
      <c r="J1439">
        <v>63</v>
      </c>
      <c r="K1439" t="s">
        <v>5758</v>
      </c>
      <c r="L1439" t="s">
        <v>5918</v>
      </c>
      <c r="M1439">
        <v>11</v>
      </c>
      <c r="N1439">
        <v>2</v>
      </c>
      <c r="O1439" t="s">
        <v>1036</v>
      </c>
      <c r="P1439" s="17"/>
      <c r="Q1439" s="17" t="str">
        <f>_xlfn.XLOOKUP(Table2[[#This Row],[buyFromVendorNo]],'Next Day Scheduled'!A:A,'Pending Returns'!O:O,"NOT_FOUND")</f>
        <v>NOT_FOUND</v>
      </c>
    </row>
    <row r="1440" spans="1:17" x14ac:dyDescent="0.3">
      <c r="A1440" s="1">
        <v>46196</v>
      </c>
      <c r="B1440" t="s">
        <v>2948</v>
      </c>
      <c r="C1440" t="s">
        <v>16</v>
      </c>
      <c r="D1440" t="s">
        <v>17</v>
      </c>
      <c r="E1440" t="s">
        <v>8</v>
      </c>
      <c r="F1440" t="s">
        <v>10</v>
      </c>
      <c r="G1440" s="16">
        <v>1300.3322000000001</v>
      </c>
      <c r="H1440" s="16">
        <v>1495.3821</v>
      </c>
      <c r="I1440" s="1">
        <v>46196</v>
      </c>
      <c r="J1440">
        <v>63</v>
      </c>
      <c r="K1440" t="s">
        <v>4386</v>
      </c>
      <c r="L1440" t="s">
        <v>5870</v>
      </c>
      <c r="M1440">
        <v>9</v>
      </c>
      <c r="N1440">
        <v>3</v>
      </c>
      <c r="O1440" t="s">
        <v>1036</v>
      </c>
      <c r="P1440" s="17"/>
      <c r="Q1440" s="17" t="str">
        <f>_xlfn.XLOOKUP(Table2[[#This Row],[buyFromVendorNo]],'Next Day Scheduled'!A:A,'Pending Returns'!O:O,"NOT_FOUND")</f>
        <v>Posted Credit Note</v>
      </c>
    </row>
    <row r="1441" spans="1:17" x14ac:dyDescent="0.3">
      <c r="A1441" s="1">
        <v>46196</v>
      </c>
      <c r="B1441" t="s">
        <v>2879</v>
      </c>
      <c r="C1441" t="s">
        <v>921</v>
      </c>
      <c r="D1441" t="s">
        <v>922</v>
      </c>
      <c r="E1441" t="s">
        <v>8</v>
      </c>
      <c r="F1441" t="s">
        <v>10</v>
      </c>
      <c r="G1441" s="16">
        <v>181.70602</v>
      </c>
      <c r="H1441" s="16">
        <v>208.96190999999999</v>
      </c>
      <c r="I1441" s="1">
        <v>46196</v>
      </c>
      <c r="J1441">
        <v>63</v>
      </c>
      <c r="K1441" t="s">
        <v>5478</v>
      </c>
      <c r="L1441" t="s">
        <v>5860</v>
      </c>
      <c r="M1441">
        <v>9</v>
      </c>
      <c r="N1441">
        <v>1</v>
      </c>
      <c r="O1441" t="s">
        <v>1036</v>
      </c>
      <c r="P1441" s="17"/>
      <c r="Q1441" s="17" t="str">
        <f>_xlfn.XLOOKUP(Table2[[#This Row],[buyFromVendorNo]],'Next Day Scheduled'!A:A,'Pending Returns'!O:O,"NOT_FOUND")</f>
        <v>Posted Credit Note</v>
      </c>
    </row>
    <row r="1442" spans="1:17" x14ac:dyDescent="0.3">
      <c r="A1442" s="1">
        <v>46196</v>
      </c>
      <c r="B1442" t="s">
        <v>258</v>
      </c>
      <c r="C1442" t="s">
        <v>2412</v>
      </c>
      <c r="D1442" t="s">
        <v>2413</v>
      </c>
      <c r="E1442" t="s">
        <v>8</v>
      </c>
      <c r="F1442" t="s">
        <v>10</v>
      </c>
      <c r="G1442" s="16">
        <v>3200.4</v>
      </c>
      <c r="H1442" s="16">
        <v>3680.46</v>
      </c>
      <c r="I1442" s="1">
        <v>46177</v>
      </c>
      <c r="J1442">
        <v>63</v>
      </c>
      <c r="K1442" t="s">
        <v>2414</v>
      </c>
      <c r="L1442" t="s">
        <v>5939</v>
      </c>
      <c r="M1442">
        <v>0</v>
      </c>
      <c r="N1442">
        <v>278</v>
      </c>
      <c r="O1442" t="s">
        <v>1036</v>
      </c>
      <c r="P1442" s="17"/>
      <c r="Q1442" s="17" t="str">
        <f>_xlfn.XLOOKUP(Table2[[#This Row],[buyFromVendorNo]],'Next Day Scheduled'!A:A,'Pending Returns'!O:O,"NOT_FOUND")</f>
        <v>NOT_FOUND</v>
      </c>
    </row>
    <row r="1443" spans="1:17" x14ac:dyDescent="0.3">
      <c r="A1443" s="1">
        <v>46196</v>
      </c>
      <c r="B1443" t="s">
        <v>3378</v>
      </c>
      <c r="C1443" t="s">
        <v>534</v>
      </c>
      <c r="D1443" t="s">
        <v>535</v>
      </c>
      <c r="E1443" t="s">
        <v>8</v>
      </c>
      <c r="F1443" t="s">
        <v>10</v>
      </c>
      <c r="G1443" s="16">
        <v>48.534999999999997</v>
      </c>
      <c r="H1443" s="16">
        <v>55.815249999999999</v>
      </c>
      <c r="I1443" s="1">
        <v>46185</v>
      </c>
      <c r="J1443">
        <v>63</v>
      </c>
      <c r="K1443" t="s">
        <v>3179</v>
      </c>
      <c r="L1443" t="s">
        <v>5871</v>
      </c>
      <c r="M1443">
        <v>7</v>
      </c>
      <c r="N1443">
        <v>2</v>
      </c>
      <c r="O1443" t="s">
        <v>1036</v>
      </c>
      <c r="P1443" s="17"/>
      <c r="Q1443" s="17" t="str">
        <f>_xlfn.XLOOKUP(Table2[[#This Row],[buyFromVendorNo]],'Next Day Scheduled'!A:A,'Pending Returns'!O:O,"NOT_FOUND")</f>
        <v>NOT_FOUND</v>
      </c>
    </row>
    <row r="1444" spans="1:17" x14ac:dyDescent="0.3">
      <c r="A1444" s="1">
        <v>46196</v>
      </c>
      <c r="B1444" t="s">
        <v>4305</v>
      </c>
      <c r="C1444" t="s">
        <v>302</v>
      </c>
      <c r="D1444" t="s">
        <v>303</v>
      </c>
      <c r="E1444" t="s">
        <v>8</v>
      </c>
      <c r="F1444" t="s">
        <v>10</v>
      </c>
      <c r="G1444" s="16">
        <v>308.56389999999999</v>
      </c>
      <c r="H1444" s="16">
        <v>353.64846999999997</v>
      </c>
      <c r="I1444" s="1">
        <v>46190</v>
      </c>
      <c r="J1444">
        <v>63</v>
      </c>
      <c r="K1444" t="s">
        <v>4306</v>
      </c>
      <c r="L1444" t="s">
        <v>5853</v>
      </c>
      <c r="M1444">
        <v>6</v>
      </c>
      <c r="N1444">
        <v>1</v>
      </c>
      <c r="O1444" t="s">
        <v>1036</v>
      </c>
      <c r="P1444" s="17"/>
      <c r="Q1444" s="17" t="str">
        <f>_xlfn.XLOOKUP(Table2[[#This Row],[buyFromVendorNo]],'Next Day Scheduled'!A:A,'Pending Returns'!O:O,"NOT_FOUND")</f>
        <v>NOT_FOUND</v>
      </c>
    </row>
    <row r="1445" spans="1:17" x14ac:dyDescent="0.3">
      <c r="A1445" s="1">
        <v>46196</v>
      </c>
      <c r="B1445" t="s">
        <v>5197</v>
      </c>
      <c r="C1445" t="s">
        <v>67</v>
      </c>
      <c r="D1445" t="s">
        <v>68</v>
      </c>
      <c r="E1445" t="s">
        <v>8</v>
      </c>
      <c r="F1445" t="s">
        <v>10</v>
      </c>
      <c r="G1445" s="16">
        <v>4662.8909999999996</v>
      </c>
      <c r="H1445" s="16">
        <v>5362.3247000000001</v>
      </c>
      <c r="I1445" s="1">
        <v>46183</v>
      </c>
      <c r="J1445">
        <v>63</v>
      </c>
      <c r="K1445" t="s">
        <v>4626</v>
      </c>
      <c r="L1445" t="s">
        <v>5912</v>
      </c>
      <c r="M1445">
        <v>6</v>
      </c>
      <c r="N1445">
        <v>1</v>
      </c>
      <c r="O1445" t="s">
        <v>1036</v>
      </c>
      <c r="P1445" s="17"/>
      <c r="Q1445" s="17" t="str">
        <f>_xlfn.XLOOKUP(Table2[[#This Row],[buyFromVendorNo]],'Next Day Scheduled'!A:A,'Pending Returns'!O:O,"NOT_FOUND")</f>
        <v>NOT_FOUND</v>
      </c>
    </row>
    <row r="1446" spans="1:17" x14ac:dyDescent="0.3">
      <c r="A1446" s="1">
        <v>46196</v>
      </c>
      <c r="B1446" t="s">
        <v>2611</v>
      </c>
      <c r="C1446" t="s">
        <v>302</v>
      </c>
      <c r="D1446" t="s">
        <v>303</v>
      </c>
      <c r="E1446" t="s">
        <v>8</v>
      </c>
      <c r="F1446" t="s">
        <v>10</v>
      </c>
      <c r="G1446" s="16">
        <v>245.95544000000001</v>
      </c>
      <c r="H1446" s="16">
        <v>282.00168000000002</v>
      </c>
      <c r="I1446" s="1">
        <v>46190</v>
      </c>
      <c r="J1446">
        <v>63</v>
      </c>
      <c r="K1446" t="s">
        <v>4946</v>
      </c>
      <c r="L1446" t="s">
        <v>5865</v>
      </c>
      <c r="M1446">
        <v>6</v>
      </c>
      <c r="N1446">
        <v>1</v>
      </c>
      <c r="O1446" t="s">
        <v>1036</v>
      </c>
      <c r="P1446" s="17"/>
      <c r="Q1446" s="17" t="str">
        <f>_xlfn.XLOOKUP(Table2[[#This Row],[buyFromVendorNo]],'Next Day Scheduled'!A:A,'Pending Returns'!O:O,"NOT_FOUND")</f>
        <v>NOT_FOUND</v>
      </c>
    </row>
    <row r="1447" spans="1:17" x14ac:dyDescent="0.3">
      <c r="A1447" s="1">
        <v>46196</v>
      </c>
      <c r="B1447" t="s">
        <v>3914</v>
      </c>
      <c r="C1447" t="s">
        <v>911</v>
      </c>
      <c r="D1447" t="s">
        <v>912</v>
      </c>
      <c r="E1447" t="s">
        <v>8</v>
      </c>
      <c r="F1447" t="s">
        <v>10</v>
      </c>
      <c r="G1447" s="16">
        <v>219.8</v>
      </c>
      <c r="H1447" s="16">
        <v>252.77</v>
      </c>
      <c r="I1447" s="1">
        <v>46191</v>
      </c>
      <c r="J1447">
        <v>63</v>
      </c>
      <c r="K1447" t="s">
        <v>3915</v>
      </c>
      <c r="L1447" t="s">
        <v>5924</v>
      </c>
      <c r="M1447">
        <v>8</v>
      </c>
      <c r="N1447">
        <v>5</v>
      </c>
      <c r="O1447" t="s">
        <v>1036</v>
      </c>
      <c r="P1447" s="17"/>
      <c r="Q1447" s="17" t="str">
        <f>_xlfn.XLOOKUP(Table2[[#This Row],[buyFromVendorNo]],'Next Day Scheduled'!A:A,'Pending Returns'!O:O,"NOT_FOUND")</f>
        <v>NOT_FOUND</v>
      </c>
    </row>
    <row r="1448" spans="1:17" x14ac:dyDescent="0.3">
      <c r="A1448" s="1">
        <v>46196</v>
      </c>
      <c r="B1448" t="s">
        <v>2457</v>
      </c>
      <c r="C1448" t="s">
        <v>118</v>
      </c>
      <c r="D1448" t="s">
        <v>119</v>
      </c>
      <c r="E1448" t="s">
        <v>8</v>
      </c>
      <c r="F1448" t="s">
        <v>10</v>
      </c>
      <c r="G1448" s="16">
        <v>417.95</v>
      </c>
      <c r="H1448" s="16">
        <v>480.64249999999998</v>
      </c>
      <c r="I1448" s="1">
        <v>46196</v>
      </c>
      <c r="J1448">
        <v>63</v>
      </c>
      <c r="K1448" t="s">
        <v>4182</v>
      </c>
      <c r="L1448" t="s">
        <v>5888</v>
      </c>
      <c r="M1448">
        <v>16</v>
      </c>
      <c r="N1448">
        <v>5</v>
      </c>
      <c r="O1448" t="s">
        <v>1036</v>
      </c>
      <c r="P1448" s="17"/>
      <c r="Q1448" s="17" t="str">
        <f>_xlfn.XLOOKUP(Table2[[#This Row],[buyFromVendorNo]],'Next Day Scheduled'!A:A,'Pending Returns'!O:O,"NOT_FOUND")</f>
        <v>Posted Credit Note</v>
      </c>
    </row>
    <row r="1449" spans="1:17" x14ac:dyDescent="0.3">
      <c r="A1449" s="1">
        <v>46196</v>
      </c>
      <c r="B1449" t="s">
        <v>4102</v>
      </c>
      <c r="C1449" t="s">
        <v>60</v>
      </c>
      <c r="D1449" t="s">
        <v>61</v>
      </c>
      <c r="E1449" t="s">
        <v>8</v>
      </c>
      <c r="F1449" t="s">
        <v>38</v>
      </c>
      <c r="G1449" s="16">
        <v>2309.58</v>
      </c>
      <c r="H1449" s="16">
        <v>2656.0169999999998</v>
      </c>
      <c r="I1449" s="1">
        <v>46193</v>
      </c>
      <c r="J1449">
        <v>63</v>
      </c>
      <c r="K1449" t="s">
        <v>4103</v>
      </c>
      <c r="L1449" t="s">
        <v>5914</v>
      </c>
      <c r="M1449">
        <v>8</v>
      </c>
      <c r="N1449">
        <v>7</v>
      </c>
      <c r="O1449" t="s">
        <v>1036</v>
      </c>
      <c r="P1449" s="17"/>
      <c r="Q1449" s="17" t="str">
        <f>_xlfn.XLOOKUP(Table2[[#This Row],[buyFromVendorNo]],'Next Day Scheduled'!A:A,'Pending Returns'!O:O,"NOT_FOUND")</f>
        <v>NOT_FOUND</v>
      </c>
    </row>
    <row r="1450" spans="1:17" x14ac:dyDescent="0.3">
      <c r="A1450" s="1">
        <v>46196</v>
      </c>
      <c r="B1450" t="s">
        <v>3028</v>
      </c>
      <c r="C1450" t="s">
        <v>67</v>
      </c>
      <c r="D1450" t="s">
        <v>68</v>
      </c>
      <c r="E1450" t="s">
        <v>8</v>
      </c>
      <c r="F1450" t="s">
        <v>10</v>
      </c>
      <c r="G1450" s="16">
        <v>2217.6367</v>
      </c>
      <c r="H1450" s="16">
        <v>2550.2824999999998</v>
      </c>
      <c r="I1450" s="1">
        <v>46184</v>
      </c>
      <c r="J1450">
        <v>63</v>
      </c>
      <c r="K1450" t="s">
        <v>3945</v>
      </c>
      <c r="L1450" t="s">
        <v>5946</v>
      </c>
      <c r="M1450">
        <v>6</v>
      </c>
      <c r="N1450">
        <v>1</v>
      </c>
      <c r="O1450" t="s">
        <v>1036</v>
      </c>
      <c r="P1450" s="17"/>
      <c r="Q1450" s="17" t="str">
        <f>_xlfn.XLOOKUP(Table2[[#This Row],[buyFromVendorNo]],'Next Day Scheduled'!A:A,'Pending Returns'!O:O,"NOT_FOUND")</f>
        <v>NOT_FOUND</v>
      </c>
    </row>
    <row r="1451" spans="1:17" x14ac:dyDescent="0.3">
      <c r="A1451" s="1">
        <v>46196</v>
      </c>
      <c r="B1451" t="s">
        <v>642</v>
      </c>
      <c r="C1451" t="s">
        <v>4144</v>
      </c>
      <c r="D1451" t="s">
        <v>4145</v>
      </c>
      <c r="E1451" t="s">
        <v>8</v>
      </c>
      <c r="F1451" t="s">
        <v>38</v>
      </c>
      <c r="G1451" s="16">
        <v>435</v>
      </c>
      <c r="H1451" s="16">
        <v>500.25</v>
      </c>
      <c r="I1451" s="1">
        <v>46196</v>
      </c>
      <c r="J1451">
        <v>63</v>
      </c>
      <c r="K1451" t="s">
        <v>4523</v>
      </c>
      <c r="L1451" t="s">
        <v>5868</v>
      </c>
      <c r="M1451">
        <v>5</v>
      </c>
      <c r="N1451">
        <v>9</v>
      </c>
      <c r="O1451" t="s">
        <v>1036</v>
      </c>
      <c r="P1451" s="17"/>
      <c r="Q1451" s="17" t="str">
        <f>_xlfn.XLOOKUP(Table2[[#This Row],[buyFromVendorNo]],'Next Day Scheduled'!A:A,'Pending Returns'!O:O,"NOT_FOUND")</f>
        <v>NOT_FOUND</v>
      </c>
    </row>
    <row r="1452" spans="1:17" x14ac:dyDescent="0.3">
      <c r="A1452" s="1">
        <v>46196</v>
      </c>
      <c r="B1452" t="s">
        <v>3424</v>
      </c>
      <c r="C1452" t="s">
        <v>1161</v>
      </c>
      <c r="D1452" t="s">
        <v>1162</v>
      </c>
      <c r="E1452" t="s">
        <v>8</v>
      </c>
      <c r="F1452" t="s">
        <v>10</v>
      </c>
      <c r="G1452" s="16">
        <v>1942.22</v>
      </c>
      <c r="H1452" s="16">
        <v>2233.5529999999999</v>
      </c>
      <c r="I1452" s="1">
        <v>46196</v>
      </c>
      <c r="J1452">
        <v>63</v>
      </c>
      <c r="K1452" t="s">
        <v>5822</v>
      </c>
      <c r="L1452" t="s">
        <v>5931</v>
      </c>
      <c r="M1452">
        <v>8</v>
      </c>
      <c r="N1452">
        <v>6</v>
      </c>
      <c r="O1452" t="s">
        <v>1036</v>
      </c>
      <c r="P1452" s="17"/>
      <c r="Q1452" s="17" t="str">
        <f>_xlfn.XLOOKUP(Table2[[#This Row],[buyFromVendorNo]],'Next Day Scheduled'!A:A,'Pending Returns'!O:O,"NOT_FOUND")</f>
        <v>NOT_FOUND</v>
      </c>
    </row>
    <row r="1453" spans="1:17" x14ac:dyDescent="0.3">
      <c r="A1453" s="1">
        <v>46196</v>
      </c>
      <c r="B1453" t="s">
        <v>4194</v>
      </c>
      <c r="C1453" t="s">
        <v>2369</v>
      </c>
      <c r="D1453" t="s">
        <v>2370</v>
      </c>
      <c r="E1453" t="s">
        <v>8</v>
      </c>
      <c r="F1453" t="s">
        <v>10</v>
      </c>
      <c r="G1453" s="16">
        <v>108</v>
      </c>
      <c r="H1453" s="16">
        <v>124.2</v>
      </c>
      <c r="I1453" s="1">
        <v>46194</v>
      </c>
      <c r="J1453">
        <v>63</v>
      </c>
      <c r="K1453" t="s">
        <v>4645</v>
      </c>
      <c r="L1453" t="s">
        <v>5881</v>
      </c>
      <c r="M1453">
        <v>9</v>
      </c>
      <c r="N1453">
        <v>2</v>
      </c>
      <c r="O1453" t="s">
        <v>1036</v>
      </c>
      <c r="P1453" s="17"/>
      <c r="Q1453" s="17" t="str">
        <f>_xlfn.XLOOKUP(Table2[[#This Row],[buyFromVendorNo]],'Next Day Scheduled'!A:A,'Pending Returns'!O:O,"NOT_FOUND")</f>
        <v>NOT_FOUND</v>
      </c>
    </row>
    <row r="1454" spans="1:17" x14ac:dyDescent="0.3">
      <c r="A1454" s="1">
        <v>46196</v>
      </c>
      <c r="B1454" t="s">
        <v>2170</v>
      </c>
      <c r="C1454" t="s">
        <v>118</v>
      </c>
      <c r="D1454" t="s">
        <v>119</v>
      </c>
      <c r="E1454" t="s">
        <v>8</v>
      </c>
      <c r="F1454" t="s">
        <v>10</v>
      </c>
      <c r="G1454" s="16">
        <v>472.4</v>
      </c>
      <c r="H1454" s="16">
        <v>543.26</v>
      </c>
      <c r="I1454" s="1">
        <v>46196</v>
      </c>
      <c r="J1454">
        <v>63</v>
      </c>
      <c r="K1454" t="s">
        <v>2454</v>
      </c>
      <c r="L1454" t="s">
        <v>5890</v>
      </c>
      <c r="M1454">
        <v>16</v>
      </c>
      <c r="N1454">
        <v>5</v>
      </c>
      <c r="O1454" t="s">
        <v>1036</v>
      </c>
      <c r="P1454" s="17"/>
      <c r="Q1454" s="17" t="str">
        <f>_xlfn.XLOOKUP(Table2[[#This Row],[buyFromVendorNo]],'Next Day Scheduled'!A:A,'Pending Returns'!O:O,"NOT_FOUND")</f>
        <v>Posted Credit Note</v>
      </c>
    </row>
    <row r="1455" spans="1:17" x14ac:dyDescent="0.3">
      <c r="A1455" s="1">
        <v>46196</v>
      </c>
      <c r="B1455" t="s">
        <v>517</v>
      </c>
      <c r="C1455" t="s">
        <v>69</v>
      </c>
      <c r="D1455" t="s">
        <v>70</v>
      </c>
      <c r="E1455" t="s">
        <v>8</v>
      </c>
      <c r="F1455" t="s">
        <v>10</v>
      </c>
      <c r="G1455" s="16">
        <v>3695.76</v>
      </c>
      <c r="H1455" s="16">
        <v>4250.1239999999998</v>
      </c>
      <c r="J1455">
        <v>63</v>
      </c>
      <c r="K1455" t="s">
        <v>5921</v>
      </c>
      <c r="M1455">
        <v>37</v>
      </c>
      <c r="N1455">
        <v>1</v>
      </c>
      <c r="O1455" t="s">
        <v>216</v>
      </c>
      <c r="P1455" s="17"/>
      <c r="Q1455" s="17" t="str">
        <f>_xlfn.XLOOKUP(Table2[[#This Row],[buyFromVendorNo]],'Next Day Scheduled'!A:A,'Pending Returns'!O:O,"NOT_FOUND")</f>
        <v>Posted Credit Note</v>
      </c>
    </row>
    <row r="1456" spans="1:17" x14ac:dyDescent="0.3">
      <c r="A1456" s="1">
        <v>46196</v>
      </c>
      <c r="B1456" t="s">
        <v>4031</v>
      </c>
      <c r="C1456" t="s">
        <v>5015</v>
      </c>
      <c r="D1456" t="s">
        <v>5016</v>
      </c>
      <c r="E1456" t="s">
        <v>8</v>
      </c>
      <c r="F1456" t="s">
        <v>169</v>
      </c>
      <c r="G1456" s="16">
        <v>251.25</v>
      </c>
      <c r="H1456" s="16">
        <v>288.9375</v>
      </c>
      <c r="I1456" s="1">
        <v>46196</v>
      </c>
      <c r="J1456">
        <v>63</v>
      </c>
      <c r="K1456" t="s">
        <v>5014</v>
      </c>
      <c r="L1456" t="s">
        <v>5916</v>
      </c>
      <c r="M1456">
        <v>0</v>
      </c>
      <c r="N1456">
        <v>252</v>
      </c>
      <c r="O1456" t="s">
        <v>1036</v>
      </c>
      <c r="P1456" s="17"/>
      <c r="Q1456" s="17" t="str">
        <f>_xlfn.XLOOKUP(Table2[[#This Row],[buyFromVendorNo]],'Next Day Scheduled'!A:A,'Pending Returns'!O:O,"NOT_FOUND")</f>
        <v>NOT_FOUND</v>
      </c>
    </row>
    <row r="1457" spans="1:17" x14ac:dyDescent="0.3">
      <c r="A1457" s="1">
        <v>46197</v>
      </c>
      <c r="B1457" t="s">
        <v>2382</v>
      </c>
      <c r="C1457" t="s">
        <v>771</v>
      </c>
      <c r="D1457" t="s">
        <v>845</v>
      </c>
      <c r="E1457" t="s">
        <v>8</v>
      </c>
      <c r="F1457" t="s">
        <v>10</v>
      </c>
      <c r="G1457" s="16">
        <v>3927.9666000000002</v>
      </c>
      <c r="H1457" s="16">
        <v>4517.1616000000004</v>
      </c>
      <c r="I1457" s="1">
        <v>46175</v>
      </c>
      <c r="J1457">
        <v>62</v>
      </c>
      <c r="K1457" t="s">
        <v>2236</v>
      </c>
      <c r="L1457" t="s">
        <v>5947</v>
      </c>
      <c r="M1457">
        <v>9</v>
      </c>
      <c r="N1457">
        <v>8</v>
      </c>
      <c r="O1457" t="s">
        <v>1036</v>
      </c>
      <c r="P1457" s="17"/>
      <c r="Q1457" s="17" t="str">
        <f>_xlfn.XLOOKUP(Table2[[#This Row],[buyFromVendorNo]],'Next Day Scheduled'!A:A,'Pending Returns'!O:O,"NOT_FOUND")</f>
        <v>NOT_FOUND</v>
      </c>
    </row>
    <row r="1458" spans="1:17" x14ac:dyDescent="0.3">
      <c r="A1458" s="1">
        <v>46197</v>
      </c>
      <c r="B1458" t="s">
        <v>5617</v>
      </c>
      <c r="C1458" t="s">
        <v>2267</v>
      </c>
      <c r="D1458" t="s">
        <v>2268</v>
      </c>
      <c r="E1458" t="s">
        <v>8</v>
      </c>
      <c r="F1458" t="s">
        <v>10</v>
      </c>
      <c r="G1458" s="16">
        <v>357</v>
      </c>
      <c r="H1458" s="16">
        <v>410.55</v>
      </c>
      <c r="I1458" s="1">
        <v>46195</v>
      </c>
      <c r="J1458">
        <v>62</v>
      </c>
      <c r="K1458" t="s">
        <v>5586</v>
      </c>
      <c r="L1458" t="s">
        <v>5949</v>
      </c>
      <c r="M1458">
        <v>7</v>
      </c>
      <c r="N1458">
        <v>2</v>
      </c>
      <c r="O1458" t="s">
        <v>1036</v>
      </c>
      <c r="P1458" s="17"/>
      <c r="Q1458" s="17" t="str">
        <f>_xlfn.XLOOKUP(Table2[[#This Row],[buyFromVendorNo]],'Next Day Scheduled'!A:A,'Pending Returns'!O:O,"NOT_FOUND")</f>
        <v>NOT_FOUND</v>
      </c>
    </row>
    <row r="1459" spans="1:17" x14ac:dyDescent="0.3">
      <c r="A1459" s="1">
        <v>46197</v>
      </c>
      <c r="B1459" t="s">
        <v>3333</v>
      </c>
      <c r="C1459" t="s">
        <v>769</v>
      </c>
      <c r="D1459" t="s">
        <v>770</v>
      </c>
      <c r="E1459" t="s">
        <v>8</v>
      </c>
      <c r="F1459" t="s">
        <v>10</v>
      </c>
      <c r="G1459" s="16">
        <v>1851.6</v>
      </c>
      <c r="H1459" s="16">
        <v>2129.34</v>
      </c>
      <c r="I1459" s="1">
        <v>46183</v>
      </c>
      <c r="J1459">
        <v>62</v>
      </c>
      <c r="K1459" t="s">
        <v>3161</v>
      </c>
      <c r="L1459" t="s">
        <v>6010</v>
      </c>
      <c r="M1459">
        <v>8</v>
      </c>
      <c r="N1459">
        <v>1</v>
      </c>
      <c r="O1459" t="s">
        <v>1036</v>
      </c>
      <c r="P1459" s="17"/>
      <c r="Q1459" s="17" t="str">
        <f>_xlfn.XLOOKUP(Table2[[#This Row],[buyFromVendorNo]],'Next Day Scheduled'!A:A,'Pending Returns'!O:O,"NOT_FOUND")</f>
        <v>NOT_FOUND</v>
      </c>
    </row>
    <row r="1460" spans="1:17" x14ac:dyDescent="0.3">
      <c r="A1460" s="1">
        <v>46197</v>
      </c>
      <c r="B1460" t="s">
        <v>5518</v>
      </c>
      <c r="C1460" t="s">
        <v>781</v>
      </c>
      <c r="D1460" t="s">
        <v>782</v>
      </c>
      <c r="E1460" t="s">
        <v>8</v>
      </c>
      <c r="F1460" t="s">
        <v>10</v>
      </c>
      <c r="G1460" s="16">
        <v>508.85</v>
      </c>
      <c r="H1460" s="16">
        <v>585.17750000000001</v>
      </c>
      <c r="I1460" s="1">
        <v>46195</v>
      </c>
      <c r="J1460">
        <v>62</v>
      </c>
      <c r="K1460" t="s">
        <v>5519</v>
      </c>
      <c r="L1460" t="s">
        <v>6011</v>
      </c>
      <c r="M1460">
        <v>8</v>
      </c>
      <c r="N1460">
        <v>2</v>
      </c>
      <c r="O1460" t="s">
        <v>1036</v>
      </c>
      <c r="P1460" s="17"/>
      <c r="Q1460" s="17" t="str">
        <f>_xlfn.XLOOKUP(Table2[[#This Row],[buyFromVendorNo]],'Next Day Scheduled'!A:A,'Pending Returns'!O:O,"NOT_FOUND")</f>
        <v>NOT_FOUND</v>
      </c>
    </row>
    <row r="1461" spans="1:17" x14ac:dyDescent="0.3">
      <c r="A1461" s="1">
        <v>46197</v>
      </c>
      <c r="B1461" t="s">
        <v>4773</v>
      </c>
      <c r="C1461" t="s">
        <v>1913</v>
      </c>
      <c r="D1461" t="s">
        <v>1914</v>
      </c>
      <c r="E1461" t="s">
        <v>8</v>
      </c>
      <c r="F1461" t="s">
        <v>10</v>
      </c>
      <c r="G1461" s="16">
        <v>60.51</v>
      </c>
      <c r="H1461" s="16">
        <v>69.586500000000001</v>
      </c>
      <c r="I1461" s="1">
        <v>46188</v>
      </c>
      <c r="J1461">
        <v>62</v>
      </c>
      <c r="K1461" t="s">
        <v>4753</v>
      </c>
      <c r="L1461" t="s">
        <v>5968</v>
      </c>
      <c r="M1461">
        <v>2</v>
      </c>
      <c r="N1461">
        <v>47</v>
      </c>
      <c r="O1461" t="s">
        <v>1036</v>
      </c>
      <c r="P1461" s="17"/>
      <c r="Q1461" s="17" t="str">
        <f>_xlfn.XLOOKUP(Table2[[#This Row],[buyFromVendorNo]],'Next Day Scheduled'!A:A,'Pending Returns'!O:O,"NOT_FOUND")</f>
        <v>NOT_FOUND</v>
      </c>
    </row>
    <row r="1462" spans="1:17" x14ac:dyDescent="0.3">
      <c r="A1462" s="1">
        <v>46197</v>
      </c>
      <c r="B1462" t="s">
        <v>5106</v>
      </c>
      <c r="C1462" t="s">
        <v>564</v>
      </c>
      <c r="D1462" t="s">
        <v>565</v>
      </c>
      <c r="E1462" t="s">
        <v>8</v>
      </c>
      <c r="F1462" t="s">
        <v>10</v>
      </c>
      <c r="G1462" s="16">
        <v>243.15</v>
      </c>
      <c r="H1462" s="16">
        <v>279.6225</v>
      </c>
      <c r="I1462" s="1">
        <v>46197</v>
      </c>
      <c r="J1462">
        <v>62</v>
      </c>
      <c r="K1462" t="s">
        <v>4948</v>
      </c>
      <c r="L1462" t="s">
        <v>6014</v>
      </c>
      <c r="M1462">
        <v>6</v>
      </c>
      <c r="N1462">
        <v>10</v>
      </c>
      <c r="O1462" t="s">
        <v>1036</v>
      </c>
      <c r="P1462" s="17"/>
      <c r="Q1462" s="17" t="str">
        <f>_xlfn.XLOOKUP(Table2[[#This Row],[buyFromVendorNo]],'Next Day Scheduled'!A:A,'Pending Returns'!O:O,"NOT_FOUND")</f>
        <v>Posted Credit Note</v>
      </c>
    </row>
    <row r="1463" spans="1:17" x14ac:dyDescent="0.3">
      <c r="A1463" s="1">
        <v>46197</v>
      </c>
      <c r="B1463" t="s">
        <v>248</v>
      </c>
      <c r="C1463" t="s">
        <v>769</v>
      </c>
      <c r="D1463" t="s">
        <v>770</v>
      </c>
      <c r="E1463" t="s">
        <v>8</v>
      </c>
      <c r="F1463" t="s">
        <v>10</v>
      </c>
      <c r="G1463" s="16">
        <v>6371.4</v>
      </c>
      <c r="H1463" s="16">
        <v>7327.11</v>
      </c>
      <c r="I1463" s="1">
        <v>46183</v>
      </c>
      <c r="J1463">
        <v>62</v>
      </c>
      <c r="K1463" t="s">
        <v>2636</v>
      </c>
      <c r="L1463" t="s">
        <v>6013</v>
      </c>
      <c r="M1463">
        <v>8</v>
      </c>
      <c r="N1463">
        <v>1</v>
      </c>
      <c r="O1463" t="s">
        <v>1036</v>
      </c>
      <c r="P1463" s="17"/>
      <c r="Q1463" s="17" t="str">
        <f>_xlfn.XLOOKUP(Table2[[#This Row],[buyFromVendorNo]],'Next Day Scheduled'!A:A,'Pending Returns'!O:O,"NOT_FOUND")</f>
        <v>NOT_FOUND</v>
      </c>
    </row>
    <row r="1464" spans="1:17" x14ac:dyDescent="0.3">
      <c r="A1464" s="1">
        <v>46197</v>
      </c>
      <c r="B1464" t="s">
        <v>5900</v>
      </c>
      <c r="C1464" t="s">
        <v>3905</v>
      </c>
      <c r="D1464" t="s">
        <v>3906</v>
      </c>
      <c r="E1464" t="s">
        <v>8</v>
      </c>
      <c r="F1464" t="s">
        <v>10</v>
      </c>
      <c r="G1464" s="16">
        <v>1373.13</v>
      </c>
      <c r="H1464" s="16">
        <v>1579.0995</v>
      </c>
      <c r="I1464" s="1">
        <v>46197</v>
      </c>
      <c r="J1464">
        <v>62</v>
      </c>
      <c r="K1464" t="s">
        <v>5019</v>
      </c>
      <c r="L1464" t="s">
        <v>5970</v>
      </c>
      <c r="M1464">
        <v>6</v>
      </c>
      <c r="N1464">
        <v>16</v>
      </c>
      <c r="O1464" t="s">
        <v>1036</v>
      </c>
      <c r="P1464" s="17"/>
      <c r="Q1464" s="17" t="str">
        <f>_xlfn.XLOOKUP(Table2[[#This Row],[buyFromVendorNo]],'Next Day Scheduled'!A:A,'Pending Returns'!O:O,"NOT_FOUND")</f>
        <v>NOT_FOUND</v>
      </c>
    </row>
    <row r="1465" spans="1:17" x14ac:dyDescent="0.3">
      <c r="A1465" s="1">
        <v>46197</v>
      </c>
      <c r="B1465" t="s">
        <v>3351</v>
      </c>
      <c r="C1465" t="s">
        <v>859</v>
      </c>
      <c r="D1465" t="s">
        <v>860</v>
      </c>
      <c r="E1465" t="s">
        <v>8</v>
      </c>
      <c r="F1465" t="s">
        <v>10</v>
      </c>
      <c r="G1465" s="16">
        <v>613.26</v>
      </c>
      <c r="H1465" s="16">
        <v>705.24900000000002</v>
      </c>
      <c r="I1465" s="1">
        <v>46181</v>
      </c>
      <c r="J1465">
        <v>62</v>
      </c>
      <c r="K1465" t="s">
        <v>3185</v>
      </c>
      <c r="L1465" t="s">
        <v>5971</v>
      </c>
      <c r="M1465">
        <v>10</v>
      </c>
      <c r="N1465">
        <v>6</v>
      </c>
      <c r="O1465" t="s">
        <v>1036</v>
      </c>
      <c r="P1465" s="17"/>
      <c r="Q1465" s="17" t="str">
        <f>_xlfn.XLOOKUP(Table2[[#This Row],[buyFromVendorNo]],'Next Day Scheduled'!A:A,'Pending Returns'!O:O,"NOT_FOUND")</f>
        <v>NOT_FOUND</v>
      </c>
    </row>
    <row r="1466" spans="1:17" x14ac:dyDescent="0.3">
      <c r="A1466" s="1">
        <v>46197</v>
      </c>
      <c r="B1466" t="s">
        <v>3743</v>
      </c>
      <c r="C1466" t="s">
        <v>2604</v>
      </c>
      <c r="D1466" t="s">
        <v>2605</v>
      </c>
      <c r="E1466" t="s">
        <v>8</v>
      </c>
      <c r="F1466" t="s">
        <v>10</v>
      </c>
      <c r="G1466" s="16">
        <v>130.16999999999999</v>
      </c>
      <c r="H1466" s="16">
        <v>149.69550000000001</v>
      </c>
      <c r="I1466" s="1">
        <v>46185</v>
      </c>
      <c r="J1466">
        <v>62</v>
      </c>
      <c r="K1466" t="s">
        <v>4569</v>
      </c>
      <c r="L1466" t="s">
        <v>5994</v>
      </c>
      <c r="M1466">
        <v>1</v>
      </c>
      <c r="N1466">
        <v>26</v>
      </c>
      <c r="O1466" t="s">
        <v>1036</v>
      </c>
      <c r="P1466" s="17"/>
      <c r="Q1466" s="17" t="str">
        <f>_xlfn.XLOOKUP(Table2[[#This Row],[buyFromVendorNo]],'Next Day Scheduled'!A:A,'Pending Returns'!O:O,"NOT_FOUND")</f>
        <v>NOT_FOUND</v>
      </c>
    </row>
    <row r="1467" spans="1:17" x14ac:dyDescent="0.3">
      <c r="A1467" s="1">
        <v>46197</v>
      </c>
      <c r="B1467" t="s">
        <v>3824</v>
      </c>
      <c r="C1467" t="s">
        <v>893</v>
      </c>
      <c r="D1467" t="s">
        <v>894</v>
      </c>
      <c r="E1467" t="s">
        <v>8</v>
      </c>
      <c r="F1467" t="s">
        <v>10</v>
      </c>
      <c r="G1467" s="16">
        <v>92.15</v>
      </c>
      <c r="H1467" s="16">
        <v>105.9725</v>
      </c>
      <c r="I1467" s="1">
        <v>46188</v>
      </c>
      <c r="J1467">
        <v>62</v>
      </c>
      <c r="K1467" t="s">
        <v>3825</v>
      </c>
      <c r="L1467" t="s">
        <v>5957</v>
      </c>
      <c r="M1467">
        <v>3</v>
      </c>
      <c r="N1467">
        <v>27</v>
      </c>
      <c r="O1467" t="s">
        <v>1036</v>
      </c>
      <c r="P1467" s="17"/>
      <c r="Q1467" s="17" t="str">
        <f>_xlfn.XLOOKUP(Table2[[#This Row],[buyFromVendorNo]],'Next Day Scheduled'!A:A,'Pending Returns'!O:O,"NOT_FOUND")</f>
        <v>Posted Credit Note</v>
      </c>
    </row>
    <row r="1468" spans="1:17" x14ac:dyDescent="0.3">
      <c r="A1468" s="1">
        <v>46197</v>
      </c>
      <c r="B1468" t="s">
        <v>2871</v>
      </c>
      <c r="C1468" t="s">
        <v>893</v>
      </c>
      <c r="D1468" t="s">
        <v>894</v>
      </c>
      <c r="E1468" t="s">
        <v>8</v>
      </c>
      <c r="F1468" t="s">
        <v>10</v>
      </c>
      <c r="G1468" s="16">
        <v>1169.5</v>
      </c>
      <c r="H1468" s="16">
        <v>1344.925</v>
      </c>
      <c r="I1468" s="1">
        <v>46183</v>
      </c>
      <c r="J1468">
        <v>62</v>
      </c>
      <c r="K1468" t="s">
        <v>2872</v>
      </c>
      <c r="L1468" t="s">
        <v>5958</v>
      </c>
      <c r="M1468">
        <v>3</v>
      </c>
      <c r="N1468">
        <v>27</v>
      </c>
      <c r="O1468" t="s">
        <v>1036</v>
      </c>
      <c r="P1468" s="17"/>
      <c r="Q1468" s="17" t="str">
        <f>_xlfn.XLOOKUP(Table2[[#This Row],[buyFromVendorNo]],'Next Day Scheduled'!A:A,'Pending Returns'!O:O,"NOT_FOUND")</f>
        <v>Posted Credit Note</v>
      </c>
    </row>
    <row r="1469" spans="1:17" x14ac:dyDescent="0.3">
      <c r="A1469" s="1">
        <v>46197</v>
      </c>
      <c r="B1469" t="s">
        <v>3067</v>
      </c>
      <c r="C1469" t="s">
        <v>2348</v>
      </c>
      <c r="D1469" t="s">
        <v>2349</v>
      </c>
      <c r="E1469" t="s">
        <v>8</v>
      </c>
      <c r="F1469" t="s">
        <v>10</v>
      </c>
      <c r="G1469" s="16">
        <v>2768.32</v>
      </c>
      <c r="H1469" s="16">
        <v>2768.32</v>
      </c>
      <c r="I1469" s="1">
        <v>46194</v>
      </c>
      <c r="J1469">
        <v>62</v>
      </c>
      <c r="K1469" t="s">
        <v>3068</v>
      </c>
      <c r="L1469" t="s">
        <v>5974</v>
      </c>
      <c r="M1469">
        <v>6</v>
      </c>
      <c r="N1469">
        <v>12</v>
      </c>
      <c r="O1469" t="s">
        <v>1036</v>
      </c>
      <c r="P1469" s="17"/>
      <c r="Q1469" s="17" t="str">
        <f>_xlfn.XLOOKUP(Table2[[#This Row],[buyFromVendorNo]],'Next Day Scheduled'!A:A,'Pending Returns'!O:O,"NOT_FOUND")</f>
        <v>NOT_FOUND</v>
      </c>
    </row>
    <row r="1470" spans="1:17" x14ac:dyDescent="0.3">
      <c r="A1470" s="1">
        <v>46197</v>
      </c>
      <c r="B1470" t="s">
        <v>3012</v>
      </c>
      <c r="C1470" t="s">
        <v>57</v>
      </c>
      <c r="D1470" t="s">
        <v>58</v>
      </c>
      <c r="E1470" t="s">
        <v>8</v>
      </c>
      <c r="F1470" t="s">
        <v>38</v>
      </c>
      <c r="G1470" s="16">
        <v>195</v>
      </c>
      <c r="H1470" s="16">
        <v>224.25</v>
      </c>
      <c r="I1470" s="1">
        <v>46197</v>
      </c>
      <c r="J1470">
        <v>62</v>
      </c>
      <c r="K1470" t="s">
        <v>5548</v>
      </c>
      <c r="L1470" t="s">
        <v>5998</v>
      </c>
      <c r="M1470">
        <v>0</v>
      </c>
      <c r="N1470">
        <v>191</v>
      </c>
      <c r="O1470" t="s">
        <v>1036</v>
      </c>
      <c r="P1470" s="17"/>
      <c r="Q1470" s="17" t="str">
        <f>_xlfn.XLOOKUP(Table2[[#This Row],[buyFromVendorNo]],'Next Day Scheduled'!A:A,'Pending Returns'!O:O,"NOT_FOUND")</f>
        <v>Posted Credit Note</v>
      </c>
    </row>
    <row r="1471" spans="1:17" x14ac:dyDescent="0.3">
      <c r="A1471" s="1">
        <v>46197</v>
      </c>
      <c r="B1471" t="s">
        <v>3244</v>
      </c>
      <c r="C1471" t="s">
        <v>1913</v>
      </c>
      <c r="D1471" t="s">
        <v>1914</v>
      </c>
      <c r="E1471" t="s">
        <v>8</v>
      </c>
      <c r="F1471" t="s">
        <v>10</v>
      </c>
      <c r="G1471" s="16">
        <v>1046.22</v>
      </c>
      <c r="H1471" s="16">
        <v>1203.153</v>
      </c>
      <c r="I1471" s="1">
        <v>46188</v>
      </c>
      <c r="J1471">
        <v>62</v>
      </c>
      <c r="K1471" t="s">
        <v>3085</v>
      </c>
      <c r="L1471" t="s">
        <v>5977</v>
      </c>
      <c r="M1471">
        <v>2</v>
      </c>
      <c r="N1471">
        <v>47</v>
      </c>
      <c r="O1471" t="s">
        <v>1036</v>
      </c>
      <c r="P1471" s="17"/>
      <c r="Q1471" s="17" t="str">
        <f>_xlfn.XLOOKUP(Table2[[#This Row],[buyFromVendorNo]],'Next Day Scheduled'!A:A,'Pending Returns'!O:O,"NOT_FOUND")</f>
        <v>NOT_FOUND</v>
      </c>
    </row>
    <row r="1472" spans="1:17" x14ac:dyDescent="0.3">
      <c r="A1472" s="1">
        <v>46197</v>
      </c>
      <c r="B1472" t="s">
        <v>3291</v>
      </c>
      <c r="C1472" t="s">
        <v>723</v>
      </c>
      <c r="D1472" t="s">
        <v>724</v>
      </c>
      <c r="E1472" t="s">
        <v>8</v>
      </c>
      <c r="F1472" t="s">
        <v>10</v>
      </c>
      <c r="G1472" s="16">
        <v>64</v>
      </c>
      <c r="H1472" s="16">
        <v>73.599999999999994</v>
      </c>
      <c r="I1472" s="1">
        <v>46196</v>
      </c>
      <c r="J1472">
        <v>62</v>
      </c>
      <c r="K1472" t="s">
        <v>4937</v>
      </c>
      <c r="L1472" t="s">
        <v>6024</v>
      </c>
      <c r="M1472">
        <v>8</v>
      </c>
      <c r="N1472">
        <v>8</v>
      </c>
      <c r="O1472" t="s">
        <v>1036</v>
      </c>
      <c r="P1472" s="17"/>
      <c r="Q1472" s="17" t="str">
        <f>_xlfn.XLOOKUP(Table2[[#This Row],[buyFromVendorNo]],'Next Day Scheduled'!A:A,'Pending Returns'!O:O,"NOT_FOUND")</f>
        <v>NOT_FOUND</v>
      </c>
    </row>
    <row r="1473" spans="1:17" x14ac:dyDescent="0.3">
      <c r="A1473" s="1">
        <v>46197</v>
      </c>
      <c r="B1473" t="s">
        <v>2984</v>
      </c>
      <c r="C1473" t="s">
        <v>1026</v>
      </c>
      <c r="D1473" t="s">
        <v>1873</v>
      </c>
      <c r="E1473" t="s">
        <v>8</v>
      </c>
      <c r="F1473" t="s">
        <v>10</v>
      </c>
      <c r="G1473" s="16">
        <v>112.58333</v>
      </c>
      <c r="H1473" s="16">
        <v>129.47083000000001</v>
      </c>
      <c r="I1473" s="1">
        <v>46194</v>
      </c>
      <c r="J1473">
        <v>62</v>
      </c>
      <c r="K1473" t="s">
        <v>5532</v>
      </c>
      <c r="L1473" t="s">
        <v>5982</v>
      </c>
      <c r="M1473">
        <v>8</v>
      </c>
      <c r="N1473">
        <v>6</v>
      </c>
      <c r="O1473" t="s">
        <v>1036</v>
      </c>
      <c r="P1473" s="17"/>
      <c r="Q1473" s="17" t="str">
        <f>_xlfn.XLOOKUP(Table2[[#This Row],[buyFromVendorNo]],'Next Day Scheduled'!A:A,'Pending Returns'!O:O,"NOT_FOUND")</f>
        <v>NOT_FOUND</v>
      </c>
    </row>
    <row r="1474" spans="1:17" x14ac:dyDescent="0.3">
      <c r="A1474" s="1">
        <v>46197</v>
      </c>
      <c r="B1474" t="s">
        <v>5608</v>
      </c>
      <c r="C1474" t="s">
        <v>858</v>
      </c>
      <c r="D1474" t="s">
        <v>2336</v>
      </c>
      <c r="E1474" t="s">
        <v>8</v>
      </c>
      <c r="F1474" t="s">
        <v>10</v>
      </c>
      <c r="G1474" s="16">
        <v>1390.4</v>
      </c>
      <c r="H1474" s="16">
        <v>1598.96</v>
      </c>
      <c r="I1474" s="1">
        <v>46195</v>
      </c>
      <c r="J1474">
        <v>62</v>
      </c>
      <c r="K1474" t="s">
        <v>5582</v>
      </c>
      <c r="L1474" t="s">
        <v>5983</v>
      </c>
      <c r="M1474">
        <v>6</v>
      </c>
      <c r="N1474">
        <v>1</v>
      </c>
      <c r="O1474" t="s">
        <v>1036</v>
      </c>
      <c r="P1474" s="17"/>
      <c r="Q1474" s="17" t="str">
        <f>_xlfn.XLOOKUP(Table2[[#This Row],[buyFromVendorNo]],'Next Day Scheduled'!A:A,'Pending Returns'!O:O,"NOT_FOUND")</f>
        <v>NOT_FOUND</v>
      </c>
    </row>
    <row r="1475" spans="1:17" x14ac:dyDescent="0.3">
      <c r="A1475" s="1">
        <v>46197</v>
      </c>
      <c r="B1475" t="s">
        <v>5594</v>
      </c>
      <c r="C1475" t="s">
        <v>859</v>
      </c>
      <c r="D1475" t="s">
        <v>860</v>
      </c>
      <c r="E1475" t="s">
        <v>8</v>
      </c>
      <c r="F1475" t="s">
        <v>10</v>
      </c>
      <c r="G1475" s="16">
        <v>24</v>
      </c>
      <c r="H1475" s="16">
        <v>27.6</v>
      </c>
      <c r="I1475" s="1">
        <v>46195</v>
      </c>
      <c r="J1475">
        <v>62</v>
      </c>
      <c r="K1475" t="s">
        <v>4286</v>
      </c>
      <c r="L1475" t="s">
        <v>6003</v>
      </c>
      <c r="M1475">
        <v>10</v>
      </c>
      <c r="N1475">
        <v>6</v>
      </c>
      <c r="O1475" t="s">
        <v>1036</v>
      </c>
      <c r="P1475" s="17"/>
      <c r="Q1475" s="17" t="str">
        <f>_xlfn.XLOOKUP(Table2[[#This Row],[buyFromVendorNo]],'Next Day Scheduled'!A:A,'Pending Returns'!O:O,"NOT_FOUND")</f>
        <v>NOT_FOUND</v>
      </c>
    </row>
    <row r="1476" spans="1:17" x14ac:dyDescent="0.3">
      <c r="A1476" s="1">
        <v>46197</v>
      </c>
      <c r="B1476" t="s">
        <v>4010</v>
      </c>
      <c r="C1476" t="s">
        <v>3767</v>
      </c>
      <c r="D1476" t="s">
        <v>3768</v>
      </c>
      <c r="E1476" t="s">
        <v>8</v>
      </c>
      <c r="F1476" t="s">
        <v>10</v>
      </c>
      <c r="G1476" s="16">
        <v>813.85046</v>
      </c>
      <c r="H1476" s="16">
        <v>935.92804000000001</v>
      </c>
      <c r="I1476" s="1">
        <v>46188</v>
      </c>
      <c r="J1476">
        <v>62</v>
      </c>
      <c r="K1476" t="s">
        <v>4011</v>
      </c>
      <c r="L1476" t="s">
        <v>6025</v>
      </c>
      <c r="M1476">
        <v>3</v>
      </c>
      <c r="N1476">
        <v>41</v>
      </c>
      <c r="O1476" t="s">
        <v>1036</v>
      </c>
      <c r="P1476" s="17"/>
      <c r="Q1476" s="17" t="str">
        <f>_xlfn.XLOOKUP(Table2[[#This Row],[buyFromVendorNo]],'Next Day Scheduled'!A:A,'Pending Returns'!O:O,"NOT_FOUND")</f>
        <v>NOT_FOUND</v>
      </c>
    </row>
    <row r="1477" spans="1:17" x14ac:dyDescent="0.3">
      <c r="A1477" s="1">
        <v>46197</v>
      </c>
      <c r="B1477" t="s">
        <v>5211</v>
      </c>
      <c r="C1477" t="s">
        <v>2298</v>
      </c>
      <c r="D1477" t="s">
        <v>2299</v>
      </c>
      <c r="E1477" t="s">
        <v>8</v>
      </c>
      <c r="F1477" t="s">
        <v>10</v>
      </c>
      <c r="G1477" s="16">
        <v>1314.8252</v>
      </c>
      <c r="H1477" s="16">
        <v>1512.049</v>
      </c>
      <c r="I1477" s="1">
        <v>46186</v>
      </c>
      <c r="J1477">
        <v>62</v>
      </c>
      <c r="K1477" t="s">
        <v>4672</v>
      </c>
      <c r="L1477" t="s">
        <v>6004</v>
      </c>
      <c r="M1477">
        <v>9</v>
      </c>
      <c r="N1477">
        <v>7</v>
      </c>
      <c r="O1477" t="s">
        <v>1036</v>
      </c>
      <c r="P1477" s="17"/>
      <c r="Q1477" s="17" t="str">
        <f>_xlfn.XLOOKUP(Table2[[#This Row],[buyFromVendorNo]],'Next Day Scheduled'!A:A,'Pending Returns'!O:O,"NOT_FOUND")</f>
        <v>NOT_FOUND</v>
      </c>
    </row>
    <row r="1478" spans="1:17" x14ac:dyDescent="0.3">
      <c r="A1478" s="1">
        <v>46197</v>
      </c>
      <c r="B1478" t="s">
        <v>3243</v>
      </c>
      <c r="C1478" t="s">
        <v>771</v>
      </c>
      <c r="D1478" t="s">
        <v>845</v>
      </c>
      <c r="E1478" t="s">
        <v>8</v>
      </c>
      <c r="F1478" t="s">
        <v>10</v>
      </c>
      <c r="G1478" s="16">
        <v>2335.54</v>
      </c>
      <c r="H1478" s="16">
        <v>2685.8710000000001</v>
      </c>
      <c r="I1478" s="1">
        <v>46191</v>
      </c>
      <c r="J1478">
        <v>62</v>
      </c>
      <c r="K1478" t="s">
        <v>4865</v>
      </c>
      <c r="L1478" t="s">
        <v>5966</v>
      </c>
      <c r="M1478">
        <v>9</v>
      </c>
      <c r="N1478">
        <v>8</v>
      </c>
      <c r="O1478" t="s">
        <v>1036</v>
      </c>
      <c r="P1478" s="17"/>
      <c r="Q1478" s="17" t="str">
        <f>_xlfn.XLOOKUP(Table2[[#This Row],[buyFromVendorNo]],'Next Day Scheduled'!A:A,'Pending Returns'!O:O,"NOT_FOUND")</f>
        <v>NOT_FOUND</v>
      </c>
    </row>
    <row r="1479" spans="1:17" x14ac:dyDescent="0.3">
      <c r="A1479" s="1">
        <v>46197</v>
      </c>
      <c r="B1479" t="s">
        <v>2406</v>
      </c>
      <c r="C1479" t="s">
        <v>95</v>
      </c>
      <c r="D1479" t="s">
        <v>96</v>
      </c>
      <c r="E1479" t="s">
        <v>8</v>
      </c>
      <c r="F1479" t="s">
        <v>10</v>
      </c>
      <c r="G1479" s="16">
        <v>11224.43</v>
      </c>
      <c r="H1479" s="16">
        <v>12908.093999999999</v>
      </c>
      <c r="I1479" s="1">
        <v>46174</v>
      </c>
      <c r="J1479">
        <v>62</v>
      </c>
      <c r="K1479" t="s">
        <v>2240</v>
      </c>
      <c r="L1479" t="s">
        <v>6009</v>
      </c>
      <c r="M1479">
        <v>10</v>
      </c>
      <c r="N1479">
        <v>1</v>
      </c>
      <c r="O1479" t="s">
        <v>1036</v>
      </c>
      <c r="P1479" s="17"/>
      <c r="Q1479" s="17" t="str">
        <f>_xlfn.XLOOKUP(Table2[[#This Row],[buyFromVendorNo]],'Next Day Scheduled'!A:A,'Pending Returns'!O:O,"NOT_FOUND")</f>
        <v>NOT_FOUND</v>
      </c>
    </row>
    <row r="1480" spans="1:17" x14ac:dyDescent="0.3">
      <c r="A1480" s="1">
        <v>46197</v>
      </c>
      <c r="B1480" t="s">
        <v>1724</v>
      </c>
      <c r="C1480" t="s">
        <v>173</v>
      </c>
      <c r="D1480" t="s">
        <v>174</v>
      </c>
      <c r="E1480" t="s">
        <v>8</v>
      </c>
      <c r="F1480" t="s">
        <v>10</v>
      </c>
      <c r="G1480" s="16">
        <v>3275.8</v>
      </c>
      <c r="H1480" s="16">
        <v>3767.17</v>
      </c>
      <c r="J1480">
        <v>62</v>
      </c>
      <c r="K1480" t="s">
        <v>6012</v>
      </c>
      <c r="M1480">
        <v>16</v>
      </c>
      <c r="N1480">
        <v>1</v>
      </c>
      <c r="O1480" t="s">
        <v>216</v>
      </c>
      <c r="P1480" s="17"/>
      <c r="Q1480" s="17" t="str">
        <f>_xlfn.XLOOKUP(Table2[[#This Row],[buyFromVendorNo]],'Next Day Scheduled'!A:A,'Pending Returns'!O:O,"NOT_FOUND")</f>
        <v>NOT_FOUND</v>
      </c>
    </row>
    <row r="1481" spans="1:17" x14ac:dyDescent="0.3">
      <c r="A1481" s="1">
        <v>46197</v>
      </c>
      <c r="B1481" t="s">
        <v>3373</v>
      </c>
      <c r="C1481" t="s">
        <v>859</v>
      </c>
      <c r="D1481" t="s">
        <v>860</v>
      </c>
      <c r="E1481" t="s">
        <v>8</v>
      </c>
      <c r="F1481" t="s">
        <v>10</v>
      </c>
      <c r="G1481" s="16">
        <v>104</v>
      </c>
      <c r="H1481" s="16">
        <v>119.6</v>
      </c>
      <c r="I1481" s="1">
        <v>46195</v>
      </c>
      <c r="J1481">
        <v>62</v>
      </c>
      <c r="K1481" t="s">
        <v>4757</v>
      </c>
      <c r="L1481" t="s">
        <v>5988</v>
      </c>
      <c r="M1481">
        <v>10</v>
      </c>
      <c r="N1481">
        <v>6</v>
      </c>
      <c r="O1481" t="s">
        <v>1036</v>
      </c>
      <c r="P1481" s="17"/>
      <c r="Q1481" s="17" t="str">
        <f>_xlfn.XLOOKUP(Table2[[#This Row],[buyFromVendorNo]],'Next Day Scheduled'!A:A,'Pending Returns'!O:O,"NOT_FOUND")</f>
        <v>NOT_FOUND</v>
      </c>
    </row>
    <row r="1482" spans="1:17" x14ac:dyDescent="0.3">
      <c r="A1482" s="1">
        <v>46197</v>
      </c>
      <c r="B1482" t="s">
        <v>4441</v>
      </c>
      <c r="C1482" t="s">
        <v>893</v>
      </c>
      <c r="D1482" t="s">
        <v>894</v>
      </c>
      <c r="E1482" t="s">
        <v>8</v>
      </c>
      <c r="F1482" t="s">
        <v>10</v>
      </c>
      <c r="G1482" s="16">
        <v>516.20000000000005</v>
      </c>
      <c r="H1482" s="16">
        <v>593.63</v>
      </c>
      <c r="I1482" s="1">
        <v>46188</v>
      </c>
      <c r="J1482">
        <v>62</v>
      </c>
      <c r="K1482" t="s">
        <v>4442</v>
      </c>
      <c r="L1482" t="s">
        <v>6015</v>
      </c>
      <c r="M1482">
        <v>3</v>
      </c>
      <c r="N1482">
        <v>27</v>
      </c>
      <c r="O1482" t="s">
        <v>1036</v>
      </c>
      <c r="P1482" s="17"/>
      <c r="Q1482" s="17" t="str">
        <f>_xlfn.XLOOKUP(Table2[[#This Row],[buyFromVendorNo]],'Next Day Scheduled'!A:A,'Pending Returns'!O:O,"NOT_FOUND")</f>
        <v>Posted Credit Note</v>
      </c>
    </row>
    <row r="1483" spans="1:17" x14ac:dyDescent="0.3">
      <c r="A1483" s="1">
        <v>46197</v>
      </c>
      <c r="B1483" t="s">
        <v>3502</v>
      </c>
      <c r="C1483" t="s">
        <v>2242</v>
      </c>
      <c r="D1483" t="s">
        <v>2243</v>
      </c>
      <c r="E1483" t="s">
        <v>8</v>
      </c>
      <c r="F1483" t="s">
        <v>10</v>
      </c>
      <c r="G1483" s="16">
        <v>1992.7339999999999</v>
      </c>
      <c r="H1483" s="16">
        <v>2291.6439999999998</v>
      </c>
      <c r="I1483" s="1">
        <v>46177</v>
      </c>
      <c r="J1483">
        <v>62</v>
      </c>
      <c r="K1483" t="s">
        <v>3503</v>
      </c>
      <c r="L1483" t="s">
        <v>5991</v>
      </c>
      <c r="M1483">
        <v>9</v>
      </c>
      <c r="N1483">
        <v>5</v>
      </c>
      <c r="O1483" t="s">
        <v>1036</v>
      </c>
      <c r="P1483" s="17"/>
      <c r="Q1483" s="17" t="str">
        <f>_xlfn.XLOOKUP(Table2[[#This Row],[buyFromVendorNo]],'Next Day Scheduled'!A:A,'Pending Returns'!O:O,"NOT_FOUND")</f>
        <v>NOT_FOUND</v>
      </c>
    </row>
    <row r="1484" spans="1:17" x14ac:dyDescent="0.3">
      <c r="A1484" s="1">
        <v>46197</v>
      </c>
      <c r="B1484" t="s">
        <v>3427</v>
      </c>
      <c r="C1484" t="s">
        <v>893</v>
      </c>
      <c r="D1484" t="s">
        <v>894</v>
      </c>
      <c r="E1484" t="s">
        <v>8</v>
      </c>
      <c r="F1484" t="s">
        <v>10</v>
      </c>
      <c r="G1484" s="16">
        <v>989.85</v>
      </c>
      <c r="H1484" s="16">
        <v>1138.3275000000001</v>
      </c>
      <c r="I1484" s="1">
        <v>46188</v>
      </c>
      <c r="J1484">
        <v>62</v>
      </c>
      <c r="K1484" t="s">
        <v>3428</v>
      </c>
      <c r="L1484" t="s">
        <v>6019</v>
      </c>
      <c r="M1484">
        <v>3</v>
      </c>
      <c r="N1484">
        <v>27</v>
      </c>
      <c r="O1484" t="s">
        <v>1036</v>
      </c>
      <c r="P1484" s="17"/>
      <c r="Q1484" s="17" t="str">
        <f>_xlfn.XLOOKUP(Table2[[#This Row],[buyFromVendorNo]],'Next Day Scheduled'!A:A,'Pending Returns'!O:O,"NOT_FOUND")</f>
        <v>Posted Credit Note</v>
      </c>
    </row>
    <row r="1485" spans="1:17" x14ac:dyDescent="0.3">
      <c r="A1485" s="1">
        <v>46197</v>
      </c>
      <c r="B1485" t="s">
        <v>5221</v>
      </c>
      <c r="C1485" t="s">
        <v>839</v>
      </c>
      <c r="D1485" t="s">
        <v>840</v>
      </c>
      <c r="E1485" t="s">
        <v>8</v>
      </c>
      <c r="F1485" t="s">
        <v>10</v>
      </c>
      <c r="G1485" s="16">
        <v>1836</v>
      </c>
      <c r="H1485" s="16">
        <v>2111.4</v>
      </c>
      <c r="I1485" s="1">
        <v>46188</v>
      </c>
      <c r="J1485">
        <v>62</v>
      </c>
      <c r="K1485" t="s">
        <v>4924</v>
      </c>
      <c r="L1485" t="s">
        <v>6020</v>
      </c>
      <c r="M1485">
        <v>9</v>
      </c>
      <c r="N1485">
        <v>2</v>
      </c>
      <c r="O1485" t="s">
        <v>1036</v>
      </c>
      <c r="P1485" s="17"/>
      <c r="Q1485" s="17" t="str">
        <f>_xlfn.XLOOKUP(Table2[[#This Row],[buyFromVendorNo]],'Next Day Scheduled'!A:A,'Pending Returns'!O:O,"NOT_FOUND")</f>
        <v>NOT_FOUND</v>
      </c>
    </row>
    <row r="1486" spans="1:17" x14ac:dyDescent="0.3">
      <c r="A1486" s="1">
        <v>46197</v>
      </c>
      <c r="B1486" t="s">
        <v>3704</v>
      </c>
      <c r="C1486" t="s">
        <v>859</v>
      </c>
      <c r="D1486" t="s">
        <v>860</v>
      </c>
      <c r="E1486" t="s">
        <v>8</v>
      </c>
      <c r="F1486" t="s">
        <v>10</v>
      </c>
      <c r="G1486" s="16">
        <v>56.8</v>
      </c>
      <c r="H1486" s="16">
        <v>65.319999999999993</v>
      </c>
      <c r="I1486" s="1">
        <v>46195</v>
      </c>
      <c r="J1486">
        <v>62</v>
      </c>
      <c r="K1486" t="s">
        <v>4427</v>
      </c>
      <c r="L1486" t="s">
        <v>5999</v>
      </c>
      <c r="M1486">
        <v>10</v>
      </c>
      <c r="N1486">
        <v>6</v>
      </c>
      <c r="O1486" t="s">
        <v>1036</v>
      </c>
      <c r="P1486" s="17"/>
      <c r="Q1486" s="17" t="str">
        <f>_xlfn.XLOOKUP(Table2[[#This Row],[buyFromVendorNo]],'Next Day Scheduled'!A:A,'Pending Returns'!O:O,"NOT_FOUND")</f>
        <v>NOT_FOUND</v>
      </c>
    </row>
    <row r="1487" spans="1:17" x14ac:dyDescent="0.3">
      <c r="A1487" s="1">
        <v>46197</v>
      </c>
      <c r="B1487" t="s">
        <v>3248</v>
      </c>
      <c r="C1487" t="s">
        <v>566</v>
      </c>
      <c r="D1487" t="s">
        <v>590</v>
      </c>
      <c r="E1487" t="s">
        <v>8</v>
      </c>
      <c r="F1487" t="s">
        <v>10</v>
      </c>
      <c r="G1487" s="16">
        <v>173.11</v>
      </c>
      <c r="H1487" s="16">
        <v>199.07650000000001</v>
      </c>
      <c r="I1487" s="1">
        <v>46175</v>
      </c>
      <c r="J1487">
        <v>62</v>
      </c>
      <c r="K1487" t="s">
        <v>3143</v>
      </c>
      <c r="L1487" t="s">
        <v>5962</v>
      </c>
      <c r="M1487">
        <v>9</v>
      </c>
      <c r="N1487">
        <v>1</v>
      </c>
      <c r="O1487" t="s">
        <v>1036</v>
      </c>
      <c r="P1487" s="17"/>
      <c r="Q1487" s="17" t="str">
        <f>_xlfn.XLOOKUP(Table2[[#This Row],[buyFromVendorNo]],'Next Day Scheduled'!A:A,'Pending Returns'!O:O,"NOT_FOUND")</f>
        <v>NOT_FOUND</v>
      </c>
    </row>
    <row r="1488" spans="1:17" x14ac:dyDescent="0.3">
      <c r="A1488" s="1">
        <v>46197</v>
      </c>
      <c r="B1488" t="s">
        <v>5147</v>
      </c>
      <c r="C1488" t="s">
        <v>57</v>
      </c>
      <c r="D1488" t="s">
        <v>58</v>
      </c>
      <c r="E1488" t="s">
        <v>8</v>
      </c>
      <c r="F1488" t="s">
        <v>10</v>
      </c>
      <c r="G1488" s="16">
        <v>1632.63</v>
      </c>
      <c r="H1488" s="16">
        <v>1877.5245</v>
      </c>
      <c r="I1488" s="1">
        <v>46197</v>
      </c>
      <c r="J1488">
        <v>62</v>
      </c>
      <c r="K1488" t="s">
        <v>5004</v>
      </c>
      <c r="L1488" t="s">
        <v>6002</v>
      </c>
      <c r="M1488">
        <v>7</v>
      </c>
      <c r="N1488">
        <v>8</v>
      </c>
      <c r="O1488" t="s">
        <v>1036</v>
      </c>
      <c r="P1488" s="17"/>
      <c r="Q1488" s="17" t="str">
        <f>_xlfn.XLOOKUP(Table2[[#This Row],[buyFromVendorNo]],'Next Day Scheduled'!A:A,'Pending Returns'!O:O,"NOT_FOUND")</f>
        <v>Posted Credit Note</v>
      </c>
    </row>
    <row r="1489" spans="1:17" x14ac:dyDescent="0.3">
      <c r="A1489" s="1">
        <v>46197</v>
      </c>
      <c r="B1489" t="s">
        <v>3698</v>
      </c>
      <c r="C1489" t="s">
        <v>1216</v>
      </c>
      <c r="D1489" t="s">
        <v>1217</v>
      </c>
      <c r="E1489" t="s">
        <v>8</v>
      </c>
      <c r="F1489" t="s">
        <v>10</v>
      </c>
      <c r="G1489" s="16">
        <v>817</v>
      </c>
      <c r="H1489" s="16">
        <v>939.55</v>
      </c>
      <c r="I1489" s="1">
        <v>46181</v>
      </c>
      <c r="J1489">
        <v>62</v>
      </c>
      <c r="K1489" t="s">
        <v>3625</v>
      </c>
      <c r="L1489" t="s">
        <v>6006</v>
      </c>
      <c r="M1489">
        <v>0</v>
      </c>
      <c r="N1489">
        <v>224</v>
      </c>
      <c r="O1489" t="s">
        <v>1036</v>
      </c>
      <c r="P1489" s="17"/>
      <c r="Q1489" s="17" t="str">
        <f>_xlfn.XLOOKUP(Table2[[#This Row],[buyFromVendorNo]],'Next Day Scheduled'!A:A,'Pending Returns'!O:O,"NOT_FOUND")</f>
        <v>NOT_FOUND</v>
      </c>
    </row>
    <row r="1490" spans="1:17" x14ac:dyDescent="0.3">
      <c r="A1490" s="1">
        <v>46197</v>
      </c>
      <c r="B1490" t="s">
        <v>3983</v>
      </c>
      <c r="C1490" t="s">
        <v>771</v>
      </c>
      <c r="D1490" t="s">
        <v>845</v>
      </c>
      <c r="E1490" t="s">
        <v>8</v>
      </c>
      <c r="F1490" t="s">
        <v>10</v>
      </c>
      <c r="G1490" s="16">
        <v>226.25</v>
      </c>
      <c r="H1490" s="16">
        <v>260.1875</v>
      </c>
      <c r="I1490" s="1">
        <v>46191</v>
      </c>
      <c r="J1490">
        <v>62</v>
      </c>
      <c r="K1490" t="s">
        <v>3984</v>
      </c>
      <c r="L1490" t="s">
        <v>5986</v>
      </c>
      <c r="M1490">
        <v>9</v>
      </c>
      <c r="N1490">
        <v>8</v>
      </c>
      <c r="O1490" t="s">
        <v>1036</v>
      </c>
      <c r="P1490" s="17"/>
      <c r="Q1490" s="17" t="str">
        <f>_xlfn.XLOOKUP(Table2[[#This Row],[buyFromVendorNo]],'Next Day Scheduled'!A:A,'Pending Returns'!O:O,"NOT_FOUND")</f>
        <v>NOT_FOUND</v>
      </c>
    </row>
    <row r="1491" spans="1:17" x14ac:dyDescent="0.3">
      <c r="A1491" s="1">
        <v>46197</v>
      </c>
      <c r="B1491" t="s">
        <v>3817</v>
      </c>
      <c r="C1491" t="s">
        <v>2348</v>
      </c>
      <c r="D1491" t="s">
        <v>2349</v>
      </c>
      <c r="E1491" t="s">
        <v>8</v>
      </c>
      <c r="F1491" t="s">
        <v>10</v>
      </c>
      <c r="G1491" s="16">
        <v>1339</v>
      </c>
      <c r="H1491" s="16">
        <v>1397.5</v>
      </c>
      <c r="I1491" s="1">
        <v>46194</v>
      </c>
      <c r="J1491">
        <v>62</v>
      </c>
      <c r="K1491" t="s">
        <v>3818</v>
      </c>
      <c r="L1491" t="s">
        <v>5987</v>
      </c>
      <c r="M1491">
        <v>6</v>
      </c>
      <c r="N1491">
        <v>12</v>
      </c>
      <c r="O1491" t="s">
        <v>1036</v>
      </c>
      <c r="P1491" s="17"/>
      <c r="Q1491" s="17" t="str">
        <f>_xlfn.XLOOKUP(Table2[[#This Row],[buyFromVendorNo]],'Next Day Scheduled'!A:A,'Pending Returns'!O:O,"NOT_FOUND")</f>
        <v>NOT_FOUND</v>
      </c>
    </row>
    <row r="1492" spans="1:17" x14ac:dyDescent="0.3">
      <c r="A1492" s="1">
        <v>46197</v>
      </c>
      <c r="B1492" t="s">
        <v>3695</v>
      </c>
      <c r="C1492" t="s">
        <v>2304</v>
      </c>
      <c r="D1492" t="s">
        <v>2305</v>
      </c>
      <c r="E1492" t="s">
        <v>8</v>
      </c>
      <c r="F1492" t="s">
        <v>10</v>
      </c>
      <c r="G1492" s="16">
        <v>239.00366</v>
      </c>
      <c r="H1492" s="16">
        <v>274.85422</v>
      </c>
      <c r="I1492" s="1">
        <v>46177</v>
      </c>
      <c r="J1492">
        <v>62</v>
      </c>
      <c r="K1492" t="s">
        <v>3679</v>
      </c>
      <c r="L1492" t="s">
        <v>5952</v>
      </c>
      <c r="M1492">
        <v>6</v>
      </c>
      <c r="N1492">
        <v>14</v>
      </c>
      <c r="O1492" t="s">
        <v>1036</v>
      </c>
      <c r="P1492" s="17"/>
      <c r="Q1492" s="17" t="str">
        <f>_xlfn.XLOOKUP(Table2[[#This Row],[buyFromVendorNo]],'Next Day Scheduled'!A:A,'Pending Returns'!O:O,"NOT_FOUND")</f>
        <v>NOT_FOUND</v>
      </c>
    </row>
    <row r="1493" spans="1:17" x14ac:dyDescent="0.3">
      <c r="A1493" s="1">
        <v>46197</v>
      </c>
      <c r="B1493" t="s">
        <v>5684</v>
      </c>
      <c r="C1493" t="s">
        <v>2304</v>
      </c>
      <c r="D1493" t="s">
        <v>2305</v>
      </c>
      <c r="E1493" t="s">
        <v>8</v>
      </c>
      <c r="F1493" t="s">
        <v>10</v>
      </c>
      <c r="G1493" s="16">
        <v>63.917000000000002</v>
      </c>
      <c r="H1493" s="16">
        <v>73.504549999999995</v>
      </c>
      <c r="I1493" s="1">
        <v>46197</v>
      </c>
      <c r="J1493">
        <v>62</v>
      </c>
      <c r="K1493" t="s">
        <v>4735</v>
      </c>
      <c r="L1493" t="s">
        <v>5953</v>
      </c>
      <c r="M1493">
        <v>6</v>
      </c>
      <c r="N1493">
        <v>14</v>
      </c>
      <c r="O1493" t="s">
        <v>1036</v>
      </c>
      <c r="P1493" s="17"/>
      <c r="Q1493" s="17" t="str">
        <f>_xlfn.XLOOKUP(Table2[[#This Row],[buyFromVendorNo]],'Next Day Scheduled'!A:A,'Pending Returns'!O:O,"NOT_FOUND")</f>
        <v>NOT_FOUND</v>
      </c>
    </row>
    <row r="1494" spans="1:17" x14ac:dyDescent="0.3">
      <c r="A1494" s="1">
        <v>46197</v>
      </c>
      <c r="B1494" t="s">
        <v>3331</v>
      </c>
      <c r="C1494" t="s">
        <v>3149</v>
      </c>
      <c r="D1494" t="s">
        <v>3150</v>
      </c>
      <c r="E1494" t="s">
        <v>8</v>
      </c>
      <c r="F1494" t="s">
        <v>10</v>
      </c>
      <c r="G1494" s="16">
        <v>401.76965000000001</v>
      </c>
      <c r="H1494" s="16">
        <v>462.0351</v>
      </c>
      <c r="I1494" s="1">
        <v>46194</v>
      </c>
      <c r="J1494">
        <v>62</v>
      </c>
      <c r="K1494" t="s">
        <v>3198</v>
      </c>
      <c r="L1494" t="s">
        <v>5954</v>
      </c>
      <c r="M1494">
        <v>8</v>
      </c>
      <c r="N1494">
        <v>6</v>
      </c>
      <c r="O1494" t="s">
        <v>1036</v>
      </c>
      <c r="P1494" s="17"/>
      <c r="Q1494" s="17" t="str">
        <f>_xlfn.XLOOKUP(Table2[[#This Row],[buyFromVendorNo]],'Next Day Scheduled'!A:A,'Pending Returns'!O:O,"NOT_FOUND")</f>
        <v>NOT_FOUND</v>
      </c>
    </row>
    <row r="1495" spans="1:17" x14ac:dyDescent="0.3">
      <c r="A1495" s="1">
        <v>46197</v>
      </c>
      <c r="B1495" t="s">
        <v>5514</v>
      </c>
      <c r="C1495" t="s">
        <v>809</v>
      </c>
      <c r="D1495" t="s">
        <v>360</v>
      </c>
      <c r="E1495" t="s">
        <v>8</v>
      </c>
      <c r="F1495" t="s">
        <v>10</v>
      </c>
      <c r="G1495" s="16">
        <v>407.7</v>
      </c>
      <c r="H1495" s="16">
        <v>468.85500000000002</v>
      </c>
      <c r="I1495" s="1">
        <v>46195</v>
      </c>
      <c r="J1495">
        <v>62</v>
      </c>
      <c r="K1495" t="s">
        <v>5515</v>
      </c>
      <c r="L1495" t="s">
        <v>5956</v>
      </c>
      <c r="M1495">
        <v>8</v>
      </c>
      <c r="N1495">
        <v>6</v>
      </c>
      <c r="O1495" t="s">
        <v>1036</v>
      </c>
      <c r="P1495" s="17"/>
      <c r="Q1495" s="17" t="str">
        <f>_xlfn.XLOOKUP(Table2[[#This Row],[buyFromVendorNo]],'Next Day Scheduled'!A:A,'Pending Returns'!O:O,"NOT_FOUND")</f>
        <v>Posted Credit Note</v>
      </c>
    </row>
    <row r="1496" spans="1:17" x14ac:dyDescent="0.3">
      <c r="A1496" s="1">
        <v>46197</v>
      </c>
      <c r="B1496" t="s">
        <v>5214</v>
      </c>
      <c r="C1496" t="s">
        <v>723</v>
      </c>
      <c r="D1496" t="s">
        <v>724</v>
      </c>
      <c r="E1496" t="s">
        <v>8</v>
      </c>
      <c r="F1496" t="s">
        <v>10</v>
      </c>
      <c r="G1496" s="16">
        <v>479.35</v>
      </c>
      <c r="H1496" s="16">
        <v>551.25250000000005</v>
      </c>
      <c r="I1496" s="1">
        <v>46187</v>
      </c>
      <c r="J1496">
        <v>62</v>
      </c>
      <c r="K1496" t="s">
        <v>4659</v>
      </c>
      <c r="L1496" t="s">
        <v>5995</v>
      </c>
      <c r="M1496">
        <v>8</v>
      </c>
      <c r="N1496">
        <v>8</v>
      </c>
      <c r="O1496" t="s">
        <v>1036</v>
      </c>
      <c r="P1496" s="17"/>
      <c r="Q1496" s="17" t="str">
        <f>_xlfn.XLOOKUP(Table2[[#This Row],[buyFromVendorNo]],'Next Day Scheduled'!A:A,'Pending Returns'!O:O,"NOT_FOUND")</f>
        <v>NOT_FOUND</v>
      </c>
    </row>
    <row r="1497" spans="1:17" x14ac:dyDescent="0.3">
      <c r="A1497" s="1">
        <v>46197</v>
      </c>
      <c r="B1497" t="s">
        <v>3897</v>
      </c>
      <c r="C1497" t="s">
        <v>2604</v>
      </c>
      <c r="D1497" t="s">
        <v>2605</v>
      </c>
      <c r="E1497" t="s">
        <v>8</v>
      </c>
      <c r="F1497" t="s">
        <v>10</v>
      </c>
      <c r="G1497" s="16">
        <v>189.32</v>
      </c>
      <c r="H1497" s="16">
        <v>217.71799999999999</v>
      </c>
      <c r="I1497" s="1">
        <v>46185</v>
      </c>
      <c r="J1497">
        <v>62</v>
      </c>
      <c r="K1497" t="s">
        <v>4297</v>
      </c>
      <c r="L1497" t="s">
        <v>5973</v>
      </c>
      <c r="M1497">
        <v>1</v>
      </c>
      <c r="N1497">
        <v>26</v>
      </c>
      <c r="O1497" t="s">
        <v>1036</v>
      </c>
      <c r="P1497" s="17"/>
      <c r="Q1497" s="17" t="str">
        <f>_xlfn.XLOOKUP(Table2[[#This Row],[buyFromVendorNo]],'Next Day Scheduled'!A:A,'Pending Returns'!O:O,"NOT_FOUND")</f>
        <v>NOT_FOUND</v>
      </c>
    </row>
    <row r="1498" spans="1:17" x14ac:dyDescent="0.3">
      <c r="A1498" s="1">
        <v>46197</v>
      </c>
      <c r="B1498" t="s">
        <v>4226</v>
      </c>
      <c r="C1498" t="s">
        <v>893</v>
      </c>
      <c r="D1498" t="s">
        <v>894</v>
      </c>
      <c r="E1498" t="s">
        <v>8</v>
      </c>
      <c r="F1498" t="s">
        <v>10</v>
      </c>
      <c r="G1498" s="16">
        <v>3736.95</v>
      </c>
      <c r="H1498" s="16">
        <v>4297.4926999999998</v>
      </c>
      <c r="I1498" s="1">
        <v>46183</v>
      </c>
      <c r="J1498">
        <v>62</v>
      </c>
      <c r="K1498" t="s">
        <v>2588</v>
      </c>
      <c r="L1498" t="s">
        <v>5975</v>
      </c>
      <c r="M1498">
        <v>3</v>
      </c>
      <c r="N1498">
        <v>27</v>
      </c>
      <c r="O1498" t="s">
        <v>1036</v>
      </c>
      <c r="P1498" s="17"/>
      <c r="Q1498" s="17" t="str">
        <f>_xlfn.XLOOKUP(Table2[[#This Row],[buyFromVendorNo]],'Next Day Scheduled'!A:A,'Pending Returns'!O:O,"NOT_FOUND")</f>
        <v>Posted Credit Note</v>
      </c>
    </row>
    <row r="1499" spans="1:17" x14ac:dyDescent="0.3">
      <c r="A1499" s="1">
        <v>46197</v>
      </c>
      <c r="B1499" t="s">
        <v>3547</v>
      </c>
      <c r="C1499" t="s">
        <v>564</v>
      </c>
      <c r="D1499" t="s">
        <v>565</v>
      </c>
      <c r="E1499" t="s">
        <v>8</v>
      </c>
      <c r="F1499" t="s">
        <v>10</v>
      </c>
      <c r="G1499" s="16">
        <v>20</v>
      </c>
      <c r="H1499" s="16">
        <v>23</v>
      </c>
      <c r="I1499" s="1">
        <v>46197</v>
      </c>
      <c r="J1499">
        <v>62</v>
      </c>
      <c r="K1499" t="s">
        <v>5501</v>
      </c>
      <c r="L1499" t="s">
        <v>5976</v>
      </c>
      <c r="M1499">
        <v>6</v>
      </c>
      <c r="N1499">
        <v>10</v>
      </c>
      <c r="O1499" t="s">
        <v>1036</v>
      </c>
      <c r="P1499" s="17"/>
      <c r="Q1499" s="17" t="str">
        <f>_xlfn.XLOOKUP(Table2[[#This Row],[buyFromVendorNo]],'Next Day Scheduled'!A:A,'Pending Returns'!O:O,"NOT_FOUND")</f>
        <v>Posted Credit Note</v>
      </c>
    </row>
    <row r="1500" spans="1:17" x14ac:dyDescent="0.3">
      <c r="A1500" s="1">
        <v>46197</v>
      </c>
      <c r="B1500" t="s">
        <v>1731</v>
      </c>
      <c r="C1500" t="s">
        <v>769</v>
      </c>
      <c r="D1500" t="s">
        <v>770</v>
      </c>
      <c r="E1500" t="s">
        <v>8</v>
      </c>
      <c r="F1500" t="s">
        <v>10</v>
      </c>
      <c r="G1500" s="16">
        <v>3733.2</v>
      </c>
      <c r="H1500" s="16">
        <v>4293.18</v>
      </c>
      <c r="I1500" s="1">
        <v>46183</v>
      </c>
      <c r="J1500">
        <v>62</v>
      </c>
      <c r="K1500" t="s">
        <v>1753</v>
      </c>
      <c r="L1500" t="s">
        <v>5980</v>
      </c>
      <c r="M1500">
        <v>8</v>
      </c>
      <c r="N1500">
        <v>1</v>
      </c>
      <c r="O1500" t="s">
        <v>1036</v>
      </c>
      <c r="P1500" s="17"/>
      <c r="Q1500" s="17" t="str">
        <f>_xlfn.XLOOKUP(Table2[[#This Row],[buyFromVendorNo]],'Next Day Scheduled'!A:A,'Pending Returns'!O:O,"NOT_FOUND")</f>
        <v>NOT_FOUND</v>
      </c>
    </row>
    <row r="1501" spans="1:17" x14ac:dyDescent="0.3">
      <c r="A1501" s="1">
        <v>46197</v>
      </c>
      <c r="B1501" t="s">
        <v>2573</v>
      </c>
      <c r="C1501" t="s">
        <v>771</v>
      </c>
      <c r="D1501" t="s">
        <v>845</v>
      </c>
      <c r="E1501" t="s">
        <v>8</v>
      </c>
      <c r="F1501" t="s">
        <v>10</v>
      </c>
      <c r="G1501" s="16">
        <v>198.5</v>
      </c>
      <c r="H1501" s="16">
        <v>228.27500000000001</v>
      </c>
      <c r="I1501" s="1">
        <v>46175</v>
      </c>
      <c r="J1501">
        <v>62</v>
      </c>
      <c r="K1501" t="s">
        <v>2492</v>
      </c>
      <c r="L1501" t="s">
        <v>6001</v>
      </c>
      <c r="M1501">
        <v>9</v>
      </c>
      <c r="N1501">
        <v>8</v>
      </c>
      <c r="O1501" t="s">
        <v>1036</v>
      </c>
      <c r="P1501" s="17"/>
      <c r="Q1501" s="17" t="str">
        <f>_xlfn.XLOOKUP(Table2[[#This Row],[buyFromVendorNo]],'Next Day Scheduled'!A:A,'Pending Returns'!O:O,"NOT_FOUND")</f>
        <v>NOT_FOUND</v>
      </c>
    </row>
    <row r="1502" spans="1:17" x14ac:dyDescent="0.3">
      <c r="A1502" s="1">
        <v>46197</v>
      </c>
      <c r="B1502" t="s">
        <v>3411</v>
      </c>
      <c r="C1502" t="s">
        <v>769</v>
      </c>
      <c r="D1502" t="s">
        <v>770</v>
      </c>
      <c r="E1502" t="s">
        <v>8</v>
      </c>
      <c r="F1502" t="s">
        <v>10</v>
      </c>
      <c r="G1502" s="16">
        <v>1288.3</v>
      </c>
      <c r="H1502" s="16">
        <v>1481.5450000000001</v>
      </c>
      <c r="I1502" s="1">
        <v>46183</v>
      </c>
      <c r="J1502">
        <v>62</v>
      </c>
      <c r="K1502" t="s">
        <v>3412</v>
      </c>
      <c r="L1502" t="s">
        <v>5985</v>
      </c>
      <c r="M1502">
        <v>8</v>
      </c>
      <c r="N1502">
        <v>1</v>
      </c>
      <c r="O1502" t="s">
        <v>1036</v>
      </c>
      <c r="P1502" s="17"/>
      <c r="Q1502" s="17" t="str">
        <f>_xlfn.XLOOKUP(Table2[[#This Row],[buyFromVendorNo]],'Next Day Scheduled'!A:A,'Pending Returns'!O:O,"NOT_FOUND")</f>
        <v>NOT_FOUND</v>
      </c>
    </row>
    <row r="1503" spans="1:17" x14ac:dyDescent="0.3">
      <c r="A1503" s="1">
        <v>46197</v>
      </c>
      <c r="B1503" t="s">
        <v>3394</v>
      </c>
      <c r="C1503" t="s">
        <v>1913</v>
      </c>
      <c r="D1503" t="s">
        <v>1914</v>
      </c>
      <c r="E1503" t="s">
        <v>8</v>
      </c>
      <c r="F1503" t="s">
        <v>10</v>
      </c>
      <c r="G1503" s="16">
        <v>209.38</v>
      </c>
      <c r="H1503" s="16">
        <v>240.78700000000001</v>
      </c>
      <c r="I1503" s="1">
        <v>46188</v>
      </c>
      <c r="J1503">
        <v>62</v>
      </c>
      <c r="K1503" t="s">
        <v>4381</v>
      </c>
      <c r="L1503" t="s">
        <v>5965</v>
      </c>
      <c r="M1503">
        <v>2</v>
      </c>
      <c r="N1503">
        <v>47</v>
      </c>
      <c r="O1503" t="s">
        <v>1036</v>
      </c>
      <c r="P1503" s="17"/>
      <c r="Q1503" s="17" t="str">
        <f>_xlfn.XLOOKUP(Table2[[#This Row],[buyFromVendorNo]],'Next Day Scheduled'!A:A,'Pending Returns'!O:O,"NOT_FOUND")</f>
        <v>NOT_FOUND</v>
      </c>
    </row>
    <row r="1504" spans="1:17" x14ac:dyDescent="0.3">
      <c r="A1504" s="1">
        <v>46197</v>
      </c>
      <c r="B1504" t="s">
        <v>3898</v>
      </c>
      <c r="C1504" t="s">
        <v>2262</v>
      </c>
      <c r="D1504" t="s">
        <v>2470</v>
      </c>
      <c r="E1504" t="s">
        <v>8</v>
      </c>
      <c r="F1504" t="s">
        <v>10</v>
      </c>
      <c r="G1504" s="16">
        <v>123.31</v>
      </c>
      <c r="H1504" s="16">
        <v>133.79650000000001</v>
      </c>
      <c r="I1504" s="1">
        <v>46190</v>
      </c>
      <c r="J1504">
        <v>62</v>
      </c>
      <c r="K1504" t="s">
        <v>4642</v>
      </c>
      <c r="L1504" t="s">
        <v>6026</v>
      </c>
      <c r="M1504">
        <v>8</v>
      </c>
      <c r="N1504">
        <v>6</v>
      </c>
      <c r="O1504" t="s">
        <v>1036</v>
      </c>
      <c r="P1504" s="17"/>
      <c r="Q1504" s="17" t="str">
        <f>_xlfn.XLOOKUP(Table2[[#This Row],[buyFromVendorNo]],'Next Day Scheduled'!A:A,'Pending Returns'!O:O,"NOT_FOUND")</f>
        <v>NOT_FOUND</v>
      </c>
    </row>
    <row r="1505" spans="1:17" x14ac:dyDescent="0.3">
      <c r="A1505" s="1">
        <v>46197</v>
      </c>
      <c r="B1505" t="s">
        <v>4194</v>
      </c>
      <c r="C1505" t="s">
        <v>1913</v>
      </c>
      <c r="D1505" t="s">
        <v>1914</v>
      </c>
      <c r="E1505" t="s">
        <v>8</v>
      </c>
      <c r="F1505" t="s">
        <v>10</v>
      </c>
      <c r="G1505" s="16">
        <v>196.16</v>
      </c>
      <c r="H1505" s="16">
        <v>225.584</v>
      </c>
      <c r="I1505" s="1">
        <v>46188</v>
      </c>
      <c r="J1505">
        <v>62</v>
      </c>
      <c r="K1505" t="s">
        <v>4754</v>
      </c>
      <c r="L1505" t="s">
        <v>6005</v>
      </c>
      <c r="M1505">
        <v>2</v>
      </c>
      <c r="N1505">
        <v>47</v>
      </c>
      <c r="O1505" t="s">
        <v>1036</v>
      </c>
      <c r="P1505" s="17"/>
      <c r="Q1505" s="17" t="str">
        <f>_xlfn.XLOOKUP(Table2[[#This Row],[buyFromVendorNo]],'Next Day Scheduled'!A:A,'Pending Returns'!O:O,"NOT_FOUND")</f>
        <v>NOT_FOUND</v>
      </c>
    </row>
    <row r="1506" spans="1:17" x14ac:dyDescent="0.3">
      <c r="A1506" s="1">
        <v>46197</v>
      </c>
      <c r="B1506" t="s">
        <v>269</v>
      </c>
      <c r="C1506" t="s">
        <v>57</v>
      </c>
      <c r="D1506" t="s">
        <v>58</v>
      </c>
      <c r="E1506" t="s">
        <v>8</v>
      </c>
      <c r="F1506" t="s">
        <v>10</v>
      </c>
      <c r="G1506" s="16">
        <v>139.1</v>
      </c>
      <c r="H1506" s="16">
        <v>159.965</v>
      </c>
      <c r="I1506" s="1">
        <v>46197</v>
      </c>
      <c r="J1506">
        <v>62</v>
      </c>
      <c r="K1506" t="s">
        <v>4945</v>
      </c>
      <c r="L1506" t="s">
        <v>5948</v>
      </c>
      <c r="M1506">
        <v>7</v>
      </c>
      <c r="N1506">
        <v>8</v>
      </c>
      <c r="O1506" t="s">
        <v>1036</v>
      </c>
      <c r="P1506" s="17"/>
      <c r="Q1506" s="17" t="str">
        <f>_xlfn.XLOOKUP(Table2[[#This Row],[buyFromVendorNo]],'Next Day Scheduled'!A:A,'Pending Returns'!O:O,"NOT_FOUND")</f>
        <v>Posted Credit Note</v>
      </c>
    </row>
    <row r="1507" spans="1:17" x14ac:dyDescent="0.3">
      <c r="A1507" s="1">
        <v>46197</v>
      </c>
      <c r="B1507" t="s">
        <v>3800</v>
      </c>
      <c r="C1507" t="s">
        <v>1913</v>
      </c>
      <c r="D1507" t="s">
        <v>1914</v>
      </c>
      <c r="E1507" t="s">
        <v>8</v>
      </c>
      <c r="F1507" t="s">
        <v>10</v>
      </c>
      <c r="G1507" s="16">
        <v>296.69</v>
      </c>
      <c r="H1507" s="16">
        <v>341.19349999999997</v>
      </c>
      <c r="I1507" s="1">
        <v>46188</v>
      </c>
      <c r="J1507">
        <v>62</v>
      </c>
      <c r="K1507" t="s">
        <v>3801</v>
      </c>
      <c r="L1507" t="s">
        <v>6008</v>
      </c>
      <c r="M1507">
        <v>2</v>
      </c>
      <c r="N1507">
        <v>47</v>
      </c>
      <c r="O1507" t="s">
        <v>1036</v>
      </c>
      <c r="P1507" s="17"/>
      <c r="Q1507" s="17" t="str">
        <f>_xlfn.XLOOKUP(Table2[[#This Row],[buyFromVendorNo]],'Next Day Scheduled'!A:A,'Pending Returns'!O:O,"NOT_FOUND")</f>
        <v>NOT_FOUND</v>
      </c>
    </row>
    <row r="1508" spans="1:17" x14ac:dyDescent="0.3">
      <c r="A1508" s="1">
        <v>46197</v>
      </c>
      <c r="B1508" t="s">
        <v>4147</v>
      </c>
      <c r="C1508" t="s">
        <v>1913</v>
      </c>
      <c r="D1508" t="s">
        <v>1914</v>
      </c>
      <c r="E1508" t="s">
        <v>8</v>
      </c>
      <c r="F1508" t="s">
        <v>10</v>
      </c>
      <c r="G1508" s="16">
        <v>57.74</v>
      </c>
      <c r="H1508" s="16">
        <v>66.400999999999996</v>
      </c>
      <c r="I1508" s="1">
        <v>46188</v>
      </c>
      <c r="J1508">
        <v>62</v>
      </c>
      <c r="K1508" t="s">
        <v>4133</v>
      </c>
      <c r="L1508" t="s">
        <v>5950</v>
      </c>
      <c r="M1508">
        <v>2</v>
      </c>
      <c r="N1508">
        <v>47</v>
      </c>
      <c r="O1508" t="s">
        <v>1036</v>
      </c>
      <c r="P1508" s="17"/>
      <c r="Q1508" s="17" t="str">
        <f>_xlfn.XLOOKUP(Table2[[#This Row],[buyFromVendorNo]],'Next Day Scheduled'!A:A,'Pending Returns'!O:O,"NOT_FOUND")</f>
        <v>NOT_FOUND</v>
      </c>
    </row>
    <row r="1509" spans="1:17" x14ac:dyDescent="0.3">
      <c r="A1509" s="1">
        <v>46197</v>
      </c>
      <c r="B1509" t="s">
        <v>642</v>
      </c>
      <c r="C1509" t="s">
        <v>656</v>
      </c>
      <c r="D1509" t="s">
        <v>657</v>
      </c>
      <c r="E1509" t="s">
        <v>8</v>
      </c>
      <c r="F1509" t="s">
        <v>38</v>
      </c>
      <c r="G1509" s="16">
        <v>369</v>
      </c>
      <c r="H1509" s="16">
        <v>424.35</v>
      </c>
      <c r="I1509" s="1">
        <v>46184</v>
      </c>
      <c r="J1509">
        <v>62</v>
      </c>
      <c r="K1509" t="s">
        <v>658</v>
      </c>
      <c r="L1509" t="s">
        <v>5967</v>
      </c>
      <c r="M1509">
        <v>0</v>
      </c>
      <c r="N1509">
        <v>198</v>
      </c>
      <c r="O1509" t="s">
        <v>1036</v>
      </c>
      <c r="P1509" s="17"/>
      <c r="Q1509" s="17" t="str">
        <f>_xlfn.XLOOKUP(Table2[[#This Row],[buyFromVendorNo]],'Next Day Scheduled'!A:A,'Pending Returns'!O:O,"NOT_FOUND")</f>
        <v>NOT_FOUND</v>
      </c>
    </row>
    <row r="1510" spans="1:17" x14ac:dyDescent="0.3">
      <c r="A1510" s="1">
        <v>46197</v>
      </c>
      <c r="B1510" t="s">
        <v>1558</v>
      </c>
      <c r="C1510" t="s">
        <v>2121</v>
      </c>
      <c r="D1510" t="s">
        <v>2122</v>
      </c>
      <c r="E1510" t="s">
        <v>8</v>
      </c>
      <c r="F1510" t="s">
        <v>10</v>
      </c>
      <c r="G1510" s="16">
        <v>141.74997999999999</v>
      </c>
      <c r="H1510" s="16">
        <v>163.01249999999999</v>
      </c>
      <c r="I1510" s="1">
        <v>46195</v>
      </c>
      <c r="J1510">
        <v>62</v>
      </c>
      <c r="K1510" t="s">
        <v>5389</v>
      </c>
      <c r="L1510" t="s">
        <v>5989</v>
      </c>
      <c r="M1510">
        <v>5</v>
      </c>
      <c r="N1510">
        <v>22</v>
      </c>
      <c r="O1510" t="s">
        <v>1036</v>
      </c>
      <c r="P1510" s="17"/>
      <c r="Q1510" s="17" t="str">
        <f>_xlfn.XLOOKUP(Table2[[#This Row],[buyFromVendorNo]],'Next Day Scheduled'!A:A,'Pending Returns'!O:O,"NOT_FOUND")</f>
        <v>NOT_FOUND</v>
      </c>
    </row>
    <row r="1511" spans="1:17" x14ac:dyDescent="0.3">
      <c r="A1511" s="1">
        <v>46197</v>
      </c>
      <c r="B1511" t="s">
        <v>3318</v>
      </c>
      <c r="C1511" t="s">
        <v>191</v>
      </c>
      <c r="D1511" t="s">
        <v>192</v>
      </c>
      <c r="E1511" t="s">
        <v>8</v>
      </c>
      <c r="F1511" t="s">
        <v>10</v>
      </c>
      <c r="G1511" s="16">
        <v>2557.8193000000001</v>
      </c>
      <c r="H1511" s="16">
        <v>2941.4922000000001</v>
      </c>
      <c r="I1511" s="1">
        <v>46193</v>
      </c>
      <c r="J1511">
        <v>62</v>
      </c>
      <c r="K1511" t="s">
        <v>4392</v>
      </c>
      <c r="L1511" t="s">
        <v>5992</v>
      </c>
      <c r="M1511">
        <v>9</v>
      </c>
      <c r="N1511">
        <v>3</v>
      </c>
      <c r="O1511" t="s">
        <v>1036</v>
      </c>
      <c r="P1511" s="17"/>
      <c r="Q1511" s="17" t="str">
        <f>_xlfn.XLOOKUP(Table2[[#This Row],[buyFromVendorNo]],'Next Day Scheduled'!A:A,'Pending Returns'!O:O,"NOT_FOUND")</f>
        <v>NOT_FOUND</v>
      </c>
    </row>
    <row r="1512" spans="1:17" x14ac:dyDescent="0.3">
      <c r="A1512" s="1">
        <v>46197</v>
      </c>
      <c r="B1512" t="s">
        <v>245</v>
      </c>
      <c r="C1512" t="s">
        <v>297</v>
      </c>
      <c r="D1512" t="s">
        <v>298</v>
      </c>
      <c r="E1512" t="s">
        <v>8</v>
      </c>
      <c r="F1512" t="s">
        <v>10</v>
      </c>
      <c r="G1512" s="16">
        <v>1760.76</v>
      </c>
      <c r="H1512" s="16">
        <v>2024.874</v>
      </c>
      <c r="I1512" s="1">
        <v>46188</v>
      </c>
      <c r="J1512">
        <v>62</v>
      </c>
      <c r="K1512" t="s">
        <v>2453</v>
      </c>
      <c r="L1512" t="s">
        <v>5993</v>
      </c>
      <c r="M1512">
        <v>9</v>
      </c>
      <c r="N1512">
        <v>7</v>
      </c>
      <c r="O1512" t="s">
        <v>1036</v>
      </c>
      <c r="P1512" s="17"/>
      <c r="Q1512" s="17" t="str">
        <f>_xlfn.XLOOKUP(Table2[[#This Row],[buyFromVendorNo]],'Next Day Scheduled'!A:A,'Pending Returns'!O:O,"NOT_FOUND")</f>
        <v>NOT_FOUND</v>
      </c>
    </row>
    <row r="1513" spans="1:17" x14ac:dyDescent="0.3">
      <c r="A1513" s="1">
        <v>46197</v>
      </c>
      <c r="B1513" t="s">
        <v>1706</v>
      </c>
      <c r="C1513" t="s">
        <v>919</v>
      </c>
      <c r="D1513" t="s">
        <v>920</v>
      </c>
      <c r="E1513" t="s">
        <v>8</v>
      </c>
      <c r="F1513" t="s">
        <v>10</v>
      </c>
      <c r="G1513" s="16">
        <v>603.50653</v>
      </c>
      <c r="H1513" s="16">
        <v>694.03252999999995</v>
      </c>
      <c r="J1513">
        <v>62</v>
      </c>
      <c r="K1513" t="s">
        <v>5959</v>
      </c>
      <c r="M1513">
        <v>1</v>
      </c>
      <c r="N1513">
        <v>56</v>
      </c>
      <c r="O1513" t="s">
        <v>216</v>
      </c>
      <c r="P1513" s="17"/>
      <c r="Q1513" s="17" t="str">
        <f>_xlfn.XLOOKUP(Table2[[#This Row],[buyFromVendorNo]],'Next Day Scheduled'!A:A,'Pending Returns'!O:O,"NOT_FOUND")</f>
        <v>NOT_FOUND</v>
      </c>
    </row>
    <row r="1514" spans="1:17" x14ac:dyDescent="0.3">
      <c r="A1514" s="1">
        <v>46197</v>
      </c>
      <c r="B1514" t="s">
        <v>2522</v>
      </c>
      <c r="C1514" t="s">
        <v>893</v>
      </c>
      <c r="D1514" t="s">
        <v>894</v>
      </c>
      <c r="E1514" t="s">
        <v>8</v>
      </c>
      <c r="F1514" t="s">
        <v>10</v>
      </c>
      <c r="G1514" s="16">
        <v>1705.85</v>
      </c>
      <c r="H1514" s="16">
        <v>1961.7275</v>
      </c>
      <c r="I1514" s="1">
        <v>46183</v>
      </c>
      <c r="J1514">
        <v>62</v>
      </c>
      <c r="K1514" t="s">
        <v>2491</v>
      </c>
      <c r="L1514" t="s">
        <v>6018</v>
      </c>
      <c r="M1514">
        <v>3</v>
      </c>
      <c r="N1514">
        <v>27</v>
      </c>
      <c r="O1514" t="s">
        <v>1036</v>
      </c>
      <c r="P1514" s="17"/>
      <c r="Q1514" s="17" t="str">
        <f>_xlfn.XLOOKUP(Table2[[#This Row],[buyFromVendorNo]],'Next Day Scheduled'!A:A,'Pending Returns'!O:O,"NOT_FOUND")</f>
        <v>Posted Credit Note</v>
      </c>
    </row>
    <row r="1515" spans="1:17" x14ac:dyDescent="0.3">
      <c r="A1515" s="1">
        <v>46197</v>
      </c>
      <c r="B1515" t="s">
        <v>3435</v>
      </c>
      <c r="C1515" t="s">
        <v>809</v>
      </c>
      <c r="D1515" t="s">
        <v>360</v>
      </c>
      <c r="E1515" t="s">
        <v>8</v>
      </c>
      <c r="F1515" t="s">
        <v>10</v>
      </c>
      <c r="G1515" s="16">
        <v>1891.1876999999999</v>
      </c>
      <c r="H1515" s="16">
        <v>2174.866</v>
      </c>
      <c r="I1515" s="1">
        <v>46195</v>
      </c>
      <c r="J1515">
        <v>62</v>
      </c>
      <c r="K1515" t="s">
        <v>4846</v>
      </c>
      <c r="L1515" t="s">
        <v>5955</v>
      </c>
      <c r="M1515">
        <v>8</v>
      </c>
      <c r="N1515">
        <v>6</v>
      </c>
      <c r="O1515" t="s">
        <v>1036</v>
      </c>
      <c r="P1515" s="17"/>
      <c r="Q1515" s="17" t="str">
        <f>_xlfn.XLOOKUP(Table2[[#This Row],[buyFromVendorNo]],'Next Day Scheduled'!A:A,'Pending Returns'!O:O,"NOT_FOUND")</f>
        <v>Posted Credit Note</v>
      </c>
    </row>
    <row r="1516" spans="1:17" x14ac:dyDescent="0.3">
      <c r="A1516" s="1">
        <v>46197</v>
      </c>
      <c r="B1516" t="s">
        <v>3969</v>
      </c>
      <c r="C1516" t="s">
        <v>2348</v>
      </c>
      <c r="D1516" t="s">
        <v>2349</v>
      </c>
      <c r="E1516" t="s">
        <v>8</v>
      </c>
      <c r="F1516" t="s">
        <v>10</v>
      </c>
      <c r="G1516" s="16">
        <v>531</v>
      </c>
      <c r="H1516" s="16">
        <v>550.5</v>
      </c>
      <c r="I1516" s="1">
        <v>46194</v>
      </c>
      <c r="J1516">
        <v>62</v>
      </c>
      <c r="K1516" t="s">
        <v>4567</v>
      </c>
      <c r="L1516" t="s">
        <v>5996</v>
      </c>
      <c r="M1516">
        <v>6</v>
      </c>
      <c r="N1516">
        <v>12</v>
      </c>
      <c r="O1516" t="s">
        <v>1036</v>
      </c>
      <c r="P1516" s="17"/>
      <c r="Q1516" s="17" t="str">
        <f>_xlfn.XLOOKUP(Table2[[#This Row],[buyFromVendorNo]],'Next Day Scheduled'!A:A,'Pending Returns'!O:O,"NOT_FOUND")</f>
        <v>NOT_FOUND</v>
      </c>
    </row>
    <row r="1517" spans="1:17" x14ac:dyDescent="0.3">
      <c r="A1517" s="1">
        <v>46197</v>
      </c>
      <c r="B1517" t="s">
        <v>1435</v>
      </c>
      <c r="C1517" t="s">
        <v>935</v>
      </c>
      <c r="D1517" t="s">
        <v>936</v>
      </c>
      <c r="E1517" t="s">
        <v>8</v>
      </c>
      <c r="F1517" t="s">
        <v>10</v>
      </c>
      <c r="G1517" s="16">
        <v>577</v>
      </c>
      <c r="H1517" s="16">
        <v>663.55</v>
      </c>
      <c r="I1517" s="1">
        <v>46188</v>
      </c>
      <c r="J1517">
        <v>62</v>
      </c>
      <c r="K1517" t="s">
        <v>4644</v>
      </c>
      <c r="L1517" t="s">
        <v>5960</v>
      </c>
      <c r="M1517">
        <v>8</v>
      </c>
      <c r="N1517">
        <v>6</v>
      </c>
      <c r="O1517" t="s">
        <v>1036</v>
      </c>
      <c r="P1517" s="17"/>
      <c r="Q1517" s="17" t="str">
        <f>_xlfn.XLOOKUP(Table2[[#This Row],[buyFromVendorNo]],'Next Day Scheduled'!A:A,'Pending Returns'!O:O,"NOT_FOUND")</f>
        <v>NOT_FOUND</v>
      </c>
    </row>
    <row r="1518" spans="1:17" x14ac:dyDescent="0.3">
      <c r="A1518" s="1">
        <v>46197</v>
      </c>
      <c r="B1518" t="s">
        <v>3779</v>
      </c>
      <c r="C1518" t="s">
        <v>859</v>
      </c>
      <c r="D1518" t="s">
        <v>860</v>
      </c>
      <c r="E1518" t="s">
        <v>8</v>
      </c>
      <c r="F1518" t="s">
        <v>10</v>
      </c>
      <c r="G1518" s="16">
        <v>72.5</v>
      </c>
      <c r="H1518" s="16">
        <v>83.375</v>
      </c>
      <c r="I1518" s="1">
        <v>46195</v>
      </c>
      <c r="J1518">
        <v>62</v>
      </c>
      <c r="K1518" t="s">
        <v>5031</v>
      </c>
      <c r="L1518" t="s">
        <v>6023</v>
      </c>
      <c r="M1518">
        <v>10</v>
      </c>
      <c r="N1518">
        <v>6</v>
      </c>
      <c r="O1518" t="s">
        <v>1036</v>
      </c>
      <c r="P1518" s="17"/>
      <c r="Q1518" s="17" t="str">
        <f>_xlfn.XLOOKUP(Table2[[#This Row],[buyFromVendorNo]],'Next Day Scheduled'!A:A,'Pending Returns'!O:O,"NOT_FOUND")</f>
        <v>NOT_FOUND</v>
      </c>
    </row>
    <row r="1519" spans="1:17" x14ac:dyDescent="0.3">
      <c r="A1519" s="1">
        <v>46197</v>
      </c>
      <c r="B1519" t="s">
        <v>5165</v>
      </c>
      <c r="C1519" t="s">
        <v>701</v>
      </c>
      <c r="D1519" t="s">
        <v>702</v>
      </c>
      <c r="E1519" t="s">
        <v>8</v>
      </c>
      <c r="F1519" t="s">
        <v>10</v>
      </c>
      <c r="G1519" s="16">
        <v>1680.7503999999999</v>
      </c>
      <c r="H1519" s="16">
        <v>1932.8629000000001</v>
      </c>
      <c r="I1519" s="1">
        <v>46174</v>
      </c>
      <c r="J1519">
        <v>62</v>
      </c>
      <c r="K1519" t="s">
        <v>3606</v>
      </c>
      <c r="L1519" t="s">
        <v>5981</v>
      </c>
      <c r="M1519">
        <v>0</v>
      </c>
      <c r="N1519">
        <v>149</v>
      </c>
      <c r="O1519" t="s">
        <v>1036</v>
      </c>
      <c r="P1519" s="17"/>
      <c r="Q1519" s="17" t="str">
        <f>_xlfn.XLOOKUP(Table2[[#This Row],[buyFromVendorNo]],'Next Day Scheduled'!A:A,'Pending Returns'!O:O,"NOT_FOUND")</f>
        <v>Posted Credit Note</v>
      </c>
    </row>
    <row r="1520" spans="1:17" x14ac:dyDescent="0.3">
      <c r="A1520" s="1">
        <v>46197</v>
      </c>
      <c r="B1520" t="s">
        <v>4235</v>
      </c>
      <c r="C1520" t="s">
        <v>771</v>
      </c>
      <c r="D1520" t="s">
        <v>845</v>
      </c>
      <c r="E1520" t="s">
        <v>8</v>
      </c>
      <c r="F1520" t="s">
        <v>10</v>
      </c>
      <c r="G1520" s="16">
        <v>202.5</v>
      </c>
      <c r="H1520" s="16">
        <v>232.875</v>
      </c>
      <c r="I1520" s="1">
        <v>46191</v>
      </c>
      <c r="J1520">
        <v>62</v>
      </c>
      <c r="K1520" t="s">
        <v>4236</v>
      </c>
      <c r="L1520" t="s">
        <v>5964</v>
      </c>
      <c r="M1520">
        <v>9</v>
      </c>
      <c r="N1520">
        <v>8</v>
      </c>
      <c r="O1520" t="s">
        <v>1036</v>
      </c>
      <c r="P1520" s="17"/>
      <c r="Q1520" s="17" t="str">
        <f>_xlfn.XLOOKUP(Table2[[#This Row],[buyFromVendorNo]],'Next Day Scheduled'!A:A,'Pending Returns'!O:O,"NOT_FOUND")</f>
        <v>NOT_FOUND</v>
      </c>
    </row>
    <row r="1521" spans="1:17" x14ac:dyDescent="0.3">
      <c r="A1521" s="1">
        <v>46198</v>
      </c>
      <c r="B1521" t="s">
        <v>5182</v>
      </c>
      <c r="C1521" t="s">
        <v>2337</v>
      </c>
      <c r="D1521" t="s">
        <v>2338</v>
      </c>
      <c r="E1521" t="s">
        <v>8</v>
      </c>
      <c r="F1521" t="s">
        <v>10</v>
      </c>
      <c r="G1521" s="16">
        <v>830.95590000000004</v>
      </c>
      <c r="H1521" s="16">
        <v>955.59929999999997</v>
      </c>
      <c r="I1521" s="1">
        <v>46177</v>
      </c>
      <c r="J1521">
        <v>61</v>
      </c>
      <c r="K1521" t="s">
        <v>4110</v>
      </c>
      <c r="L1521" t="s">
        <v>6068</v>
      </c>
      <c r="M1521">
        <v>9</v>
      </c>
      <c r="N1521">
        <v>5</v>
      </c>
      <c r="O1521" t="s">
        <v>1036</v>
      </c>
      <c r="P1521" s="17"/>
      <c r="Q1521" s="17" t="str">
        <f>_xlfn.XLOOKUP(Table2[[#This Row],[buyFromVendorNo]],'Next Day Scheduled'!A:A,'Pending Returns'!O:O,"NOT_FOUND")</f>
        <v>NOT_FOUND</v>
      </c>
    </row>
    <row r="1522" spans="1:17" x14ac:dyDescent="0.3">
      <c r="A1522" s="1">
        <v>46198</v>
      </c>
      <c r="B1522" t="s">
        <v>1493</v>
      </c>
      <c r="C1522" t="s">
        <v>79</v>
      </c>
      <c r="D1522" t="s">
        <v>80</v>
      </c>
      <c r="E1522" t="s">
        <v>8</v>
      </c>
      <c r="F1522" t="s">
        <v>10</v>
      </c>
      <c r="G1522" s="16">
        <v>3285.3984</v>
      </c>
      <c r="H1522" s="16">
        <v>3778.2082999999998</v>
      </c>
      <c r="I1522" s="1">
        <v>46196</v>
      </c>
      <c r="J1522">
        <v>61</v>
      </c>
      <c r="K1522" t="s">
        <v>4030</v>
      </c>
      <c r="L1522" t="s">
        <v>6069</v>
      </c>
      <c r="M1522">
        <v>8</v>
      </c>
      <c r="N1522">
        <v>2</v>
      </c>
      <c r="O1522" t="s">
        <v>1036</v>
      </c>
      <c r="P1522" s="17"/>
      <c r="Q1522" s="17" t="str">
        <f>_xlfn.XLOOKUP(Table2[[#This Row],[buyFromVendorNo]],'Next Day Scheduled'!A:A,'Pending Returns'!O:O,"NOT_FOUND")</f>
        <v>NOT_FOUND</v>
      </c>
    </row>
    <row r="1523" spans="1:17" x14ac:dyDescent="0.3">
      <c r="A1523" s="1">
        <v>46198</v>
      </c>
      <c r="B1523" t="s">
        <v>3395</v>
      </c>
      <c r="C1523" t="s">
        <v>871</v>
      </c>
      <c r="D1523" t="s">
        <v>3551</v>
      </c>
      <c r="E1523" t="s">
        <v>8</v>
      </c>
      <c r="F1523" t="s">
        <v>10</v>
      </c>
      <c r="G1523" s="16">
        <v>139.57</v>
      </c>
      <c r="H1523" s="16">
        <v>160.50550000000001</v>
      </c>
      <c r="I1523" s="1">
        <v>46190</v>
      </c>
      <c r="J1523">
        <v>61</v>
      </c>
      <c r="K1523" t="s">
        <v>4658</v>
      </c>
      <c r="L1523" t="s">
        <v>6101</v>
      </c>
      <c r="M1523">
        <v>10</v>
      </c>
      <c r="N1523">
        <v>6</v>
      </c>
      <c r="O1523" t="s">
        <v>1036</v>
      </c>
      <c r="P1523" s="17"/>
      <c r="Q1523" s="17" t="str">
        <f>_xlfn.XLOOKUP(Table2[[#This Row],[buyFromVendorNo]],'Next Day Scheduled'!A:A,'Pending Returns'!O:O,"NOT_FOUND")</f>
        <v>Posted Credit Note</v>
      </c>
    </row>
    <row r="1524" spans="1:17" x14ac:dyDescent="0.3">
      <c r="A1524" s="1">
        <v>46198</v>
      </c>
      <c r="B1524" t="s">
        <v>4272</v>
      </c>
      <c r="C1524" t="s">
        <v>771</v>
      </c>
      <c r="D1524" t="s">
        <v>845</v>
      </c>
      <c r="E1524" t="s">
        <v>8</v>
      </c>
      <c r="F1524" t="s">
        <v>10</v>
      </c>
      <c r="G1524" s="16">
        <v>66</v>
      </c>
      <c r="H1524" s="16">
        <v>75.900000000000006</v>
      </c>
      <c r="I1524" s="1">
        <v>46191</v>
      </c>
      <c r="J1524">
        <v>61</v>
      </c>
      <c r="K1524" t="s">
        <v>4273</v>
      </c>
      <c r="L1524" t="s">
        <v>6102</v>
      </c>
      <c r="M1524">
        <v>8</v>
      </c>
      <c r="N1524">
        <v>8</v>
      </c>
      <c r="O1524" t="s">
        <v>1036</v>
      </c>
      <c r="P1524" s="17"/>
      <c r="Q1524" s="17" t="str">
        <f>_xlfn.XLOOKUP(Table2[[#This Row],[buyFromVendorNo]],'Next Day Scheduled'!A:A,'Pending Returns'!O:O,"NOT_FOUND")</f>
        <v>NOT_FOUND</v>
      </c>
    </row>
    <row r="1525" spans="1:17" x14ac:dyDescent="0.3">
      <c r="A1525" s="1">
        <v>46198</v>
      </c>
      <c r="B1525" t="s">
        <v>642</v>
      </c>
      <c r="C1525" t="s">
        <v>57</v>
      </c>
      <c r="D1525" t="s">
        <v>58</v>
      </c>
      <c r="E1525" t="s">
        <v>8</v>
      </c>
      <c r="F1525" t="s">
        <v>38</v>
      </c>
      <c r="G1525" s="16">
        <v>554</v>
      </c>
      <c r="H1525" s="16">
        <v>637.1</v>
      </c>
      <c r="I1525" s="1">
        <v>46197</v>
      </c>
      <c r="J1525">
        <v>61</v>
      </c>
      <c r="K1525" t="s">
        <v>4545</v>
      </c>
      <c r="L1525" t="s">
        <v>6037</v>
      </c>
      <c r="M1525">
        <v>0</v>
      </c>
      <c r="N1525">
        <v>191</v>
      </c>
      <c r="O1525" t="s">
        <v>1036</v>
      </c>
      <c r="P1525" s="17"/>
      <c r="Q1525" s="17" t="str">
        <f>_xlfn.XLOOKUP(Table2[[#This Row],[buyFromVendorNo]],'Next Day Scheduled'!A:A,'Pending Returns'!O:O,"NOT_FOUND")</f>
        <v>Posted Credit Note</v>
      </c>
    </row>
    <row r="1526" spans="1:17" x14ac:dyDescent="0.3">
      <c r="A1526" s="1">
        <v>46198</v>
      </c>
      <c r="B1526" t="s">
        <v>3795</v>
      </c>
      <c r="C1526" t="s">
        <v>878</v>
      </c>
      <c r="D1526" t="s">
        <v>879</v>
      </c>
      <c r="E1526" t="s">
        <v>8</v>
      </c>
      <c r="F1526" t="s">
        <v>10</v>
      </c>
      <c r="G1526" s="16">
        <v>179.77600000000001</v>
      </c>
      <c r="H1526" s="16">
        <v>206.7424</v>
      </c>
      <c r="I1526" s="1">
        <v>46183</v>
      </c>
      <c r="J1526">
        <v>61</v>
      </c>
      <c r="K1526" t="s">
        <v>3796</v>
      </c>
      <c r="L1526" t="s">
        <v>6075</v>
      </c>
      <c r="M1526">
        <v>14</v>
      </c>
      <c r="N1526">
        <v>1</v>
      </c>
      <c r="O1526" t="s">
        <v>1036</v>
      </c>
      <c r="P1526" s="17"/>
      <c r="Q1526" s="17" t="str">
        <f>_xlfn.XLOOKUP(Table2[[#This Row],[buyFromVendorNo]],'Next Day Scheduled'!A:A,'Pending Returns'!O:O,"NOT_FOUND")</f>
        <v>NOT_FOUND</v>
      </c>
    </row>
    <row r="1527" spans="1:17" x14ac:dyDescent="0.3">
      <c r="A1527" s="1">
        <v>46198</v>
      </c>
      <c r="B1527" t="s">
        <v>2643</v>
      </c>
      <c r="C1527" t="s">
        <v>710</v>
      </c>
      <c r="D1527" t="s">
        <v>711</v>
      </c>
      <c r="E1527" t="s">
        <v>8</v>
      </c>
      <c r="F1527" t="s">
        <v>10</v>
      </c>
      <c r="G1527" s="16">
        <v>3049.31</v>
      </c>
      <c r="H1527" s="16">
        <v>3506.7064999999998</v>
      </c>
      <c r="I1527" s="1">
        <v>46177</v>
      </c>
      <c r="J1527">
        <v>61</v>
      </c>
      <c r="K1527" t="s">
        <v>2644</v>
      </c>
      <c r="L1527" t="s">
        <v>6077</v>
      </c>
      <c r="M1527">
        <v>8</v>
      </c>
      <c r="N1527">
        <v>1</v>
      </c>
      <c r="O1527" t="s">
        <v>1036</v>
      </c>
      <c r="P1527" s="17"/>
      <c r="Q1527" s="17" t="str">
        <f>_xlfn.XLOOKUP(Table2[[#This Row],[buyFromVendorNo]],'Next Day Scheduled'!A:A,'Pending Returns'!O:O,"NOT_FOUND")</f>
        <v>NOT_FOUND</v>
      </c>
    </row>
    <row r="1528" spans="1:17" x14ac:dyDescent="0.3">
      <c r="A1528" s="1">
        <v>46198</v>
      </c>
      <c r="B1528" t="s">
        <v>4181</v>
      </c>
      <c r="C1528" t="s">
        <v>878</v>
      </c>
      <c r="D1528" t="s">
        <v>879</v>
      </c>
      <c r="E1528" t="s">
        <v>8</v>
      </c>
      <c r="F1528" t="s">
        <v>10</v>
      </c>
      <c r="G1528" s="16">
        <v>267.82697000000002</v>
      </c>
      <c r="H1528" s="16">
        <v>308.00099999999998</v>
      </c>
      <c r="I1528" s="1">
        <v>46183</v>
      </c>
      <c r="J1528">
        <v>61</v>
      </c>
      <c r="K1528" t="s">
        <v>4134</v>
      </c>
      <c r="L1528" t="s">
        <v>6078</v>
      </c>
      <c r="M1528">
        <v>14</v>
      </c>
      <c r="N1528">
        <v>1</v>
      </c>
      <c r="O1528" t="s">
        <v>1036</v>
      </c>
      <c r="P1528" s="17"/>
      <c r="Q1528" s="17" t="str">
        <f>_xlfn.XLOOKUP(Table2[[#This Row],[buyFromVendorNo]],'Next Day Scheduled'!A:A,'Pending Returns'!O:O,"NOT_FOUND")</f>
        <v>NOT_FOUND</v>
      </c>
    </row>
    <row r="1529" spans="1:17" x14ac:dyDescent="0.3">
      <c r="A1529" s="1">
        <v>46198</v>
      </c>
      <c r="B1529" t="s">
        <v>2837</v>
      </c>
      <c r="C1529" t="s">
        <v>828</v>
      </c>
      <c r="D1529" t="s">
        <v>829</v>
      </c>
      <c r="E1529" t="s">
        <v>8</v>
      </c>
      <c r="F1529" t="s">
        <v>10</v>
      </c>
      <c r="G1529" s="16">
        <v>159.5</v>
      </c>
      <c r="H1529" s="16">
        <v>183.42500000000001</v>
      </c>
      <c r="I1529" s="1">
        <v>46198</v>
      </c>
      <c r="J1529">
        <v>61</v>
      </c>
      <c r="K1529" t="s">
        <v>4938</v>
      </c>
      <c r="L1529" t="s">
        <v>6080</v>
      </c>
      <c r="M1529">
        <v>4</v>
      </c>
      <c r="N1529">
        <v>16</v>
      </c>
      <c r="O1529" t="s">
        <v>1036</v>
      </c>
      <c r="P1529" s="17"/>
      <c r="Q1529" s="17" t="str">
        <f>_xlfn.XLOOKUP(Table2[[#This Row],[buyFromVendorNo]],'Next Day Scheduled'!A:A,'Pending Returns'!O:O,"NOT_FOUND")</f>
        <v>NOT_FOUND</v>
      </c>
    </row>
    <row r="1530" spans="1:17" x14ac:dyDescent="0.3">
      <c r="A1530" s="1">
        <v>46198</v>
      </c>
      <c r="B1530" t="s">
        <v>4175</v>
      </c>
      <c r="C1530" t="s">
        <v>841</v>
      </c>
      <c r="D1530" t="s">
        <v>842</v>
      </c>
      <c r="E1530" t="s">
        <v>8</v>
      </c>
      <c r="F1530" t="s">
        <v>10</v>
      </c>
      <c r="G1530" s="16">
        <v>59.2</v>
      </c>
      <c r="H1530" s="16">
        <v>68.08</v>
      </c>
      <c r="I1530" s="1">
        <v>46190</v>
      </c>
      <c r="J1530">
        <v>61</v>
      </c>
      <c r="K1530" t="s">
        <v>4750</v>
      </c>
      <c r="L1530" t="s">
        <v>6081</v>
      </c>
      <c r="M1530">
        <v>8</v>
      </c>
      <c r="N1530">
        <v>9</v>
      </c>
      <c r="O1530" t="s">
        <v>1036</v>
      </c>
      <c r="P1530" s="17"/>
      <c r="Q1530" s="17" t="str">
        <f>_xlfn.XLOOKUP(Table2[[#This Row],[buyFromVendorNo]],'Next Day Scheduled'!A:A,'Pending Returns'!O:O,"NOT_FOUND")</f>
        <v>Posted Credit Note</v>
      </c>
    </row>
    <row r="1531" spans="1:17" x14ac:dyDescent="0.3">
      <c r="A1531" s="1">
        <v>46198</v>
      </c>
      <c r="B1531" t="s">
        <v>5634</v>
      </c>
      <c r="C1531" t="s">
        <v>504</v>
      </c>
      <c r="D1531" t="s">
        <v>505</v>
      </c>
      <c r="E1531" t="s">
        <v>8</v>
      </c>
      <c r="F1531" t="s">
        <v>10</v>
      </c>
      <c r="G1531" s="16">
        <v>10</v>
      </c>
      <c r="H1531" s="16">
        <v>11.5</v>
      </c>
      <c r="I1531" s="1">
        <v>46198</v>
      </c>
      <c r="J1531">
        <v>61</v>
      </c>
      <c r="K1531" t="s">
        <v>5573</v>
      </c>
      <c r="L1531" t="s">
        <v>6106</v>
      </c>
      <c r="M1531">
        <v>6</v>
      </c>
      <c r="N1531">
        <v>13</v>
      </c>
      <c r="O1531" t="s">
        <v>1036</v>
      </c>
      <c r="P1531" s="17"/>
      <c r="Q1531" s="17" t="str">
        <f>_xlfn.XLOOKUP(Table2[[#This Row],[buyFromVendorNo]],'Next Day Scheduled'!A:A,'Pending Returns'!O:O,"NOT_FOUND")</f>
        <v>NOT_FOUND</v>
      </c>
    </row>
    <row r="1532" spans="1:17" x14ac:dyDescent="0.3">
      <c r="A1532" s="1">
        <v>46198</v>
      </c>
      <c r="B1532" t="s">
        <v>4694</v>
      </c>
      <c r="C1532" t="s">
        <v>464</v>
      </c>
      <c r="D1532" t="s">
        <v>465</v>
      </c>
      <c r="E1532" t="s">
        <v>8</v>
      </c>
      <c r="F1532" t="s">
        <v>10</v>
      </c>
      <c r="G1532" s="16">
        <v>951.97109999999998</v>
      </c>
      <c r="H1532" s="16">
        <v>1094.7668000000001</v>
      </c>
      <c r="I1532" s="1">
        <v>46190</v>
      </c>
      <c r="J1532">
        <v>61</v>
      </c>
      <c r="K1532" t="s">
        <v>4639</v>
      </c>
      <c r="L1532" t="s">
        <v>6107</v>
      </c>
      <c r="M1532">
        <v>9</v>
      </c>
      <c r="N1532">
        <v>6</v>
      </c>
      <c r="O1532" t="s">
        <v>1036</v>
      </c>
      <c r="P1532" s="17"/>
      <c r="Q1532" s="17" t="str">
        <f>_xlfn.XLOOKUP(Table2[[#This Row],[buyFromVendorNo]],'Next Day Scheduled'!A:A,'Pending Returns'!O:O,"NOT_FOUND")</f>
        <v>NOT_FOUND</v>
      </c>
    </row>
    <row r="1533" spans="1:17" x14ac:dyDescent="0.3">
      <c r="A1533" s="1">
        <v>46198</v>
      </c>
      <c r="B1533" t="s">
        <v>5909</v>
      </c>
      <c r="C1533" t="s">
        <v>2671</v>
      </c>
      <c r="D1533" t="s">
        <v>2672</v>
      </c>
      <c r="E1533" t="s">
        <v>8</v>
      </c>
      <c r="F1533" t="s">
        <v>10</v>
      </c>
      <c r="G1533" s="16">
        <v>38.649979999999999</v>
      </c>
      <c r="H1533" s="16">
        <v>44.447479999999999</v>
      </c>
      <c r="I1533" s="1">
        <v>46198</v>
      </c>
      <c r="J1533">
        <v>61</v>
      </c>
      <c r="K1533" t="s">
        <v>5566</v>
      </c>
      <c r="L1533" t="s">
        <v>6057</v>
      </c>
      <c r="M1533">
        <v>1</v>
      </c>
      <c r="N1533">
        <v>55</v>
      </c>
      <c r="O1533" t="s">
        <v>1036</v>
      </c>
      <c r="P1533" s="17"/>
      <c r="Q1533" s="17" t="str">
        <f>_xlfn.XLOOKUP(Table2[[#This Row],[buyFromVendorNo]],'Next Day Scheduled'!A:A,'Pending Returns'!O:O,"NOT_FOUND")</f>
        <v>NOT_FOUND</v>
      </c>
    </row>
    <row r="1534" spans="1:17" x14ac:dyDescent="0.3">
      <c r="A1534" s="1">
        <v>46198</v>
      </c>
      <c r="B1534" t="s">
        <v>5527</v>
      </c>
      <c r="C1534" t="s">
        <v>502</v>
      </c>
      <c r="D1534" t="s">
        <v>503</v>
      </c>
      <c r="E1534" t="s">
        <v>8</v>
      </c>
      <c r="F1534" t="s">
        <v>10</v>
      </c>
      <c r="G1534" s="16">
        <v>707.96</v>
      </c>
      <c r="H1534" s="16">
        <v>814.154</v>
      </c>
      <c r="I1534" s="1">
        <v>46194</v>
      </c>
      <c r="J1534">
        <v>61</v>
      </c>
      <c r="K1534" t="s">
        <v>5528</v>
      </c>
      <c r="L1534" t="s">
        <v>6043</v>
      </c>
      <c r="M1534">
        <v>3</v>
      </c>
      <c r="N1534">
        <v>1</v>
      </c>
      <c r="O1534" t="s">
        <v>1036</v>
      </c>
      <c r="P1534" s="17"/>
      <c r="Q1534" s="17" t="str">
        <f>_xlfn.XLOOKUP(Table2[[#This Row],[buyFromVendorNo]],'Next Day Scheduled'!A:A,'Pending Returns'!O:O,"NOT_FOUND")</f>
        <v>NOT_FOUND</v>
      </c>
    </row>
    <row r="1535" spans="1:17" x14ac:dyDescent="0.3">
      <c r="A1535" s="1">
        <v>46198</v>
      </c>
      <c r="B1535" t="s">
        <v>3828</v>
      </c>
      <c r="C1535" t="s">
        <v>2604</v>
      </c>
      <c r="D1535" t="s">
        <v>2605</v>
      </c>
      <c r="E1535" t="s">
        <v>8</v>
      </c>
      <c r="F1535" t="s">
        <v>10</v>
      </c>
      <c r="G1535" s="16">
        <v>29.76</v>
      </c>
      <c r="H1535" s="16">
        <v>34.223999999999997</v>
      </c>
      <c r="I1535" s="1">
        <v>46197</v>
      </c>
      <c r="J1535">
        <v>61</v>
      </c>
      <c r="K1535" t="s">
        <v>4748</v>
      </c>
      <c r="L1535" t="s">
        <v>6108</v>
      </c>
      <c r="M1535">
        <v>1</v>
      </c>
      <c r="N1535">
        <v>26</v>
      </c>
      <c r="O1535" t="s">
        <v>1036</v>
      </c>
      <c r="P1535" s="17"/>
      <c r="Q1535" s="17" t="str">
        <f>_xlfn.XLOOKUP(Table2[[#This Row],[buyFromVendorNo]],'Next Day Scheduled'!A:A,'Pending Returns'!O:O,"NOT_FOUND")</f>
        <v>NOT_FOUND</v>
      </c>
    </row>
    <row r="1536" spans="1:17" x14ac:dyDescent="0.3">
      <c r="A1536" s="1">
        <v>46198</v>
      </c>
      <c r="B1536" t="s">
        <v>2984</v>
      </c>
      <c r="C1536" t="s">
        <v>632</v>
      </c>
      <c r="D1536" t="s">
        <v>682</v>
      </c>
      <c r="E1536" t="s">
        <v>8</v>
      </c>
      <c r="F1536" t="s">
        <v>10</v>
      </c>
      <c r="G1536" s="16">
        <v>290.5</v>
      </c>
      <c r="H1536" s="16">
        <v>334.07499999999999</v>
      </c>
      <c r="I1536" s="1">
        <v>46177</v>
      </c>
      <c r="J1536">
        <v>61</v>
      </c>
      <c r="K1536" t="s">
        <v>2985</v>
      </c>
      <c r="L1536" t="s">
        <v>6110</v>
      </c>
      <c r="M1536">
        <v>8</v>
      </c>
      <c r="N1536">
        <v>1</v>
      </c>
      <c r="O1536" t="s">
        <v>1036</v>
      </c>
      <c r="P1536" s="17"/>
      <c r="Q1536" s="17" t="str">
        <f>_xlfn.XLOOKUP(Table2[[#This Row],[buyFromVendorNo]],'Next Day Scheduled'!A:A,'Pending Returns'!O:O,"NOT_FOUND")</f>
        <v>NOT_FOUND</v>
      </c>
    </row>
    <row r="1537" spans="1:17" x14ac:dyDescent="0.3">
      <c r="A1537" s="1">
        <v>46198</v>
      </c>
      <c r="B1537" t="s">
        <v>3408</v>
      </c>
      <c r="C1537" t="s">
        <v>632</v>
      </c>
      <c r="D1537" t="s">
        <v>682</v>
      </c>
      <c r="E1537" t="s">
        <v>8</v>
      </c>
      <c r="F1537" t="s">
        <v>10</v>
      </c>
      <c r="G1537" s="16">
        <v>1172.3</v>
      </c>
      <c r="H1537" s="16">
        <v>1348.145</v>
      </c>
      <c r="I1537" s="1">
        <v>46190</v>
      </c>
      <c r="J1537">
        <v>61</v>
      </c>
      <c r="K1537" t="s">
        <v>4653</v>
      </c>
      <c r="L1537" t="s">
        <v>6118</v>
      </c>
      <c r="M1537">
        <v>8</v>
      </c>
      <c r="N1537">
        <v>1</v>
      </c>
      <c r="O1537" t="s">
        <v>1036</v>
      </c>
      <c r="P1537" s="17"/>
      <c r="Q1537" s="17" t="str">
        <f>_xlfn.XLOOKUP(Table2[[#This Row],[buyFromVendorNo]],'Next Day Scheduled'!A:A,'Pending Returns'!O:O,"NOT_FOUND")</f>
        <v>NOT_FOUND</v>
      </c>
    </row>
    <row r="1538" spans="1:17" x14ac:dyDescent="0.3">
      <c r="A1538" s="1">
        <v>46198</v>
      </c>
      <c r="B1538" t="s">
        <v>3298</v>
      </c>
      <c r="C1538" t="s">
        <v>79</v>
      </c>
      <c r="D1538" t="s">
        <v>80</v>
      </c>
      <c r="E1538" t="s">
        <v>8</v>
      </c>
      <c r="F1538" t="s">
        <v>10</v>
      </c>
      <c r="G1538" s="16">
        <v>509.66214000000002</v>
      </c>
      <c r="H1538" s="16">
        <v>586.11144999999999</v>
      </c>
      <c r="I1538" s="1">
        <v>46196</v>
      </c>
      <c r="J1538">
        <v>61</v>
      </c>
      <c r="K1538" t="s">
        <v>5275</v>
      </c>
      <c r="L1538" t="s">
        <v>6091</v>
      </c>
      <c r="M1538">
        <v>8</v>
      </c>
      <c r="N1538">
        <v>2</v>
      </c>
      <c r="O1538" t="s">
        <v>1036</v>
      </c>
      <c r="P1538" s="17"/>
      <c r="Q1538" s="17" t="str">
        <f>_xlfn.XLOOKUP(Table2[[#This Row],[buyFromVendorNo]],'Next Day Scheduled'!A:A,'Pending Returns'!O:O,"NOT_FOUND")</f>
        <v>NOT_FOUND</v>
      </c>
    </row>
    <row r="1539" spans="1:17" x14ac:dyDescent="0.3">
      <c r="A1539" s="1">
        <v>46198</v>
      </c>
      <c r="B1539" t="s">
        <v>234</v>
      </c>
      <c r="C1539" t="s">
        <v>43</v>
      </c>
      <c r="D1539" t="s">
        <v>44</v>
      </c>
      <c r="E1539" t="s">
        <v>8</v>
      </c>
      <c r="F1539" t="s">
        <v>10</v>
      </c>
      <c r="G1539" s="16">
        <v>2591.2399999999998</v>
      </c>
      <c r="H1539" s="16">
        <v>2979.9259999999999</v>
      </c>
      <c r="J1539">
        <v>61</v>
      </c>
      <c r="K1539" t="s">
        <v>6059</v>
      </c>
      <c r="M1539">
        <v>18</v>
      </c>
      <c r="N1539">
        <v>2</v>
      </c>
      <c r="O1539" t="s">
        <v>216</v>
      </c>
      <c r="P1539" s="17"/>
      <c r="Q1539" s="17" t="str">
        <f>_xlfn.XLOOKUP(Table2[[#This Row],[buyFromVendorNo]],'Next Day Scheduled'!A:A,'Pending Returns'!O:O,"NOT_FOUND")</f>
        <v>Posted Credit Note</v>
      </c>
    </row>
    <row r="1540" spans="1:17" x14ac:dyDescent="0.3">
      <c r="A1540" s="1">
        <v>46198</v>
      </c>
      <c r="B1540" t="s">
        <v>4460</v>
      </c>
      <c r="C1540" t="s">
        <v>84</v>
      </c>
      <c r="D1540" t="s">
        <v>85</v>
      </c>
      <c r="E1540" t="s">
        <v>8</v>
      </c>
      <c r="F1540" t="s">
        <v>169</v>
      </c>
      <c r="G1540" s="16">
        <v>66.3</v>
      </c>
      <c r="H1540" s="16">
        <v>76.245000000000005</v>
      </c>
      <c r="I1540" s="1">
        <v>46191</v>
      </c>
      <c r="J1540">
        <v>61</v>
      </c>
      <c r="K1540" t="s">
        <v>5552</v>
      </c>
      <c r="L1540" t="s">
        <v>6094</v>
      </c>
      <c r="M1540">
        <v>9</v>
      </c>
      <c r="N1540">
        <v>3</v>
      </c>
      <c r="O1540" t="s">
        <v>1036</v>
      </c>
      <c r="P1540" s="17"/>
      <c r="Q1540" s="17" t="str">
        <f>_xlfn.XLOOKUP(Table2[[#This Row],[buyFromVendorNo]],'Next Day Scheduled'!A:A,'Pending Returns'!O:O,"NOT_FOUND")</f>
        <v>NOT_FOUND</v>
      </c>
    </row>
    <row r="1541" spans="1:17" x14ac:dyDescent="0.3">
      <c r="A1541" s="1">
        <v>46198</v>
      </c>
      <c r="B1541" t="s">
        <v>3715</v>
      </c>
      <c r="C1541" t="s">
        <v>2468</v>
      </c>
      <c r="D1541" t="s">
        <v>2469</v>
      </c>
      <c r="E1541" t="s">
        <v>8</v>
      </c>
      <c r="F1541" t="s">
        <v>169</v>
      </c>
      <c r="G1541" s="16">
        <v>239</v>
      </c>
      <c r="H1541" s="16">
        <v>274.85000000000002</v>
      </c>
      <c r="I1541" s="1">
        <v>46197</v>
      </c>
      <c r="J1541">
        <v>61</v>
      </c>
      <c r="K1541" t="s">
        <v>3377</v>
      </c>
      <c r="L1541" t="s">
        <v>6064</v>
      </c>
      <c r="M1541">
        <v>4</v>
      </c>
      <c r="N1541">
        <v>2</v>
      </c>
      <c r="O1541" t="s">
        <v>1036</v>
      </c>
      <c r="P1541" s="17"/>
      <c r="Q1541" s="17" t="str">
        <f>_xlfn.XLOOKUP(Table2[[#This Row],[buyFromVendorNo]],'Next Day Scheduled'!A:A,'Pending Returns'!O:O,"NOT_FOUND")</f>
        <v>NOT_FOUND</v>
      </c>
    </row>
    <row r="1542" spans="1:17" x14ac:dyDescent="0.3">
      <c r="A1542" s="1">
        <v>46198</v>
      </c>
      <c r="B1542" t="s">
        <v>612</v>
      </c>
      <c r="C1542" t="s">
        <v>43</v>
      </c>
      <c r="D1542" t="s">
        <v>44</v>
      </c>
      <c r="E1542" t="s">
        <v>8</v>
      </c>
      <c r="F1542" t="s">
        <v>10</v>
      </c>
      <c r="G1542" s="16">
        <v>2296.4</v>
      </c>
      <c r="H1542" s="16">
        <v>2640.86</v>
      </c>
      <c r="J1542">
        <v>61</v>
      </c>
      <c r="K1542" t="s">
        <v>6076</v>
      </c>
      <c r="M1542">
        <v>18</v>
      </c>
      <c r="N1542">
        <v>2</v>
      </c>
      <c r="O1542" t="s">
        <v>216</v>
      </c>
      <c r="P1542" s="17"/>
      <c r="Q1542" s="17" t="str">
        <f>_xlfn.XLOOKUP(Table2[[#This Row],[buyFromVendorNo]],'Next Day Scheduled'!A:A,'Pending Returns'!O:O,"NOT_FOUND")</f>
        <v>Posted Credit Note</v>
      </c>
    </row>
    <row r="1543" spans="1:17" x14ac:dyDescent="0.3">
      <c r="A1543" s="1">
        <v>46198</v>
      </c>
      <c r="B1543" t="s">
        <v>241</v>
      </c>
      <c r="C1543" t="s">
        <v>773</v>
      </c>
      <c r="D1543" t="s">
        <v>774</v>
      </c>
      <c r="E1543" t="s">
        <v>8</v>
      </c>
      <c r="F1543" t="s">
        <v>10</v>
      </c>
      <c r="G1543" s="16">
        <v>10089.9</v>
      </c>
      <c r="H1543" s="16">
        <v>11603.385</v>
      </c>
      <c r="I1543" s="1">
        <v>46196</v>
      </c>
      <c r="J1543">
        <v>61</v>
      </c>
      <c r="K1543" t="s">
        <v>2446</v>
      </c>
      <c r="L1543" t="s">
        <v>6072</v>
      </c>
      <c r="M1543">
        <v>1</v>
      </c>
      <c r="N1543">
        <v>13</v>
      </c>
      <c r="O1543" t="s">
        <v>1036</v>
      </c>
      <c r="P1543" s="17"/>
      <c r="Q1543" s="17" t="str">
        <f>_xlfn.XLOOKUP(Table2[[#This Row],[buyFromVendorNo]],'Next Day Scheduled'!A:A,'Pending Returns'!O:O,"NOT_FOUND")</f>
        <v>NOT_FOUND</v>
      </c>
    </row>
    <row r="1544" spans="1:17" x14ac:dyDescent="0.3">
      <c r="A1544" s="1">
        <v>46198</v>
      </c>
      <c r="B1544" t="s">
        <v>5330</v>
      </c>
      <c r="C1544" t="s">
        <v>65</v>
      </c>
      <c r="D1544" t="s">
        <v>66</v>
      </c>
      <c r="E1544" t="s">
        <v>8</v>
      </c>
      <c r="F1544" t="s">
        <v>10</v>
      </c>
      <c r="G1544" s="16">
        <v>1463.3689999999999</v>
      </c>
      <c r="H1544" s="16">
        <v>1682.8743999999999</v>
      </c>
      <c r="I1544" s="1">
        <v>46198</v>
      </c>
      <c r="J1544">
        <v>61</v>
      </c>
      <c r="K1544" t="s">
        <v>5053</v>
      </c>
      <c r="L1544" t="s">
        <v>6073</v>
      </c>
      <c r="M1544">
        <v>21</v>
      </c>
      <c r="N1544">
        <v>5</v>
      </c>
      <c r="O1544" t="s">
        <v>1036</v>
      </c>
      <c r="P1544" s="17"/>
      <c r="Q1544" s="17" t="str">
        <f>_xlfn.XLOOKUP(Table2[[#This Row],[buyFromVendorNo]],'Next Day Scheduled'!A:A,'Pending Returns'!O:O,"NOT_FOUND")</f>
        <v>Posted Credit Note</v>
      </c>
    </row>
    <row r="1545" spans="1:17" x14ac:dyDescent="0.3">
      <c r="A1545" s="1">
        <v>46198</v>
      </c>
      <c r="B1545" t="s">
        <v>344</v>
      </c>
      <c r="C1545" t="s">
        <v>118</v>
      </c>
      <c r="D1545" t="s">
        <v>119</v>
      </c>
      <c r="E1545" t="s">
        <v>8</v>
      </c>
      <c r="F1545" t="s">
        <v>10</v>
      </c>
      <c r="G1545" s="16">
        <v>473.69</v>
      </c>
      <c r="H1545" s="16">
        <v>544.74350000000004</v>
      </c>
      <c r="I1545" s="1">
        <v>46194</v>
      </c>
      <c r="J1545">
        <v>61</v>
      </c>
      <c r="K1545" t="s">
        <v>1981</v>
      </c>
      <c r="L1545" t="s">
        <v>6036</v>
      </c>
      <c r="M1545">
        <v>15</v>
      </c>
      <c r="N1545">
        <v>5</v>
      </c>
      <c r="O1545" t="s">
        <v>1036</v>
      </c>
      <c r="P1545" s="17"/>
      <c r="Q1545" s="17" t="str">
        <f>_xlfn.XLOOKUP(Table2[[#This Row],[buyFromVendorNo]],'Next Day Scheduled'!A:A,'Pending Returns'!O:O,"NOT_FOUND")</f>
        <v>Posted Credit Note</v>
      </c>
    </row>
    <row r="1546" spans="1:17" x14ac:dyDescent="0.3">
      <c r="A1546" s="1">
        <v>46198</v>
      </c>
      <c r="B1546" t="s">
        <v>792</v>
      </c>
      <c r="C1546" t="s">
        <v>43</v>
      </c>
      <c r="D1546" t="s">
        <v>44</v>
      </c>
      <c r="E1546" t="s">
        <v>8</v>
      </c>
      <c r="F1546" t="s">
        <v>10</v>
      </c>
      <c r="G1546" s="16">
        <v>10101.34</v>
      </c>
      <c r="H1546" s="16">
        <v>11616.540999999999</v>
      </c>
      <c r="J1546">
        <v>61</v>
      </c>
      <c r="K1546" t="s">
        <v>6071</v>
      </c>
      <c r="M1546">
        <v>18</v>
      </c>
      <c r="N1546">
        <v>2</v>
      </c>
      <c r="O1546" t="s">
        <v>216</v>
      </c>
      <c r="P1546" s="17"/>
      <c r="Q1546" s="17" t="str">
        <f>_xlfn.XLOOKUP(Table2[[#This Row],[buyFromVendorNo]],'Next Day Scheduled'!A:A,'Pending Returns'!O:O,"NOT_FOUND")</f>
        <v>Posted Credit Note</v>
      </c>
    </row>
    <row r="1547" spans="1:17" x14ac:dyDescent="0.3">
      <c r="A1547" s="1">
        <v>46198</v>
      </c>
      <c r="B1547" t="s">
        <v>3278</v>
      </c>
      <c r="C1547" t="s">
        <v>871</v>
      </c>
      <c r="D1547" t="s">
        <v>3551</v>
      </c>
      <c r="E1547" t="s">
        <v>8</v>
      </c>
      <c r="F1547" t="s">
        <v>10</v>
      </c>
      <c r="G1547" s="16">
        <v>85</v>
      </c>
      <c r="H1547" s="16">
        <v>97.75</v>
      </c>
      <c r="I1547" s="1">
        <v>46190</v>
      </c>
      <c r="J1547">
        <v>61</v>
      </c>
      <c r="K1547" t="s">
        <v>4872</v>
      </c>
      <c r="L1547" t="s">
        <v>6051</v>
      </c>
      <c r="M1547">
        <v>10</v>
      </c>
      <c r="N1547">
        <v>6</v>
      </c>
      <c r="O1547" t="s">
        <v>1036</v>
      </c>
      <c r="P1547" s="17"/>
      <c r="Q1547" s="17" t="str">
        <f>_xlfn.XLOOKUP(Table2[[#This Row],[buyFromVendorNo]],'Next Day Scheduled'!A:A,'Pending Returns'!O:O,"NOT_FOUND")</f>
        <v>Posted Credit Note</v>
      </c>
    </row>
    <row r="1548" spans="1:17" x14ac:dyDescent="0.3">
      <c r="A1548" s="1">
        <v>46198</v>
      </c>
      <c r="B1548" t="s">
        <v>2603</v>
      </c>
      <c r="C1548" t="s">
        <v>2604</v>
      </c>
      <c r="D1548" t="s">
        <v>2605</v>
      </c>
      <c r="E1548" t="s">
        <v>8</v>
      </c>
      <c r="F1548" t="s">
        <v>10</v>
      </c>
      <c r="G1548" s="16">
        <v>395.16</v>
      </c>
      <c r="H1548" s="16">
        <v>454.43400000000003</v>
      </c>
      <c r="I1548" s="1">
        <v>46175</v>
      </c>
      <c r="J1548">
        <v>61</v>
      </c>
      <c r="K1548" t="s">
        <v>2606</v>
      </c>
      <c r="L1548" t="s">
        <v>6052</v>
      </c>
      <c r="M1548">
        <v>1</v>
      </c>
      <c r="N1548">
        <v>26</v>
      </c>
      <c r="O1548" t="s">
        <v>1036</v>
      </c>
      <c r="P1548" s="17"/>
      <c r="Q1548" s="17" t="str">
        <f>_xlfn.XLOOKUP(Table2[[#This Row],[buyFromVendorNo]],'Next Day Scheduled'!A:A,'Pending Returns'!O:O,"NOT_FOUND")</f>
        <v>NOT_FOUND</v>
      </c>
    </row>
    <row r="1549" spans="1:17" x14ac:dyDescent="0.3">
      <c r="A1549" s="1">
        <v>46198</v>
      </c>
      <c r="B1549" t="s">
        <v>1697</v>
      </c>
      <c r="C1549" t="s">
        <v>911</v>
      </c>
      <c r="D1549" t="s">
        <v>912</v>
      </c>
      <c r="E1549" t="s">
        <v>8</v>
      </c>
      <c r="F1549" t="s">
        <v>10</v>
      </c>
      <c r="G1549" s="16">
        <v>564.59</v>
      </c>
      <c r="H1549" s="16">
        <v>641.61350000000004</v>
      </c>
      <c r="I1549" s="1">
        <v>46175</v>
      </c>
      <c r="J1549">
        <v>61</v>
      </c>
      <c r="K1549" t="s">
        <v>913</v>
      </c>
      <c r="L1549" t="s">
        <v>6103</v>
      </c>
      <c r="M1549">
        <v>7</v>
      </c>
      <c r="N1549">
        <v>5</v>
      </c>
      <c r="O1549" t="s">
        <v>1036</v>
      </c>
      <c r="P1549" s="17"/>
      <c r="Q1549" s="17" t="str">
        <f>_xlfn.XLOOKUP(Table2[[#This Row],[buyFromVendorNo]],'Next Day Scheduled'!A:A,'Pending Returns'!O:O,"NOT_FOUND")</f>
        <v>NOT_FOUND</v>
      </c>
    </row>
    <row r="1550" spans="1:17" x14ac:dyDescent="0.3">
      <c r="A1550" s="1">
        <v>46198</v>
      </c>
      <c r="B1550" t="s">
        <v>4290</v>
      </c>
      <c r="C1550" t="s">
        <v>878</v>
      </c>
      <c r="D1550" t="s">
        <v>879</v>
      </c>
      <c r="E1550" t="s">
        <v>8</v>
      </c>
      <c r="F1550" t="s">
        <v>10</v>
      </c>
      <c r="G1550" s="16">
        <v>1406.6727000000001</v>
      </c>
      <c r="H1550" s="16">
        <v>1617.6737000000001</v>
      </c>
      <c r="I1550" s="1">
        <v>46183</v>
      </c>
      <c r="J1550">
        <v>61</v>
      </c>
      <c r="K1550" t="s">
        <v>4291</v>
      </c>
      <c r="L1550" t="s">
        <v>6082</v>
      </c>
      <c r="M1550">
        <v>14</v>
      </c>
      <c r="N1550">
        <v>1</v>
      </c>
      <c r="O1550" t="s">
        <v>1036</v>
      </c>
      <c r="P1550" s="17"/>
      <c r="Q1550" s="17" t="str">
        <f>_xlfn.XLOOKUP(Table2[[#This Row],[buyFromVendorNo]],'Next Day Scheduled'!A:A,'Pending Returns'!O:O,"NOT_FOUND")</f>
        <v>NOT_FOUND</v>
      </c>
    </row>
    <row r="1551" spans="1:17" x14ac:dyDescent="0.3">
      <c r="A1551" s="1">
        <v>46198</v>
      </c>
      <c r="B1551" t="s">
        <v>9974</v>
      </c>
      <c r="C1551" t="s">
        <v>821</v>
      </c>
      <c r="D1551" t="s">
        <v>2040</v>
      </c>
      <c r="E1551" t="s">
        <v>8</v>
      </c>
      <c r="F1551" t="s">
        <v>10</v>
      </c>
      <c r="G1551" s="16">
        <v>659.12</v>
      </c>
      <c r="H1551" s="16">
        <v>757.98800000000006</v>
      </c>
      <c r="J1551">
        <v>61</v>
      </c>
      <c r="K1551" t="s">
        <v>6056</v>
      </c>
      <c r="M1551">
        <v>8</v>
      </c>
      <c r="N1551">
        <v>8</v>
      </c>
      <c r="O1551" t="s">
        <v>216</v>
      </c>
      <c r="P1551" s="17"/>
      <c r="Q1551" s="17" t="str">
        <f>_xlfn.XLOOKUP(Table2[[#This Row],[buyFromVendorNo]],'Next Day Scheduled'!A:A,'Pending Returns'!O:O,"NOT_FOUND")</f>
        <v>Posted Credit Note</v>
      </c>
    </row>
    <row r="1552" spans="1:17" x14ac:dyDescent="0.3">
      <c r="A1552" s="1">
        <v>46198</v>
      </c>
      <c r="B1552" t="s">
        <v>2674</v>
      </c>
      <c r="C1552" t="s">
        <v>65</v>
      </c>
      <c r="D1552" t="s">
        <v>66</v>
      </c>
      <c r="E1552" t="s">
        <v>8</v>
      </c>
      <c r="F1552" t="s">
        <v>10</v>
      </c>
      <c r="G1552" s="16">
        <v>349.363</v>
      </c>
      <c r="H1552" s="16">
        <v>401.76746000000003</v>
      </c>
      <c r="I1552" s="1">
        <v>46198</v>
      </c>
      <c r="J1552">
        <v>61</v>
      </c>
      <c r="K1552" t="s">
        <v>5328</v>
      </c>
      <c r="L1552" t="s">
        <v>6093</v>
      </c>
      <c r="M1552">
        <v>21</v>
      </c>
      <c r="N1552">
        <v>5</v>
      </c>
      <c r="O1552" t="s">
        <v>1036</v>
      </c>
      <c r="P1552" s="17"/>
      <c r="Q1552" s="17" t="str">
        <f>_xlfn.XLOOKUP(Table2[[#This Row],[buyFromVendorNo]],'Next Day Scheduled'!A:A,'Pending Returns'!O:O,"NOT_FOUND")</f>
        <v>Posted Credit Note</v>
      </c>
    </row>
    <row r="1553" spans="1:17" x14ac:dyDescent="0.3">
      <c r="A1553" s="1">
        <v>46198</v>
      </c>
      <c r="B1553" t="s">
        <v>3421</v>
      </c>
      <c r="C1553" t="s">
        <v>464</v>
      </c>
      <c r="D1553" t="s">
        <v>465</v>
      </c>
      <c r="E1553" t="s">
        <v>8</v>
      </c>
      <c r="F1553" t="s">
        <v>10</v>
      </c>
      <c r="G1553" s="16">
        <v>259.5</v>
      </c>
      <c r="H1553" s="16">
        <v>298.42500000000001</v>
      </c>
      <c r="I1553" s="1">
        <v>46190</v>
      </c>
      <c r="J1553">
        <v>61</v>
      </c>
      <c r="K1553" t="s">
        <v>4743</v>
      </c>
      <c r="L1553" t="s">
        <v>6067</v>
      </c>
      <c r="M1553">
        <v>9</v>
      </c>
      <c r="N1553">
        <v>6</v>
      </c>
      <c r="O1553" t="s">
        <v>1036</v>
      </c>
      <c r="P1553" s="17"/>
      <c r="Q1553" s="17" t="str">
        <f>_xlfn.XLOOKUP(Table2[[#This Row],[buyFromVendorNo]],'Next Day Scheduled'!A:A,'Pending Returns'!O:O,"NOT_FOUND")</f>
        <v>NOT_FOUND</v>
      </c>
    </row>
    <row r="1554" spans="1:17" x14ac:dyDescent="0.3">
      <c r="A1554" s="1">
        <v>46198</v>
      </c>
      <c r="B1554" t="s">
        <v>2520</v>
      </c>
      <c r="C1554" t="s">
        <v>2508</v>
      </c>
      <c r="D1554" t="s">
        <v>2509</v>
      </c>
      <c r="E1554" t="s">
        <v>8</v>
      </c>
      <c r="F1554" t="s">
        <v>10</v>
      </c>
      <c r="G1554" s="16">
        <v>6743.55</v>
      </c>
      <c r="H1554" s="16">
        <v>7755.0825000000004</v>
      </c>
      <c r="I1554" s="1">
        <v>46187</v>
      </c>
      <c r="J1554">
        <v>61</v>
      </c>
      <c r="K1554" t="s">
        <v>4151</v>
      </c>
      <c r="L1554" t="s">
        <v>6066</v>
      </c>
      <c r="M1554">
        <v>0</v>
      </c>
      <c r="N1554">
        <v>167</v>
      </c>
      <c r="O1554" t="s">
        <v>1036</v>
      </c>
      <c r="P1554" s="17"/>
      <c r="Q1554" s="17" t="str">
        <f>_xlfn.XLOOKUP(Table2[[#This Row],[buyFromVendorNo]],'Next Day Scheduled'!A:A,'Pending Returns'!O:O,"NOT_FOUND")</f>
        <v>NOT_FOUND</v>
      </c>
    </row>
    <row r="1555" spans="1:17" x14ac:dyDescent="0.3">
      <c r="A1555" s="1">
        <v>46198</v>
      </c>
      <c r="B1555" t="s">
        <v>6016</v>
      </c>
      <c r="C1555" t="s">
        <v>880</v>
      </c>
      <c r="D1555" t="s">
        <v>881</v>
      </c>
      <c r="E1555" t="s">
        <v>8</v>
      </c>
      <c r="F1555" t="s">
        <v>10</v>
      </c>
      <c r="G1555" s="16">
        <v>713.86</v>
      </c>
      <c r="H1555" s="16">
        <v>820.93899999999996</v>
      </c>
      <c r="I1555" s="1">
        <v>46198</v>
      </c>
      <c r="J1555">
        <v>61</v>
      </c>
      <c r="K1555" t="s">
        <v>6017</v>
      </c>
      <c r="L1555" t="s">
        <v>6033</v>
      </c>
      <c r="M1555">
        <v>4</v>
      </c>
      <c r="N1555">
        <v>13</v>
      </c>
      <c r="O1555" t="s">
        <v>1036</v>
      </c>
      <c r="P1555" s="17"/>
      <c r="Q1555" s="17" t="str">
        <f>_xlfn.XLOOKUP(Table2[[#This Row],[buyFromVendorNo]],'Next Day Scheduled'!A:A,'Pending Returns'!O:O,"NOT_FOUND")</f>
        <v>NOT_FOUND</v>
      </c>
    </row>
    <row r="1556" spans="1:17" x14ac:dyDescent="0.3">
      <c r="A1556" s="1">
        <v>46198</v>
      </c>
      <c r="B1556" t="s">
        <v>4195</v>
      </c>
      <c r="C1556" t="s">
        <v>160</v>
      </c>
      <c r="D1556" t="s">
        <v>161</v>
      </c>
      <c r="E1556" t="s">
        <v>8</v>
      </c>
      <c r="F1556" t="s">
        <v>10</v>
      </c>
      <c r="G1556" s="16">
        <v>250.45</v>
      </c>
      <c r="H1556" s="16">
        <v>286.39</v>
      </c>
      <c r="I1556" s="1">
        <v>46194</v>
      </c>
      <c r="J1556">
        <v>61</v>
      </c>
      <c r="K1556" t="s">
        <v>4640</v>
      </c>
      <c r="L1556" t="s">
        <v>6098</v>
      </c>
      <c r="M1556">
        <v>9</v>
      </c>
      <c r="N1556">
        <v>5</v>
      </c>
      <c r="O1556" t="s">
        <v>1036</v>
      </c>
      <c r="P1556" s="17"/>
      <c r="Q1556" s="17" t="str">
        <f>_xlfn.XLOOKUP(Table2[[#This Row],[buyFromVendorNo]],'Next Day Scheduled'!A:A,'Pending Returns'!O:O,"NOT_FOUND")</f>
        <v>NOT_FOUND</v>
      </c>
    </row>
    <row r="1557" spans="1:17" x14ac:dyDescent="0.3">
      <c r="A1557" s="1">
        <v>46198</v>
      </c>
      <c r="B1557" t="s">
        <v>5210</v>
      </c>
      <c r="C1557" t="s">
        <v>2337</v>
      </c>
      <c r="D1557" t="s">
        <v>2338</v>
      </c>
      <c r="E1557" t="s">
        <v>8</v>
      </c>
      <c r="F1557" t="s">
        <v>10</v>
      </c>
      <c r="G1557" s="16">
        <v>1003.88</v>
      </c>
      <c r="H1557" s="16">
        <v>1154.462</v>
      </c>
      <c r="I1557" s="1">
        <v>46185</v>
      </c>
      <c r="J1557">
        <v>61</v>
      </c>
      <c r="K1557" t="s">
        <v>4634</v>
      </c>
      <c r="L1557" t="s">
        <v>6050</v>
      </c>
      <c r="M1557">
        <v>9</v>
      </c>
      <c r="N1557">
        <v>5</v>
      </c>
      <c r="O1557" t="s">
        <v>1036</v>
      </c>
      <c r="P1557" s="17"/>
      <c r="Q1557" s="17" t="str">
        <f>_xlfn.XLOOKUP(Table2[[#This Row],[buyFromVendorNo]],'Next Day Scheduled'!A:A,'Pending Returns'!O:O,"NOT_FOUND")</f>
        <v>NOT_FOUND</v>
      </c>
    </row>
    <row r="1558" spans="1:17" x14ac:dyDescent="0.3">
      <c r="A1558" s="1">
        <v>46198</v>
      </c>
      <c r="B1558" t="s">
        <v>2661</v>
      </c>
      <c r="C1558" t="s">
        <v>139</v>
      </c>
      <c r="D1558" t="s">
        <v>140</v>
      </c>
      <c r="E1558" t="s">
        <v>8</v>
      </c>
      <c r="F1558" t="s">
        <v>10</v>
      </c>
      <c r="G1558" s="16">
        <v>100.8438</v>
      </c>
      <c r="H1558" s="16">
        <v>115.97038999999999</v>
      </c>
      <c r="I1558" s="1">
        <v>46198</v>
      </c>
      <c r="J1558">
        <v>61</v>
      </c>
      <c r="K1558" t="s">
        <v>5456</v>
      </c>
      <c r="L1558" t="s">
        <v>6074</v>
      </c>
      <c r="M1558">
        <v>10</v>
      </c>
      <c r="N1558">
        <v>7</v>
      </c>
      <c r="O1558" t="s">
        <v>1036</v>
      </c>
      <c r="P1558" s="17"/>
      <c r="Q1558" s="17" t="str">
        <f>_xlfn.XLOOKUP(Table2[[#This Row],[buyFromVendorNo]],'Next Day Scheduled'!A:A,'Pending Returns'!O:O,"NOT_FOUND")</f>
        <v>NOT_FOUND</v>
      </c>
    </row>
    <row r="1559" spans="1:17" x14ac:dyDescent="0.3">
      <c r="A1559" s="1">
        <v>46198</v>
      </c>
      <c r="B1559" t="s">
        <v>1493</v>
      </c>
      <c r="C1559" t="s">
        <v>65</v>
      </c>
      <c r="D1559" t="s">
        <v>66</v>
      </c>
      <c r="E1559" t="s">
        <v>8</v>
      </c>
      <c r="F1559" t="s">
        <v>10</v>
      </c>
      <c r="G1559" s="16">
        <v>2565.7624999999998</v>
      </c>
      <c r="H1559" s="16">
        <v>2950.627</v>
      </c>
      <c r="I1559" s="1">
        <v>46198</v>
      </c>
      <c r="J1559">
        <v>61</v>
      </c>
      <c r="K1559" t="s">
        <v>5878</v>
      </c>
      <c r="L1559" t="s">
        <v>6083</v>
      </c>
      <c r="M1559">
        <v>21</v>
      </c>
      <c r="N1559">
        <v>5</v>
      </c>
      <c r="O1559" t="s">
        <v>1036</v>
      </c>
      <c r="P1559" s="17"/>
      <c r="Q1559" s="17" t="str">
        <f>_xlfn.XLOOKUP(Table2[[#This Row],[buyFromVendorNo]],'Next Day Scheduled'!A:A,'Pending Returns'!O:O,"NOT_FOUND")</f>
        <v>Posted Credit Note</v>
      </c>
    </row>
    <row r="1560" spans="1:17" x14ac:dyDescent="0.3">
      <c r="A1560" s="1">
        <v>46198</v>
      </c>
      <c r="B1560" t="s">
        <v>5188</v>
      </c>
      <c r="C1560" t="s">
        <v>464</v>
      </c>
      <c r="D1560" t="s">
        <v>465</v>
      </c>
      <c r="E1560" t="s">
        <v>8</v>
      </c>
      <c r="F1560" t="s">
        <v>10</v>
      </c>
      <c r="G1560" s="16">
        <v>179</v>
      </c>
      <c r="H1560" s="16">
        <v>205.85</v>
      </c>
      <c r="I1560" s="1">
        <v>46177</v>
      </c>
      <c r="J1560">
        <v>61</v>
      </c>
      <c r="K1560" t="s">
        <v>4123</v>
      </c>
      <c r="L1560" t="s">
        <v>6039</v>
      </c>
      <c r="M1560">
        <v>9</v>
      </c>
      <c r="N1560">
        <v>6</v>
      </c>
      <c r="O1560" t="s">
        <v>1036</v>
      </c>
      <c r="P1560" s="17"/>
      <c r="Q1560" s="17" t="str">
        <f>_xlfn.XLOOKUP(Table2[[#This Row],[buyFromVendorNo]],'Next Day Scheduled'!A:A,'Pending Returns'!O:O,"NOT_FOUND")</f>
        <v>NOT_FOUND</v>
      </c>
    </row>
    <row r="1561" spans="1:17" x14ac:dyDescent="0.3">
      <c r="A1561" s="1">
        <v>46198</v>
      </c>
      <c r="B1561" t="s">
        <v>3826</v>
      </c>
      <c r="C1561" t="s">
        <v>139</v>
      </c>
      <c r="D1561" t="s">
        <v>140</v>
      </c>
      <c r="E1561" t="s">
        <v>8</v>
      </c>
      <c r="F1561" t="s">
        <v>10</v>
      </c>
      <c r="G1561" s="16">
        <v>63.982999999999997</v>
      </c>
      <c r="H1561" s="16">
        <v>73.580449999999999</v>
      </c>
      <c r="I1561" s="1">
        <v>46198</v>
      </c>
      <c r="J1561">
        <v>61</v>
      </c>
      <c r="K1561" t="s">
        <v>4571</v>
      </c>
      <c r="L1561" t="s">
        <v>6038</v>
      </c>
      <c r="M1561">
        <v>10</v>
      </c>
      <c r="N1561">
        <v>7</v>
      </c>
      <c r="O1561" t="s">
        <v>1036</v>
      </c>
      <c r="P1561" s="17"/>
      <c r="Q1561" s="17" t="str">
        <f>_xlfn.XLOOKUP(Table2[[#This Row],[buyFromVendorNo]],'Next Day Scheduled'!A:A,'Pending Returns'!O:O,"NOT_FOUND")</f>
        <v>NOT_FOUND</v>
      </c>
    </row>
    <row r="1562" spans="1:17" x14ac:dyDescent="0.3">
      <c r="A1562" s="1">
        <v>46198</v>
      </c>
      <c r="B1562" t="s">
        <v>3820</v>
      </c>
      <c r="C1562" t="s">
        <v>878</v>
      </c>
      <c r="D1562" t="s">
        <v>879</v>
      </c>
      <c r="E1562" t="s">
        <v>8</v>
      </c>
      <c r="F1562" t="s">
        <v>10</v>
      </c>
      <c r="G1562" s="16">
        <v>198.96426</v>
      </c>
      <c r="H1562" s="16">
        <v>228.80889999999999</v>
      </c>
      <c r="I1562" s="1">
        <v>46183</v>
      </c>
      <c r="J1562">
        <v>61</v>
      </c>
      <c r="K1562" t="s">
        <v>3821</v>
      </c>
      <c r="L1562" t="s">
        <v>6040</v>
      </c>
      <c r="M1562">
        <v>14</v>
      </c>
      <c r="N1562">
        <v>1</v>
      </c>
      <c r="O1562" t="s">
        <v>1036</v>
      </c>
      <c r="P1562" s="17"/>
      <c r="Q1562" s="17" t="str">
        <f>_xlfn.XLOOKUP(Table2[[#This Row],[buyFromVendorNo]],'Next Day Scheduled'!A:A,'Pending Returns'!O:O,"NOT_FOUND")</f>
        <v>NOT_FOUND</v>
      </c>
    </row>
    <row r="1563" spans="1:17" x14ac:dyDescent="0.3">
      <c r="A1563" s="1">
        <v>46198</v>
      </c>
      <c r="B1563" t="s">
        <v>4032</v>
      </c>
      <c r="C1563" t="s">
        <v>199</v>
      </c>
      <c r="D1563" t="s">
        <v>200</v>
      </c>
      <c r="E1563" t="s">
        <v>8</v>
      </c>
      <c r="F1563" t="s">
        <v>10</v>
      </c>
      <c r="G1563" s="16">
        <v>377.3</v>
      </c>
      <c r="H1563" s="16">
        <v>433.89499999999998</v>
      </c>
      <c r="I1563" s="1">
        <v>46183</v>
      </c>
      <c r="J1563">
        <v>61</v>
      </c>
      <c r="K1563" t="s">
        <v>4033</v>
      </c>
      <c r="L1563" t="s">
        <v>6104</v>
      </c>
      <c r="M1563">
        <v>8</v>
      </c>
      <c r="N1563">
        <v>6</v>
      </c>
      <c r="O1563" t="s">
        <v>1036</v>
      </c>
      <c r="P1563" s="17"/>
      <c r="Q1563" s="17" t="str">
        <f>_xlfn.XLOOKUP(Table2[[#This Row],[buyFromVendorNo]],'Next Day Scheduled'!A:A,'Pending Returns'!O:O,"NOT_FOUND")</f>
        <v>NOT_FOUND</v>
      </c>
    </row>
    <row r="1564" spans="1:17" x14ac:dyDescent="0.3">
      <c r="A1564" s="1">
        <v>46198</v>
      </c>
      <c r="B1564" t="s">
        <v>4251</v>
      </c>
      <c r="C1564" t="s">
        <v>771</v>
      </c>
      <c r="D1564" t="s">
        <v>845</v>
      </c>
      <c r="E1564" t="s">
        <v>8</v>
      </c>
      <c r="F1564" t="s">
        <v>10</v>
      </c>
      <c r="G1564" s="16">
        <v>169.5</v>
      </c>
      <c r="H1564" s="16">
        <v>194.92500000000001</v>
      </c>
      <c r="I1564" s="1">
        <v>46191</v>
      </c>
      <c r="J1564">
        <v>61</v>
      </c>
      <c r="K1564" t="s">
        <v>4972</v>
      </c>
      <c r="L1564" t="s">
        <v>6105</v>
      </c>
      <c r="M1564">
        <v>8</v>
      </c>
      <c r="N1564">
        <v>8</v>
      </c>
      <c r="O1564" t="s">
        <v>1036</v>
      </c>
      <c r="P1564" s="17"/>
      <c r="Q1564" s="17" t="str">
        <f>_xlfn.XLOOKUP(Table2[[#This Row],[buyFromVendorNo]],'Next Day Scheduled'!A:A,'Pending Returns'!O:O,"NOT_FOUND")</f>
        <v>NOT_FOUND</v>
      </c>
    </row>
    <row r="1565" spans="1:17" x14ac:dyDescent="0.3">
      <c r="A1565" s="1">
        <v>46198</v>
      </c>
      <c r="B1565" t="s">
        <v>277</v>
      </c>
      <c r="C1565" t="s">
        <v>821</v>
      </c>
      <c r="D1565" t="s">
        <v>2040</v>
      </c>
      <c r="E1565" t="s">
        <v>8</v>
      </c>
      <c r="F1565" t="s">
        <v>10</v>
      </c>
      <c r="G1565" s="16">
        <v>267.89999999999998</v>
      </c>
      <c r="H1565" s="16">
        <v>308.08499999999998</v>
      </c>
      <c r="J1565">
        <v>61</v>
      </c>
      <c r="K1565" t="s">
        <v>6048</v>
      </c>
      <c r="M1565">
        <v>8</v>
      </c>
      <c r="N1565">
        <v>8</v>
      </c>
      <c r="O1565" t="s">
        <v>216</v>
      </c>
      <c r="P1565" s="17"/>
      <c r="Q1565" s="17" t="str">
        <f>_xlfn.XLOOKUP(Table2[[#This Row],[buyFromVendorNo]],'Next Day Scheduled'!A:A,'Pending Returns'!O:O,"NOT_FOUND")</f>
        <v>Posted Credit Note</v>
      </c>
    </row>
    <row r="1566" spans="1:17" x14ac:dyDescent="0.3">
      <c r="A1566" s="1">
        <v>46198</v>
      </c>
      <c r="B1566" t="s">
        <v>2897</v>
      </c>
      <c r="C1566" t="s">
        <v>512</v>
      </c>
      <c r="D1566" t="s">
        <v>513</v>
      </c>
      <c r="E1566" t="s">
        <v>8</v>
      </c>
      <c r="F1566" t="s">
        <v>10</v>
      </c>
      <c r="G1566" s="16">
        <v>139.97682</v>
      </c>
      <c r="H1566" s="16">
        <v>160.97334000000001</v>
      </c>
      <c r="I1566" s="1">
        <v>46194</v>
      </c>
      <c r="J1566">
        <v>61</v>
      </c>
      <c r="K1566" t="s">
        <v>5405</v>
      </c>
      <c r="L1566" t="s">
        <v>6054</v>
      </c>
      <c r="M1566">
        <v>9</v>
      </c>
      <c r="N1566">
        <v>3</v>
      </c>
      <c r="O1566" t="s">
        <v>1036</v>
      </c>
      <c r="P1566" s="17"/>
      <c r="Q1566" s="17" t="str">
        <f>_xlfn.XLOOKUP(Table2[[#This Row],[buyFromVendorNo]],'Next Day Scheduled'!A:A,'Pending Returns'!O:O,"NOT_FOUND")</f>
        <v>NOT_FOUND</v>
      </c>
    </row>
    <row r="1567" spans="1:17" x14ac:dyDescent="0.3">
      <c r="A1567" s="1">
        <v>46198</v>
      </c>
      <c r="B1567" t="s">
        <v>2692</v>
      </c>
      <c r="C1567" t="s">
        <v>2955</v>
      </c>
      <c r="D1567" t="s">
        <v>2956</v>
      </c>
      <c r="E1567" t="s">
        <v>8</v>
      </c>
      <c r="F1567" t="s">
        <v>10</v>
      </c>
      <c r="G1567" s="16">
        <v>845.97</v>
      </c>
      <c r="H1567" s="16">
        <v>972.8655</v>
      </c>
      <c r="I1567" s="1">
        <v>46196</v>
      </c>
      <c r="J1567">
        <v>61</v>
      </c>
      <c r="K1567" t="s">
        <v>5329</v>
      </c>
      <c r="L1567" t="s">
        <v>6055</v>
      </c>
      <c r="M1567">
        <v>6</v>
      </c>
      <c r="N1567">
        <v>1</v>
      </c>
      <c r="O1567" t="s">
        <v>1036</v>
      </c>
      <c r="P1567" s="17"/>
      <c r="Q1567" s="17" t="str">
        <f>_xlfn.XLOOKUP(Table2[[#This Row],[buyFromVendorNo]],'Next Day Scheduled'!A:A,'Pending Returns'!O:O,"NOT_FOUND")</f>
        <v>NOT_FOUND</v>
      </c>
    </row>
    <row r="1568" spans="1:17" x14ac:dyDescent="0.3">
      <c r="A1568" s="1">
        <v>46198</v>
      </c>
      <c r="B1568" t="s">
        <v>3405</v>
      </c>
      <c r="C1568" t="s">
        <v>871</v>
      </c>
      <c r="D1568" t="s">
        <v>3551</v>
      </c>
      <c r="E1568" t="s">
        <v>8</v>
      </c>
      <c r="F1568" t="s">
        <v>10</v>
      </c>
      <c r="G1568" s="16">
        <v>49.25</v>
      </c>
      <c r="H1568" s="16">
        <v>56.637500000000003</v>
      </c>
      <c r="I1568" s="1">
        <v>46190</v>
      </c>
      <c r="J1568">
        <v>61</v>
      </c>
      <c r="K1568" t="s">
        <v>4758</v>
      </c>
      <c r="L1568" t="s">
        <v>6084</v>
      </c>
      <c r="M1568">
        <v>10</v>
      </c>
      <c r="N1568">
        <v>6</v>
      </c>
      <c r="O1568" t="s">
        <v>1036</v>
      </c>
      <c r="P1568" s="17"/>
      <c r="Q1568" s="17" t="str">
        <f>_xlfn.XLOOKUP(Table2[[#This Row],[buyFromVendorNo]],'Next Day Scheduled'!A:A,'Pending Returns'!O:O,"NOT_FOUND")</f>
        <v>Posted Credit Note</v>
      </c>
    </row>
    <row r="1569" spans="1:17" x14ac:dyDescent="0.3">
      <c r="A1569" s="1">
        <v>46198</v>
      </c>
      <c r="B1569" t="s">
        <v>3241</v>
      </c>
      <c r="C1569" t="s">
        <v>911</v>
      </c>
      <c r="D1569" t="s">
        <v>912</v>
      </c>
      <c r="E1569" t="s">
        <v>8</v>
      </c>
      <c r="F1569" t="s">
        <v>10</v>
      </c>
      <c r="G1569" s="16">
        <v>2779.31</v>
      </c>
      <c r="H1569" s="16">
        <v>3141.2404999999999</v>
      </c>
      <c r="I1569" s="1">
        <v>46175</v>
      </c>
      <c r="J1569">
        <v>61</v>
      </c>
      <c r="K1569" t="s">
        <v>3141</v>
      </c>
      <c r="L1569" t="s">
        <v>6085</v>
      </c>
      <c r="M1569">
        <v>7</v>
      </c>
      <c r="N1569">
        <v>5</v>
      </c>
      <c r="O1569" t="s">
        <v>1036</v>
      </c>
      <c r="P1569" s="17"/>
      <c r="Q1569" s="17" t="str">
        <f>_xlfn.XLOOKUP(Table2[[#This Row],[buyFromVendorNo]],'Next Day Scheduled'!A:A,'Pending Returns'!O:O,"NOT_FOUND")</f>
        <v>NOT_FOUND</v>
      </c>
    </row>
    <row r="1570" spans="1:17" x14ac:dyDescent="0.3">
      <c r="A1570" s="1">
        <v>46198</v>
      </c>
      <c r="B1570" t="s">
        <v>539</v>
      </c>
      <c r="C1570" t="s">
        <v>911</v>
      </c>
      <c r="D1570" t="s">
        <v>912</v>
      </c>
      <c r="E1570" t="s">
        <v>8</v>
      </c>
      <c r="F1570" t="s">
        <v>10</v>
      </c>
      <c r="G1570" s="16">
        <v>1977.38</v>
      </c>
      <c r="H1570" s="16">
        <v>2266.268</v>
      </c>
      <c r="I1570" s="1">
        <v>46175</v>
      </c>
      <c r="J1570">
        <v>61</v>
      </c>
      <c r="K1570" t="s">
        <v>915</v>
      </c>
      <c r="L1570" t="s">
        <v>6027</v>
      </c>
      <c r="M1570">
        <v>7</v>
      </c>
      <c r="N1570">
        <v>5</v>
      </c>
      <c r="O1570" t="s">
        <v>1036</v>
      </c>
      <c r="P1570" s="17"/>
      <c r="Q1570" s="17" t="str">
        <f>_xlfn.XLOOKUP(Table2[[#This Row],[buyFromVendorNo]],'Next Day Scheduled'!A:A,'Pending Returns'!O:O,"NOT_FOUND")</f>
        <v>NOT_FOUND</v>
      </c>
    </row>
    <row r="1571" spans="1:17" x14ac:dyDescent="0.3">
      <c r="A1571" s="1">
        <v>46198</v>
      </c>
      <c r="B1571" t="s">
        <v>1950</v>
      </c>
      <c r="C1571" t="s">
        <v>837</v>
      </c>
      <c r="D1571" t="s">
        <v>838</v>
      </c>
      <c r="E1571" t="s">
        <v>8</v>
      </c>
      <c r="F1571" t="s">
        <v>10</v>
      </c>
      <c r="G1571" s="16">
        <v>5198.5739999999996</v>
      </c>
      <c r="H1571" s="16">
        <v>5978.3603999999996</v>
      </c>
      <c r="I1571" s="1">
        <v>46193</v>
      </c>
      <c r="J1571">
        <v>61</v>
      </c>
      <c r="K1571" t="s">
        <v>2867</v>
      </c>
      <c r="L1571" t="s">
        <v>6058</v>
      </c>
      <c r="M1571">
        <v>5</v>
      </c>
      <c r="N1571">
        <v>2</v>
      </c>
      <c r="O1571" t="s">
        <v>1036</v>
      </c>
      <c r="P1571" s="17"/>
      <c r="Q1571" s="17" t="str">
        <f>_xlfn.XLOOKUP(Table2[[#This Row],[buyFromVendorNo]],'Next Day Scheduled'!A:A,'Pending Returns'!O:O,"NOT_FOUND")</f>
        <v>NOT_FOUND</v>
      </c>
    </row>
    <row r="1572" spans="1:17" x14ac:dyDescent="0.3">
      <c r="A1572" s="1">
        <v>46198</v>
      </c>
      <c r="B1572" t="s">
        <v>2843</v>
      </c>
      <c r="C1572" t="s">
        <v>878</v>
      </c>
      <c r="D1572" t="s">
        <v>879</v>
      </c>
      <c r="E1572" t="s">
        <v>8</v>
      </c>
      <c r="F1572" t="s">
        <v>10</v>
      </c>
      <c r="G1572" s="16">
        <v>837.72284000000002</v>
      </c>
      <c r="H1572" s="16">
        <v>963.38130000000001</v>
      </c>
      <c r="I1572" s="1">
        <v>46183</v>
      </c>
      <c r="J1572">
        <v>61</v>
      </c>
      <c r="K1572" t="s">
        <v>4126</v>
      </c>
      <c r="L1572" t="s">
        <v>6060</v>
      </c>
      <c r="M1572">
        <v>14</v>
      </c>
      <c r="N1572">
        <v>1</v>
      </c>
      <c r="O1572" t="s">
        <v>1036</v>
      </c>
      <c r="P1572" s="17"/>
      <c r="Q1572" s="17" t="str">
        <f>_xlfn.XLOOKUP(Table2[[#This Row],[buyFromVendorNo]],'Next Day Scheduled'!A:A,'Pending Returns'!O:O,"NOT_FOUND")</f>
        <v>NOT_FOUND</v>
      </c>
    </row>
    <row r="1573" spans="1:17" x14ac:dyDescent="0.3">
      <c r="A1573" s="1">
        <v>46198</v>
      </c>
      <c r="B1573" t="s">
        <v>2203</v>
      </c>
      <c r="C1573" t="s">
        <v>837</v>
      </c>
      <c r="D1573" t="s">
        <v>838</v>
      </c>
      <c r="E1573" t="s">
        <v>8</v>
      </c>
      <c r="F1573" t="s">
        <v>10</v>
      </c>
      <c r="G1573" s="16">
        <v>13862.196</v>
      </c>
      <c r="H1573" s="16">
        <v>15941.525</v>
      </c>
      <c r="I1573" s="1">
        <v>46193</v>
      </c>
      <c r="J1573">
        <v>61</v>
      </c>
      <c r="K1573" t="s">
        <v>1923</v>
      </c>
      <c r="L1573" t="s">
        <v>6086</v>
      </c>
      <c r="M1573">
        <v>5</v>
      </c>
      <c r="N1573">
        <v>2</v>
      </c>
      <c r="O1573" t="s">
        <v>1036</v>
      </c>
      <c r="P1573" s="17"/>
      <c r="Q1573" s="17" t="str">
        <f>_xlfn.XLOOKUP(Table2[[#This Row],[buyFromVendorNo]],'Next Day Scheduled'!A:A,'Pending Returns'!O:O,"NOT_FOUND")</f>
        <v>NOT_FOUND</v>
      </c>
    </row>
    <row r="1574" spans="1:17" x14ac:dyDescent="0.3">
      <c r="A1574" s="1">
        <v>46198</v>
      </c>
      <c r="B1574" t="s">
        <v>5078</v>
      </c>
      <c r="C1574" t="s">
        <v>2392</v>
      </c>
      <c r="D1574" t="s">
        <v>2393</v>
      </c>
      <c r="E1574" t="s">
        <v>8</v>
      </c>
      <c r="F1574" t="s">
        <v>10</v>
      </c>
      <c r="G1574" s="16">
        <v>130.78181000000001</v>
      </c>
      <c r="H1574" s="16">
        <v>150.3991</v>
      </c>
      <c r="I1574" s="1">
        <v>46198</v>
      </c>
      <c r="J1574">
        <v>61</v>
      </c>
      <c r="K1574" t="s">
        <v>4928</v>
      </c>
      <c r="L1574" t="s">
        <v>6090</v>
      </c>
      <c r="M1574">
        <v>8</v>
      </c>
      <c r="N1574">
        <v>5</v>
      </c>
      <c r="O1574" t="s">
        <v>1036</v>
      </c>
      <c r="P1574" s="17"/>
      <c r="Q1574" s="17" t="str">
        <f>_xlfn.XLOOKUP(Table2[[#This Row],[buyFromVendorNo]],'Next Day Scheduled'!A:A,'Pending Returns'!O:O,"NOT_FOUND")</f>
        <v>NOT_FOUND</v>
      </c>
    </row>
    <row r="1575" spans="1:17" x14ac:dyDescent="0.3">
      <c r="A1575" s="1">
        <v>46198</v>
      </c>
      <c r="B1575" t="s">
        <v>3338</v>
      </c>
      <c r="C1575" t="s">
        <v>3684</v>
      </c>
      <c r="D1575" t="s">
        <v>3685</v>
      </c>
      <c r="E1575" t="s">
        <v>8</v>
      </c>
      <c r="F1575" t="s">
        <v>10</v>
      </c>
      <c r="G1575" s="16">
        <v>869.16</v>
      </c>
      <c r="H1575" s="16">
        <v>999.53399999999999</v>
      </c>
      <c r="I1575" s="1">
        <v>46187</v>
      </c>
      <c r="J1575">
        <v>61</v>
      </c>
      <c r="K1575" t="s">
        <v>3956</v>
      </c>
      <c r="L1575" t="s">
        <v>6045</v>
      </c>
      <c r="M1575">
        <v>8</v>
      </c>
      <c r="N1575">
        <v>3</v>
      </c>
      <c r="O1575" t="s">
        <v>1036</v>
      </c>
      <c r="P1575" s="17"/>
      <c r="Q1575" s="17" t="str">
        <f>_xlfn.XLOOKUP(Table2[[#This Row],[buyFromVendorNo]],'Next Day Scheduled'!A:A,'Pending Returns'!O:O,"NOT_FOUND")</f>
        <v>NOT_FOUND</v>
      </c>
    </row>
    <row r="1576" spans="1:17" x14ac:dyDescent="0.3">
      <c r="A1576" s="1">
        <v>46198</v>
      </c>
      <c r="B1576" t="s">
        <v>3012</v>
      </c>
      <c r="C1576" t="s">
        <v>598</v>
      </c>
      <c r="D1576" t="s">
        <v>599</v>
      </c>
      <c r="E1576" t="s">
        <v>8</v>
      </c>
      <c r="F1576" t="s">
        <v>38</v>
      </c>
      <c r="G1576" s="16">
        <v>8658.625</v>
      </c>
      <c r="H1576" s="16">
        <v>9957.4189999999999</v>
      </c>
      <c r="I1576" s="1">
        <v>46190</v>
      </c>
      <c r="J1576">
        <v>61</v>
      </c>
      <c r="K1576" t="s">
        <v>3013</v>
      </c>
      <c r="L1576" t="s">
        <v>6063</v>
      </c>
      <c r="M1576">
        <v>9</v>
      </c>
      <c r="N1576">
        <v>6</v>
      </c>
      <c r="O1576" t="s">
        <v>1036</v>
      </c>
      <c r="P1576" s="17"/>
      <c r="Q1576" s="17" t="str">
        <f>_xlfn.XLOOKUP(Table2[[#This Row],[buyFromVendorNo]],'Next Day Scheduled'!A:A,'Pending Returns'!O:O,"NOT_FOUND")</f>
        <v>NOT_FOUND</v>
      </c>
    </row>
    <row r="1577" spans="1:17" x14ac:dyDescent="0.3">
      <c r="A1577" s="1">
        <v>46198</v>
      </c>
      <c r="B1577" t="s">
        <v>485</v>
      </c>
      <c r="C1577" t="s">
        <v>1022</v>
      </c>
      <c r="D1577" t="s">
        <v>1023</v>
      </c>
      <c r="E1577" t="s">
        <v>8</v>
      </c>
      <c r="F1577" t="s">
        <v>10</v>
      </c>
      <c r="G1577" s="16">
        <v>690</v>
      </c>
      <c r="H1577" s="16">
        <v>793.5</v>
      </c>
      <c r="I1577" s="1">
        <v>46194</v>
      </c>
      <c r="J1577">
        <v>61</v>
      </c>
      <c r="K1577" t="s">
        <v>5489</v>
      </c>
      <c r="L1577" t="s">
        <v>6070</v>
      </c>
      <c r="M1577">
        <v>8</v>
      </c>
      <c r="N1577">
        <v>5</v>
      </c>
      <c r="O1577" t="s">
        <v>1036</v>
      </c>
      <c r="P1577" s="17"/>
      <c r="Q1577" s="17" t="str">
        <f>_xlfn.XLOOKUP(Table2[[#This Row],[buyFromVendorNo]],'Next Day Scheduled'!A:A,'Pending Returns'!O:O,"NOT_FOUND")</f>
        <v>Posted Credit Note</v>
      </c>
    </row>
    <row r="1578" spans="1:17" x14ac:dyDescent="0.3">
      <c r="A1578" s="1">
        <v>46198</v>
      </c>
      <c r="B1578" t="s">
        <v>5691</v>
      </c>
      <c r="C1578" t="s">
        <v>749</v>
      </c>
      <c r="D1578" t="s">
        <v>750</v>
      </c>
      <c r="E1578" t="s">
        <v>8</v>
      </c>
      <c r="F1578" t="s">
        <v>10</v>
      </c>
      <c r="G1578" s="16">
        <v>78.224999999999994</v>
      </c>
      <c r="H1578" s="16">
        <v>89.958749999999995</v>
      </c>
      <c r="I1578" s="1">
        <v>46198</v>
      </c>
      <c r="J1578">
        <v>61</v>
      </c>
      <c r="K1578" t="s">
        <v>5444</v>
      </c>
      <c r="L1578" t="s">
        <v>6100</v>
      </c>
      <c r="M1578">
        <v>4</v>
      </c>
      <c r="N1578">
        <v>10</v>
      </c>
      <c r="O1578" t="s">
        <v>1036</v>
      </c>
      <c r="P1578" s="17"/>
      <c r="Q1578" s="17" t="str">
        <f>_xlfn.XLOOKUP(Table2[[#This Row],[buyFromVendorNo]],'Next Day Scheduled'!A:A,'Pending Returns'!O:O,"NOT_FOUND")</f>
        <v>NOT_FOUND</v>
      </c>
    </row>
    <row r="1579" spans="1:17" x14ac:dyDescent="0.3">
      <c r="A1579" s="1">
        <v>46198</v>
      </c>
      <c r="B1579" t="s">
        <v>4371</v>
      </c>
      <c r="C1579" t="s">
        <v>2508</v>
      </c>
      <c r="D1579" t="s">
        <v>2509</v>
      </c>
      <c r="E1579" t="s">
        <v>8</v>
      </c>
      <c r="F1579" t="s">
        <v>10</v>
      </c>
      <c r="G1579" s="16">
        <v>3784.44</v>
      </c>
      <c r="H1579" s="16">
        <v>4352.1059999999998</v>
      </c>
      <c r="I1579" s="1">
        <v>46187</v>
      </c>
      <c r="J1579">
        <v>61</v>
      </c>
      <c r="K1579" t="s">
        <v>3942</v>
      </c>
      <c r="L1579" t="s">
        <v>6079</v>
      </c>
      <c r="M1579">
        <v>0</v>
      </c>
      <c r="N1579">
        <v>167</v>
      </c>
      <c r="O1579" t="s">
        <v>1036</v>
      </c>
      <c r="P1579" s="17"/>
      <c r="Q1579" s="17" t="str">
        <f>_xlfn.XLOOKUP(Table2[[#This Row],[buyFromVendorNo]],'Next Day Scheduled'!A:A,'Pending Returns'!O:O,"NOT_FOUND")</f>
        <v>NOT_FOUND</v>
      </c>
    </row>
    <row r="1580" spans="1:17" x14ac:dyDescent="0.3">
      <c r="A1580" s="1">
        <v>46198</v>
      </c>
      <c r="B1580" t="s">
        <v>3028</v>
      </c>
      <c r="C1580" t="s">
        <v>821</v>
      </c>
      <c r="D1580" t="s">
        <v>2040</v>
      </c>
      <c r="E1580" t="s">
        <v>8</v>
      </c>
      <c r="F1580" t="s">
        <v>10</v>
      </c>
      <c r="G1580" s="16">
        <v>1286.4000000000001</v>
      </c>
      <c r="H1580" s="16">
        <v>1479.36</v>
      </c>
      <c r="J1580">
        <v>61</v>
      </c>
      <c r="K1580" t="s">
        <v>6035</v>
      </c>
      <c r="M1580">
        <v>8</v>
      </c>
      <c r="N1580">
        <v>8</v>
      </c>
      <c r="O1580" t="s">
        <v>216</v>
      </c>
      <c r="P1580" s="17"/>
      <c r="Q1580" s="17" t="str">
        <f>_xlfn.XLOOKUP(Table2[[#This Row],[buyFromVendorNo]],'Next Day Scheduled'!A:A,'Pending Returns'!O:O,"NOT_FOUND")</f>
        <v>Posted Credit Note</v>
      </c>
    </row>
    <row r="1581" spans="1:17" x14ac:dyDescent="0.3">
      <c r="A1581" s="1">
        <v>46198</v>
      </c>
      <c r="B1581" t="s">
        <v>5224</v>
      </c>
      <c r="C1581" t="s">
        <v>871</v>
      </c>
      <c r="D1581" t="s">
        <v>3551</v>
      </c>
      <c r="E1581" t="s">
        <v>8</v>
      </c>
      <c r="F1581" t="s">
        <v>10</v>
      </c>
      <c r="G1581" s="16">
        <v>246.49</v>
      </c>
      <c r="H1581" s="16">
        <v>283.46350000000001</v>
      </c>
      <c r="I1581" s="1">
        <v>46190</v>
      </c>
      <c r="J1581">
        <v>61</v>
      </c>
      <c r="K1581" t="s">
        <v>4983</v>
      </c>
      <c r="L1581" t="s">
        <v>6053</v>
      </c>
      <c r="M1581">
        <v>10</v>
      </c>
      <c r="N1581">
        <v>6</v>
      </c>
      <c r="O1581" t="s">
        <v>1036</v>
      </c>
      <c r="P1581" s="17"/>
      <c r="Q1581" s="17" t="str">
        <f>_xlfn.XLOOKUP(Table2[[#This Row],[buyFromVendorNo]],'Next Day Scheduled'!A:A,'Pending Returns'!O:O,"NOT_FOUND")</f>
        <v>Posted Credit Note</v>
      </c>
    </row>
    <row r="1582" spans="1:17" x14ac:dyDescent="0.3">
      <c r="A1582" s="1">
        <v>46198</v>
      </c>
      <c r="B1582" t="s">
        <v>560</v>
      </c>
      <c r="C1582" t="s">
        <v>911</v>
      </c>
      <c r="D1582" t="s">
        <v>912</v>
      </c>
      <c r="E1582" t="s">
        <v>8</v>
      </c>
      <c r="F1582" t="s">
        <v>10</v>
      </c>
      <c r="G1582" s="16">
        <v>3168.72</v>
      </c>
      <c r="H1582" s="16">
        <v>3623.2366000000002</v>
      </c>
      <c r="I1582" s="1">
        <v>46175</v>
      </c>
      <c r="J1582">
        <v>61</v>
      </c>
      <c r="K1582" t="s">
        <v>2415</v>
      </c>
      <c r="L1582" t="s">
        <v>6041</v>
      </c>
      <c r="M1582">
        <v>7</v>
      </c>
      <c r="N1582">
        <v>5</v>
      </c>
      <c r="O1582" t="s">
        <v>1036</v>
      </c>
      <c r="P1582" s="17"/>
      <c r="Q1582" s="17" t="str">
        <f>_xlfn.XLOOKUP(Table2[[#This Row],[buyFromVendorNo]],'Next Day Scheduled'!A:A,'Pending Returns'!O:O,"NOT_FOUND")</f>
        <v>NOT_FOUND</v>
      </c>
    </row>
    <row r="1583" spans="1:17" x14ac:dyDescent="0.3">
      <c r="A1583" s="1">
        <v>46198</v>
      </c>
      <c r="B1583" t="s">
        <v>3901</v>
      </c>
      <c r="C1583" t="s">
        <v>878</v>
      </c>
      <c r="D1583" t="s">
        <v>879</v>
      </c>
      <c r="E1583" t="s">
        <v>8</v>
      </c>
      <c r="F1583" t="s">
        <v>10</v>
      </c>
      <c r="G1583" s="16">
        <v>422.50261999999998</v>
      </c>
      <c r="H1583" s="16">
        <v>485.87799999999999</v>
      </c>
      <c r="I1583" s="1">
        <v>46183</v>
      </c>
      <c r="J1583">
        <v>61</v>
      </c>
      <c r="K1583" t="s">
        <v>3902</v>
      </c>
      <c r="L1583" t="s">
        <v>6042</v>
      </c>
      <c r="M1583">
        <v>14</v>
      </c>
      <c r="N1583">
        <v>1</v>
      </c>
      <c r="O1583" t="s">
        <v>1036</v>
      </c>
      <c r="P1583" s="17"/>
      <c r="Q1583" s="17" t="str">
        <f>_xlfn.XLOOKUP(Table2[[#This Row],[buyFromVendorNo]],'Next Day Scheduled'!A:A,'Pending Returns'!O:O,"NOT_FOUND")</f>
        <v>NOT_FOUND</v>
      </c>
    </row>
    <row r="1584" spans="1:17" x14ac:dyDescent="0.3">
      <c r="A1584" s="1">
        <v>46198</v>
      </c>
      <c r="B1584" t="s">
        <v>3253</v>
      </c>
      <c r="C1584" t="s">
        <v>878</v>
      </c>
      <c r="D1584" t="s">
        <v>879</v>
      </c>
      <c r="E1584" t="s">
        <v>8</v>
      </c>
      <c r="F1584" t="s">
        <v>10</v>
      </c>
      <c r="G1584" s="16">
        <v>467.19522000000001</v>
      </c>
      <c r="H1584" s="16">
        <v>537.27454</v>
      </c>
      <c r="I1584" s="1">
        <v>46183</v>
      </c>
      <c r="J1584">
        <v>61</v>
      </c>
      <c r="K1584" t="s">
        <v>3106</v>
      </c>
      <c r="L1584" t="s">
        <v>6112</v>
      </c>
      <c r="M1584">
        <v>14</v>
      </c>
      <c r="N1584">
        <v>1</v>
      </c>
      <c r="O1584" t="s">
        <v>1036</v>
      </c>
      <c r="P1584" s="17"/>
      <c r="Q1584" s="17" t="str">
        <f>_xlfn.XLOOKUP(Table2[[#This Row],[buyFromVendorNo]],'Next Day Scheduled'!A:A,'Pending Returns'!O:O,"NOT_FOUND")</f>
        <v>NOT_FOUND</v>
      </c>
    </row>
    <row r="1585" spans="1:17" x14ac:dyDescent="0.3">
      <c r="A1585" s="1">
        <v>46198</v>
      </c>
      <c r="B1585" t="s">
        <v>457</v>
      </c>
      <c r="C1585" t="s">
        <v>2508</v>
      </c>
      <c r="D1585" t="s">
        <v>2509</v>
      </c>
      <c r="E1585" t="s">
        <v>8</v>
      </c>
      <c r="F1585" t="s">
        <v>10</v>
      </c>
      <c r="G1585" s="16">
        <v>5924.93</v>
      </c>
      <c r="H1585" s="16">
        <v>6813.6693999999998</v>
      </c>
      <c r="I1585" s="1">
        <v>46187</v>
      </c>
      <c r="J1585">
        <v>61</v>
      </c>
      <c r="K1585" t="s">
        <v>4555</v>
      </c>
      <c r="L1585" t="s">
        <v>6113</v>
      </c>
      <c r="M1585">
        <v>0</v>
      </c>
      <c r="N1585">
        <v>167</v>
      </c>
      <c r="O1585" t="s">
        <v>1036</v>
      </c>
      <c r="P1585" s="17"/>
      <c r="Q1585" s="17" t="str">
        <f>_xlfn.XLOOKUP(Table2[[#This Row],[buyFromVendorNo]],'Next Day Scheduled'!A:A,'Pending Returns'!O:O,"NOT_FOUND")</f>
        <v>NOT_FOUND</v>
      </c>
    </row>
    <row r="1586" spans="1:17" x14ac:dyDescent="0.3">
      <c r="A1586" s="1">
        <v>46198</v>
      </c>
      <c r="B1586" t="s">
        <v>4173</v>
      </c>
      <c r="C1586" t="s">
        <v>871</v>
      </c>
      <c r="D1586" t="s">
        <v>3551</v>
      </c>
      <c r="E1586" t="s">
        <v>8</v>
      </c>
      <c r="F1586" t="s">
        <v>10</v>
      </c>
      <c r="G1586" s="16">
        <v>116.83</v>
      </c>
      <c r="H1586" s="16">
        <v>134.3545</v>
      </c>
      <c r="I1586" s="1">
        <v>46190</v>
      </c>
      <c r="J1586">
        <v>61</v>
      </c>
      <c r="K1586" t="s">
        <v>4131</v>
      </c>
      <c r="L1586" t="s">
        <v>6114</v>
      </c>
      <c r="M1586">
        <v>10</v>
      </c>
      <c r="N1586">
        <v>6</v>
      </c>
      <c r="O1586" t="s">
        <v>1036</v>
      </c>
      <c r="P1586" s="17"/>
      <c r="Q1586" s="17" t="str">
        <f>_xlfn.XLOOKUP(Table2[[#This Row],[buyFromVendorNo]],'Next Day Scheduled'!A:A,'Pending Returns'!O:O,"NOT_FOUND")</f>
        <v>Posted Credit Note</v>
      </c>
    </row>
    <row r="1587" spans="1:17" x14ac:dyDescent="0.3">
      <c r="A1587" s="1">
        <v>46198</v>
      </c>
      <c r="B1587" t="s">
        <v>4001</v>
      </c>
      <c r="C1587" t="s">
        <v>878</v>
      </c>
      <c r="D1587" t="s">
        <v>879</v>
      </c>
      <c r="E1587" t="s">
        <v>8</v>
      </c>
      <c r="F1587" t="s">
        <v>10</v>
      </c>
      <c r="G1587" s="16">
        <v>665.94770000000005</v>
      </c>
      <c r="H1587" s="16">
        <v>765.83983999999998</v>
      </c>
      <c r="I1587" s="1">
        <v>46183</v>
      </c>
      <c r="J1587">
        <v>61</v>
      </c>
      <c r="K1587" t="s">
        <v>4002</v>
      </c>
      <c r="L1587" t="s">
        <v>6116</v>
      </c>
      <c r="M1587">
        <v>14</v>
      </c>
      <c r="N1587">
        <v>1</v>
      </c>
      <c r="O1587" t="s">
        <v>1036</v>
      </c>
      <c r="P1587" s="17"/>
      <c r="Q1587" s="17" t="str">
        <f>_xlfn.XLOOKUP(Table2[[#This Row],[buyFromVendorNo]],'Next Day Scheduled'!A:A,'Pending Returns'!O:O,"NOT_FOUND")</f>
        <v>NOT_FOUND</v>
      </c>
    </row>
    <row r="1588" spans="1:17" x14ac:dyDescent="0.3">
      <c r="A1588" s="1">
        <v>46198</v>
      </c>
      <c r="B1588" t="s">
        <v>2551</v>
      </c>
      <c r="C1588" t="s">
        <v>2508</v>
      </c>
      <c r="D1588" t="s">
        <v>2509</v>
      </c>
      <c r="E1588" t="s">
        <v>8</v>
      </c>
      <c r="F1588" t="s">
        <v>10</v>
      </c>
      <c r="G1588" s="16">
        <v>2744.39</v>
      </c>
      <c r="H1588" s="16">
        <v>3156.0486000000001</v>
      </c>
      <c r="I1588" s="1">
        <v>46187</v>
      </c>
      <c r="J1588">
        <v>61</v>
      </c>
      <c r="K1588" t="s">
        <v>2866</v>
      </c>
      <c r="L1588" t="s">
        <v>6117</v>
      </c>
      <c r="M1588">
        <v>0</v>
      </c>
      <c r="N1588">
        <v>167</v>
      </c>
      <c r="O1588" t="s">
        <v>1036</v>
      </c>
      <c r="P1588" s="17"/>
      <c r="Q1588" s="17" t="str">
        <f>_xlfn.XLOOKUP(Table2[[#This Row],[buyFromVendorNo]],'Next Day Scheduled'!A:A,'Pending Returns'!O:O,"NOT_FOUND")</f>
        <v>NOT_FOUND</v>
      </c>
    </row>
    <row r="1589" spans="1:17" x14ac:dyDescent="0.3">
      <c r="A1589" s="1">
        <v>46198</v>
      </c>
      <c r="B1589" t="s">
        <v>5204</v>
      </c>
      <c r="C1589" t="s">
        <v>877</v>
      </c>
      <c r="D1589" t="s">
        <v>2343</v>
      </c>
      <c r="E1589" t="s">
        <v>8</v>
      </c>
      <c r="F1589" t="s">
        <v>10</v>
      </c>
      <c r="G1589" s="16">
        <v>1332.4</v>
      </c>
      <c r="H1589" s="16">
        <v>1532.26</v>
      </c>
      <c r="I1589" s="1">
        <v>46183</v>
      </c>
      <c r="J1589">
        <v>61</v>
      </c>
      <c r="K1589" t="s">
        <v>4623</v>
      </c>
      <c r="L1589" t="s">
        <v>6087</v>
      </c>
      <c r="M1589">
        <v>9</v>
      </c>
      <c r="N1589">
        <v>2</v>
      </c>
      <c r="O1589" t="s">
        <v>1036</v>
      </c>
      <c r="P1589" s="17"/>
      <c r="Q1589" s="17" t="str">
        <f>_xlfn.XLOOKUP(Table2[[#This Row],[buyFromVendorNo]],'Next Day Scheduled'!A:A,'Pending Returns'!O:O,"NOT_FOUND")</f>
        <v>NOT_FOUND</v>
      </c>
    </row>
    <row r="1590" spans="1:17" x14ac:dyDescent="0.3">
      <c r="A1590" s="1">
        <v>46198</v>
      </c>
      <c r="B1590" t="s">
        <v>1390</v>
      </c>
      <c r="C1590" t="s">
        <v>1346</v>
      </c>
      <c r="D1590" t="s">
        <v>1347</v>
      </c>
      <c r="E1590" t="s">
        <v>8</v>
      </c>
      <c r="F1590" t="s">
        <v>10</v>
      </c>
      <c r="G1590" s="16">
        <v>1072.23</v>
      </c>
      <c r="H1590" s="16">
        <v>1233.0645</v>
      </c>
      <c r="I1590" s="1">
        <v>46195</v>
      </c>
      <c r="J1590">
        <v>61</v>
      </c>
      <c r="K1590" t="s">
        <v>5574</v>
      </c>
      <c r="L1590" t="s">
        <v>6088</v>
      </c>
      <c r="M1590">
        <v>5</v>
      </c>
      <c r="N1590">
        <v>9</v>
      </c>
      <c r="O1590" t="s">
        <v>1036</v>
      </c>
      <c r="P1590" s="17"/>
      <c r="Q1590" s="17" t="str">
        <f>_xlfn.XLOOKUP(Table2[[#This Row],[buyFromVendorNo]],'Next Day Scheduled'!A:A,'Pending Returns'!O:O,"NOT_FOUND")</f>
        <v>NOT_FOUND</v>
      </c>
    </row>
    <row r="1591" spans="1:17" x14ac:dyDescent="0.3">
      <c r="A1591" s="1">
        <v>46198</v>
      </c>
      <c r="B1591" t="s">
        <v>2161</v>
      </c>
      <c r="C1591" t="s">
        <v>65</v>
      </c>
      <c r="D1591" t="s">
        <v>66</v>
      </c>
      <c r="E1591" t="s">
        <v>8</v>
      </c>
      <c r="F1591" t="s">
        <v>10</v>
      </c>
      <c r="G1591" s="16">
        <v>2945.3645000000001</v>
      </c>
      <c r="H1591" s="16">
        <v>3387.1691999999998</v>
      </c>
      <c r="I1591" s="1">
        <v>46198</v>
      </c>
      <c r="J1591">
        <v>61</v>
      </c>
      <c r="K1591" t="s">
        <v>5708</v>
      </c>
      <c r="L1591" t="s">
        <v>6089</v>
      </c>
      <c r="M1591">
        <v>21</v>
      </c>
      <c r="N1591">
        <v>5</v>
      </c>
      <c r="O1591" t="s">
        <v>1036</v>
      </c>
      <c r="P1591" s="17"/>
      <c r="Q1591" s="17" t="str">
        <f>_xlfn.XLOOKUP(Table2[[#This Row],[buyFromVendorNo]],'Next Day Scheduled'!A:A,'Pending Returns'!O:O,"NOT_FOUND")</f>
        <v>Posted Credit Note</v>
      </c>
    </row>
    <row r="1592" spans="1:17" x14ac:dyDescent="0.3">
      <c r="A1592" s="1">
        <v>46198</v>
      </c>
      <c r="B1592" t="s">
        <v>5072</v>
      </c>
      <c r="C1592" t="s">
        <v>139</v>
      </c>
      <c r="D1592" t="s">
        <v>140</v>
      </c>
      <c r="E1592" t="s">
        <v>8</v>
      </c>
      <c r="F1592" t="s">
        <v>10</v>
      </c>
      <c r="G1592" s="16">
        <v>412.59309999999999</v>
      </c>
      <c r="H1592" s="16">
        <v>474.4821</v>
      </c>
      <c r="I1592" s="1">
        <v>46198</v>
      </c>
      <c r="J1592">
        <v>61</v>
      </c>
      <c r="K1592" t="s">
        <v>4986</v>
      </c>
      <c r="L1592" t="s">
        <v>6044</v>
      </c>
      <c r="M1592">
        <v>10</v>
      </c>
      <c r="N1592">
        <v>7</v>
      </c>
      <c r="O1592" t="s">
        <v>1036</v>
      </c>
      <c r="P1592" s="17"/>
      <c r="Q1592" s="17" t="str">
        <f>_xlfn.XLOOKUP(Table2[[#This Row],[buyFromVendorNo]],'Next Day Scheduled'!A:A,'Pending Returns'!O:O,"NOT_FOUND")</f>
        <v>NOT_FOUND</v>
      </c>
    </row>
    <row r="1593" spans="1:17" x14ac:dyDescent="0.3">
      <c r="A1593" s="1">
        <v>46198</v>
      </c>
      <c r="B1593" t="s">
        <v>4193</v>
      </c>
      <c r="C1593" t="s">
        <v>871</v>
      </c>
      <c r="D1593" t="s">
        <v>3551</v>
      </c>
      <c r="E1593" t="s">
        <v>8</v>
      </c>
      <c r="F1593" t="s">
        <v>10</v>
      </c>
      <c r="G1593" s="16">
        <v>120.33</v>
      </c>
      <c r="H1593" s="16">
        <v>138.37950000000001</v>
      </c>
      <c r="I1593" s="1">
        <v>46190</v>
      </c>
      <c r="J1593">
        <v>61</v>
      </c>
      <c r="K1593" t="s">
        <v>4140</v>
      </c>
      <c r="L1593" t="s">
        <v>6047</v>
      </c>
      <c r="M1593">
        <v>10</v>
      </c>
      <c r="N1593">
        <v>6</v>
      </c>
      <c r="O1593" t="s">
        <v>1036</v>
      </c>
      <c r="P1593" s="17"/>
      <c r="Q1593" s="17" t="str">
        <f>_xlfn.XLOOKUP(Table2[[#This Row],[buyFromVendorNo]],'Next Day Scheduled'!A:A,'Pending Returns'!O:O,"NOT_FOUND")</f>
        <v>Posted Credit Note</v>
      </c>
    </row>
    <row r="1594" spans="1:17" x14ac:dyDescent="0.3">
      <c r="A1594" s="1">
        <v>46198</v>
      </c>
      <c r="B1594" t="s">
        <v>3710</v>
      </c>
      <c r="C1594" t="s">
        <v>871</v>
      </c>
      <c r="D1594" t="s">
        <v>3551</v>
      </c>
      <c r="E1594" t="s">
        <v>8</v>
      </c>
      <c r="F1594" t="s">
        <v>10</v>
      </c>
      <c r="G1594" s="16">
        <v>178.16</v>
      </c>
      <c r="H1594" s="16">
        <v>204.88399999999999</v>
      </c>
      <c r="I1594" s="1">
        <v>46190</v>
      </c>
      <c r="J1594">
        <v>61</v>
      </c>
      <c r="K1594" t="s">
        <v>3668</v>
      </c>
      <c r="L1594" t="s">
        <v>6119</v>
      </c>
      <c r="M1594">
        <v>10</v>
      </c>
      <c r="N1594">
        <v>6</v>
      </c>
      <c r="O1594" t="s">
        <v>1036</v>
      </c>
      <c r="P1594" s="17"/>
      <c r="Q1594" s="17" t="str">
        <f>_xlfn.XLOOKUP(Table2[[#This Row],[buyFromVendorNo]],'Next Day Scheduled'!A:A,'Pending Returns'!O:O,"NOT_FOUND")</f>
        <v>Posted Credit Note</v>
      </c>
    </row>
    <row r="1595" spans="1:17" x14ac:dyDescent="0.3">
      <c r="A1595" s="1">
        <v>46198</v>
      </c>
      <c r="B1595" t="s">
        <v>285</v>
      </c>
      <c r="C1595" t="s">
        <v>911</v>
      </c>
      <c r="D1595" t="s">
        <v>912</v>
      </c>
      <c r="E1595" t="s">
        <v>8</v>
      </c>
      <c r="F1595" t="s">
        <v>10</v>
      </c>
      <c r="G1595" s="16">
        <v>3410.59</v>
      </c>
      <c r="H1595" s="16">
        <v>3910.5295000000001</v>
      </c>
      <c r="I1595" s="1">
        <v>46175</v>
      </c>
      <c r="J1595">
        <v>61</v>
      </c>
      <c r="K1595" t="s">
        <v>2691</v>
      </c>
      <c r="L1595" t="s">
        <v>6065</v>
      </c>
      <c r="M1595">
        <v>7</v>
      </c>
      <c r="N1595">
        <v>5</v>
      </c>
      <c r="O1595" t="s">
        <v>1036</v>
      </c>
      <c r="P1595" s="17"/>
      <c r="Q1595" s="17" t="str">
        <f>_xlfn.XLOOKUP(Table2[[#This Row],[buyFromVendorNo]],'Next Day Scheduled'!A:A,'Pending Returns'!O:O,"NOT_FOUND")</f>
        <v>NOT_FOUND</v>
      </c>
    </row>
    <row r="1596" spans="1:17" x14ac:dyDescent="0.3">
      <c r="A1596" s="1">
        <v>46199</v>
      </c>
      <c r="B1596" t="s">
        <v>607</v>
      </c>
      <c r="C1596" t="s">
        <v>43</v>
      </c>
      <c r="D1596" t="s">
        <v>44</v>
      </c>
      <c r="E1596" t="s">
        <v>8</v>
      </c>
      <c r="F1596" t="s">
        <v>10</v>
      </c>
      <c r="G1596" s="16">
        <v>3183.64</v>
      </c>
      <c r="H1596" s="16">
        <v>3661.1860000000001</v>
      </c>
      <c r="J1596">
        <v>60</v>
      </c>
      <c r="K1596" t="s">
        <v>6121</v>
      </c>
      <c r="M1596">
        <v>17</v>
      </c>
      <c r="N1596">
        <v>2</v>
      </c>
      <c r="O1596" t="s">
        <v>216</v>
      </c>
      <c r="P1596" s="17"/>
      <c r="Q1596" s="17" t="str">
        <f>_xlfn.XLOOKUP(Table2[[#This Row],[buyFromVendorNo]],'Next Day Scheduled'!A:A,'Pending Returns'!O:O,"NOT_FOUND")</f>
        <v>Posted Credit Note</v>
      </c>
    </row>
    <row r="1597" spans="1:17" x14ac:dyDescent="0.3">
      <c r="A1597" s="1">
        <v>46200</v>
      </c>
      <c r="B1597" t="s">
        <v>5249</v>
      </c>
      <c r="C1597" t="s">
        <v>2263</v>
      </c>
      <c r="D1597" t="s">
        <v>2350</v>
      </c>
      <c r="E1597" t="s">
        <v>8</v>
      </c>
      <c r="F1597" t="s">
        <v>10</v>
      </c>
      <c r="G1597" s="16">
        <v>26.9</v>
      </c>
      <c r="H1597" s="16">
        <v>30.934999999999999</v>
      </c>
      <c r="I1597" s="1">
        <v>46194</v>
      </c>
      <c r="J1597">
        <v>59</v>
      </c>
      <c r="K1597" t="s">
        <v>5250</v>
      </c>
      <c r="L1597" t="s">
        <v>6145</v>
      </c>
      <c r="M1597">
        <v>7</v>
      </c>
      <c r="N1597">
        <v>3</v>
      </c>
      <c r="O1597" t="s">
        <v>1036</v>
      </c>
      <c r="P1597" s="17"/>
      <c r="Q1597" s="17" t="str">
        <f>_xlfn.XLOOKUP(Table2[[#This Row],[buyFromVendorNo]],'Next Day Scheduled'!A:A,'Pending Returns'!O:O,"NOT_FOUND")</f>
        <v>Posted Credit Note</v>
      </c>
    </row>
    <row r="1598" spans="1:17" x14ac:dyDescent="0.3">
      <c r="A1598" s="1">
        <v>46200</v>
      </c>
      <c r="B1598" t="s">
        <v>4678</v>
      </c>
      <c r="C1598" t="s">
        <v>1018</v>
      </c>
      <c r="D1598" t="s">
        <v>1019</v>
      </c>
      <c r="E1598" t="s">
        <v>8</v>
      </c>
      <c r="F1598" t="s">
        <v>10</v>
      </c>
      <c r="G1598" s="16">
        <v>5757.7362999999996</v>
      </c>
      <c r="H1598" s="16">
        <v>6621.3964999999998</v>
      </c>
      <c r="I1598" s="1">
        <v>46199</v>
      </c>
      <c r="J1598">
        <v>59</v>
      </c>
      <c r="K1598" t="s">
        <v>5969</v>
      </c>
      <c r="L1598" t="s">
        <v>6166</v>
      </c>
      <c r="M1598">
        <v>9</v>
      </c>
      <c r="N1598">
        <v>3</v>
      </c>
      <c r="O1598" t="s">
        <v>1036</v>
      </c>
      <c r="P1598" s="17"/>
      <c r="Q1598" s="17" t="str">
        <f>_xlfn.XLOOKUP(Table2[[#This Row],[buyFromVendorNo]],'Next Day Scheduled'!A:A,'Pending Returns'!O:O,"NOT_FOUND")</f>
        <v>NOT_FOUND</v>
      </c>
    </row>
    <row r="1599" spans="1:17" x14ac:dyDescent="0.3">
      <c r="A1599" s="1">
        <v>46200</v>
      </c>
      <c r="B1599" t="s">
        <v>5127</v>
      </c>
      <c r="C1599" t="s">
        <v>5007</v>
      </c>
      <c r="D1599" t="s">
        <v>5008</v>
      </c>
      <c r="E1599" t="s">
        <v>8</v>
      </c>
      <c r="F1599" t="s">
        <v>38</v>
      </c>
      <c r="G1599" s="16">
        <v>571.53599999999994</v>
      </c>
      <c r="H1599" s="16">
        <v>657.26639999999998</v>
      </c>
      <c r="I1599" s="1">
        <v>46196</v>
      </c>
      <c r="J1599">
        <v>59</v>
      </c>
      <c r="K1599" t="s">
        <v>5006</v>
      </c>
      <c r="L1599" t="s">
        <v>6138</v>
      </c>
      <c r="M1599">
        <v>9</v>
      </c>
      <c r="N1599">
        <v>7</v>
      </c>
      <c r="O1599" t="s">
        <v>1036</v>
      </c>
      <c r="P1599" s="17"/>
      <c r="Q1599" s="17" t="str">
        <f>_xlfn.XLOOKUP(Table2[[#This Row],[buyFromVendorNo]],'Next Day Scheduled'!A:A,'Pending Returns'!O:O,"NOT_FOUND")</f>
        <v>NOT_FOUND</v>
      </c>
    </row>
    <row r="1600" spans="1:17" x14ac:dyDescent="0.3">
      <c r="A1600" s="1">
        <v>46200</v>
      </c>
      <c r="B1600" t="s">
        <v>1863</v>
      </c>
      <c r="C1600" t="s">
        <v>139</v>
      </c>
      <c r="D1600" t="s">
        <v>140</v>
      </c>
      <c r="E1600" t="s">
        <v>8</v>
      </c>
      <c r="F1600" t="s">
        <v>10</v>
      </c>
      <c r="G1600" s="16">
        <v>785.73050000000001</v>
      </c>
      <c r="H1600" s="16">
        <v>903.59010000000001</v>
      </c>
      <c r="I1600" s="1">
        <v>46198</v>
      </c>
      <c r="J1600">
        <v>59</v>
      </c>
      <c r="K1600" t="s">
        <v>4600</v>
      </c>
      <c r="L1600" t="s">
        <v>6141</v>
      </c>
      <c r="M1600">
        <v>10</v>
      </c>
      <c r="N1600">
        <v>7</v>
      </c>
      <c r="O1600" t="s">
        <v>1036</v>
      </c>
      <c r="P1600" s="17"/>
      <c r="Q1600" s="17" t="str">
        <f>_xlfn.XLOOKUP(Table2[[#This Row],[buyFromVendorNo]],'Next Day Scheduled'!A:A,'Pending Returns'!O:O,"NOT_FOUND")</f>
        <v>NOT_FOUND</v>
      </c>
    </row>
    <row r="1601" spans="1:17" x14ac:dyDescent="0.3">
      <c r="A1601" s="1">
        <v>46200</v>
      </c>
      <c r="B1601" t="s">
        <v>5396</v>
      </c>
      <c r="C1601" t="s">
        <v>1593</v>
      </c>
      <c r="D1601" t="s">
        <v>1594</v>
      </c>
      <c r="E1601" t="s">
        <v>8</v>
      </c>
      <c r="F1601" t="s">
        <v>10</v>
      </c>
      <c r="G1601" s="16">
        <v>225.55</v>
      </c>
      <c r="H1601" s="16">
        <v>259.38249999999999</v>
      </c>
      <c r="I1601" s="1">
        <v>46195</v>
      </c>
      <c r="J1601">
        <v>59</v>
      </c>
      <c r="K1601" t="s">
        <v>5397</v>
      </c>
      <c r="L1601" t="s">
        <v>6157</v>
      </c>
      <c r="M1601">
        <v>8</v>
      </c>
      <c r="N1601">
        <v>2</v>
      </c>
      <c r="O1601" t="s">
        <v>1036</v>
      </c>
      <c r="P1601" s="17"/>
      <c r="Q1601" s="17" t="str">
        <f>_xlfn.XLOOKUP(Table2[[#This Row],[buyFromVendorNo]],'Next Day Scheduled'!A:A,'Pending Returns'!O:O,"NOT_FOUND")</f>
        <v>NOT_FOUND</v>
      </c>
    </row>
    <row r="1602" spans="1:17" x14ac:dyDescent="0.3">
      <c r="A1602" s="1">
        <v>46200</v>
      </c>
      <c r="B1602" t="s">
        <v>2818</v>
      </c>
      <c r="C1602" t="s">
        <v>2834</v>
      </c>
      <c r="D1602" t="s">
        <v>2835</v>
      </c>
      <c r="E1602" t="s">
        <v>8</v>
      </c>
      <c r="F1602" t="s">
        <v>10</v>
      </c>
      <c r="G1602" s="16">
        <v>284.86</v>
      </c>
      <c r="H1602" s="16">
        <v>327.589</v>
      </c>
      <c r="I1602" s="1">
        <v>46200</v>
      </c>
      <c r="J1602">
        <v>59</v>
      </c>
      <c r="K1602" t="s">
        <v>5301</v>
      </c>
      <c r="L1602" t="s">
        <v>6170</v>
      </c>
      <c r="M1602">
        <v>7</v>
      </c>
      <c r="N1602">
        <v>5</v>
      </c>
      <c r="O1602" t="s">
        <v>1036</v>
      </c>
      <c r="P1602" s="17"/>
      <c r="Q1602" s="17" t="str">
        <f>_xlfn.XLOOKUP(Table2[[#This Row],[buyFromVendorNo]],'Next Day Scheduled'!A:A,'Pending Returns'!O:O,"NOT_FOUND")</f>
        <v>NOT_FOUND</v>
      </c>
    </row>
    <row r="1603" spans="1:17" x14ac:dyDescent="0.3">
      <c r="A1603" s="1">
        <v>46200</v>
      </c>
      <c r="B1603" t="s">
        <v>1390</v>
      </c>
      <c r="C1603" t="s">
        <v>422</v>
      </c>
      <c r="D1603" t="s">
        <v>490</v>
      </c>
      <c r="E1603" t="s">
        <v>8</v>
      </c>
      <c r="F1603" t="s">
        <v>10</v>
      </c>
      <c r="G1603" s="16">
        <v>1105.0773999999999</v>
      </c>
      <c r="H1603" s="16">
        <v>1270.8389999999999</v>
      </c>
      <c r="I1603" s="1">
        <v>46194</v>
      </c>
      <c r="J1603">
        <v>59</v>
      </c>
      <c r="K1603" t="s">
        <v>4967</v>
      </c>
      <c r="L1603" t="s">
        <v>6153</v>
      </c>
      <c r="M1603">
        <v>8</v>
      </c>
      <c r="N1603">
        <v>3</v>
      </c>
      <c r="O1603" t="s">
        <v>1036</v>
      </c>
      <c r="P1603" s="17"/>
      <c r="Q1603" s="17" t="str">
        <f>_xlfn.XLOOKUP(Table2[[#This Row],[buyFromVendorNo]],'Next Day Scheduled'!A:A,'Pending Returns'!O:O,"NOT_FOUND")</f>
        <v>NOT_FOUND</v>
      </c>
    </row>
    <row r="1604" spans="1:17" x14ac:dyDescent="0.3">
      <c r="A1604" s="1">
        <v>46200</v>
      </c>
      <c r="B1604" t="s">
        <v>2791</v>
      </c>
      <c r="C1604" t="s">
        <v>2376</v>
      </c>
      <c r="D1604" t="s">
        <v>2377</v>
      </c>
      <c r="E1604" t="s">
        <v>8</v>
      </c>
      <c r="F1604" t="s">
        <v>10</v>
      </c>
      <c r="G1604" s="16">
        <v>599.28</v>
      </c>
      <c r="H1604" s="16">
        <v>689.17200000000003</v>
      </c>
      <c r="I1604" s="1">
        <v>46180</v>
      </c>
      <c r="J1604">
        <v>59</v>
      </c>
      <c r="K1604" t="s">
        <v>2792</v>
      </c>
      <c r="L1604" t="s">
        <v>6132</v>
      </c>
      <c r="M1604">
        <v>0</v>
      </c>
      <c r="O1604" t="s">
        <v>1036</v>
      </c>
      <c r="P1604" s="17"/>
      <c r="Q1604" s="17" t="str">
        <f>_xlfn.XLOOKUP(Table2[[#This Row],[buyFromVendorNo]],'Next Day Scheduled'!A:A,'Pending Returns'!O:O,"NOT_FOUND")</f>
        <v>NOT_FOUND</v>
      </c>
    </row>
    <row r="1605" spans="1:17" x14ac:dyDescent="0.3">
      <c r="A1605" s="1">
        <v>46200</v>
      </c>
      <c r="B1605" t="s">
        <v>3016</v>
      </c>
      <c r="C1605" t="s">
        <v>422</v>
      </c>
      <c r="D1605" t="s">
        <v>490</v>
      </c>
      <c r="E1605" t="s">
        <v>8</v>
      </c>
      <c r="F1605" t="s">
        <v>10</v>
      </c>
      <c r="G1605" s="16">
        <v>19.57</v>
      </c>
      <c r="H1605" s="16">
        <v>22.505500000000001</v>
      </c>
      <c r="I1605" s="1">
        <v>46194</v>
      </c>
      <c r="J1605">
        <v>59</v>
      </c>
      <c r="K1605" t="s">
        <v>3017</v>
      </c>
      <c r="L1605" t="s">
        <v>6155</v>
      </c>
      <c r="M1605">
        <v>8</v>
      </c>
      <c r="N1605">
        <v>3</v>
      </c>
      <c r="O1605" t="s">
        <v>1036</v>
      </c>
      <c r="P1605" s="17"/>
      <c r="Q1605" s="17" t="str">
        <f>_xlfn.XLOOKUP(Table2[[#This Row],[buyFromVendorNo]],'Next Day Scheduled'!A:A,'Pending Returns'!O:O,"NOT_FOUND")</f>
        <v>NOT_FOUND</v>
      </c>
    </row>
    <row r="1606" spans="1:17" x14ac:dyDescent="0.3">
      <c r="A1606" s="1">
        <v>46200</v>
      </c>
      <c r="B1606" t="s">
        <v>555</v>
      </c>
      <c r="C1606" t="s">
        <v>875</v>
      </c>
      <c r="D1606" t="s">
        <v>876</v>
      </c>
      <c r="E1606" t="s">
        <v>8</v>
      </c>
      <c r="F1606" t="s">
        <v>38</v>
      </c>
      <c r="G1606" s="16">
        <v>436.4</v>
      </c>
      <c r="H1606" s="16">
        <v>501.86</v>
      </c>
      <c r="I1606" s="1">
        <v>46196</v>
      </c>
      <c r="J1606">
        <v>59</v>
      </c>
      <c r="K1606" t="s">
        <v>5829</v>
      </c>
      <c r="L1606" t="s">
        <v>6156</v>
      </c>
      <c r="M1606">
        <v>5</v>
      </c>
      <c r="N1606">
        <v>14</v>
      </c>
      <c r="O1606" t="s">
        <v>1036</v>
      </c>
      <c r="P1606" s="17"/>
      <c r="Q1606" s="17" t="str">
        <f>_xlfn.XLOOKUP(Table2[[#This Row],[buyFromVendorNo]],'Next Day Scheduled'!A:A,'Pending Returns'!O:O,"NOT_FOUND")</f>
        <v>NOT_FOUND</v>
      </c>
    </row>
    <row r="1607" spans="1:17" x14ac:dyDescent="0.3">
      <c r="A1607" s="1">
        <v>46200</v>
      </c>
      <c r="B1607" t="s">
        <v>5097</v>
      </c>
      <c r="C1607" t="s">
        <v>1881</v>
      </c>
      <c r="D1607" t="s">
        <v>2741</v>
      </c>
      <c r="E1607" t="s">
        <v>8</v>
      </c>
      <c r="F1607" t="s">
        <v>10</v>
      </c>
      <c r="G1607" s="16">
        <v>197.23479</v>
      </c>
      <c r="H1607" s="16">
        <v>226.82</v>
      </c>
      <c r="I1607" s="1">
        <v>46199</v>
      </c>
      <c r="J1607">
        <v>59</v>
      </c>
      <c r="K1607" t="s">
        <v>4939</v>
      </c>
      <c r="L1607" t="s">
        <v>6158</v>
      </c>
      <c r="M1607">
        <v>7</v>
      </c>
      <c r="N1607">
        <v>7</v>
      </c>
      <c r="O1607" t="s">
        <v>1036</v>
      </c>
      <c r="P1607" s="17"/>
      <c r="Q1607" s="17" t="str">
        <f>_xlfn.XLOOKUP(Table2[[#This Row],[buyFromVendorNo]],'Next Day Scheduled'!A:A,'Pending Returns'!O:O,"NOT_FOUND")</f>
        <v>NOT_FOUND</v>
      </c>
    </row>
    <row r="1608" spans="1:17" x14ac:dyDescent="0.3">
      <c r="A1608" s="1">
        <v>46200</v>
      </c>
      <c r="B1608" t="s">
        <v>515</v>
      </c>
      <c r="C1608" t="s">
        <v>4878</v>
      </c>
      <c r="D1608" t="s">
        <v>4970</v>
      </c>
      <c r="E1608" t="s">
        <v>8</v>
      </c>
      <c r="F1608" t="s">
        <v>10</v>
      </c>
      <c r="G1608" s="16">
        <v>134.6061</v>
      </c>
      <c r="H1608" s="16">
        <v>154.797</v>
      </c>
      <c r="I1608" s="1">
        <v>46197</v>
      </c>
      <c r="J1608">
        <v>59</v>
      </c>
      <c r="K1608" t="s">
        <v>5943</v>
      </c>
      <c r="L1608" t="s">
        <v>6131</v>
      </c>
      <c r="M1608">
        <v>8</v>
      </c>
      <c r="N1608">
        <v>6</v>
      </c>
      <c r="O1608" t="s">
        <v>1036</v>
      </c>
      <c r="P1608" s="17"/>
      <c r="Q1608" s="17" t="str">
        <f>_xlfn.XLOOKUP(Table2[[#This Row],[buyFromVendorNo]],'Next Day Scheduled'!A:A,'Pending Returns'!O:O,"NOT_FOUND")</f>
        <v>NOT_FOUND</v>
      </c>
    </row>
    <row r="1609" spans="1:17" x14ac:dyDescent="0.3">
      <c r="A1609" s="1">
        <v>46200</v>
      </c>
      <c r="B1609" t="s">
        <v>265</v>
      </c>
      <c r="C1609" t="s">
        <v>1593</v>
      </c>
      <c r="D1609" t="s">
        <v>1594</v>
      </c>
      <c r="E1609" t="s">
        <v>8</v>
      </c>
      <c r="F1609" t="s">
        <v>10</v>
      </c>
      <c r="G1609" s="16">
        <v>2416.5</v>
      </c>
      <c r="H1609" s="16">
        <v>2778.9749999999999</v>
      </c>
      <c r="I1609" s="1">
        <v>46195</v>
      </c>
      <c r="J1609">
        <v>59</v>
      </c>
      <c r="K1609" t="s">
        <v>5029</v>
      </c>
      <c r="L1609" t="s">
        <v>6144</v>
      </c>
      <c r="M1609">
        <v>8</v>
      </c>
      <c r="N1609">
        <v>2</v>
      </c>
      <c r="O1609" t="s">
        <v>1036</v>
      </c>
      <c r="P1609" s="17"/>
      <c r="Q1609" s="17" t="str">
        <f>_xlfn.XLOOKUP(Table2[[#This Row],[buyFromVendorNo]],'Next Day Scheduled'!A:A,'Pending Returns'!O:O,"NOT_FOUND")</f>
        <v>NOT_FOUND</v>
      </c>
    </row>
    <row r="1610" spans="1:17" x14ac:dyDescent="0.3">
      <c r="A1610" s="1">
        <v>46200</v>
      </c>
      <c r="B1610" t="s">
        <v>4251</v>
      </c>
      <c r="C1610" t="s">
        <v>464</v>
      </c>
      <c r="D1610" t="s">
        <v>465</v>
      </c>
      <c r="E1610" t="s">
        <v>8</v>
      </c>
      <c r="F1610" t="s">
        <v>10</v>
      </c>
      <c r="G1610" s="16">
        <v>535.80349999999999</v>
      </c>
      <c r="H1610" s="16">
        <v>616.17399999999998</v>
      </c>
      <c r="I1610" s="1">
        <v>46183</v>
      </c>
      <c r="J1610">
        <v>59</v>
      </c>
      <c r="K1610" t="s">
        <v>4252</v>
      </c>
      <c r="L1610" t="s">
        <v>6146</v>
      </c>
      <c r="M1610">
        <v>9</v>
      </c>
      <c r="N1610">
        <v>6</v>
      </c>
      <c r="O1610" t="s">
        <v>1036</v>
      </c>
      <c r="P1610" s="17"/>
      <c r="Q1610" s="17" t="str">
        <f>_xlfn.XLOOKUP(Table2[[#This Row],[buyFromVendorNo]],'Next Day Scheduled'!A:A,'Pending Returns'!O:O,"NOT_FOUND")</f>
        <v>NOT_FOUND</v>
      </c>
    </row>
    <row r="1611" spans="1:17" x14ac:dyDescent="0.3">
      <c r="A1611" s="1">
        <v>46200</v>
      </c>
      <c r="B1611" t="s">
        <v>2627</v>
      </c>
      <c r="C1611" t="s">
        <v>422</v>
      </c>
      <c r="D1611" t="s">
        <v>490</v>
      </c>
      <c r="E1611" t="s">
        <v>8</v>
      </c>
      <c r="F1611" t="s">
        <v>10</v>
      </c>
      <c r="G1611" s="16">
        <v>2922.8742999999999</v>
      </c>
      <c r="H1611" s="16">
        <v>3361.3054000000002</v>
      </c>
      <c r="I1611" s="1">
        <v>46194</v>
      </c>
      <c r="J1611">
        <v>59</v>
      </c>
      <c r="K1611" t="s">
        <v>2628</v>
      </c>
      <c r="L1611" t="s">
        <v>6148</v>
      </c>
      <c r="M1611">
        <v>8</v>
      </c>
      <c r="N1611">
        <v>3</v>
      </c>
      <c r="O1611" t="s">
        <v>1036</v>
      </c>
      <c r="P1611" s="17"/>
      <c r="Q1611" s="17" t="str">
        <f>_xlfn.XLOOKUP(Table2[[#This Row],[buyFromVendorNo]],'Next Day Scheduled'!A:A,'Pending Returns'!O:O,"NOT_FOUND")</f>
        <v>NOT_FOUND</v>
      </c>
    </row>
    <row r="1612" spans="1:17" x14ac:dyDescent="0.3">
      <c r="A1612" s="1">
        <v>46200</v>
      </c>
      <c r="B1612" t="s">
        <v>3831</v>
      </c>
      <c r="C1612" t="s">
        <v>422</v>
      </c>
      <c r="D1612" t="s">
        <v>490</v>
      </c>
      <c r="E1612" t="s">
        <v>8</v>
      </c>
      <c r="F1612" t="s">
        <v>169</v>
      </c>
      <c r="G1612" s="16">
        <v>452.53203999999999</v>
      </c>
      <c r="H1612" s="16">
        <v>520.41187000000002</v>
      </c>
      <c r="I1612" s="1">
        <v>46177</v>
      </c>
      <c r="J1612">
        <v>59</v>
      </c>
      <c r="K1612" t="s">
        <v>3879</v>
      </c>
      <c r="L1612" t="s">
        <v>6167</v>
      </c>
      <c r="M1612">
        <v>8</v>
      </c>
      <c r="N1612">
        <v>3</v>
      </c>
      <c r="O1612" t="s">
        <v>1036</v>
      </c>
      <c r="P1612" s="17"/>
      <c r="Q1612" s="17" t="str">
        <f>_xlfn.XLOOKUP(Table2[[#This Row],[buyFromVendorNo]],'Next Day Scheduled'!A:A,'Pending Returns'!O:O,"NOT_FOUND")</f>
        <v>NOT_FOUND</v>
      </c>
    </row>
    <row r="1613" spans="1:17" x14ac:dyDescent="0.3">
      <c r="A1613" s="1">
        <v>46200</v>
      </c>
      <c r="B1613" t="s">
        <v>2873</v>
      </c>
      <c r="C1613" t="s">
        <v>2348</v>
      </c>
      <c r="D1613" t="s">
        <v>2349</v>
      </c>
      <c r="E1613" t="s">
        <v>8</v>
      </c>
      <c r="F1613" t="s">
        <v>10</v>
      </c>
      <c r="G1613" s="16">
        <v>4682.95</v>
      </c>
      <c r="H1613" s="16">
        <v>4809.7</v>
      </c>
      <c r="I1613" s="1">
        <v>46194</v>
      </c>
      <c r="J1613">
        <v>59</v>
      </c>
      <c r="K1613" t="s">
        <v>2874</v>
      </c>
      <c r="L1613" t="s">
        <v>6149</v>
      </c>
      <c r="M1613">
        <v>6</v>
      </c>
      <c r="N1613">
        <v>12</v>
      </c>
      <c r="O1613" t="s">
        <v>1036</v>
      </c>
      <c r="P1613" s="17"/>
      <c r="Q1613" s="17" t="str">
        <f>_xlfn.XLOOKUP(Table2[[#This Row],[buyFromVendorNo]],'Next Day Scheduled'!A:A,'Pending Returns'!O:O,"NOT_FOUND")</f>
        <v>NOT_FOUND</v>
      </c>
    </row>
    <row r="1614" spans="1:17" x14ac:dyDescent="0.3">
      <c r="A1614" s="1">
        <v>46200</v>
      </c>
      <c r="B1614" t="s">
        <v>232</v>
      </c>
      <c r="C1614" t="s">
        <v>158</v>
      </c>
      <c r="D1614" t="s">
        <v>159</v>
      </c>
      <c r="E1614" t="s">
        <v>8</v>
      </c>
      <c r="F1614" t="s">
        <v>10</v>
      </c>
      <c r="G1614" s="16">
        <v>2625.7669999999998</v>
      </c>
      <c r="H1614" s="16">
        <v>3019.6320000000001</v>
      </c>
      <c r="I1614" s="1">
        <v>46194</v>
      </c>
      <c r="J1614">
        <v>59</v>
      </c>
      <c r="K1614" t="s">
        <v>4705</v>
      </c>
      <c r="L1614" t="s">
        <v>6161</v>
      </c>
      <c r="M1614">
        <v>8</v>
      </c>
      <c r="N1614">
        <v>6</v>
      </c>
      <c r="O1614" t="s">
        <v>1036</v>
      </c>
      <c r="P1614" s="17"/>
      <c r="Q1614" s="17" t="str">
        <f>_xlfn.XLOOKUP(Table2[[#This Row],[buyFromVendorNo]],'Next Day Scheduled'!A:A,'Pending Returns'!O:O,"NOT_FOUND")</f>
        <v>Posted Credit Note</v>
      </c>
    </row>
    <row r="1615" spans="1:17" x14ac:dyDescent="0.3">
      <c r="A1615" s="1">
        <v>46200</v>
      </c>
      <c r="B1615" t="s">
        <v>237</v>
      </c>
      <c r="C1615" t="s">
        <v>4974</v>
      </c>
      <c r="D1615" t="s">
        <v>4318</v>
      </c>
      <c r="E1615" t="s">
        <v>8</v>
      </c>
      <c r="F1615" t="s">
        <v>10</v>
      </c>
      <c r="G1615" s="16">
        <v>100</v>
      </c>
      <c r="H1615" s="16">
        <v>115</v>
      </c>
      <c r="I1615" s="1">
        <v>46197</v>
      </c>
      <c r="J1615">
        <v>59</v>
      </c>
      <c r="K1615" t="s">
        <v>4973</v>
      </c>
      <c r="L1615" t="s">
        <v>6152</v>
      </c>
      <c r="M1615">
        <v>13</v>
      </c>
      <c r="N1615">
        <v>1</v>
      </c>
      <c r="O1615" t="s">
        <v>1036</v>
      </c>
      <c r="P1615" s="17"/>
      <c r="Q1615" s="17" t="str">
        <f>_xlfn.XLOOKUP(Table2[[#This Row],[buyFromVendorNo]],'Next Day Scheduled'!A:A,'Pending Returns'!O:O,"NOT_FOUND")</f>
        <v>NOT_FOUND</v>
      </c>
    </row>
    <row r="1616" spans="1:17" x14ac:dyDescent="0.3">
      <c r="A1616" s="1">
        <v>46200</v>
      </c>
      <c r="B1616" t="s">
        <v>1825</v>
      </c>
      <c r="C1616" t="s">
        <v>602</v>
      </c>
      <c r="D1616" t="s">
        <v>603</v>
      </c>
      <c r="E1616" t="s">
        <v>8</v>
      </c>
      <c r="F1616" t="s">
        <v>10</v>
      </c>
      <c r="G1616" s="16">
        <v>899.37009999999998</v>
      </c>
      <c r="H1616" s="16">
        <v>1034.2755999999999</v>
      </c>
      <c r="I1616" s="1">
        <v>46199</v>
      </c>
      <c r="J1616">
        <v>59</v>
      </c>
      <c r="K1616" t="s">
        <v>5477</v>
      </c>
      <c r="L1616" t="s">
        <v>6163</v>
      </c>
      <c r="M1616">
        <v>7</v>
      </c>
      <c r="N1616">
        <v>6</v>
      </c>
      <c r="O1616" t="s">
        <v>1036</v>
      </c>
      <c r="P1616" s="17"/>
      <c r="Q1616" s="17" t="str">
        <f>_xlfn.XLOOKUP(Table2[[#This Row],[buyFromVendorNo]],'Next Day Scheduled'!A:A,'Pending Returns'!O:O,"NOT_FOUND")</f>
        <v>NOT_FOUND</v>
      </c>
    </row>
    <row r="1617" spans="1:17" x14ac:dyDescent="0.3">
      <c r="A1617" s="1">
        <v>46200</v>
      </c>
      <c r="B1617" t="s">
        <v>3692</v>
      </c>
      <c r="C1617" t="s">
        <v>185</v>
      </c>
      <c r="D1617" t="s">
        <v>186</v>
      </c>
      <c r="E1617" t="s">
        <v>8</v>
      </c>
      <c r="F1617" t="s">
        <v>10</v>
      </c>
      <c r="G1617" s="16">
        <v>396</v>
      </c>
      <c r="H1617" s="16">
        <v>455.4</v>
      </c>
      <c r="I1617" s="1">
        <v>46188</v>
      </c>
      <c r="J1617">
        <v>59</v>
      </c>
      <c r="K1617" t="s">
        <v>4430</v>
      </c>
      <c r="L1617" t="s">
        <v>6143</v>
      </c>
      <c r="M1617">
        <v>6</v>
      </c>
      <c r="N1617">
        <v>2</v>
      </c>
      <c r="O1617" t="s">
        <v>1036</v>
      </c>
      <c r="P1617" s="17"/>
      <c r="Q1617" s="17" t="str">
        <f>_xlfn.XLOOKUP(Table2[[#This Row],[buyFromVendorNo]],'Next Day Scheduled'!A:A,'Pending Returns'!O:O,"NOT_FOUND")</f>
        <v>NOT_FOUND</v>
      </c>
    </row>
    <row r="1618" spans="1:17" x14ac:dyDescent="0.3">
      <c r="A1618" s="1">
        <v>46200</v>
      </c>
      <c r="B1618" t="s">
        <v>3301</v>
      </c>
      <c r="C1618" t="s">
        <v>381</v>
      </c>
      <c r="D1618" t="s">
        <v>382</v>
      </c>
      <c r="E1618" t="s">
        <v>8</v>
      </c>
      <c r="F1618" t="s">
        <v>10</v>
      </c>
      <c r="G1618" s="16">
        <v>156.75</v>
      </c>
      <c r="H1618" s="16">
        <v>180.26249999999999</v>
      </c>
      <c r="I1618" s="1">
        <v>46180</v>
      </c>
      <c r="J1618">
        <v>59</v>
      </c>
      <c r="K1618" t="s">
        <v>3145</v>
      </c>
      <c r="L1618" t="s">
        <v>6154</v>
      </c>
      <c r="M1618">
        <v>9</v>
      </c>
      <c r="N1618">
        <v>3</v>
      </c>
      <c r="O1618" t="s">
        <v>1036</v>
      </c>
      <c r="P1618" s="17"/>
      <c r="Q1618" s="17" t="str">
        <f>_xlfn.XLOOKUP(Table2[[#This Row],[buyFromVendorNo]],'Next Day Scheduled'!A:A,'Pending Returns'!O:O,"NOT_FOUND")</f>
        <v>NOT_FOUND</v>
      </c>
    </row>
    <row r="1619" spans="1:17" x14ac:dyDescent="0.3">
      <c r="A1619" s="1">
        <v>46200</v>
      </c>
      <c r="B1619" t="s">
        <v>5592</v>
      </c>
      <c r="C1619" t="s">
        <v>4244</v>
      </c>
      <c r="D1619" t="s">
        <v>4245</v>
      </c>
      <c r="E1619" t="s">
        <v>8</v>
      </c>
      <c r="F1619" t="s">
        <v>10</v>
      </c>
      <c r="G1619" s="16">
        <v>115.31</v>
      </c>
      <c r="H1619" s="16">
        <v>132.60650000000001</v>
      </c>
      <c r="I1619" s="1">
        <v>46196</v>
      </c>
      <c r="J1619">
        <v>59</v>
      </c>
      <c r="K1619" t="s">
        <v>4246</v>
      </c>
      <c r="L1619" t="s">
        <v>6135</v>
      </c>
      <c r="M1619">
        <v>8</v>
      </c>
      <c r="N1619">
        <v>1</v>
      </c>
      <c r="O1619" t="s">
        <v>1036</v>
      </c>
      <c r="P1619" s="17"/>
      <c r="Q1619" s="17" t="str">
        <f>_xlfn.XLOOKUP(Table2[[#This Row],[buyFromVendorNo]],'Next Day Scheduled'!A:A,'Pending Returns'!O:O,"NOT_FOUND")</f>
        <v>NOT_FOUND</v>
      </c>
    </row>
    <row r="1620" spans="1:17" x14ac:dyDescent="0.3">
      <c r="A1620" s="1">
        <v>46200</v>
      </c>
      <c r="B1620" t="s">
        <v>1991</v>
      </c>
      <c r="C1620" t="s">
        <v>422</v>
      </c>
      <c r="D1620" t="s">
        <v>490</v>
      </c>
      <c r="E1620" t="s">
        <v>8</v>
      </c>
      <c r="F1620" t="s">
        <v>10</v>
      </c>
      <c r="G1620" s="16">
        <v>78.6952</v>
      </c>
      <c r="H1620" s="16">
        <v>90.499480000000005</v>
      </c>
      <c r="I1620" s="1">
        <v>46194</v>
      </c>
      <c r="J1620">
        <v>59</v>
      </c>
      <c r="K1620" t="s">
        <v>5393</v>
      </c>
      <c r="L1620" t="s">
        <v>6147</v>
      </c>
      <c r="M1620">
        <v>8</v>
      </c>
      <c r="N1620">
        <v>3</v>
      </c>
      <c r="O1620" t="s">
        <v>1036</v>
      </c>
      <c r="P1620" s="17"/>
      <c r="Q1620" s="17" t="str">
        <f>_xlfn.XLOOKUP(Table2[[#This Row],[buyFromVendorNo]],'Next Day Scheduled'!A:A,'Pending Returns'!O:O,"NOT_FOUND")</f>
        <v>NOT_FOUND</v>
      </c>
    </row>
    <row r="1621" spans="1:17" x14ac:dyDescent="0.3">
      <c r="A1621" s="1">
        <v>46200</v>
      </c>
      <c r="B1621" t="s">
        <v>397</v>
      </c>
      <c r="C1621" t="s">
        <v>1161</v>
      </c>
      <c r="D1621" t="s">
        <v>1162</v>
      </c>
      <c r="E1621" t="s">
        <v>8</v>
      </c>
      <c r="F1621" t="s">
        <v>10</v>
      </c>
      <c r="G1621" s="16">
        <v>2024.76</v>
      </c>
      <c r="H1621" s="16">
        <v>2328.4740000000002</v>
      </c>
      <c r="I1621" s="1">
        <v>46199</v>
      </c>
      <c r="J1621">
        <v>59</v>
      </c>
      <c r="K1621" t="s">
        <v>5932</v>
      </c>
      <c r="L1621" t="s">
        <v>6140</v>
      </c>
      <c r="M1621">
        <v>8</v>
      </c>
      <c r="N1621">
        <v>6</v>
      </c>
      <c r="O1621" t="s">
        <v>1036</v>
      </c>
      <c r="P1621" s="17"/>
      <c r="Q1621" s="17" t="str">
        <f>_xlfn.XLOOKUP(Table2[[#This Row],[buyFromVendorNo]],'Next Day Scheduled'!A:A,'Pending Returns'!O:O,"NOT_FOUND")</f>
        <v>NOT_FOUND</v>
      </c>
    </row>
    <row r="1622" spans="1:17" x14ac:dyDescent="0.3">
      <c r="A1622" s="1">
        <v>46200</v>
      </c>
      <c r="B1622" t="s">
        <v>2696</v>
      </c>
      <c r="C1622" t="s">
        <v>1161</v>
      </c>
      <c r="D1622" t="s">
        <v>1162</v>
      </c>
      <c r="E1622" t="s">
        <v>8</v>
      </c>
      <c r="F1622" t="s">
        <v>10</v>
      </c>
      <c r="G1622" s="16">
        <v>1397.64</v>
      </c>
      <c r="H1622" s="16">
        <v>1607.2860000000001</v>
      </c>
      <c r="I1622" s="1">
        <v>46199</v>
      </c>
      <c r="J1622">
        <v>59</v>
      </c>
      <c r="K1622" t="s">
        <v>6122</v>
      </c>
      <c r="L1622" t="s">
        <v>6142</v>
      </c>
      <c r="M1622">
        <v>8</v>
      </c>
      <c r="N1622">
        <v>6</v>
      </c>
      <c r="O1622" t="s">
        <v>1036</v>
      </c>
      <c r="P1622" s="17"/>
      <c r="Q1622" s="17" t="str">
        <f>_xlfn.XLOOKUP(Table2[[#This Row],[buyFromVendorNo]],'Next Day Scheduled'!A:A,'Pending Returns'!O:O,"NOT_FOUND")</f>
        <v>NOT_FOUND</v>
      </c>
    </row>
    <row r="1623" spans="1:17" x14ac:dyDescent="0.3">
      <c r="A1623" s="1">
        <v>46200</v>
      </c>
      <c r="B1623" t="s">
        <v>2981</v>
      </c>
      <c r="C1623" t="s">
        <v>2955</v>
      </c>
      <c r="D1623" t="s">
        <v>2956</v>
      </c>
      <c r="E1623" t="s">
        <v>8</v>
      </c>
      <c r="F1623" t="s">
        <v>10</v>
      </c>
      <c r="G1623" s="16">
        <v>9901.77</v>
      </c>
      <c r="H1623" s="16">
        <v>11387.035</v>
      </c>
      <c r="I1623" s="1">
        <v>46196</v>
      </c>
      <c r="J1623">
        <v>59</v>
      </c>
      <c r="K1623" t="s">
        <v>5039</v>
      </c>
      <c r="L1623" t="s">
        <v>6159</v>
      </c>
      <c r="M1623">
        <v>6</v>
      </c>
      <c r="N1623">
        <v>1</v>
      </c>
      <c r="O1623" t="s">
        <v>1036</v>
      </c>
      <c r="P1623" s="17"/>
      <c r="Q1623" s="17" t="str">
        <f>_xlfn.XLOOKUP(Table2[[#This Row],[buyFromVendorNo]],'Next Day Scheduled'!A:A,'Pending Returns'!O:O,"NOT_FOUND")</f>
        <v>NOT_FOUND</v>
      </c>
    </row>
    <row r="1624" spans="1:17" x14ac:dyDescent="0.3">
      <c r="A1624" s="1">
        <v>46200</v>
      </c>
      <c r="B1624" t="s">
        <v>2949</v>
      </c>
      <c r="C1624" t="s">
        <v>2328</v>
      </c>
      <c r="D1624" t="s">
        <v>2329</v>
      </c>
      <c r="E1624" t="s">
        <v>8</v>
      </c>
      <c r="F1624" t="s">
        <v>10</v>
      </c>
      <c r="G1624" s="16">
        <v>304</v>
      </c>
      <c r="H1624" s="16">
        <v>349.6</v>
      </c>
      <c r="I1624" s="1">
        <v>46200</v>
      </c>
      <c r="J1624">
        <v>59</v>
      </c>
      <c r="K1624" t="s">
        <v>5425</v>
      </c>
      <c r="L1624" t="s">
        <v>6168</v>
      </c>
      <c r="M1624">
        <v>8</v>
      </c>
      <c r="N1624">
        <v>3</v>
      </c>
      <c r="O1624" t="s">
        <v>1036</v>
      </c>
      <c r="P1624" s="17"/>
      <c r="Q1624" s="17" t="str">
        <f>_xlfn.XLOOKUP(Table2[[#This Row],[buyFromVendorNo]],'Next Day Scheduled'!A:A,'Pending Returns'!O:O,"NOT_FOUND")</f>
        <v>NOT_FOUND</v>
      </c>
    </row>
    <row r="1625" spans="1:17" x14ac:dyDescent="0.3">
      <c r="A1625" s="1">
        <v>46200</v>
      </c>
      <c r="B1625" t="s">
        <v>4031</v>
      </c>
      <c r="C1625" t="s">
        <v>422</v>
      </c>
      <c r="D1625" t="s">
        <v>490</v>
      </c>
      <c r="E1625" t="s">
        <v>8</v>
      </c>
      <c r="F1625" t="s">
        <v>169</v>
      </c>
      <c r="G1625" s="16">
        <v>371.64175</v>
      </c>
      <c r="H1625" s="16">
        <v>427.38803000000001</v>
      </c>
      <c r="I1625" s="1">
        <v>46193</v>
      </c>
      <c r="J1625">
        <v>59</v>
      </c>
      <c r="K1625" t="s">
        <v>5588</v>
      </c>
      <c r="L1625" t="s">
        <v>6150</v>
      </c>
      <c r="M1625">
        <v>8</v>
      </c>
      <c r="N1625">
        <v>3</v>
      </c>
      <c r="O1625" t="s">
        <v>1036</v>
      </c>
      <c r="P1625" s="17"/>
      <c r="Q1625" s="17" t="str">
        <f>_xlfn.XLOOKUP(Table2[[#This Row],[buyFromVendorNo]],'Next Day Scheduled'!A:A,'Pending Returns'!O:O,"NOT_FOUND")</f>
        <v>NOT_FOUND</v>
      </c>
    </row>
    <row r="1626" spans="1:17" x14ac:dyDescent="0.3">
      <c r="A1626" s="1">
        <v>46200</v>
      </c>
      <c r="B1626" t="s">
        <v>5492</v>
      </c>
      <c r="C1626" t="s">
        <v>2328</v>
      </c>
      <c r="D1626" t="s">
        <v>2329</v>
      </c>
      <c r="E1626" t="s">
        <v>8</v>
      </c>
      <c r="F1626" t="s">
        <v>10</v>
      </c>
      <c r="G1626" s="16">
        <v>61</v>
      </c>
      <c r="H1626" s="16">
        <v>70.150000000000006</v>
      </c>
      <c r="I1626" s="1">
        <v>46200</v>
      </c>
      <c r="J1626">
        <v>59</v>
      </c>
      <c r="K1626" t="s">
        <v>5493</v>
      </c>
      <c r="L1626" t="s">
        <v>6151</v>
      </c>
      <c r="M1626">
        <v>8</v>
      </c>
      <c r="N1626">
        <v>3</v>
      </c>
      <c r="O1626" t="s">
        <v>1036</v>
      </c>
      <c r="P1626" s="17"/>
      <c r="Q1626" s="17" t="str">
        <f>_xlfn.XLOOKUP(Table2[[#This Row],[buyFromVendorNo]],'Next Day Scheduled'!A:A,'Pending Returns'!O:O,"NOT_FOUND")</f>
        <v>NOT_FOUND</v>
      </c>
    </row>
    <row r="1627" spans="1:17" x14ac:dyDescent="0.3">
      <c r="A1627" s="1">
        <v>46201</v>
      </c>
      <c r="B1627" t="s">
        <v>2092</v>
      </c>
      <c r="C1627" t="s">
        <v>349</v>
      </c>
      <c r="D1627" t="s">
        <v>350</v>
      </c>
      <c r="E1627" t="s">
        <v>8</v>
      </c>
      <c r="F1627" t="s">
        <v>38</v>
      </c>
      <c r="G1627" s="16">
        <v>360</v>
      </c>
      <c r="H1627" s="16">
        <v>414</v>
      </c>
      <c r="I1627" s="1">
        <v>46202</v>
      </c>
      <c r="J1627">
        <v>58</v>
      </c>
      <c r="K1627" t="s">
        <v>2093</v>
      </c>
      <c r="L1627" t="s">
        <v>6202</v>
      </c>
      <c r="M1627">
        <v>0</v>
      </c>
      <c r="N1627">
        <v>133</v>
      </c>
      <c r="O1627" t="s">
        <v>223</v>
      </c>
      <c r="P1627" s="17"/>
      <c r="Q1627" s="17" t="str">
        <f>_xlfn.XLOOKUP(Table2[[#This Row],[buyFromVendorNo]],'Next Day Scheduled'!A:A,'Pending Returns'!O:O,"NOT_FOUND")</f>
        <v>NOT_FOUND</v>
      </c>
    </row>
    <row r="1628" spans="1:17" x14ac:dyDescent="0.3">
      <c r="A1628" s="1">
        <v>46201</v>
      </c>
      <c r="B1628" t="s">
        <v>642</v>
      </c>
      <c r="C1628" t="s">
        <v>5007</v>
      </c>
      <c r="D1628" t="s">
        <v>5008</v>
      </c>
      <c r="E1628" t="s">
        <v>8</v>
      </c>
      <c r="F1628" t="s">
        <v>38</v>
      </c>
      <c r="G1628" s="16">
        <v>130.977</v>
      </c>
      <c r="H1628" s="16">
        <v>150.62354999999999</v>
      </c>
      <c r="I1628" s="1">
        <v>46201</v>
      </c>
      <c r="J1628">
        <v>58</v>
      </c>
      <c r="K1628" t="s">
        <v>6092</v>
      </c>
      <c r="L1628" t="s">
        <v>6181</v>
      </c>
      <c r="M1628">
        <v>9</v>
      </c>
      <c r="N1628">
        <v>7</v>
      </c>
      <c r="O1628" t="s">
        <v>1036</v>
      </c>
      <c r="P1628" s="17"/>
      <c r="Q1628" s="17" t="str">
        <f>_xlfn.XLOOKUP(Table2[[#This Row],[buyFromVendorNo]],'Next Day Scheduled'!A:A,'Pending Returns'!O:O,"NOT_FOUND")</f>
        <v>NOT_FOUND</v>
      </c>
    </row>
    <row r="1629" spans="1:17" x14ac:dyDescent="0.3">
      <c r="A1629" s="1">
        <v>46201</v>
      </c>
      <c r="B1629" t="s">
        <v>5179</v>
      </c>
      <c r="C1629" t="s">
        <v>2647</v>
      </c>
      <c r="D1629" t="s">
        <v>2648</v>
      </c>
      <c r="E1629" t="s">
        <v>8</v>
      </c>
      <c r="F1629" t="s">
        <v>10</v>
      </c>
      <c r="G1629" s="16">
        <v>1074.21</v>
      </c>
      <c r="H1629" s="16">
        <v>1235.3416</v>
      </c>
      <c r="I1629" s="1">
        <v>46177</v>
      </c>
      <c r="J1629">
        <v>58</v>
      </c>
      <c r="K1629" t="s">
        <v>4115</v>
      </c>
      <c r="L1629" t="s">
        <v>6192</v>
      </c>
      <c r="M1629">
        <v>4</v>
      </c>
      <c r="N1629">
        <v>3</v>
      </c>
      <c r="O1629" t="s">
        <v>1036</v>
      </c>
      <c r="P1629" s="17"/>
      <c r="Q1629" s="17" t="str">
        <f>_xlfn.XLOOKUP(Table2[[#This Row],[buyFromVendorNo]],'Next Day Scheduled'!A:A,'Pending Returns'!O:O,"NOT_FOUND")</f>
        <v>NOT_FOUND</v>
      </c>
    </row>
    <row r="1630" spans="1:17" x14ac:dyDescent="0.3">
      <c r="A1630" s="1">
        <v>46201</v>
      </c>
      <c r="B1630" t="s">
        <v>5213</v>
      </c>
      <c r="C1630" t="s">
        <v>1472</v>
      </c>
      <c r="D1630" t="s">
        <v>1473</v>
      </c>
      <c r="E1630" t="s">
        <v>8</v>
      </c>
      <c r="F1630" t="s">
        <v>10</v>
      </c>
      <c r="G1630" s="16">
        <v>2460.7541999999999</v>
      </c>
      <c r="H1630" s="16">
        <v>2829.8672000000001</v>
      </c>
      <c r="I1630" s="1">
        <v>46186</v>
      </c>
      <c r="J1630">
        <v>58</v>
      </c>
      <c r="K1630" t="s">
        <v>4732</v>
      </c>
      <c r="L1630" t="s">
        <v>6193</v>
      </c>
      <c r="M1630">
        <v>2</v>
      </c>
      <c r="N1630">
        <v>20</v>
      </c>
      <c r="O1630" t="s">
        <v>1036</v>
      </c>
      <c r="P1630" s="17"/>
      <c r="Q1630" s="17" t="str">
        <f>_xlfn.XLOOKUP(Table2[[#This Row],[buyFromVendorNo]],'Next Day Scheduled'!A:A,'Pending Returns'!O:O,"NOT_FOUND")</f>
        <v>Posted Credit Note</v>
      </c>
    </row>
    <row r="1631" spans="1:17" x14ac:dyDescent="0.3">
      <c r="A1631" s="1">
        <v>46201</v>
      </c>
      <c r="B1631" t="s">
        <v>780</v>
      </c>
      <c r="C1631" t="s">
        <v>304</v>
      </c>
      <c r="D1631" t="s">
        <v>307</v>
      </c>
      <c r="E1631" t="s">
        <v>8</v>
      </c>
      <c r="F1631" t="s">
        <v>10</v>
      </c>
      <c r="G1631" s="16">
        <v>3284.3062</v>
      </c>
      <c r="H1631" s="16">
        <v>3776.9521</v>
      </c>
      <c r="I1631" s="1">
        <v>46190</v>
      </c>
      <c r="J1631">
        <v>58</v>
      </c>
      <c r="K1631" t="s">
        <v>4440</v>
      </c>
      <c r="L1631" t="s">
        <v>6185</v>
      </c>
      <c r="M1631">
        <v>9</v>
      </c>
      <c r="N1631">
        <v>6</v>
      </c>
      <c r="O1631" t="s">
        <v>1036</v>
      </c>
      <c r="P1631" s="17"/>
      <c r="Q1631" s="17" t="str">
        <f>_xlfn.XLOOKUP(Table2[[#This Row],[buyFromVendorNo]],'Next Day Scheduled'!A:A,'Pending Returns'!O:O,"NOT_FOUND")</f>
        <v>NOT_FOUND</v>
      </c>
    </row>
    <row r="1632" spans="1:17" x14ac:dyDescent="0.3">
      <c r="A1632" s="1">
        <v>46201</v>
      </c>
      <c r="B1632" t="s">
        <v>5212</v>
      </c>
      <c r="C1632" t="s">
        <v>1472</v>
      </c>
      <c r="D1632" t="s">
        <v>1473</v>
      </c>
      <c r="E1632" t="s">
        <v>8</v>
      </c>
      <c r="F1632" t="s">
        <v>10</v>
      </c>
      <c r="G1632" s="16">
        <v>3063.1862999999998</v>
      </c>
      <c r="H1632" s="16">
        <v>3522.6642999999999</v>
      </c>
      <c r="I1632" s="1">
        <v>46186</v>
      </c>
      <c r="J1632">
        <v>58</v>
      </c>
      <c r="K1632" t="s">
        <v>4730</v>
      </c>
      <c r="L1632" t="s">
        <v>6186</v>
      </c>
      <c r="M1632">
        <v>2</v>
      </c>
      <c r="N1632">
        <v>20</v>
      </c>
      <c r="O1632" t="s">
        <v>1036</v>
      </c>
      <c r="P1632" s="17"/>
      <c r="Q1632" s="17" t="str">
        <f>_xlfn.XLOOKUP(Table2[[#This Row],[buyFromVendorNo]],'Next Day Scheduled'!A:A,'Pending Returns'!O:O,"NOT_FOUND")</f>
        <v>Posted Credit Note</v>
      </c>
    </row>
    <row r="1633" spans="1:17" x14ac:dyDescent="0.3">
      <c r="A1633" s="1">
        <v>46201</v>
      </c>
      <c r="B1633" t="s">
        <v>620</v>
      </c>
      <c r="C1633" t="s">
        <v>2292</v>
      </c>
      <c r="D1633" t="s">
        <v>2293</v>
      </c>
      <c r="E1633" t="s">
        <v>8</v>
      </c>
      <c r="F1633" t="s">
        <v>10</v>
      </c>
      <c r="G1633" s="16">
        <v>1256.3848</v>
      </c>
      <c r="H1633" s="16">
        <v>1444.8425</v>
      </c>
      <c r="I1633" s="1">
        <v>46176</v>
      </c>
      <c r="J1633">
        <v>58</v>
      </c>
      <c r="K1633" t="s">
        <v>2423</v>
      </c>
      <c r="L1633" t="s">
        <v>6204</v>
      </c>
      <c r="M1633">
        <v>2</v>
      </c>
      <c r="N1633">
        <v>33</v>
      </c>
      <c r="O1633" t="s">
        <v>1036</v>
      </c>
      <c r="P1633" s="17"/>
      <c r="Q1633" s="17" t="str">
        <f>_xlfn.XLOOKUP(Table2[[#This Row],[buyFromVendorNo]],'Next Day Scheduled'!A:A,'Pending Returns'!O:O,"NOT_FOUND")</f>
        <v>NOT_FOUND</v>
      </c>
    </row>
    <row r="1634" spans="1:17" x14ac:dyDescent="0.3">
      <c r="A1634" s="1">
        <v>46201</v>
      </c>
      <c r="B1634" t="s">
        <v>391</v>
      </c>
      <c r="C1634" t="s">
        <v>116</v>
      </c>
      <c r="D1634" t="s">
        <v>117</v>
      </c>
      <c r="E1634" t="s">
        <v>8</v>
      </c>
      <c r="F1634" t="s">
        <v>38</v>
      </c>
      <c r="G1634" s="16">
        <v>154.35</v>
      </c>
      <c r="H1634" s="16">
        <v>177.5025</v>
      </c>
      <c r="I1634" s="1">
        <v>46191</v>
      </c>
      <c r="J1634">
        <v>58</v>
      </c>
      <c r="K1634" t="s">
        <v>6213</v>
      </c>
      <c r="L1634" t="s">
        <v>6214</v>
      </c>
      <c r="M1634">
        <v>9</v>
      </c>
      <c r="N1634">
        <v>2</v>
      </c>
      <c r="O1634" t="s">
        <v>1036</v>
      </c>
      <c r="P1634" s="17"/>
      <c r="Q1634" s="17" t="str">
        <f>_xlfn.XLOOKUP(Table2[[#This Row],[buyFromVendorNo]],'Next Day Scheduled'!A:A,'Pending Returns'!O:O,"NOT_FOUND")</f>
        <v>NOT_FOUND</v>
      </c>
    </row>
    <row r="1635" spans="1:17" x14ac:dyDescent="0.3">
      <c r="A1635" s="1">
        <v>46201</v>
      </c>
      <c r="B1635" t="s">
        <v>1207</v>
      </c>
      <c r="C1635" t="s">
        <v>886</v>
      </c>
      <c r="D1635" t="s">
        <v>887</v>
      </c>
      <c r="E1635" t="s">
        <v>8</v>
      </c>
      <c r="F1635" t="s">
        <v>38</v>
      </c>
      <c r="G1635" s="16">
        <v>411.71</v>
      </c>
      <c r="H1635" s="16">
        <v>473.4665</v>
      </c>
      <c r="I1635" s="1">
        <v>46197</v>
      </c>
      <c r="J1635">
        <v>58</v>
      </c>
      <c r="K1635" t="s">
        <v>5997</v>
      </c>
      <c r="L1635" t="s">
        <v>6215</v>
      </c>
      <c r="M1635">
        <v>8</v>
      </c>
      <c r="N1635">
        <v>6</v>
      </c>
      <c r="O1635" t="s">
        <v>1036</v>
      </c>
      <c r="P1635" s="17"/>
      <c r="Q1635" s="17" t="str">
        <f>_xlfn.XLOOKUP(Table2[[#This Row],[buyFromVendorNo]],'Next Day Scheduled'!A:A,'Pending Returns'!O:O,"NOT_FOUND")</f>
        <v>NOT_FOUND</v>
      </c>
    </row>
    <row r="1636" spans="1:17" x14ac:dyDescent="0.3">
      <c r="A1636" s="1">
        <v>46201</v>
      </c>
      <c r="B1636" t="s">
        <v>4813</v>
      </c>
      <c r="C1636" t="s">
        <v>5154</v>
      </c>
      <c r="D1636" t="s">
        <v>5155</v>
      </c>
      <c r="E1636" t="s">
        <v>8</v>
      </c>
      <c r="F1636" t="s">
        <v>10</v>
      </c>
      <c r="G1636" s="16">
        <v>477</v>
      </c>
      <c r="H1636" s="16">
        <v>548.54999999999995</v>
      </c>
      <c r="I1636" s="1">
        <v>46200</v>
      </c>
      <c r="J1636">
        <v>58</v>
      </c>
      <c r="K1636" t="s">
        <v>5422</v>
      </c>
      <c r="L1636" t="s">
        <v>6221</v>
      </c>
      <c r="M1636">
        <v>4</v>
      </c>
      <c r="N1636">
        <v>10</v>
      </c>
      <c r="O1636" t="s">
        <v>1036</v>
      </c>
      <c r="P1636" s="17"/>
      <c r="Q1636" s="17" t="str">
        <f>_xlfn.XLOOKUP(Table2[[#This Row],[buyFromVendorNo]],'Next Day Scheduled'!A:A,'Pending Returns'!O:O,"NOT_FOUND")</f>
        <v>Posted Credit Note</v>
      </c>
    </row>
    <row r="1637" spans="1:17" x14ac:dyDescent="0.3">
      <c r="A1637" s="1">
        <v>46201</v>
      </c>
      <c r="B1637" t="s">
        <v>2092</v>
      </c>
      <c r="C1637" t="s">
        <v>349</v>
      </c>
      <c r="D1637" t="s">
        <v>350</v>
      </c>
      <c r="E1637" t="s">
        <v>8</v>
      </c>
      <c r="F1637" t="s">
        <v>38</v>
      </c>
      <c r="G1637" s="16">
        <v>4691.43</v>
      </c>
      <c r="H1637" s="16">
        <v>5395.1445000000003</v>
      </c>
      <c r="I1637" s="1">
        <v>46202</v>
      </c>
      <c r="J1637">
        <v>58</v>
      </c>
      <c r="K1637" t="s">
        <v>2098</v>
      </c>
      <c r="L1637" t="s">
        <v>6179</v>
      </c>
      <c r="M1637">
        <v>0</v>
      </c>
      <c r="N1637">
        <v>133</v>
      </c>
      <c r="O1637" t="s">
        <v>223</v>
      </c>
      <c r="P1637" s="17"/>
      <c r="Q1637" s="17" t="str">
        <f>_xlfn.XLOOKUP(Table2[[#This Row],[buyFromVendorNo]],'Next Day Scheduled'!A:A,'Pending Returns'!O:O,"NOT_FOUND")</f>
        <v>NOT_FOUND</v>
      </c>
    </row>
    <row r="1638" spans="1:17" x14ac:dyDescent="0.3">
      <c r="A1638" s="1">
        <v>46201</v>
      </c>
      <c r="B1638" t="s">
        <v>2859</v>
      </c>
      <c r="C1638" t="s">
        <v>107</v>
      </c>
      <c r="D1638" t="s">
        <v>3864</v>
      </c>
      <c r="E1638" t="s">
        <v>8</v>
      </c>
      <c r="F1638" t="s">
        <v>10</v>
      </c>
      <c r="G1638" s="16">
        <v>409.03113000000002</v>
      </c>
      <c r="H1638" s="16">
        <v>470.38580000000002</v>
      </c>
      <c r="I1638" s="1">
        <v>46199</v>
      </c>
      <c r="J1638">
        <v>58</v>
      </c>
      <c r="K1638" t="s">
        <v>5431</v>
      </c>
      <c r="L1638" t="s">
        <v>6180</v>
      </c>
      <c r="M1638">
        <v>9</v>
      </c>
      <c r="N1638">
        <v>5</v>
      </c>
      <c r="O1638" t="s">
        <v>1036</v>
      </c>
      <c r="P1638" s="17"/>
      <c r="Q1638" s="17" t="str">
        <f>_xlfn.XLOOKUP(Table2[[#This Row],[buyFromVendorNo]],'Next Day Scheduled'!A:A,'Pending Returns'!O:O,"NOT_FOUND")</f>
        <v>NOT_FOUND</v>
      </c>
    </row>
    <row r="1639" spans="1:17" x14ac:dyDescent="0.3">
      <c r="A1639" s="1">
        <v>46201</v>
      </c>
      <c r="B1639" t="s">
        <v>5247</v>
      </c>
      <c r="C1639" t="s">
        <v>158</v>
      </c>
      <c r="D1639" t="s">
        <v>159</v>
      </c>
      <c r="E1639" t="s">
        <v>8</v>
      </c>
      <c r="F1639" t="s">
        <v>10</v>
      </c>
      <c r="G1639" s="16">
        <v>78</v>
      </c>
      <c r="H1639" s="16">
        <v>89.7</v>
      </c>
      <c r="I1639" s="1">
        <v>46194</v>
      </c>
      <c r="J1639">
        <v>58</v>
      </c>
      <c r="K1639" t="s">
        <v>5248</v>
      </c>
      <c r="L1639" t="s">
        <v>6211</v>
      </c>
      <c r="M1639">
        <v>8</v>
      </c>
      <c r="N1639">
        <v>6</v>
      </c>
      <c r="O1639" t="s">
        <v>1036</v>
      </c>
      <c r="P1639" s="17"/>
      <c r="Q1639" s="17" t="str">
        <f>_xlfn.XLOOKUP(Table2[[#This Row],[buyFromVendorNo]],'Next Day Scheduled'!A:A,'Pending Returns'!O:O,"NOT_FOUND")</f>
        <v>Posted Credit Note</v>
      </c>
    </row>
    <row r="1640" spans="1:17" x14ac:dyDescent="0.3">
      <c r="A1640" s="1">
        <v>46201</v>
      </c>
      <c r="B1640" t="s">
        <v>3387</v>
      </c>
      <c r="C1640" t="s">
        <v>2264</v>
      </c>
      <c r="D1640" t="s">
        <v>3072</v>
      </c>
      <c r="E1640" t="s">
        <v>8</v>
      </c>
      <c r="F1640" t="s">
        <v>10</v>
      </c>
      <c r="G1640" s="16">
        <v>1496.3209999999999</v>
      </c>
      <c r="H1640" s="16">
        <v>1720.7692</v>
      </c>
      <c r="I1640" s="1">
        <v>46197</v>
      </c>
      <c r="J1640">
        <v>58</v>
      </c>
      <c r="K1640" t="s">
        <v>5951</v>
      </c>
      <c r="L1640" t="s">
        <v>6183</v>
      </c>
      <c r="M1640">
        <v>5</v>
      </c>
      <c r="N1640">
        <v>6</v>
      </c>
      <c r="O1640" t="s">
        <v>1036</v>
      </c>
      <c r="P1640" s="17"/>
      <c r="Q1640" s="17" t="str">
        <f>_xlfn.XLOOKUP(Table2[[#This Row],[buyFromVendorNo]],'Next Day Scheduled'!A:A,'Pending Returns'!O:O,"NOT_FOUND")</f>
        <v>NOT_FOUND</v>
      </c>
    </row>
    <row r="1641" spans="1:17" x14ac:dyDescent="0.3">
      <c r="A1641" s="1">
        <v>46201</v>
      </c>
      <c r="B1641" t="s">
        <v>5061</v>
      </c>
      <c r="C1641" t="s">
        <v>79</v>
      </c>
      <c r="D1641" t="s">
        <v>80</v>
      </c>
      <c r="E1641" t="s">
        <v>8</v>
      </c>
      <c r="F1641" t="s">
        <v>10</v>
      </c>
      <c r="G1641" s="16">
        <v>987.00635</v>
      </c>
      <c r="H1641" s="16">
        <v>1135.0572999999999</v>
      </c>
      <c r="I1641" s="1">
        <v>46196</v>
      </c>
      <c r="J1641">
        <v>58</v>
      </c>
      <c r="K1641" t="s">
        <v>4583</v>
      </c>
      <c r="L1641" t="s">
        <v>6203</v>
      </c>
      <c r="M1641">
        <v>8</v>
      </c>
      <c r="N1641">
        <v>2</v>
      </c>
      <c r="O1641" t="s">
        <v>1036</v>
      </c>
      <c r="P1641" s="17"/>
      <c r="Q1641" s="17" t="str">
        <f>_xlfn.XLOOKUP(Table2[[#This Row],[buyFromVendorNo]],'Next Day Scheduled'!A:A,'Pending Returns'!O:O,"NOT_FOUND")</f>
        <v>NOT_FOUND</v>
      </c>
    </row>
    <row r="1642" spans="1:17" x14ac:dyDescent="0.3">
      <c r="A1642" s="1">
        <v>46201</v>
      </c>
      <c r="B1642" t="s">
        <v>3025</v>
      </c>
      <c r="C1642" t="s">
        <v>2355</v>
      </c>
      <c r="D1642" t="s">
        <v>2356</v>
      </c>
      <c r="E1642" t="s">
        <v>8</v>
      </c>
      <c r="F1642" t="s">
        <v>10</v>
      </c>
      <c r="G1642" s="16">
        <v>103.95</v>
      </c>
      <c r="H1642" s="16">
        <v>119.5425</v>
      </c>
      <c r="I1642" s="1">
        <v>46197</v>
      </c>
      <c r="J1642">
        <v>58</v>
      </c>
      <c r="K1642" t="s">
        <v>5288</v>
      </c>
      <c r="L1642" t="s">
        <v>6205</v>
      </c>
      <c r="M1642">
        <v>8</v>
      </c>
      <c r="N1642">
        <v>7</v>
      </c>
      <c r="O1642" t="s">
        <v>1036</v>
      </c>
      <c r="P1642" s="17"/>
      <c r="Q1642" s="17" t="str">
        <f>_xlfn.XLOOKUP(Table2[[#This Row],[buyFromVendorNo]],'Next Day Scheduled'!A:A,'Pending Returns'!O:O,"NOT_FOUND")</f>
        <v>Posted Credit Note</v>
      </c>
    </row>
    <row r="1643" spans="1:17" x14ac:dyDescent="0.3">
      <c r="A1643" s="1">
        <v>46201</v>
      </c>
      <c r="B1643" t="s">
        <v>3245</v>
      </c>
      <c r="C1643" t="s">
        <v>1472</v>
      </c>
      <c r="D1643" t="s">
        <v>1473</v>
      </c>
      <c r="E1643" t="s">
        <v>8</v>
      </c>
      <c r="F1643" t="s">
        <v>10</v>
      </c>
      <c r="G1643" s="16">
        <v>771.24774000000002</v>
      </c>
      <c r="H1643" s="16">
        <v>886.93493999999998</v>
      </c>
      <c r="I1643" s="1">
        <v>46186</v>
      </c>
      <c r="J1643">
        <v>58</v>
      </c>
      <c r="K1643" t="s">
        <v>4650</v>
      </c>
      <c r="L1643" t="s">
        <v>6217</v>
      </c>
      <c r="M1643">
        <v>2</v>
      </c>
      <c r="N1643">
        <v>20</v>
      </c>
      <c r="O1643" t="s">
        <v>1036</v>
      </c>
      <c r="P1643" s="17"/>
      <c r="Q1643" s="17" t="str">
        <f>_xlfn.XLOOKUP(Table2[[#This Row],[buyFromVendorNo]],'Next Day Scheduled'!A:A,'Pending Returns'!O:O,"NOT_FOUND")</f>
        <v>Posted Credit Note</v>
      </c>
    </row>
    <row r="1644" spans="1:17" x14ac:dyDescent="0.3">
      <c r="A1644" s="1">
        <v>46201</v>
      </c>
      <c r="B1644" t="s">
        <v>2726</v>
      </c>
      <c r="C1644" t="s">
        <v>1472</v>
      </c>
      <c r="D1644" t="s">
        <v>1473</v>
      </c>
      <c r="E1644" t="s">
        <v>8</v>
      </c>
      <c r="F1644" t="s">
        <v>10</v>
      </c>
      <c r="G1644" s="16">
        <v>209.88914</v>
      </c>
      <c r="H1644" s="16">
        <v>241.3725</v>
      </c>
      <c r="I1644" s="1">
        <v>46186</v>
      </c>
      <c r="J1644">
        <v>58</v>
      </c>
      <c r="K1644" t="s">
        <v>2727</v>
      </c>
      <c r="L1644" t="s">
        <v>6218</v>
      </c>
      <c r="M1644">
        <v>2</v>
      </c>
      <c r="N1644">
        <v>20</v>
      </c>
      <c r="O1644" t="s">
        <v>1036</v>
      </c>
      <c r="P1644" s="17"/>
      <c r="Q1644" s="17" t="str">
        <f>_xlfn.XLOOKUP(Table2[[#This Row],[buyFromVendorNo]],'Next Day Scheduled'!A:A,'Pending Returns'!O:O,"NOT_FOUND")</f>
        <v>Posted Credit Note</v>
      </c>
    </row>
    <row r="1645" spans="1:17" x14ac:dyDescent="0.3">
      <c r="A1645" s="1">
        <v>46201</v>
      </c>
      <c r="B1645" t="s">
        <v>3856</v>
      </c>
      <c r="C1645" t="s">
        <v>3803</v>
      </c>
      <c r="D1645" t="s">
        <v>3804</v>
      </c>
      <c r="E1645" t="s">
        <v>8</v>
      </c>
      <c r="F1645" t="s">
        <v>10</v>
      </c>
      <c r="G1645" s="16">
        <v>68.869550000000004</v>
      </c>
      <c r="H1645" s="16">
        <v>79.199979999999996</v>
      </c>
      <c r="I1645" s="1">
        <v>46188</v>
      </c>
      <c r="J1645">
        <v>58</v>
      </c>
      <c r="K1645" t="s">
        <v>4566</v>
      </c>
      <c r="L1645" t="s">
        <v>6190</v>
      </c>
      <c r="M1645">
        <v>8</v>
      </c>
      <c r="N1645">
        <v>6</v>
      </c>
      <c r="O1645" t="s">
        <v>1036</v>
      </c>
      <c r="P1645" s="17"/>
      <c r="Q1645" s="17" t="str">
        <f>_xlfn.XLOOKUP(Table2[[#This Row],[buyFromVendorNo]],'Next Day Scheduled'!A:A,'Pending Returns'!O:O,"NOT_FOUND")</f>
        <v>NOT_FOUND</v>
      </c>
    </row>
    <row r="1646" spans="1:17" x14ac:dyDescent="0.3">
      <c r="A1646" s="1">
        <v>46201</v>
      </c>
      <c r="B1646" t="s">
        <v>3975</v>
      </c>
      <c r="C1646" t="s">
        <v>2287</v>
      </c>
      <c r="D1646" t="s">
        <v>2351</v>
      </c>
      <c r="E1646" t="s">
        <v>8</v>
      </c>
      <c r="F1646" t="s">
        <v>10</v>
      </c>
      <c r="G1646" s="16">
        <v>389.48379999999997</v>
      </c>
      <c r="H1646" s="16">
        <v>389.48379999999997</v>
      </c>
      <c r="I1646" s="1">
        <v>46181</v>
      </c>
      <c r="J1646">
        <v>58</v>
      </c>
      <c r="K1646" t="s">
        <v>3976</v>
      </c>
      <c r="L1646" t="s">
        <v>6209</v>
      </c>
      <c r="M1646">
        <v>8</v>
      </c>
      <c r="N1646">
        <v>7</v>
      </c>
      <c r="O1646" t="s">
        <v>1036</v>
      </c>
      <c r="P1646" s="17"/>
      <c r="Q1646" s="17" t="str">
        <f>_xlfn.XLOOKUP(Table2[[#This Row],[buyFromVendorNo]],'Next Day Scheduled'!A:A,'Pending Returns'!O:O,"NOT_FOUND")</f>
        <v>Posted Credit Note</v>
      </c>
    </row>
    <row r="1647" spans="1:17" x14ac:dyDescent="0.3">
      <c r="A1647" s="1">
        <v>46201</v>
      </c>
      <c r="B1647" t="s">
        <v>642</v>
      </c>
      <c r="C1647" t="s">
        <v>4144</v>
      </c>
      <c r="D1647" t="s">
        <v>4145</v>
      </c>
      <c r="E1647" t="s">
        <v>8</v>
      </c>
      <c r="F1647" t="s">
        <v>38</v>
      </c>
      <c r="G1647" s="16">
        <v>391</v>
      </c>
      <c r="H1647" s="16">
        <v>449.65</v>
      </c>
      <c r="I1647" s="1">
        <v>46201</v>
      </c>
      <c r="J1647">
        <v>58</v>
      </c>
      <c r="K1647" t="s">
        <v>6096</v>
      </c>
      <c r="L1647" t="s">
        <v>6210</v>
      </c>
      <c r="M1647">
        <v>4</v>
      </c>
      <c r="N1647">
        <v>9</v>
      </c>
      <c r="O1647" t="s">
        <v>1036</v>
      </c>
      <c r="P1647" s="17"/>
      <c r="Q1647" s="17" t="str">
        <f>_xlfn.XLOOKUP(Table2[[#This Row],[buyFromVendorNo]],'Next Day Scheduled'!A:A,'Pending Returns'!O:O,"NOT_FOUND")</f>
        <v>NOT_FOUND</v>
      </c>
    </row>
    <row r="1648" spans="1:17" x14ac:dyDescent="0.3">
      <c r="A1648" s="1">
        <v>46201</v>
      </c>
      <c r="B1648" t="s">
        <v>4686</v>
      </c>
      <c r="C1648" t="s">
        <v>819</v>
      </c>
      <c r="D1648" t="s">
        <v>820</v>
      </c>
      <c r="E1648" t="s">
        <v>8</v>
      </c>
      <c r="F1648" t="s">
        <v>10</v>
      </c>
      <c r="G1648" s="16">
        <v>512</v>
      </c>
      <c r="H1648" s="16">
        <v>588.79999999999995</v>
      </c>
      <c r="I1648" s="1">
        <v>46190</v>
      </c>
      <c r="J1648">
        <v>58</v>
      </c>
      <c r="K1648" t="s">
        <v>4652</v>
      </c>
      <c r="L1648" t="s">
        <v>6184</v>
      </c>
      <c r="M1648">
        <v>8</v>
      </c>
      <c r="N1648">
        <v>7</v>
      </c>
      <c r="O1648" t="s">
        <v>1036</v>
      </c>
      <c r="P1648" s="17"/>
      <c r="Q1648" s="17" t="str">
        <f>_xlfn.XLOOKUP(Table2[[#This Row],[buyFromVendorNo]],'Next Day Scheduled'!A:A,'Pending Returns'!O:O,"NOT_FOUND")</f>
        <v>Posted Credit Note</v>
      </c>
    </row>
    <row r="1649" spans="1:17" x14ac:dyDescent="0.3">
      <c r="A1649" s="1">
        <v>46201</v>
      </c>
      <c r="B1649" t="s">
        <v>2515</v>
      </c>
      <c r="C1649" t="s">
        <v>349</v>
      </c>
      <c r="D1649" t="s">
        <v>350</v>
      </c>
      <c r="E1649" t="s">
        <v>8</v>
      </c>
      <c r="F1649" t="s">
        <v>38</v>
      </c>
      <c r="G1649" s="16">
        <v>3464.77</v>
      </c>
      <c r="H1649" s="16">
        <v>3984.4856</v>
      </c>
      <c r="I1649" s="1">
        <v>46202</v>
      </c>
      <c r="J1649">
        <v>58</v>
      </c>
      <c r="K1649" t="s">
        <v>2516</v>
      </c>
      <c r="L1649" t="s">
        <v>6216</v>
      </c>
      <c r="M1649">
        <v>0</v>
      </c>
      <c r="N1649">
        <v>133</v>
      </c>
      <c r="O1649" t="s">
        <v>223</v>
      </c>
      <c r="P1649" s="17"/>
      <c r="Q1649" s="17" t="str">
        <f>_xlfn.XLOOKUP(Table2[[#This Row],[buyFromVendorNo]],'Next Day Scheduled'!A:A,'Pending Returns'!O:O,"NOT_FOUND")</f>
        <v>NOT_FOUND</v>
      </c>
    </row>
    <row r="1650" spans="1:17" x14ac:dyDescent="0.3">
      <c r="A1650" s="1">
        <v>46201</v>
      </c>
      <c r="B1650" t="s">
        <v>3305</v>
      </c>
      <c r="C1650" t="s">
        <v>107</v>
      </c>
      <c r="D1650" t="s">
        <v>3864</v>
      </c>
      <c r="E1650" t="s">
        <v>8</v>
      </c>
      <c r="F1650" t="s">
        <v>10</v>
      </c>
      <c r="G1650" s="16">
        <v>366.96854000000002</v>
      </c>
      <c r="H1650" s="16">
        <v>422.01382000000001</v>
      </c>
      <c r="I1650" s="1">
        <v>46199</v>
      </c>
      <c r="J1650">
        <v>58</v>
      </c>
      <c r="K1650" t="s">
        <v>4947</v>
      </c>
      <c r="L1650" t="s">
        <v>6207</v>
      </c>
      <c r="M1650">
        <v>9</v>
      </c>
      <c r="N1650">
        <v>5</v>
      </c>
      <c r="O1650" t="s">
        <v>1036</v>
      </c>
      <c r="P1650" s="17"/>
      <c r="Q1650" s="17" t="str">
        <f>_xlfn.XLOOKUP(Table2[[#This Row],[buyFromVendorNo]],'Next Day Scheduled'!A:A,'Pending Returns'!O:O,"NOT_FOUND")</f>
        <v>NOT_FOUND</v>
      </c>
    </row>
    <row r="1651" spans="1:17" x14ac:dyDescent="0.3">
      <c r="A1651" s="1">
        <v>46201</v>
      </c>
      <c r="B1651" t="s">
        <v>2161</v>
      </c>
      <c r="C1651" t="s">
        <v>679</v>
      </c>
      <c r="D1651" t="s">
        <v>680</v>
      </c>
      <c r="E1651" t="s">
        <v>8</v>
      </c>
      <c r="F1651" t="s">
        <v>10</v>
      </c>
      <c r="G1651" s="16">
        <v>2210</v>
      </c>
      <c r="H1651" s="16">
        <v>2541.5</v>
      </c>
      <c r="I1651" s="1">
        <v>46195</v>
      </c>
      <c r="J1651">
        <v>58</v>
      </c>
      <c r="K1651" t="s">
        <v>4866</v>
      </c>
      <c r="L1651" t="s">
        <v>6196</v>
      </c>
      <c r="M1651">
        <v>6</v>
      </c>
      <c r="N1651">
        <v>12</v>
      </c>
      <c r="O1651" t="s">
        <v>1036</v>
      </c>
      <c r="P1651" s="17"/>
      <c r="Q1651" s="17" t="str">
        <f>_xlfn.XLOOKUP(Table2[[#This Row],[buyFromVendorNo]],'Next Day Scheduled'!A:A,'Pending Returns'!O:O,"NOT_FOUND")</f>
        <v>NOT_FOUND</v>
      </c>
    </row>
    <row r="1652" spans="1:17" x14ac:dyDescent="0.3">
      <c r="A1652" s="1">
        <v>46201</v>
      </c>
      <c r="B1652" t="s">
        <v>5498</v>
      </c>
      <c r="C1652" t="s">
        <v>679</v>
      </c>
      <c r="D1652" t="s">
        <v>680</v>
      </c>
      <c r="E1652" t="s">
        <v>8</v>
      </c>
      <c r="F1652" t="s">
        <v>10</v>
      </c>
      <c r="G1652" s="16">
        <v>212.5</v>
      </c>
      <c r="H1652" s="16">
        <v>244.375</v>
      </c>
      <c r="I1652" s="1">
        <v>46195</v>
      </c>
      <c r="J1652">
        <v>58</v>
      </c>
      <c r="K1652" t="s">
        <v>5499</v>
      </c>
      <c r="L1652" t="s">
        <v>6198</v>
      </c>
      <c r="M1652">
        <v>6</v>
      </c>
      <c r="N1652">
        <v>12</v>
      </c>
      <c r="O1652" t="s">
        <v>1036</v>
      </c>
      <c r="P1652" s="17"/>
      <c r="Q1652" s="17" t="str">
        <f>_xlfn.XLOOKUP(Table2[[#This Row],[buyFromVendorNo]],'Next Day Scheduled'!A:A,'Pending Returns'!O:O,"NOT_FOUND")</f>
        <v>NOT_FOUND</v>
      </c>
    </row>
    <row r="1653" spans="1:17" x14ac:dyDescent="0.3">
      <c r="A1653" s="1">
        <v>46201</v>
      </c>
      <c r="B1653" t="s">
        <v>3030</v>
      </c>
      <c r="C1653" t="s">
        <v>158</v>
      </c>
      <c r="D1653" t="s">
        <v>159</v>
      </c>
      <c r="E1653" t="s">
        <v>8</v>
      </c>
      <c r="F1653" t="s">
        <v>10</v>
      </c>
      <c r="G1653" s="16">
        <v>3330.3319999999999</v>
      </c>
      <c r="H1653" s="16">
        <v>3829.8818000000001</v>
      </c>
      <c r="I1653" s="1">
        <v>46187</v>
      </c>
      <c r="J1653">
        <v>58</v>
      </c>
      <c r="K1653" t="s">
        <v>3941</v>
      </c>
      <c r="L1653" t="s">
        <v>6199</v>
      </c>
      <c r="M1653">
        <v>8</v>
      </c>
      <c r="N1653">
        <v>6</v>
      </c>
      <c r="O1653" t="s">
        <v>1036</v>
      </c>
      <c r="P1653" s="17"/>
      <c r="Q1653" s="17" t="str">
        <f>_xlfn.XLOOKUP(Table2[[#This Row],[buyFromVendorNo]],'Next Day Scheduled'!A:A,'Pending Returns'!O:O,"NOT_FOUND")</f>
        <v>Posted Credit Note</v>
      </c>
    </row>
    <row r="1654" spans="1:17" x14ac:dyDescent="0.3">
      <c r="A1654" s="1">
        <v>46201</v>
      </c>
      <c r="B1654" t="s">
        <v>348</v>
      </c>
      <c r="C1654" t="s">
        <v>349</v>
      </c>
      <c r="D1654" t="s">
        <v>350</v>
      </c>
      <c r="E1654" t="s">
        <v>8</v>
      </c>
      <c r="F1654" t="s">
        <v>38</v>
      </c>
      <c r="G1654" s="16">
        <v>15392.49</v>
      </c>
      <c r="H1654" s="16">
        <v>17701.363000000001</v>
      </c>
      <c r="I1654" s="1">
        <v>46202</v>
      </c>
      <c r="J1654">
        <v>58</v>
      </c>
      <c r="K1654" t="s">
        <v>351</v>
      </c>
      <c r="L1654" t="s">
        <v>6208</v>
      </c>
      <c r="M1654">
        <v>0</v>
      </c>
      <c r="N1654">
        <v>133</v>
      </c>
      <c r="O1654" t="s">
        <v>223</v>
      </c>
      <c r="P1654" s="17"/>
      <c r="Q1654" s="17" t="str">
        <f>_xlfn.XLOOKUP(Table2[[#This Row],[buyFromVendorNo]],'Next Day Scheduled'!A:A,'Pending Returns'!O:O,"NOT_FOUND")</f>
        <v>NOT_FOUND</v>
      </c>
    </row>
    <row r="1655" spans="1:17" x14ac:dyDescent="0.3">
      <c r="A1655" s="1">
        <v>46201</v>
      </c>
      <c r="B1655" t="s">
        <v>2090</v>
      </c>
      <c r="C1655" t="s">
        <v>253</v>
      </c>
      <c r="D1655" t="s">
        <v>254</v>
      </c>
      <c r="E1655" t="s">
        <v>8</v>
      </c>
      <c r="F1655" t="s">
        <v>38</v>
      </c>
      <c r="G1655" s="16">
        <v>30</v>
      </c>
      <c r="H1655" s="16">
        <v>34.5</v>
      </c>
      <c r="J1655">
        <v>58</v>
      </c>
      <c r="K1655" t="s">
        <v>6242</v>
      </c>
      <c r="M1655">
        <v>0</v>
      </c>
      <c r="N1655">
        <v>313</v>
      </c>
      <c r="O1655" t="s">
        <v>216</v>
      </c>
      <c r="P1655" s="17"/>
      <c r="Q1655" s="17" t="str">
        <f>_xlfn.XLOOKUP(Table2[[#This Row],[buyFromVendorNo]],'Next Day Scheduled'!A:A,'Pending Returns'!O:O,"NOT_FOUND")</f>
        <v>NOT_FOUND</v>
      </c>
    </row>
    <row r="1656" spans="1:17" x14ac:dyDescent="0.3">
      <c r="A1656" s="1">
        <v>46201</v>
      </c>
      <c r="B1656" t="s">
        <v>261</v>
      </c>
      <c r="C1656" t="s">
        <v>880</v>
      </c>
      <c r="D1656" t="s">
        <v>881</v>
      </c>
      <c r="E1656" t="s">
        <v>8</v>
      </c>
      <c r="F1656" t="s">
        <v>10</v>
      </c>
      <c r="G1656" s="16">
        <v>490.42</v>
      </c>
      <c r="H1656" s="16">
        <v>563.98299999999995</v>
      </c>
      <c r="I1656" s="1">
        <v>46201</v>
      </c>
      <c r="J1656">
        <v>58</v>
      </c>
      <c r="K1656" t="s">
        <v>6172</v>
      </c>
      <c r="L1656" t="s">
        <v>6200</v>
      </c>
      <c r="M1656">
        <v>4</v>
      </c>
      <c r="N1656">
        <v>13</v>
      </c>
      <c r="O1656" t="s">
        <v>1036</v>
      </c>
      <c r="P1656" s="17"/>
      <c r="Q1656" s="17" t="str">
        <f>_xlfn.XLOOKUP(Table2[[#This Row],[buyFromVendorNo]],'Next Day Scheduled'!A:A,'Pending Returns'!O:O,"NOT_FOUND")</f>
        <v>NOT_FOUND</v>
      </c>
    </row>
    <row r="1657" spans="1:17" x14ac:dyDescent="0.3">
      <c r="A1657" s="1">
        <v>46201</v>
      </c>
      <c r="B1657" t="s">
        <v>5215</v>
      </c>
      <c r="C1657" t="s">
        <v>1472</v>
      </c>
      <c r="D1657" t="s">
        <v>1473</v>
      </c>
      <c r="E1657" t="s">
        <v>8</v>
      </c>
      <c r="F1657" t="s">
        <v>10</v>
      </c>
      <c r="G1657" s="16">
        <v>2803.9670000000001</v>
      </c>
      <c r="H1657" s="16">
        <v>3224.5619999999999</v>
      </c>
      <c r="I1657" s="1">
        <v>46186</v>
      </c>
      <c r="J1657">
        <v>58</v>
      </c>
      <c r="K1657" t="s">
        <v>4731</v>
      </c>
      <c r="L1657" t="s">
        <v>6201</v>
      </c>
      <c r="M1657">
        <v>2</v>
      </c>
      <c r="N1657">
        <v>20</v>
      </c>
      <c r="O1657" t="s">
        <v>1036</v>
      </c>
      <c r="P1657" s="17"/>
      <c r="Q1657" s="17" t="str">
        <f>_xlfn.XLOOKUP(Table2[[#This Row],[buyFromVendorNo]],'Next Day Scheduled'!A:A,'Pending Returns'!O:O,"NOT_FOUND")</f>
        <v>Posted Credit Note</v>
      </c>
    </row>
    <row r="1658" spans="1:17" x14ac:dyDescent="0.3">
      <c r="A1658" s="1">
        <v>46201</v>
      </c>
      <c r="B1658" t="s">
        <v>2138</v>
      </c>
      <c r="C1658" t="s">
        <v>158</v>
      </c>
      <c r="D1658" t="s">
        <v>159</v>
      </c>
      <c r="E1658" t="s">
        <v>8</v>
      </c>
      <c r="F1658" t="s">
        <v>10</v>
      </c>
      <c r="G1658" s="16">
        <v>1462.9860000000001</v>
      </c>
      <c r="H1658" s="16">
        <v>1682.434</v>
      </c>
      <c r="I1658" s="1">
        <v>46194</v>
      </c>
      <c r="J1658">
        <v>58</v>
      </c>
      <c r="K1658" t="s">
        <v>5457</v>
      </c>
      <c r="L1658" t="s">
        <v>6194</v>
      </c>
      <c r="M1658">
        <v>8</v>
      </c>
      <c r="N1658">
        <v>6</v>
      </c>
      <c r="O1658" t="s">
        <v>1036</v>
      </c>
      <c r="P1658" s="17"/>
      <c r="Q1658" s="17" t="str">
        <f>_xlfn.XLOOKUP(Table2[[#This Row],[buyFromVendorNo]],'Next Day Scheduled'!A:A,'Pending Returns'!O:O,"NOT_FOUND")</f>
        <v>Posted Credit Note</v>
      </c>
    </row>
    <row r="1659" spans="1:17" x14ac:dyDescent="0.3">
      <c r="A1659" s="1">
        <v>46201</v>
      </c>
      <c r="B1659" t="s">
        <v>2162</v>
      </c>
      <c r="C1659" t="s">
        <v>506</v>
      </c>
      <c r="D1659" t="s">
        <v>507</v>
      </c>
      <c r="E1659" t="s">
        <v>8</v>
      </c>
      <c r="F1659" t="s">
        <v>10</v>
      </c>
      <c r="G1659" s="16">
        <v>175</v>
      </c>
      <c r="H1659" s="16">
        <v>175</v>
      </c>
      <c r="I1659" s="1">
        <v>46198</v>
      </c>
      <c r="J1659">
        <v>58</v>
      </c>
      <c r="K1659" t="s">
        <v>5403</v>
      </c>
      <c r="L1659" t="s">
        <v>6206</v>
      </c>
      <c r="M1659">
        <v>8</v>
      </c>
      <c r="N1659">
        <v>5</v>
      </c>
      <c r="O1659" t="s">
        <v>1036</v>
      </c>
      <c r="P1659" s="17"/>
      <c r="Q1659" s="17" t="str">
        <f>_xlfn.XLOOKUP(Table2[[#This Row],[buyFromVendorNo]],'Next Day Scheduled'!A:A,'Pending Returns'!O:O,"NOT_FOUND")</f>
        <v>Posted Credit Note</v>
      </c>
    </row>
    <row r="1660" spans="1:17" x14ac:dyDescent="0.3">
      <c r="A1660" s="1">
        <v>46201</v>
      </c>
      <c r="B1660" t="s">
        <v>3254</v>
      </c>
      <c r="C1660" t="s">
        <v>1472</v>
      </c>
      <c r="D1660" t="s">
        <v>1473</v>
      </c>
      <c r="E1660" t="s">
        <v>8</v>
      </c>
      <c r="F1660" t="s">
        <v>10</v>
      </c>
      <c r="G1660" s="16">
        <v>21.473759999999999</v>
      </c>
      <c r="H1660" s="16">
        <v>24.69482</v>
      </c>
      <c r="I1660" s="1">
        <v>46186</v>
      </c>
      <c r="J1660">
        <v>58</v>
      </c>
      <c r="K1660" t="s">
        <v>3111</v>
      </c>
      <c r="L1660" t="s">
        <v>6189</v>
      </c>
      <c r="M1660">
        <v>2</v>
      </c>
      <c r="N1660">
        <v>20</v>
      </c>
      <c r="O1660" t="s">
        <v>1036</v>
      </c>
      <c r="P1660" s="17"/>
      <c r="Q1660" s="17" t="str">
        <f>_xlfn.XLOOKUP(Table2[[#This Row],[buyFromVendorNo]],'Next Day Scheduled'!A:A,'Pending Returns'!O:O,"NOT_FOUND")</f>
        <v>Posted Credit Note</v>
      </c>
    </row>
    <row r="1661" spans="1:17" x14ac:dyDescent="0.3">
      <c r="A1661" s="1">
        <v>46201</v>
      </c>
      <c r="B1661" t="s">
        <v>4597</v>
      </c>
      <c r="C1661" t="s">
        <v>304</v>
      </c>
      <c r="D1661" t="s">
        <v>307</v>
      </c>
      <c r="E1661" t="s">
        <v>8</v>
      </c>
      <c r="F1661" t="s">
        <v>10</v>
      </c>
      <c r="G1661" s="16">
        <v>1754.9760000000001</v>
      </c>
      <c r="H1661" s="16">
        <v>2018.2222999999999</v>
      </c>
      <c r="I1661" s="1">
        <v>46190</v>
      </c>
      <c r="J1661">
        <v>58</v>
      </c>
      <c r="K1661" t="s">
        <v>4598</v>
      </c>
      <c r="L1661" t="s">
        <v>6195</v>
      </c>
      <c r="M1661">
        <v>9</v>
      </c>
      <c r="N1661">
        <v>6</v>
      </c>
      <c r="O1661" t="s">
        <v>1036</v>
      </c>
      <c r="P1661" s="17"/>
      <c r="Q1661" s="17" t="str">
        <f>_xlfn.XLOOKUP(Table2[[#This Row],[buyFromVendorNo]],'Next Day Scheduled'!A:A,'Pending Returns'!O:O,"NOT_FOUND")</f>
        <v>NOT_FOUND</v>
      </c>
    </row>
    <row r="1662" spans="1:17" x14ac:dyDescent="0.3">
      <c r="A1662" s="1">
        <v>46202</v>
      </c>
      <c r="B1662" t="s">
        <v>5119</v>
      </c>
      <c r="C1662" t="s">
        <v>201</v>
      </c>
      <c r="D1662" t="s">
        <v>202</v>
      </c>
      <c r="E1662" t="s">
        <v>8</v>
      </c>
      <c r="F1662" t="s">
        <v>10</v>
      </c>
      <c r="G1662" s="16">
        <v>707.19629999999995</v>
      </c>
      <c r="H1662" s="16">
        <v>813.27575999999999</v>
      </c>
      <c r="I1662" s="1">
        <v>46196</v>
      </c>
      <c r="J1662">
        <v>57</v>
      </c>
      <c r="K1662" t="s">
        <v>4957</v>
      </c>
      <c r="L1662" t="s">
        <v>6264</v>
      </c>
      <c r="M1662">
        <v>8</v>
      </c>
      <c r="N1662">
        <v>1</v>
      </c>
      <c r="O1662" t="s">
        <v>1036</v>
      </c>
      <c r="P1662" s="17"/>
      <c r="Q1662" s="17" t="str">
        <f>_xlfn.XLOOKUP(Table2[[#This Row],[buyFromVendorNo]],'Next Day Scheduled'!A:A,'Pending Returns'!O:O,"NOT_FOUND")</f>
        <v>Pending for Collection</v>
      </c>
    </row>
    <row r="1663" spans="1:17" x14ac:dyDescent="0.3">
      <c r="A1663" s="1">
        <v>46202</v>
      </c>
      <c r="B1663" t="s">
        <v>3254</v>
      </c>
      <c r="C1663" t="s">
        <v>3177</v>
      </c>
      <c r="D1663" t="s">
        <v>3178</v>
      </c>
      <c r="E1663" t="s">
        <v>8</v>
      </c>
      <c r="F1663" t="s">
        <v>10</v>
      </c>
      <c r="G1663" s="16">
        <v>1215.5999999999999</v>
      </c>
      <c r="H1663" s="16">
        <v>1397.94</v>
      </c>
      <c r="I1663" s="1">
        <v>46199</v>
      </c>
      <c r="J1663">
        <v>57</v>
      </c>
      <c r="K1663" t="s">
        <v>4871</v>
      </c>
      <c r="L1663" t="s">
        <v>6265</v>
      </c>
      <c r="M1663">
        <v>3</v>
      </c>
      <c r="N1663">
        <v>35</v>
      </c>
      <c r="O1663" t="s">
        <v>1036</v>
      </c>
      <c r="P1663" s="17"/>
      <c r="Q1663" s="17" t="str">
        <f>_xlfn.XLOOKUP(Table2[[#This Row],[buyFromVendorNo]],'Next Day Scheduled'!A:A,'Pending Returns'!O:O,"NOT_FOUND")</f>
        <v>NOT_FOUND</v>
      </c>
    </row>
    <row r="1664" spans="1:17" x14ac:dyDescent="0.3">
      <c r="A1664" s="1">
        <v>46202</v>
      </c>
      <c r="B1664" t="s">
        <v>3026</v>
      </c>
      <c r="C1664" t="s">
        <v>3777</v>
      </c>
      <c r="D1664" t="s">
        <v>3778</v>
      </c>
      <c r="E1664" t="s">
        <v>8</v>
      </c>
      <c r="F1664" t="s">
        <v>10</v>
      </c>
      <c r="G1664" s="16">
        <v>8032.62</v>
      </c>
      <c r="H1664" s="16">
        <v>9237.5130000000008</v>
      </c>
      <c r="I1664" s="1">
        <v>46199</v>
      </c>
      <c r="J1664">
        <v>57</v>
      </c>
      <c r="K1664" t="s">
        <v>4978</v>
      </c>
      <c r="L1664" t="s">
        <v>6292</v>
      </c>
      <c r="M1664">
        <v>8</v>
      </c>
      <c r="N1664">
        <v>3</v>
      </c>
      <c r="O1664" t="s">
        <v>1036</v>
      </c>
      <c r="P1664" s="17"/>
      <c r="Q1664" s="17" t="str">
        <f>_xlfn.XLOOKUP(Table2[[#This Row],[buyFromVendorNo]],'Next Day Scheduled'!A:A,'Pending Returns'!O:O,"NOT_FOUND")</f>
        <v>NOT_FOUND</v>
      </c>
    </row>
    <row r="1665" spans="1:17" x14ac:dyDescent="0.3">
      <c r="A1665" s="1">
        <v>46202</v>
      </c>
      <c r="B1665" t="s">
        <v>1435</v>
      </c>
      <c r="C1665" t="s">
        <v>444</v>
      </c>
      <c r="D1665" t="s">
        <v>445</v>
      </c>
      <c r="E1665" t="s">
        <v>8</v>
      </c>
      <c r="F1665" t="s">
        <v>38</v>
      </c>
      <c r="G1665" s="16">
        <v>932.71</v>
      </c>
      <c r="H1665" s="16">
        <v>1072.6165000000001</v>
      </c>
      <c r="I1665" s="1">
        <v>46181</v>
      </c>
      <c r="J1665">
        <v>57</v>
      </c>
      <c r="K1665" t="s">
        <v>2099</v>
      </c>
      <c r="L1665" t="s">
        <v>6305</v>
      </c>
      <c r="M1665">
        <v>2</v>
      </c>
      <c r="N1665">
        <v>9</v>
      </c>
      <c r="O1665" t="s">
        <v>1036</v>
      </c>
      <c r="P1665" s="17"/>
      <c r="Q1665" s="17" t="str">
        <f>_xlfn.XLOOKUP(Table2[[#This Row],[buyFromVendorNo]],'Next Day Scheduled'!A:A,'Pending Returns'!O:O,"NOT_FOUND")</f>
        <v>NOT_FOUND</v>
      </c>
    </row>
    <row r="1666" spans="1:17" x14ac:dyDescent="0.3">
      <c r="A1666" s="1">
        <v>46202</v>
      </c>
      <c r="B1666" t="s">
        <v>3562</v>
      </c>
      <c r="C1666" t="s">
        <v>2307</v>
      </c>
      <c r="D1666" t="s">
        <v>2308</v>
      </c>
      <c r="E1666" t="s">
        <v>8</v>
      </c>
      <c r="F1666" t="s">
        <v>10</v>
      </c>
      <c r="G1666" s="16">
        <v>1650</v>
      </c>
      <c r="H1666" s="16">
        <v>1822.65</v>
      </c>
      <c r="I1666" s="1">
        <v>46183</v>
      </c>
      <c r="J1666">
        <v>57</v>
      </c>
      <c r="K1666" t="s">
        <v>3563</v>
      </c>
      <c r="L1666" t="s">
        <v>6297</v>
      </c>
      <c r="M1666">
        <v>2</v>
      </c>
      <c r="N1666">
        <v>6</v>
      </c>
      <c r="O1666" t="s">
        <v>1036</v>
      </c>
      <c r="P1666" s="17"/>
      <c r="Q1666" s="17" t="str">
        <f>_xlfn.XLOOKUP(Table2[[#This Row],[buyFromVendorNo]],'Next Day Scheduled'!A:A,'Pending Returns'!O:O,"NOT_FOUND")</f>
        <v>NOT_FOUND</v>
      </c>
    </row>
    <row r="1667" spans="1:17" x14ac:dyDescent="0.3">
      <c r="A1667" s="1">
        <v>46202</v>
      </c>
      <c r="B1667" t="s">
        <v>2798</v>
      </c>
      <c r="C1667" t="s">
        <v>932</v>
      </c>
      <c r="D1667" t="s">
        <v>1612</v>
      </c>
      <c r="E1667" t="s">
        <v>8</v>
      </c>
      <c r="F1667" t="s">
        <v>10</v>
      </c>
      <c r="G1667" s="16">
        <v>4474.75</v>
      </c>
      <c r="H1667" s="16">
        <v>5145.9624000000003</v>
      </c>
      <c r="I1667" s="1">
        <v>46177</v>
      </c>
      <c r="J1667">
        <v>57</v>
      </c>
      <c r="K1667" t="s">
        <v>2799</v>
      </c>
      <c r="L1667" t="s">
        <v>6273</v>
      </c>
      <c r="M1667">
        <v>5</v>
      </c>
      <c r="N1667">
        <v>3</v>
      </c>
      <c r="O1667" t="s">
        <v>1036</v>
      </c>
      <c r="P1667" s="17"/>
      <c r="Q1667" s="17" t="str">
        <f>_xlfn.XLOOKUP(Table2[[#This Row],[buyFromVendorNo]],'Next Day Scheduled'!A:A,'Pending Returns'!O:O,"NOT_FOUND")</f>
        <v>NOT_FOUND</v>
      </c>
    </row>
    <row r="1668" spans="1:17" x14ac:dyDescent="0.3">
      <c r="A1668" s="1">
        <v>46202</v>
      </c>
      <c r="B1668" t="s">
        <v>4102</v>
      </c>
      <c r="C1668" t="s">
        <v>329</v>
      </c>
      <c r="D1668" t="s">
        <v>320</v>
      </c>
      <c r="E1668" t="s">
        <v>8</v>
      </c>
      <c r="F1668" t="s">
        <v>38</v>
      </c>
      <c r="G1668" s="16">
        <v>926</v>
      </c>
      <c r="H1668" s="16">
        <v>1064.9000000000001</v>
      </c>
      <c r="I1668" s="1">
        <v>46200</v>
      </c>
      <c r="J1668">
        <v>57</v>
      </c>
      <c r="K1668" t="s">
        <v>5556</v>
      </c>
      <c r="L1668" t="s">
        <v>6227</v>
      </c>
      <c r="M1668">
        <v>6</v>
      </c>
      <c r="N1668">
        <v>2</v>
      </c>
      <c r="O1668" t="s">
        <v>1036</v>
      </c>
      <c r="P1668" s="17"/>
      <c r="Q1668" s="17" t="str">
        <f>_xlfn.XLOOKUP(Table2[[#This Row],[buyFromVendorNo]],'Next Day Scheduled'!A:A,'Pending Returns'!O:O,"NOT_FOUND")</f>
        <v>NOT_FOUND</v>
      </c>
    </row>
    <row r="1669" spans="1:17" x14ac:dyDescent="0.3">
      <c r="A1669" s="1">
        <v>46202</v>
      </c>
      <c r="B1669" t="s">
        <v>1724</v>
      </c>
      <c r="C1669" t="s">
        <v>201</v>
      </c>
      <c r="D1669" t="s">
        <v>202</v>
      </c>
      <c r="E1669" t="s">
        <v>8</v>
      </c>
      <c r="F1669" t="s">
        <v>10</v>
      </c>
      <c r="G1669" s="16">
        <v>133.62</v>
      </c>
      <c r="H1669" s="16">
        <v>153.66300000000001</v>
      </c>
      <c r="I1669" s="1">
        <v>46196</v>
      </c>
      <c r="J1669">
        <v>57</v>
      </c>
      <c r="K1669" t="s">
        <v>5240</v>
      </c>
      <c r="L1669" t="s">
        <v>6282</v>
      </c>
      <c r="M1669">
        <v>8</v>
      </c>
      <c r="N1669">
        <v>1</v>
      </c>
      <c r="O1669" t="s">
        <v>1036</v>
      </c>
      <c r="P1669" s="17"/>
      <c r="Q1669" s="17" t="str">
        <f>_xlfn.XLOOKUP(Table2[[#This Row],[buyFromVendorNo]],'Next Day Scheduled'!A:A,'Pending Returns'!O:O,"NOT_FOUND")</f>
        <v>Pending for Collection</v>
      </c>
    </row>
    <row r="1670" spans="1:17" x14ac:dyDescent="0.3">
      <c r="A1670" s="1">
        <v>46202</v>
      </c>
      <c r="B1670" t="s">
        <v>1698</v>
      </c>
      <c r="C1670" t="s">
        <v>181</v>
      </c>
      <c r="D1670" t="s">
        <v>182</v>
      </c>
      <c r="E1670" t="s">
        <v>8</v>
      </c>
      <c r="F1670" t="s">
        <v>10</v>
      </c>
      <c r="G1670" s="16">
        <v>984.94683999999995</v>
      </c>
      <c r="H1670" s="16">
        <v>1132.6887999999999</v>
      </c>
      <c r="I1670" s="1">
        <v>46199</v>
      </c>
      <c r="J1670">
        <v>57</v>
      </c>
      <c r="K1670" t="s">
        <v>4610</v>
      </c>
      <c r="L1670" t="s">
        <v>6288</v>
      </c>
      <c r="M1670">
        <v>12</v>
      </c>
      <c r="N1670">
        <v>2</v>
      </c>
      <c r="O1670" t="s">
        <v>1036</v>
      </c>
      <c r="P1670" s="17"/>
      <c r="Q1670" s="17" t="str">
        <f>_xlfn.XLOOKUP(Table2[[#This Row],[buyFromVendorNo]],'Next Day Scheduled'!A:A,'Pending Returns'!O:O,"NOT_FOUND")</f>
        <v>NOT_FOUND</v>
      </c>
    </row>
    <row r="1671" spans="1:17" x14ac:dyDescent="0.3">
      <c r="A1671" s="1">
        <v>46202</v>
      </c>
      <c r="B1671" t="s">
        <v>2889</v>
      </c>
      <c r="C1671" t="s">
        <v>191</v>
      </c>
      <c r="D1671" t="s">
        <v>192</v>
      </c>
      <c r="E1671" t="s">
        <v>8</v>
      </c>
      <c r="F1671" t="s">
        <v>10</v>
      </c>
      <c r="G1671" s="16">
        <v>195.57830999999999</v>
      </c>
      <c r="H1671" s="16">
        <v>224.91505000000001</v>
      </c>
      <c r="I1671" s="1">
        <v>46199</v>
      </c>
      <c r="J1671">
        <v>57</v>
      </c>
      <c r="K1671" t="s">
        <v>5347</v>
      </c>
      <c r="L1671" t="s">
        <v>6228</v>
      </c>
      <c r="M1671">
        <v>8</v>
      </c>
      <c r="N1671">
        <v>3</v>
      </c>
      <c r="O1671" t="s">
        <v>1036</v>
      </c>
      <c r="P1671" s="17"/>
      <c r="Q1671" s="17" t="str">
        <f>_xlfn.XLOOKUP(Table2[[#This Row],[buyFromVendorNo]],'Next Day Scheduled'!A:A,'Pending Returns'!O:O,"NOT_FOUND")</f>
        <v>NOT_FOUND</v>
      </c>
    </row>
    <row r="1672" spans="1:17" x14ac:dyDescent="0.3">
      <c r="A1672" s="1">
        <v>46202</v>
      </c>
      <c r="B1672" t="s">
        <v>2204</v>
      </c>
      <c r="C1672" t="s">
        <v>564</v>
      </c>
      <c r="D1672" t="s">
        <v>565</v>
      </c>
      <c r="E1672" t="s">
        <v>8</v>
      </c>
      <c r="F1672" t="s">
        <v>10</v>
      </c>
      <c r="G1672" s="16">
        <v>2053.0500000000002</v>
      </c>
      <c r="H1672" s="16">
        <v>2361.0075999999999</v>
      </c>
      <c r="I1672" s="1">
        <v>46183</v>
      </c>
      <c r="J1672">
        <v>57</v>
      </c>
      <c r="K1672" t="s">
        <v>2185</v>
      </c>
      <c r="L1672" t="s">
        <v>6279</v>
      </c>
      <c r="M1672">
        <v>6</v>
      </c>
      <c r="N1672">
        <v>10</v>
      </c>
      <c r="O1672" t="s">
        <v>1036</v>
      </c>
      <c r="P1672" s="17"/>
      <c r="Q1672" s="17" t="str">
        <f>_xlfn.XLOOKUP(Table2[[#This Row],[buyFromVendorNo]],'Next Day Scheduled'!A:A,'Pending Returns'!O:O,"NOT_FOUND")</f>
        <v>Posted Credit Note</v>
      </c>
    </row>
    <row r="1673" spans="1:17" x14ac:dyDescent="0.3">
      <c r="A1673" s="1">
        <v>46202</v>
      </c>
      <c r="B1673" t="s">
        <v>2735</v>
      </c>
      <c r="C1673" t="s">
        <v>77</v>
      </c>
      <c r="D1673" t="s">
        <v>78</v>
      </c>
      <c r="E1673" t="s">
        <v>8</v>
      </c>
      <c r="F1673" t="s">
        <v>10</v>
      </c>
      <c r="G1673" s="16">
        <v>509.85367000000002</v>
      </c>
      <c r="H1673" s="16">
        <v>586.33169999999996</v>
      </c>
      <c r="I1673" s="1">
        <v>46194</v>
      </c>
      <c r="J1673">
        <v>57</v>
      </c>
      <c r="K1673" t="s">
        <v>2736</v>
      </c>
      <c r="L1673" t="s">
        <v>6271</v>
      </c>
      <c r="M1673">
        <v>5</v>
      </c>
      <c r="N1673">
        <v>7</v>
      </c>
      <c r="O1673" t="s">
        <v>1036</v>
      </c>
      <c r="P1673" s="17"/>
      <c r="Q1673" s="17" t="str">
        <f>_xlfn.XLOOKUP(Table2[[#This Row],[buyFromVendorNo]],'Next Day Scheduled'!A:A,'Pending Returns'!O:O,"NOT_FOUND")</f>
        <v>NOT_FOUND</v>
      </c>
    </row>
    <row r="1674" spans="1:17" x14ac:dyDescent="0.3">
      <c r="A1674" s="1">
        <v>46202</v>
      </c>
      <c r="B1674" t="s">
        <v>3793</v>
      </c>
      <c r="C1674" t="s">
        <v>185</v>
      </c>
      <c r="D1674" t="s">
        <v>186</v>
      </c>
      <c r="E1674" t="s">
        <v>8</v>
      </c>
      <c r="F1674" t="s">
        <v>10</v>
      </c>
      <c r="G1674" s="16">
        <v>1216.8</v>
      </c>
      <c r="H1674" s="16">
        <v>1275.18</v>
      </c>
      <c r="I1674" s="1">
        <v>46188</v>
      </c>
      <c r="J1674">
        <v>57</v>
      </c>
      <c r="K1674" t="s">
        <v>3794</v>
      </c>
      <c r="L1674" t="s">
        <v>6231</v>
      </c>
      <c r="M1674">
        <v>6</v>
      </c>
      <c r="N1674">
        <v>2</v>
      </c>
      <c r="O1674" t="s">
        <v>1036</v>
      </c>
      <c r="P1674" s="17"/>
      <c r="Q1674" s="17" t="str">
        <f>_xlfn.XLOOKUP(Table2[[#This Row],[buyFromVendorNo]],'Next Day Scheduled'!A:A,'Pending Returns'!O:O,"NOT_FOUND")</f>
        <v>NOT_FOUND</v>
      </c>
    </row>
    <row r="1675" spans="1:17" x14ac:dyDescent="0.3">
      <c r="A1675" s="1">
        <v>46202</v>
      </c>
      <c r="B1675" t="s">
        <v>3296</v>
      </c>
      <c r="C1675" t="s">
        <v>5293</v>
      </c>
      <c r="D1675" t="s">
        <v>5294</v>
      </c>
      <c r="E1675" t="s">
        <v>8</v>
      </c>
      <c r="F1675" t="s">
        <v>10</v>
      </c>
      <c r="G1675" s="16">
        <v>49.58</v>
      </c>
      <c r="H1675" s="16">
        <v>57.017000000000003</v>
      </c>
      <c r="I1675" s="1">
        <v>46197</v>
      </c>
      <c r="J1675">
        <v>57</v>
      </c>
      <c r="K1675" t="s">
        <v>5295</v>
      </c>
      <c r="L1675" t="s">
        <v>6290</v>
      </c>
      <c r="M1675">
        <v>5</v>
      </c>
      <c r="N1675">
        <v>19</v>
      </c>
      <c r="O1675" t="s">
        <v>1036</v>
      </c>
      <c r="P1675" s="17"/>
      <c r="Q1675" s="17" t="str">
        <f>_xlfn.XLOOKUP(Table2[[#This Row],[buyFromVendorNo]],'Next Day Scheduled'!A:A,'Pending Returns'!O:O,"NOT_FOUND")</f>
        <v>Posted Credit Note</v>
      </c>
    </row>
    <row r="1676" spans="1:17" x14ac:dyDescent="0.3">
      <c r="A1676" s="1">
        <v>46202</v>
      </c>
      <c r="B1676" t="s">
        <v>447</v>
      </c>
      <c r="C1676" t="s">
        <v>444</v>
      </c>
      <c r="D1676" t="s">
        <v>445</v>
      </c>
      <c r="E1676" t="s">
        <v>8</v>
      </c>
      <c r="F1676" t="s">
        <v>38</v>
      </c>
      <c r="G1676" s="16">
        <v>5949.81</v>
      </c>
      <c r="H1676" s="16">
        <v>6842.2816999999995</v>
      </c>
      <c r="I1676" s="1">
        <v>46181</v>
      </c>
      <c r="J1676">
        <v>57</v>
      </c>
      <c r="K1676" t="s">
        <v>4071</v>
      </c>
      <c r="L1676" t="s">
        <v>6310</v>
      </c>
      <c r="M1676">
        <v>2</v>
      </c>
      <c r="N1676">
        <v>9</v>
      </c>
      <c r="O1676" t="s">
        <v>1036</v>
      </c>
      <c r="P1676" s="17"/>
      <c r="Q1676" s="17" t="str">
        <f>_xlfn.XLOOKUP(Table2[[#This Row],[buyFromVendorNo]],'Next Day Scheduled'!A:A,'Pending Returns'!O:O,"NOT_FOUND")</f>
        <v>NOT_FOUND</v>
      </c>
    </row>
    <row r="1677" spans="1:17" x14ac:dyDescent="0.3">
      <c r="A1677" s="1">
        <v>46202</v>
      </c>
      <c r="B1677" t="s">
        <v>5272</v>
      </c>
      <c r="C1677" t="s">
        <v>304</v>
      </c>
      <c r="D1677" t="s">
        <v>307</v>
      </c>
      <c r="E1677" t="s">
        <v>8</v>
      </c>
      <c r="F1677" t="s">
        <v>10</v>
      </c>
      <c r="G1677" s="16">
        <v>1068.3784000000001</v>
      </c>
      <c r="H1677" s="16">
        <v>1228.6351</v>
      </c>
      <c r="I1677" s="1">
        <v>46199</v>
      </c>
      <c r="J1677">
        <v>57</v>
      </c>
      <c r="K1677" t="s">
        <v>5273</v>
      </c>
      <c r="L1677" t="s">
        <v>6266</v>
      </c>
      <c r="M1677">
        <v>9</v>
      </c>
      <c r="N1677">
        <v>6</v>
      </c>
      <c r="O1677" t="s">
        <v>1036</v>
      </c>
      <c r="P1677" s="17"/>
      <c r="Q1677" s="17" t="str">
        <f>_xlfn.XLOOKUP(Table2[[#This Row],[buyFromVendorNo]],'Next Day Scheduled'!A:A,'Pending Returns'!O:O,"NOT_FOUND")</f>
        <v>NOT_FOUND</v>
      </c>
    </row>
    <row r="1678" spans="1:17" x14ac:dyDescent="0.3">
      <c r="A1678" s="1">
        <v>46202</v>
      </c>
      <c r="B1678" t="s">
        <v>3318</v>
      </c>
      <c r="C1678" t="s">
        <v>812</v>
      </c>
      <c r="D1678" t="s">
        <v>2394</v>
      </c>
      <c r="E1678" t="s">
        <v>8</v>
      </c>
      <c r="F1678" t="s">
        <v>10</v>
      </c>
      <c r="G1678" s="16">
        <v>94</v>
      </c>
      <c r="H1678" s="16">
        <v>108.1</v>
      </c>
      <c r="I1678" s="1">
        <v>46199</v>
      </c>
      <c r="J1678">
        <v>57</v>
      </c>
      <c r="K1678" t="s">
        <v>2934</v>
      </c>
      <c r="L1678" t="s">
        <v>6301</v>
      </c>
      <c r="M1678">
        <v>11</v>
      </c>
      <c r="N1678">
        <v>3</v>
      </c>
      <c r="O1678" t="s">
        <v>1036</v>
      </c>
      <c r="P1678" s="17"/>
      <c r="Q1678" s="17" t="str">
        <f>_xlfn.XLOOKUP(Table2[[#This Row],[buyFromVendorNo]],'Next Day Scheduled'!A:A,'Pending Returns'!O:O,"NOT_FOUND")</f>
        <v>NOT_FOUND</v>
      </c>
    </row>
    <row r="1679" spans="1:17" x14ac:dyDescent="0.3">
      <c r="A1679" s="1">
        <v>46202</v>
      </c>
      <c r="B1679" t="s">
        <v>5927</v>
      </c>
      <c r="C1679" t="s">
        <v>4370</v>
      </c>
      <c r="D1679" t="s">
        <v>4146</v>
      </c>
      <c r="E1679" t="s">
        <v>8</v>
      </c>
      <c r="F1679" t="s">
        <v>169</v>
      </c>
      <c r="G1679" s="16">
        <v>1299.7</v>
      </c>
      <c r="H1679" s="16">
        <v>1494.655</v>
      </c>
      <c r="I1679" s="1">
        <v>46196</v>
      </c>
      <c r="J1679">
        <v>57</v>
      </c>
      <c r="K1679" t="s">
        <v>5933</v>
      </c>
      <c r="L1679" t="s">
        <v>6222</v>
      </c>
      <c r="M1679">
        <v>9</v>
      </c>
      <c r="N1679">
        <v>1</v>
      </c>
      <c r="O1679" t="s">
        <v>1036</v>
      </c>
      <c r="P1679" s="17"/>
      <c r="Q1679" s="17" t="str">
        <f>_xlfn.XLOOKUP(Table2[[#This Row],[buyFromVendorNo]],'Next Day Scheduled'!A:A,'Pending Returns'!O:O,"NOT_FOUND")</f>
        <v>NOT_FOUND</v>
      </c>
    </row>
    <row r="1680" spans="1:17" x14ac:dyDescent="0.3">
      <c r="A1680" s="1">
        <v>46202</v>
      </c>
      <c r="B1680" t="s">
        <v>4690</v>
      </c>
      <c r="C1680" t="s">
        <v>185</v>
      </c>
      <c r="D1680" t="s">
        <v>186</v>
      </c>
      <c r="E1680" t="s">
        <v>8</v>
      </c>
      <c r="F1680" t="s">
        <v>10</v>
      </c>
      <c r="G1680" s="16">
        <v>812.8</v>
      </c>
      <c r="H1680" s="16">
        <v>904.54</v>
      </c>
      <c r="I1680" s="1">
        <v>46188</v>
      </c>
      <c r="J1680">
        <v>57</v>
      </c>
      <c r="K1680" t="s">
        <v>4657</v>
      </c>
      <c r="L1680" t="s">
        <v>6226</v>
      </c>
      <c r="M1680">
        <v>6</v>
      </c>
      <c r="N1680">
        <v>2</v>
      </c>
      <c r="O1680" t="s">
        <v>1036</v>
      </c>
      <c r="P1680" s="17"/>
      <c r="Q1680" s="17" t="str">
        <f>_xlfn.XLOOKUP(Table2[[#This Row],[buyFromVendorNo]],'Next Day Scheduled'!A:A,'Pending Returns'!O:O,"NOT_FOUND")</f>
        <v>NOT_FOUND</v>
      </c>
    </row>
    <row r="1681" spans="1:17" x14ac:dyDescent="0.3">
      <c r="A1681" s="1">
        <v>46202</v>
      </c>
      <c r="B1681" t="s">
        <v>2566</v>
      </c>
      <c r="C1681" t="s">
        <v>181</v>
      </c>
      <c r="D1681" t="s">
        <v>182</v>
      </c>
      <c r="E1681" t="s">
        <v>8</v>
      </c>
      <c r="F1681" t="s">
        <v>10</v>
      </c>
      <c r="G1681" s="16">
        <v>288.23340000000002</v>
      </c>
      <c r="H1681" s="16">
        <v>331.46839999999997</v>
      </c>
      <c r="I1681" s="1">
        <v>46199</v>
      </c>
      <c r="J1681">
        <v>57</v>
      </c>
      <c r="K1681" t="s">
        <v>5375</v>
      </c>
      <c r="L1681" t="s">
        <v>6293</v>
      </c>
      <c r="M1681">
        <v>12</v>
      </c>
      <c r="N1681">
        <v>2</v>
      </c>
      <c r="O1681" t="s">
        <v>1036</v>
      </c>
      <c r="P1681" s="17"/>
      <c r="Q1681" s="17" t="str">
        <f>_xlfn.XLOOKUP(Table2[[#This Row],[buyFromVendorNo]],'Next Day Scheduled'!A:A,'Pending Returns'!O:O,"NOT_FOUND")</f>
        <v>NOT_FOUND</v>
      </c>
    </row>
    <row r="1682" spans="1:17" x14ac:dyDescent="0.3">
      <c r="A1682" s="1">
        <v>46202</v>
      </c>
      <c r="B1682" t="s">
        <v>6130</v>
      </c>
      <c r="C1682" t="s">
        <v>4367</v>
      </c>
      <c r="D1682" t="s">
        <v>4368</v>
      </c>
      <c r="E1682" t="s">
        <v>8</v>
      </c>
      <c r="F1682" t="s">
        <v>169</v>
      </c>
      <c r="G1682" s="16">
        <v>179.5</v>
      </c>
      <c r="H1682" s="16">
        <v>206.42500000000001</v>
      </c>
      <c r="I1682" s="1">
        <v>46202</v>
      </c>
      <c r="J1682">
        <v>57</v>
      </c>
      <c r="K1682" t="s">
        <v>6160</v>
      </c>
      <c r="L1682" t="s">
        <v>6294</v>
      </c>
      <c r="M1682">
        <v>8</v>
      </c>
      <c r="N1682">
        <v>7</v>
      </c>
      <c r="O1682" t="s">
        <v>1036</v>
      </c>
      <c r="P1682" s="17"/>
      <c r="Q1682" s="17" t="str">
        <f>_xlfn.XLOOKUP(Table2[[#This Row],[buyFromVendorNo]],'Next Day Scheduled'!A:A,'Pending Returns'!O:O,"NOT_FOUND")</f>
        <v>NOT_FOUND</v>
      </c>
    </row>
    <row r="1683" spans="1:17" x14ac:dyDescent="0.3">
      <c r="A1683" s="1">
        <v>46202</v>
      </c>
      <c r="B1683" t="s">
        <v>1847</v>
      </c>
      <c r="C1683" t="s">
        <v>932</v>
      </c>
      <c r="D1683" t="s">
        <v>1612</v>
      </c>
      <c r="E1683" t="s">
        <v>8</v>
      </c>
      <c r="F1683" t="s">
        <v>10</v>
      </c>
      <c r="G1683" s="16">
        <v>20589</v>
      </c>
      <c r="H1683" s="16">
        <v>23677.35</v>
      </c>
      <c r="I1683" s="1">
        <v>46177</v>
      </c>
      <c r="J1683">
        <v>57</v>
      </c>
      <c r="K1683" t="s">
        <v>1848</v>
      </c>
      <c r="L1683" t="s">
        <v>6295</v>
      </c>
      <c r="M1683">
        <v>5</v>
      </c>
      <c r="N1683">
        <v>3</v>
      </c>
      <c r="O1683" t="s">
        <v>1036</v>
      </c>
      <c r="P1683" s="17"/>
      <c r="Q1683" s="17" t="str">
        <f>_xlfn.XLOOKUP(Table2[[#This Row],[buyFromVendorNo]],'Next Day Scheduled'!A:A,'Pending Returns'!O:O,"NOT_FOUND")</f>
        <v>NOT_FOUND</v>
      </c>
    </row>
    <row r="1684" spans="1:17" x14ac:dyDescent="0.3">
      <c r="A1684" s="1">
        <v>46202</v>
      </c>
      <c r="B1684" t="s">
        <v>5682</v>
      </c>
      <c r="C1684" t="s">
        <v>5153</v>
      </c>
      <c r="D1684" t="s">
        <v>5570</v>
      </c>
      <c r="E1684" t="s">
        <v>8</v>
      </c>
      <c r="F1684" t="s">
        <v>10</v>
      </c>
      <c r="G1684" s="16">
        <v>264.44499999999999</v>
      </c>
      <c r="H1684" s="16">
        <v>304.11176</v>
      </c>
      <c r="I1684" s="1">
        <v>46200</v>
      </c>
      <c r="J1684">
        <v>57</v>
      </c>
      <c r="K1684" t="s">
        <v>5569</v>
      </c>
      <c r="L1684" t="s">
        <v>6296</v>
      </c>
      <c r="M1684">
        <v>6</v>
      </c>
      <c r="N1684">
        <v>5</v>
      </c>
      <c r="O1684" t="s">
        <v>1036</v>
      </c>
      <c r="P1684" s="17"/>
      <c r="Q1684" s="17" t="str">
        <f>_xlfn.XLOOKUP(Table2[[#This Row],[buyFromVendorNo]],'Next Day Scheduled'!A:A,'Pending Returns'!O:O,"NOT_FOUND")</f>
        <v>NOT_FOUND</v>
      </c>
    </row>
    <row r="1685" spans="1:17" x14ac:dyDescent="0.3">
      <c r="A1685" s="1">
        <v>46202</v>
      </c>
      <c r="B1685" t="s">
        <v>1540</v>
      </c>
      <c r="C1685" t="s">
        <v>181</v>
      </c>
      <c r="D1685" t="s">
        <v>182</v>
      </c>
      <c r="E1685" t="s">
        <v>8</v>
      </c>
      <c r="F1685" t="s">
        <v>10</v>
      </c>
      <c r="G1685" s="16">
        <v>664.67550000000006</v>
      </c>
      <c r="H1685" s="16">
        <v>764.37683000000004</v>
      </c>
      <c r="I1685" s="1">
        <v>46199</v>
      </c>
      <c r="J1685">
        <v>57</v>
      </c>
      <c r="K1685" t="s">
        <v>4996</v>
      </c>
      <c r="L1685" t="s">
        <v>6280</v>
      </c>
      <c r="M1685">
        <v>12</v>
      </c>
      <c r="N1685">
        <v>2</v>
      </c>
      <c r="O1685" t="s">
        <v>1036</v>
      </c>
      <c r="P1685" s="17"/>
      <c r="Q1685" s="17" t="str">
        <f>_xlfn.XLOOKUP(Table2[[#This Row],[buyFromVendorNo]],'Next Day Scheduled'!A:A,'Pending Returns'!O:O,"NOT_FOUND")</f>
        <v>NOT_FOUND</v>
      </c>
    </row>
    <row r="1686" spans="1:17" x14ac:dyDescent="0.3">
      <c r="A1686" s="1">
        <v>46202</v>
      </c>
      <c r="B1686" t="s">
        <v>5062</v>
      </c>
      <c r="C1686" t="s">
        <v>77</v>
      </c>
      <c r="D1686" t="s">
        <v>78</v>
      </c>
      <c r="E1686" t="s">
        <v>8</v>
      </c>
      <c r="F1686" t="s">
        <v>10</v>
      </c>
      <c r="G1686" s="16">
        <v>210.08143999999999</v>
      </c>
      <c r="H1686" s="16">
        <v>241.59366</v>
      </c>
      <c r="I1686" s="1">
        <v>46194</v>
      </c>
      <c r="J1686">
        <v>57</v>
      </c>
      <c r="K1686" t="s">
        <v>4922</v>
      </c>
      <c r="L1686" t="s">
        <v>6300</v>
      </c>
      <c r="M1686">
        <v>5</v>
      </c>
      <c r="N1686">
        <v>7</v>
      </c>
      <c r="O1686" t="s">
        <v>1036</v>
      </c>
      <c r="P1686" s="17"/>
      <c r="Q1686" s="17" t="str">
        <f>_xlfn.XLOOKUP(Table2[[#This Row],[buyFromVendorNo]],'Next Day Scheduled'!A:A,'Pending Returns'!O:O,"NOT_FOUND")</f>
        <v>NOT_FOUND</v>
      </c>
    </row>
    <row r="1687" spans="1:17" x14ac:dyDescent="0.3">
      <c r="A1687" s="1">
        <v>46202</v>
      </c>
      <c r="B1687" t="s">
        <v>280</v>
      </c>
      <c r="C1687" t="s">
        <v>181</v>
      </c>
      <c r="D1687" t="s">
        <v>182</v>
      </c>
      <c r="E1687" t="s">
        <v>8</v>
      </c>
      <c r="F1687" t="s">
        <v>10</v>
      </c>
      <c r="G1687" s="16">
        <v>1052.3976</v>
      </c>
      <c r="H1687" s="16">
        <v>1210.2572</v>
      </c>
      <c r="I1687" s="1">
        <v>46199</v>
      </c>
      <c r="J1687">
        <v>57</v>
      </c>
      <c r="K1687" t="s">
        <v>4395</v>
      </c>
      <c r="L1687" t="s">
        <v>6277</v>
      </c>
      <c r="M1687">
        <v>12</v>
      </c>
      <c r="N1687">
        <v>2</v>
      </c>
      <c r="O1687" t="s">
        <v>1036</v>
      </c>
      <c r="P1687" s="17"/>
      <c r="Q1687" s="17" t="str">
        <f>_xlfn.XLOOKUP(Table2[[#This Row],[buyFromVendorNo]],'Next Day Scheduled'!A:A,'Pending Returns'!O:O,"NOT_FOUND")</f>
        <v>NOT_FOUND</v>
      </c>
    </row>
    <row r="1688" spans="1:17" x14ac:dyDescent="0.3">
      <c r="A1688" s="1">
        <v>46202</v>
      </c>
      <c r="B1688" t="s">
        <v>3016</v>
      </c>
      <c r="C1688" t="s">
        <v>3777</v>
      </c>
      <c r="D1688" t="s">
        <v>3778</v>
      </c>
      <c r="E1688" t="s">
        <v>8</v>
      </c>
      <c r="F1688" t="s">
        <v>10</v>
      </c>
      <c r="G1688" s="16">
        <v>1887.18</v>
      </c>
      <c r="H1688" s="16">
        <v>2170.2570000000001</v>
      </c>
      <c r="I1688" s="1">
        <v>46199</v>
      </c>
      <c r="J1688">
        <v>57</v>
      </c>
      <c r="K1688" t="s">
        <v>5388</v>
      </c>
      <c r="L1688" t="s">
        <v>6302</v>
      </c>
      <c r="M1688">
        <v>8</v>
      </c>
      <c r="N1688">
        <v>3</v>
      </c>
      <c r="O1688" t="s">
        <v>1036</v>
      </c>
      <c r="P1688" s="17"/>
      <c r="Q1688" s="17" t="str">
        <f>_xlfn.XLOOKUP(Table2[[#This Row],[buyFromVendorNo]],'Next Day Scheduled'!A:A,'Pending Returns'!O:O,"NOT_FOUND")</f>
        <v>NOT_FOUND</v>
      </c>
    </row>
    <row r="1689" spans="1:17" x14ac:dyDescent="0.3">
      <c r="A1689" s="1">
        <v>46202</v>
      </c>
      <c r="B1689" t="s">
        <v>3293</v>
      </c>
      <c r="C1689" t="s">
        <v>824</v>
      </c>
      <c r="D1689" t="s">
        <v>825</v>
      </c>
      <c r="E1689" t="s">
        <v>8</v>
      </c>
      <c r="F1689" t="s">
        <v>10</v>
      </c>
      <c r="G1689" s="16">
        <v>603.85850000000005</v>
      </c>
      <c r="H1689" s="16">
        <v>694.43726000000004</v>
      </c>
      <c r="I1689" s="1">
        <v>46190</v>
      </c>
      <c r="J1689">
        <v>57</v>
      </c>
      <c r="K1689" t="s">
        <v>4858</v>
      </c>
      <c r="L1689" t="s">
        <v>6303</v>
      </c>
      <c r="M1689">
        <v>8</v>
      </c>
      <c r="N1689">
        <v>6</v>
      </c>
      <c r="O1689" t="s">
        <v>1036</v>
      </c>
      <c r="P1689" s="17"/>
      <c r="Q1689" s="17" t="str">
        <f>_xlfn.XLOOKUP(Table2[[#This Row],[buyFromVendorNo]],'Next Day Scheduled'!A:A,'Pending Returns'!O:O,"NOT_FOUND")</f>
        <v>NOT_FOUND</v>
      </c>
    </row>
    <row r="1690" spans="1:17" x14ac:dyDescent="0.3">
      <c r="A1690" s="1">
        <v>46202</v>
      </c>
      <c r="B1690" t="s">
        <v>3715</v>
      </c>
      <c r="C1690" t="s">
        <v>600</v>
      </c>
      <c r="D1690" t="s">
        <v>601</v>
      </c>
      <c r="E1690" t="s">
        <v>8</v>
      </c>
      <c r="F1690" t="s">
        <v>169</v>
      </c>
      <c r="G1690" s="16">
        <v>743</v>
      </c>
      <c r="H1690" s="16">
        <v>854.45</v>
      </c>
      <c r="I1690" s="1">
        <v>46201</v>
      </c>
      <c r="J1690">
        <v>57</v>
      </c>
      <c r="K1690" t="s">
        <v>6229</v>
      </c>
      <c r="L1690" t="s">
        <v>6230</v>
      </c>
      <c r="M1690">
        <v>8</v>
      </c>
      <c r="N1690">
        <v>3</v>
      </c>
      <c r="O1690" t="s">
        <v>1036</v>
      </c>
      <c r="P1690" s="17"/>
      <c r="Q1690" s="17" t="str">
        <f>_xlfn.XLOOKUP(Table2[[#This Row],[buyFromVendorNo]],'Next Day Scheduled'!A:A,'Pending Returns'!O:O,"NOT_FOUND")</f>
        <v>NOT_FOUND</v>
      </c>
    </row>
    <row r="1691" spans="1:17" x14ac:dyDescent="0.3">
      <c r="A1691" s="1">
        <v>46202</v>
      </c>
      <c r="B1691" t="s">
        <v>442</v>
      </c>
      <c r="C1691" t="s">
        <v>57</v>
      </c>
      <c r="D1691" t="s">
        <v>58</v>
      </c>
      <c r="E1691" t="s">
        <v>8</v>
      </c>
      <c r="F1691" t="s">
        <v>38</v>
      </c>
      <c r="G1691" s="16">
        <v>190.02997999999999</v>
      </c>
      <c r="H1691" s="16">
        <v>218.53448</v>
      </c>
      <c r="I1691" s="1">
        <v>46197</v>
      </c>
      <c r="J1691">
        <v>57</v>
      </c>
      <c r="K1691" t="s">
        <v>3073</v>
      </c>
      <c r="L1691" t="s">
        <v>6269</v>
      </c>
      <c r="M1691">
        <v>0</v>
      </c>
      <c r="N1691">
        <v>191</v>
      </c>
      <c r="O1691" t="s">
        <v>1036</v>
      </c>
      <c r="P1691" s="17"/>
      <c r="Q1691" s="17" t="str">
        <f>_xlfn.XLOOKUP(Table2[[#This Row],[buyFromVendorNo]],'Next Day Scheduled'!A:A,'Pending Returns'!O:O,"NOT_FOUND")</f>
        <v>Posted Credit Note</v>
      </c>
    </row>
    <row r="1692" spans="1:17" x14ac:dyDescent="0.3">
      <c r="A1692" s="1">
        <v>46202</v>
      </c>
      <c r="B1692" t="s">
        <v>3266</v>
      </c>
      <c r="C1692" t="s">
        <v>329</v>
      </c>
      <c r="D1692" t="s">
        <v>320</v>
      </c>
      <c r="E1692" t="s">
        <v>8</v>
      </c>
      <c r="F1692" t="s">
        <v>10</v>
      </c>
      <c r="G1692" s="16">
        <v>445.25</v>
      </c>
      <c r="H1692" s="16">
        <v>512.03750000000002</v>
      </c>
      <c r="I1692" s="1">
        <v>46200</v>
      </c>
      <c r="J1692">
        <v>57</v>
      </c>
      <c r="K1692" t="s">
        <v>3110</v>
      </c>
      <c r="L1692" t="s">
        <v>6223</v>
      </c>
      <c r="M1692">
        <v>5</v>
      </c>
      <c r="N1692">
        <v>2</v>
      </c>
      <c r="O1692" t="s">
        <v>1036</v>
      </c>
      <c r="P1692" s="17"/>
      <c r="Q1692" s="17" t="str">
        <f>_xlfn.XLOOKUP(Table2[[#This Row],[buyFromVendorNo]],'Next Day Scheduled'!A:A,'Pending Returns'!O:O,"NOT_FOUND")</f>
        <v>NOT_FOUND</v>
      </c>
    </row>
    <row r="1693" spans="1:17" x14ac:dyDescent="0.3">
      <c r="A1693" s="1">
        <v>46202</v>
      </c>
      <c r="B1693" t="s">
        <v>5297</v>
      </c>
      <c r="C1693" t="s">
        <v>3777</v>
      </c>
      <c r="D1693" t="s">
        <v>3778</v>
      </c>
      <c r="E1693" t="s">
        <v>8</v>
      </c>
      <c r="F1693" t="s">
        <v>10</v>
      </c>
      <c r="G1693" s="16">
        <v>1563.8</v>
      </c>
      <c r="H1693" s="16">
        <v>1798.37</v>
      </c>
      <c r="I1693" s="1">
        <v>46199</v>
      </c>
      <c r="J1693">
        <v>57</v>
      </c>
      <c r="K1693" t="s">
        <v>5298</v>
      </c>
      <c r="L1693" t="s">
        <v>6224</v>
      </c>
      <c r="M1693">
        <v>8</v>
      </c>
      <c r="N1693">
        <v>3</v>
      </c>
      <c r="O1693" t="s">
        <v>1036</v>
      </c>
      <c r="P1693" s="17"/>
      <c r="Q1693" s="17" t="str">
        <f>_xlfn.XLOOKUP(Table2[[#This Row],[buyFromVendorNo]],'Next Day Scheduled'!A:A,'Pending Returns'!O:O,"NOT_FOUND")</f>
        <v>NOT_FOUND</v>
      </c>
    </row>
    <row r="1694" spans="1:17" x14ac:dyDescent="0.3">
      <c r="A1694" s="1">
        <v>46202</v>
      </c>
      <c r="B1694" t="s">
        <v>1558</v>
      </c>
      <c r="C1694" t="s">
        <v>154</v>
      </c>
      <c r="D1694" t="s">
        <v>155</v>
      </c>
      <c r="E1694" t="s">
        <v>8</v>
      </c>
      <c r="F1694" t="s">
        <v>10</v>
      </c>
      <c r="G1694" s="16">
        <v>3667.65</v>
      </c>
      <c r="H1694" s="16">
        <v>4217.7974000000004</v>
      </c>
      <c r="I1694" s="1">
        <v>46190</v>
      </c>
      <c r="J1694">
        <v>57</v>
      </c>
      <c r="K1694" t="s">
        <v>4503</v>
      </c>
      <c r="L1694" t="s">
        <v>6281</v>
      </c>
      <c r="M1694">
        <v>6</v>
      </c>
      <c r="N1694">
        <v>7</v>
      </c>
      <c r="O1694" t="s">
        <v>1036</v>
      </c>
      <c r="P1694" s="17"/>
      <c r="Q1694" s="17" t="str">
        <f>_xlfn.XLOOKUP(Table2[[#This Row],[buyFromVendorNo]],'Next Day Scheduled'!A:A,'Pending Returns'!O:O,"NOT_FOUND")</f>
        <v>NOT_FOUND</v>
      </c>
    </row>
    <row r="1695" spans="1:17" x14ac:dyDescent="0.3">
      <c r="A1695" s="1">
        <v>46202</v>
      </c>
      <c r="B1695" t="s">
        <v>5174</v>
      </c>
      <c r="C1695" t="s">
        <v>109</v>
      </c>
      <c r="D1695" t="s">
        <v>110</v>
      </c>
      <c r="E1695" t="s">
        <v>8</v>
      </c>
      <c r="F1695" t="s">
        <v>10</v>
      </c>
      <c r="G1695" s="16">
        <v>2419.13</v>
      </c>
      <c r="H1695" s="16">
        <v>2781.9994999999999</v>
      </c>
      <c r="I1695" s="1">
        <v>46177</v>
      </c>
      <c r="J1695">
        <v>57</v>
      </c>
      <c r="K1695" t="s">
        <v>4114</v>
      </c>
      <c r="L1695" t="s">
        <v>6275</v>
      </c>
      <c r="M1695">
        <v>6</v>
      </c>
      <c r="N1695">
        <v>7</v>
      </c>
      <c r="O1695" t="s">
        <v>1036</v>
      </c>
      <c r="P1695" s="17"/>
      <c r="Q1695" s="17" t="str">
        <f>_xlfn.XLOOKUP(Table2[[#This Row],[buyFromVendorNo]],'Next Day Scheduled'!A:A,'Pending Returns'!O:O,"NOT_FOUND")</f>
        <v>NOT_FOUND</v>
      </c>
    </row>
    <row r="1696" spans="1:17" x14ac:dyDescent="0.3">
      <c r="A1696" s="1">
        <v>46202</v>
      </c>
      <c r="B1696" t="s">
        <v>2524</v>
      </c>
      <c r="C1696" t="s">
        <v>185</v>
      </c>
      <c r="D1696" t="s">
        <v>186</v>
      </c>
      <c r="E1696" t="s">
        <v>8</v>
      </c>
      <c r="F1696" t="s">
        <v>10</v>
      </c>
      <c r="G1696" s="16">
        <v>2476</v>
      </c>
      <c r="H1696" s="16">
        <v>2710.78</v>
      </c>
      <c r="I1696" s="1">
        <v>46188</v>
      </c>
      <c r="J1696">
        <v>57</v>
      </c>
      <c r="K1696" t="s">
        <v>2495</v>
      </c>
      <c r="L1696" t="s">
        <v>6232</v>
      </c>
      <c r="M1696">
        <v>6</v>
      </c>
      <c r="N1696">
        <v>2</v>
      </c>
      <c r="O1696" t="s">
        <v>1036</v>
      </c>
      <c r="P1696" s="17"/>
      <c r="Q1696" s="17" t="str">
        <f>_xlfn.XLOOKUP(Table2[[#This Row],[buyFromVendorNo]],'Next Day Scheduled'!A:A,'Pending Returns'!O:O,"NOT_FOUND")</f>
        <v>NOT_FOUND</v>
      </c>
    </row>
    <row r="1697" spans="1:17" x14ac:dyDescent="0.3">
      <c r="A1697" s="1">
        <v>46202</v>
      </c>
      <c r="B1697" t="s">
        <v>5690</v>
      </c>
      <c r="C1697" t="s">
        <v>5293</v>
      </c>
      <c r="D1697" t="s">
        <v>5294</v>
      </c>
      <c r="E1697" t="s">
        <v>8</v>
      </c>
      <c r="F1697" t="s">
        <v>10</v>
      </c>
      <c r="G1697" s="16">
        <v>433.13</v>
      </c>
      <c r="H1697" s="16">
        <v>498.09949999999998</v>
      </c>
      <c r="I1697" s="1">
        <v>46197</v>
      </c>
      <c r="J1697">
        <v>57</v>
      </c>
      <c r="K1697" t="s">
        <v>5450</v>
      </c>
      <c r="L1697" t="s">
        <v>6308</v>
      </c>
      <c r="M1697">
        <v>5</v>
      </c>
      <c r="N1697">
        <v>19</v>
      </c>
      <c r="O1697" t="s">
        <v>1036</v>
      </c>
      <c r="P1697" s="17"/>
      <c r="Q1697" s="17" t="str">
        <f>_xlfn.XLOOKUP(Table2[[#This Row],[buyFromVendorNo]],'Next Day Scheduled'!A:A,'Pending Returns'!O:O,"NOT_FOUND")</f>
        <v>Posted Credit Note</v>
      </c>
    </row>
    <row r="1698" spans="1:17" x14ac:dyDescent="0.3">
      <c r="A1698" s="1">
        <v>46202</v>
      </c>
      <c r="B1698" t="s">
        <v>2925</v>
      </c>
      <c r="C1698" t="s">
        <v>71</v>
      </c>
      <c r="D1698" t="s">
        <v>72</v>
      </c>
      <c r="E1698" t="s">
        <v>8</v>
      </c>
      <c r="F1698" t="s">
        <v>10</v>
      </c>
      <c r="G1698" s="16">
        <v>2377.1929</v>
      </c>
      <c r="H1698" s="16">
        <v>2733.7716999999998</v>
      </c>
      <c r="I1698" s="1">
        <v>46198</v>
      </c>
      <c r="J1698">
        <v>57</v>
      </c>
      <c r="K1698" t="s">
        <v>5412</v>
      </c>
      <c r="L1698" t="s">
        <v>6225</v>
      </c>
      <c r="M1698">
        <v>7</v>
      </c>
      <c r="N1698">
        <v>8</v>
      </c>
      <c r="O1698" t="s">
        <v>1036</v>
      </c>
      <c r="P1698" s="17"/>
      <c r="Q1698" s="17" t="str">
        <f>_xlfn.XLOOKUP(Table2[[#This Row],[buyFromVendorNo]],'Next Day Scheduled'!A:A,'Pending Returns'!O:O,"NOT_FOUND")</f>
        <v>Posted Credit Note</v>
      </c>
    </row>
    <row r="1699" spans="1:17" x14ac:dyDescent="0.3">
      <c r="A1699" s="1">
        <v>46203</v>
      </c>
      <c r="B1699" t="s">
        <v>3001</v>
      </c>
      <c r="C1699" t="s">
        <v>1279</v>
      </c>
      <c r="D1699" t="s">
        <v>1280</v>
      </c>
      <c r="E1699" t="s">
        <v>8</v>
      </c>
      <c r="F1699" t="s">
        <v>10</v>
      </c>
      <c r="G1699" s="16">
        <v>190</v>
      </c>
      <c r="H1699" s="16">
        <v>218.5</v>
      </c>
      <c r="I1699" s="1">
        <v>46180</v>
      </c>
      <c r="J1699">
        <v>56</v>
      </c>
      <c r="K1699" t="s">
        <v>3002</v>
      </c>
      <c r="L1699" t="s">
        <v>6339</v>
      </c>
      <c r="M1699">
        <v>8</v>
      </c>
      <c r="N1699">
        <v>3</v>
      </c>
      <c r="O1699" t="s">
        <v>1036</v>
      </c>
      <c r="P1699" s="17"/>
      <c r="Q1699" s="17" t="str">
        <f>_xlfn.XLOOKUP(Table2[[#This Row],[buyFromVendorNo]],'Next Day Scheduled'!A:A,'Pending Returns'!O:O,"NOT_FOUND")</f>
        <v>NOT_FOUND</v>
      </c>
    </row>
    <row r="1700" spans="1:17" x14ac:dyDescent="0.3">
      <c r="A1700" s="1">
        <v>46203</v>
      </c>
      <c r="B1700" t="s">
        <v>247</v>
      </c>
      <c r="C1700" t="s">
        <v>34</v>
      </c>
      <c r="D1700" t="s">
        <v>35</v>
      </c>
      <c r="E1700" t="s">
        <v>8</v>
      </c>
      <c r="F1700" t="s">
        <v>10</v>
      </c>
      <c r="G1700" s="16">
        <v>5853.66</v>
      </c>
      <c r="H1700" s="16">
        <v>6731.7089999999998</v>
      </c>
      <c r="I1700" s="1">
        <v>46184</v>
      </c>
      <c r="J1700">
        <v>56</v>
      </c>
      <c r="K1700" t="s">
        <v>4349</v>
      </c>
      <c r="L1700" t="s">
        <v>6326</v>
      </c>
      <c r="M1700">
        <v>11</v>
      </c>
      <c r="N1700">
        <v>8</v>
      </c>
      <c r="O1700" t="s">
        <v>1036</v>
      </c>
      <c r="P1700" s="17"/>
      <c r="Q1700" s="17" t="str">
        <f>_xlfn.XLOOKUP(Table2[[#This Row],[buyFromVendorNo]],'Next Day Scheduled'!A:A,'Pending Returns'!O:O,"NOT_FOUND")</f>
        <v>Posted Credit Note</v>
      </c>
    </row>
    <row r="1701" spans="1:17" x14ac:dyDescent="0.3">
      <c r="A1701" s="1">
        <v>46203</v>
      </c>
      <c r="B1701" t="s">
        <v>3255</v>
      </c>
      <c r="C1701" t="s">
        <v>321</v>
      </c>
      <c r="D1701" t="s">
        <v>322</v>
      </c>
      <c r="E1701" t="s">
        <v>8</v>
      </c>
      <c r="F1701" t="s">
        <v>10</v>
      </c>
      <c r="G1701" s="16">
        <v>298.19092000000001</v>
      </c>
      <c r="H1701" s="16">
        <v>342.91955999999999</v>
      </c>
      <c r="I1701" s="1">
        <v>46197</v>
      </c>
      <c r="J1701">
        <v>56</v>
      </c>
      <c r="K1701" t="s">
        <v>5399</v>
      </c>
      <c r="L1701" t="s">
        <v>6358</v>
      </c>
      <c r="M1701">
        <v>8</v>
      </c>
      <c r="N1701">
        <v>5</v>
      </c>
      <c r="O1701" t="s">
        <v>1036</v>
      </c>
      <c r="P1701" s="17"/>
      <c r="Q1701" s="17" t="str">
        <f>_xlfn.XLOOKUP(Table2[[#This Row],[buyFromVendorNo]],'Next Day Scheduled'!A:A,'Pending Returns'!O:O,"NOT_FOUND")</f>
        <v>NOT_FOUND</v>
      </c>
    </row>
    <row r="1702" spans="1:17" x14ac:dyDescent="0.3">
      <c r="A1702" s="1">
        <v>46203</v>
      </c>
      <c r="B1702" t="s">
        <v>731</v>
      </c>
      <c r="C1702" t="s">
        <v>34</v>
      </c>
      <c r="D1702" t="s">
        <v>35</v>
      </c>
      <c r="E1702" t="s">
        <v>8</v>
      </c>
      <c r="F1702" t="s">
        <v>10</v>
      </c>
      <c r="G1702" s="16">
        <v>11633.29</v>
      </c>
      <c r="H1702" s="16">
        <v>13378.282999999999</v>
      </c>
      <c r="I1702" s="1">
        <v>46184</v>
      </c>
      <c r="J1702">
        <v>56</v>
      </c>
      <c r="K1702" t="s">
        <v>2126</v>
      </c>
      <c r="L1702" t="s">
        <v>6333</v>
      </c>
      <c r="M1702">
        <v>11</v>
      </c>
      <c r="N1702">
        <v>8</v>
      </c>
      <c r="O1702" t="s">
        <v>1036</v>
      </c>
      <c r="P1702" s="17"/>
      <c r="Q1702" s="17" t="str">
        <f>_xlfn.XLOOKUP(Table2[[#This Row],[buyFromVendorNo]],'Next Day Scheduled'!A:A,'Pending Returns'!O:O,"NOT_FOUND")</f>
        <v>Posted Credit Note</v>
      </c>
    </row>
    <row r="1703" spans="1:17" x14ac:dyDescent="0.3">
      <c r="A1703" s="1">
        <v>46203</v>
      </c>
      <c r="B1703" t="s">
        <v>5413</v>
      </c>
      <c r="C1703" t="s">
        <v>1424</v>
      </c>
      <c r="D1703" t="s">
        <v>1425</v>
      </c>
      <c r="E1703" t="s">
        <v>8</v>
      </c>
      <c r="F1703" t="s">
        <v>10</v>
      </c>
      <c r="G1703" s="16">
        <v>108</v>
      </c>
      <c r="H1703" s="16">
        <v>124.2</v>
      </c>
      <c r="I1703" s="1">
        <v>46203</v>
      </c>
      <c r="J1703">
        <v>56</v>
      </c>
      <c r="K1703" t="s">
        <v>5414</v>
      </c>
      <c r="L1703" t="s">
        <v>6363</v>
      </c>
      <c r="M1703">
        <v>1</v>
      </c>
      <c r="N1703">
        <v>50</v>
      </c>
      <c r="O1703" t="s">
        <v>1036</v>
      </c>
      <c r="P1703" s="17"/>
      <c r="Q1703" s="17" t="str">
        <f>_xlfn.XLOOKUP(Table2[[#This Row],[buyFromVendorNo]],'Next Day Scheduled'!A:A,'Pending Returns'!O:O,"NOT_FOUND")</f>
        <v>Posted Credit Note</v>
      </c>
    </row>
    <row r="1704" spans="1:17" x14ac:dyDescent="0.3">
      <c r="A1704" s="1">
        <v>46203</v>
      </c>
      <c r="B1704" t="s">
        <v>5097</v>
      </c>
      <c r="C1704" t="s">
        <v>3345</v>
      </c>
      <c r="D1704" t="s">
        <v>3346</v>
      </c>
      <c r="E1704" t="s">
        <v>8</v>
      </c>
      <c r="F1704" t="s">
        <v>10</v>
      </c>
      <c r="G1704" s="16">
        <v>5763.84</v>
      </c>
      <c r="H1704" s="16">
        <v>6612.0450000000001</v>
      </c>
      <c r="I1704" s="1">
        <v>46203</v>
      </c>
      <c r="J1704">
        <v>56</v>
      </c>
      <c r="K1704" t="s">
        <v>3347</v>
      </c>
      <c r="L1704" t="s">
        <v>6335</v>
      </c>
      <c r="M1704">
        <v>4</v>
      </c>
      <c r="N1704">
        <v>28</v>
      </c>
      <c r="O1704" t="s">
        <v>1036</v>
      </c>
      <c r="P1704" s="17"/>
      <c r="Q1704" s="17" t="str">
        <f>_xlfn.XLOOKUP(Table2[[#This Row],[buyFromVendorNo]],'Next Day Scheduled'!A:A,'Pending Returns'!O:O,"NOT_FOUND")</f>
        <v>NOT_FOUND</v>
      </c>
    </row>
    <row r="1705" spans="1:17" x14ac:dyDescent="0.3">
      <c r="A1705" s="1">
        <v>46203</v>
      </c>
      <c r="B1705" t="s">
        <v>4675</v>
      </c>
      <c r="C1705" t="s">
        <v>34</v>
      </c>
      <c r="D1705" t="s">
        <v>35</v>
      </c>
      <c r="E1705" t="s">
        <v>8</v>
      </c>
      <c r="F1705" t="s">
        <v>169</v>
      </c>
      <c r="G1705" s="16">
        <v>336.31</v>
      </c>
      <c r="H1705" s="16">
        <v>386.75650000000002</v>
      </c>
      <c r="I1705" s="1">
        <v>46186</v>
      </c>
      <c r="J1705">
        <v>56</v>
      </c>
      <c r="K1705" t="s">
        <v>4668</v>
      </c>
      <c r="L1705" t="s">
        <v>6323</v>
      </c>
      <c r="M1705">
        <v>6</v>
      </c>
      <c r="N1705">
        <v>3</v>
      </c>
      <c r="O1705" t="s">
        <v>1036</v>
      </c>
      <c r="P1705" s="17"/>
      <c r="Q1705" s="17" t="str">
        <f>_xlfn.XLOOKUP(Table2[[#This Row],[buyFromVendorNo]],'Next Day Scheduled'!A:A,'Pending Returns'!O:O,"NOT_FOUND")</f>
        <v>Posted Credit Note</v>
      </c>
    </row>
    <row r="1706" spans="1:17" x14ac:dyDescent="0.3">
      <c r="A1706" s="1">
        <v>46203</v>
      </c>
      <c r="B1706" t="s">
        <v>1456</v>
      </c>
      <c r="C1706" t="s">
        <v>34</v>
      </c>
      <c r="D1706" t="s">
        <v>35</v>
      </c>
      <c r="E1706" t="s">
        <v>8</v>
      </c>
      <c r="F1706" t="s">
        <v>10</v>
      </c>
      <c r="G1706" s="16">
        <v>6150.7803000000004</v>
      </c>
      <c r="H1706" s="16">
        <v>7073.3969999999999</v>
      </c>
      <c r="I1706" s="1">
        <v>46184</v>
      </c>
      <c r="J1706">
        <v>56</v>
      </c>
      <c r="K1706" t="s">
        <v>4038</v>
      </c>
      <c r="L1706" t="s">
        <v>6337</v>
      </c>
      <c r="M1706">
        <v>11</v>
      </c>
      <c r="N1706">
        <v>8</v>
      </c>
      <c r="O1706" t="s">
        <v>1036</v>
      </c>
      <c r="P1706" s="17"/>
      <c r="Q1706" s="17" t="str">
        <f>_xlfn.XLOOKUP(Table2[[#This Row],[buyFromVendorNo]],'Next Day Scheduled'!A:A,'Pending Returns'!O:O,"NOT_FOUND")</f>
        <v>Posted Credit Note</v>
      </c>
    </row>
    <row r="1707" spans="1:17" x14ac:dyDescent="0.3">
      <c r="A1707" s="1">
        <v>46203</v>
      </c>
      <c r="B1707" t="s">
        <v>551</v>
      </c>
      <c r="C1707" t="s">
        <v>562</v>
      </c>
      <c r="D1707" t="s">
        <v>563</v>
      </c>
      <c r="E1707" t="s">
        <v>8</v>
      </c>
      <c r="F1707" t="s">
        <v>38</v>
      </c>
      <c r="G1707" s="16">
        <v>1165.2262000000001</v>
      </c>
      <c r="H1707" s="16">
        <v>1340.0101</v>
      </c>
      <c r="I1707" s="1">
        <v>46203</v>
      </c>
      <c r="J1707">
        <v>56</v>
      </c>
      <c r="K1707" t="s">
        <v>6291</v>
      </c>
      <c r="L1707" t="s">
        <v>6327</v>
      </c>
      <c r="M1707">
        <v>20</v>
      </c>
      <c r="N1707">
        <v>23</v>
      </c>
      <c r="O1707" t="s">
        <v>1036</v>
      </c>
      <c r="P1707" s="17"/>
      <c r="Q1707" s="17" t="str">
        <f>_xlfn.XLOOKUP(Table2[[#This Row],[buyFromVendorNo]],'Next Day Scheduled'!A:A,'Pending Returns'!O:O,"NOT_FOUND")</f>
        <v>NOT_FOUND</v>
      </c>
    </row>
    <row r="1708" spans="1:17" x14ac:dyDescent="0.3">
      <c r="A1708" s="1">
        <v>46203</v>
      </c>
      <c r="B1708" t="s">
        <v>1996</v>
      </c>
      <c r="C1708" t="s">
        <v>98</v>
      </c>
      <c r="D1708" t="s">
        <v>99</v>
      </c>
      <c r="E1708" t="s">
        <v>8</v>
      </c>
      <c r="F1708" t="s">
        <v>10</v>
      </c>
      <c r="G1708" s="16">
        <v>11.88</v>
      </c>
      <c r="H1708" s="16">
        <v>13.662000000000001</v>
      </c>
      <c r="I1708" s="1">
        <v>46203</v>
      </c>
      <c r="J1708">
        <v>56</v>
      </c>
      <c r="K1708" t="s">
        <v>5261</v>
      </c>
      <c r="L1708" t="s">
        <v>6328</v>
      </c>
      <c r="M1708">
        <v>8</v>
      </c>
      <c r="N1708">
        <v>6</v>
      </c>
      <c r="O1708" t="s">
        <v>1036</v>
      </c>
      <c r="P1708" s="17"/>
      <c r="Q1708" s="17" t="str">
        <f>_xlfn.XLOOKUP(Table2[[#This Row],[buyFromVendorNo]],'Next Day Scheduled'!A:A,'Pending Returns'!O:O,"NOT_FOUND")</f>
        <v>NOT_FOUND</v>
      </c>
    </row>
    <row r="1709" spans="1:17" x14ac:dyDescent="0.3">
      <c r="A1709" s="1">
        <v>46203</v>
      </c>
      <c r="B1709" t="s">
        <v>3596</v>
      </c>
      <c r="C1709" t="s">
        <v>75</v>
      </c>
      <c r="D1709" t="s">
        <v>76</v>
      </c>
      <c r="E1709" t="s">
        <v>8</v>
      </c>
      <c r="F1709" t="s">
        <v>169</v>
      </c>
      <c r="G1709" s="16">
        <v>5903.1170000000002</v>
      </c>
      <c r="H1709" s="16">
        <v>6788.585</v>
      </c>
      <c r="I1709" s="1">
        <v>46186</v>
      </c>
      <c r="J1709">
        <v>56</v>
      </c>
      <c r="K1709" t="s">
        <v>3910</v>
      </c>
      <c r="L1709" t="s">
        <v>6356</v>
      </c>
      <c r="M1709">
        <v>6</v>
      </c>
      <c r="N1709">
        <v>3</v>
      </c>
      <c r="O1709" t="s">
        <v>1036</v>
      </c>
      <c r="P1709" s="17"/>
      <c r="Q1709" s="17" t="str">
        <f>_xlfn.XLOOKUP(Table2[[#This Row],[buyFromVendorNo]],'Next Day Scheduled'!A:A,'Pending Returns'!O:O,"NOT_FOUND")</f>
        <v>Posted Credit Note</v>
      </c>
    </row>
    <row r="1710" spans="1:17" x14ac:dyDescent="0.3">
      <c r="A1710" s="1">
        <v>46203</v>
      </c>
      <c r="B1710" t="s">
        <v>2936</v>
      </c>
      <c r="C1710" t="s">
        <v>118</v>
      </c>
      <c r="D1710" t="s">
        <v>119</v>
      </c>
      <c r="E1710" t="s">
        <v>8</v>
      </c>
      <c r="F1710" t="s">
        <v>10</v>
      </c>
      <c r="G1710" s="16">
        <v>343.65</v>
      </c>
      <c r="H1710" s="16">
        <v>395.19749999999999</v>
      </c>
      <c r="I1710" s="1">
        <v>46203</v>
      </c>
      <c r="J1710">
        <v>56</v>
      </c>
      <c r="K1710" t="s">
        <v>4486</v>
      </c>
      <c r="L1710" t="s">
        <v>6318</v>
      </c>
      <c r="M1710">
        <v>14</v>
      </c>
      <c r="N1710">
        <v>5</v>
      </c>
      <c r="O1710" t="s">
        <v>1036</v>
      </c>
      <c r="P1710" s="17"/>
      <c r="Q1710" s="17" t="str">
        <f>_xlfn.XLOOKUP(Table2[[#This Row],[buyFromVendorNo]],'Next Day Scheduled'!A:A,'Pending Returns'!O:O,"NOT_FOUND")</f>
        <v>Posted Credit Note</v>
      </c>
    </row>
    <row r="1711" spans="1:17" x14ac:dyDescent="0.3">
      <c r="A1711" s="1">
        <v>46203</v>
      </c>
      <c r="B1711" t="s">
        <v>5464</v>
      </c>
      <c r="C1711" t="s">
        <v>715</v>
      </c>
      <c r="D1711" t="s">
        <v>716</v>
      </c>
      <c r="E1711" t="s">
        <v>8</v>
      </c>
      <c r="F1711" t="s">
        <v>10</v>
      </c>
      <c r="G1711" s="16">
        <v>844.09</v>
      </c>
      <c r="H1711" s="16">
        <v>970.70349999999996</v>
      </c>
      <c r="I1711" s="1">
        <v>46203</v>
      </c>
      <c r="J1711">
        <v>56</v>
      </c>
      <c r="K1711" t="s">
        <v>5465</v>
      </c>
      <c r="L1711" t="s">
        <v>6319</v>
      </c>
      <c r="M1711">
        <v>0</v>
      </c>
      <c r="N1711">
        <v>93</v>
      </c>
      <c r="O1711" t="s">
        <v>1036</v>
      </c>
      <c r="P1711" s="17"/>
      <c r="Q1711" s="17" t="str">
        <f>_xlfn.XLOOKUP(Table2[[#This Row],[buyFromVendorNo]],'Next Day Scheduled'!A:A,'Pending Returns'!O:O,"NOT_FOUND")</f>
        <v>NOT_FOUND</v>
      </c>
    </row>
    <row r="1712" spans="1:17" x14ac:dyDescent="0.3">
      <c r="A1712" s="1">
        <v>46203</v>
      </c>
      <c r="B1712" t="s">
        <v>3357</v>
      </c>
      <c r="C1712" t="s">
        <v>3674</v>
      </c>
      <c r="D1712" t="s">
        <v>3675</v>
      </c>
      <c r="E1712" t="s">
        <v>8</v>
      </c>
      <c r="F1712" t="s">
        <v>10</v>
      </c>
      <c r="G1712" s="16">
        <v>423.73914000000002</v>
      </c>
      <c r="H1712" s="16">
        <v>487.3</v>
      </c>
      <c r="I1712" s="1">
        <v>46202</v>
      </c>
      <c r="J1712">
        <v>56</v>
      </c>
      <c r="K1712" t="s">
        <v>3673</v>
      </c>
      <c r="L1712" t="s">
        <v>6359</v>
      </c>
      <c r="M1712">
        <v>0</v>
      </c>
      <c r="N1712">
        <v>58</v>
      </c>
      <c r="O1712" t="s">
        <v>1036</v>
      </c>
      <c r="P1712" s="17"/>
      <c r="Q1712" s="17" t="str">
        <f>_xlfn.XLOOKUP(Table2[[#This Row],[buyFromVendorNo]],'Next Day Scheduled'!A:A,'Pending Returns'!O:O,"NOT_FOUND")</f>
        <v>NOT_FOUND</v>
      </c>
    </row>
    <row r="1713" spans="1:17" x14ac:dyDescent="0.3">
      <c r="A1713" s="1">
        <v>46203</v>
      </c>
      <c r="B1713" t="s">
        <v>5116</v>
      </c>
      <c r="C1713" t="s">
        <v>185</v>
      </c>
      <c r="D1713" t="s">
        <v>186</v>
      </c>
      <c r="E1713" t="s">
        <v>8</v>
      </c>
      <c r="F1713" t="s">
        <v>10</v>
      </c>
      <c r="G1713" s="16">
        <v>468</v>
      </c>
      <c r="H1713" s="16">
        <v>538.20000000000005</v>
      </c>
      <c r="I1713" s="1">
        <v>46196</v>
      </c>
      <c r="J1713">
        <v>56</v>
      </c>
      <c r="K1713" t="s">
        <v>4944</v>
      </c>
      <c r="L1713" t="s">
        <v>6329</v>
      </c>
      <c r="M1713">
        <v>6</v>
      </c>
      <c r="N1713">
        <v>2</v>
      </c>
      <c r="O1713" t="s">
        <v>1036</v>
      </c>
      <c r="P1713" s="17"/>
      <c r="Q1713" s="17" t="str">
        <f>_xlfn.XLOOKUP(Table2[[#This Row],[buyFromVendorNo]],'Next Day Scheduled'!A:A,'Pending Returns'!O:O,"NOT_FOUND")</f>
        <v>NOT_FOUND</v>
      </c>
    </row>
    <row r="1714" spans="1:17" x14ac:dyDescent="0.3">
      <c r="A1714" s="1">
        <v>46203</v>
      </c>
      <c r="B1714" t="s">
        <v>2687</v>
      </c>
      <c r="C1714" t="s">
        <v>34</v>
      </c>
      <c r="D1714" t="s">
        <v>35</v>
      </c>
      <c r="E1714" t="s">
        <v>8</v>
      </c>
      <c r="F1714" t="s">
        <v>10</v>
      </c>
      <c r="G1714" s="16">
        <v>6047.9296999999997</v>
      </c>
      <c r="H1714" s="16">
        <v>6955.1189999999997</v>
      </c>
      <c r="I1714" s="1">
        <v>46184</v>
      </c>
      <c r="J1714">
        <v>56</v>
      </c>
      <c r="K1714" t="s">
        <v>3584</v>
      </c>
      <c r="L1714" t="s">
        <v>6330</v>
      </c>
      <c r="M1714">
        <v>11</v>
      </c>
      <c r="N1714">
        <v>8</v>
      </c>
      <c r="O1714" t="s">
        <v>1036</v>
      </c>
      <c r="P1714" s="17"/>
      <c r="Q1714" s="17" t="str">
        <f>_xlfn.XLOOKUP(Table2[[#This Row],[buyFromVendorNo]],'Next Day Scheduled'!A:A,'Pending Returns'!O:O,"NOT_FOUND")</f>
        <v>Posted Credit Note</v>
      </c>
    </row>
    <row r="1715" spans="1:17" x14ac:dyDescent="0.3">
      <c r="A1715" s="1">
        <v>46203</v>
      </c>
      <c r="B1715" t="s">
        <v>1697</v>
      </c>
      <c r="C1715" t="s">
        <v>566</v>
      </c>
      <c r="D1715" t="s">
        <v>590</v>
      </c>
      <c r="E1715" t="s">
        <v>8</v>
      </c>
      <c r="F1715" t="s">
        <v>10</v>
      </c>
      <c r="G1715" s="16">
        <v>1087.7449999999999</v>
      </c>
      <c r="H1715" s="16">
        <v>1250.9067</v>
      </c>
      <c r="I1715" s="1">
        <v>46199</v>
      </c>
      <c r="J1715">
        <v>56</v>
      </c>
      <c r="K1715" t="s">
        <v>4593</v>
      </c>
      <c r="L1715" t="s">
        <v>6362</v>
      </c>
      <c r="M1715">
        <v>8</v>
      </c>
      <c r="N1715">
        <v>1</v>
      </c>
      <c r="O1715" t="s">
        <v>1036</v>
      </c>
      <c r="P1715" s="17"/>
      <c r="Q1715" s="17" t="str">
        <f>_xlfn.XLOOKUP(Table2[[#This Row],[buyFromVendorNo]],'Next Day Scheduled'!A:A,'Pending Returns'!O:O,"NOT_FOUND")</f>
        <v>NOT_FOUND</v>
      </c>
    </row>
    <row r="1716" spans="1:17" x14ac:dyDescent="0.3">
      <c r="A1716" s="1">
        <v>46203</v>
      </c>
      <c r="B1716" t="s">
        <v>394</v>
      </c>
      <c r="C1716" t="s">
        <v>566</v>
      </c>
      <c r="D1716" t="s">
        <v>590</v>
      </c>
      <c r="E1716" t="s">
        <v>8</v>
      </c>
      <c r="F1716" t="s">
        <v>10</v>
      </c>
      <c r="G1716" s="16">
        <v>104.375</v>
      </c>
      <c r="H1716" s="16">
        <v>120.03125</v>
      </c>
      <c r="I1716" s="1">
        <v>46199</v>
      </c>
      <c r="J1716">
        <v>56</v>
      </c>
      <c r="K1716" t="s">
        <v>5372</v>
      </c>
      <c r="L1716" t="s">
        <v>6367</v>
      </c>
      <c r="M1716">
        <v>8</v>
      </c>
      <c r="N1716">
        <v>1</v>
      </c>
      <c r="O1716" t="s">
        <v>1036</v>
      </c>
      <c r="P1716" s="17"/>
      <c r="Q1716" s="17" t="str">
        <f>_xlfn.XLOOKUP(Table2[[#This Row],[buyFromVendorNo]],'Next Day Scheduled'!A:A,'Pending Returns'!O:O,"NOT_FOUND")</f>
        <v>NOT_FOUND</v>
      </c>
    </row>
    <row r="1717" spans="1:17" x14ac:dyDescent="0.3">
      <c r="A1717" s="1">
        <v>46203</v>
      </c>
      <c r="B1717" t="s">
        <v>5334</v>
      </c>
      <c r="C1717" t="s">
        <v>945</v>
      </c>
      <c r="D1717" t="s">
        <v>946</v>
      </c>
      <c r="E1717" t="s">
        <v>8</v>
      </c>
      <c r="F1717" t="s">
        <v>10</v>
      </c>
      <c r="G1717" s="16">
        <v>51.45</v>
      </c>
      <c r="H1717" s="16">
        <v>59.167499999999997</v>
      </c>
      <c r="I1717" s="1">
        <v>46200</v>
      </c>
      <c r="J1717">
        <v>56</v>
      </c>
      <c r="K1717" t="s">
        <v>5335</v>
      </c>
      <c r="L1717" t="s">
        <v>6352</v>
      </c>
      <c r="M1717">
        <v>3</v>
      </c>
      <c r="N1717">
        <v>20</v>
      </c>
      <c r="O1717" t="s">
        <v>1036</v>
      </c>
      <c r="P1717" s="17"/>
      <c r="Q1717" s="17" t="str">
        <f>_xlfn.XLOOKUP(Table2[[#This Row],[buyFromVendorNo]],'Next Day Scheduled'!A:A,'Pending Returns'!O:O,"NOT_FOUND")</f>
        <v>NOT_FOUND</v>
      </c>
    </row>
    <row r="1718" spans="1:17" x14ac:dyDescent="0.3">
      <c r="A1718" s="1">
        <v>46203</v>
      </c>
      <c r="B1718" t="s">
        <v>3365</v>
      </c>
      <c r="C1718" t="s">
        <v>3765</v>
      </c>
      <c r="D1718" t="s">
        <v>3766</v>
      </c>
      <c r="E1718" t="s">
        <v>8</v>
      </c>
      <c r="F1718" t="s">
        <v>10</v>
      </c>
      <c r="G1718" s="16">
        <v>55.2</v>
      </c>
      <c r="H1718" s="16">
        <v>63.48</v>
      </c>
      <c r="I1718" s="1">
        <v>46200</v>
      </c>
      <c r="J1718">
        <v>56</v>
      </c>
      <c r="K1718" t="s">
        <v>4952</v>
      </c>
      <c r="L1718" t="s">
        <v>6353</v>
      </c>
      <c r="M1718">
        <v>7</v>
      </c>
      <c r="N1718">
        <v>2</v>
      </c>
      <c r="O1718" t="s">
        <v>1036</v>
      </c>
      <c r="P1718" s="17"/>
      <c r="Q1718" s="17" t="str">
        <f>_xlfn.XLOOKUP(Table2[[#This Row],[buyFromVendorNo]],'Next Day Scheduled'!A:A,'Pending Returns'!O:O,"NOT_FOUND")</f>
        <v>NOT_FOUND</v>
      </c>
    </row>
    <row r="1719" spans="1:17" x14ac:dyDescent="0.3">
      <c r="A1719" s="1">
        <v>46203</v>
      </c>
      <c r="B1719" t="s">
        <v>5336</v>
      </c>
      <c r="C1719" t="s">
        <v>562</v>
      </c>
      <c r="D1719" t="s">
        <v>563</v>
      </c>
      <c r="E1719" t="s">
        <v>8</v>
      </c>
      <c r="F1719" t="s">
        <v>10</v>
      </c>
      <c r="G1719" s="16">
        <v>1506.68</v>
      </c>
      <c r="H1719" s="16">
        <v>1732.682</v>
      </c>
      <c r="I1719" s="1">
        <v>46203</v>
      </c>
      <c r="J1719">
        <v>56</v>
      </c>
      <c r="K1719" t="s">
        <v>5337</v>
      </c>
      <c r="L1719" t="s">
        <v>6338</v>
      </c>
      <c r="M1719">
        <v>19</v>
      </c>
      <c r="N1719">
        <v>1</v>
      </c>
      <c r="O1719" t="s">
        <v>1036</v>
      </c>
      <c r="P1719" s="17"/>
      <c r="Q1719" s="17" t="str">
        <f>_xlfn.XLOOKUP(Table2[[#This Row],[buyFromVendorNo]],'Next Day Scheduled'!A:A,'Pending Returns'!O:O,"NOT_FOUND")</f>
        <v>NOT_FOUND</v>
      </c>
    </row>
    <row r="1720" spans="1:17" x14ac:dyDescent="0.3">
      <c r="A1720" s="1">
        <v>46203</v>
      </c>
      <c r="B1720" t="s">
        <v>228</v>
      </c>
      <c r="C1720" t="s">
        <v>51</v>
      </c>
      <c r="D1720" t="s">
        <v>52</v>
      </c>
      <c r="E1720" t="s">
        <v>8</v>
      </c>
      <c r="F1720" t="s">
        <v>10</v>
      </c>
      <c r="G1720" s="16">
        <v>2244.4</v>
      </c>
      <c r="H1720" s="16">
        <v>2581.06</v>
      </c>
      <c r="J1720">
        <v>56</v>
      </c>
      <c r="K1720" t="s">
        <v>6364</v>
      </c>
      <c r="M1720">
        <v>4</v>
      </c>
      <c r="N1720">
        <v>1</v>
      </c>
      <c r="O1720" t="s">
        <v>216</v>
      </c>
      <c r="P1720" s="17"/>
      <c r="Q1720" s="17" t="str">
        <f>_xlfn.XLOOKUP(Table2[[#This Row],[buyFromVendorNo]],'Next Day Scheduled'!A:A,'Pending Returns'!O:O,"NOT_FOUND")</f>
        <v>NOT_FOUND</v>
      </c>
    </row>
    <row r="1721" spans="1:17" x14ac:dyDescent="0.3">
      <c r="A1721" s="1">
        <v>46203</v>
      </c>
      <c r="B1721" t="s">
        <v>3972</v>
      </c>
      <c r="C1721" t="s">
        <v>567</v>
      </c>
      <c r="D1721" t="s">
        <v>568</v>
      </c>
      <c r="E1721" t="s">
        <v>8</v>
      </c>
      <c r="F1721" t="s">
        <v>10</v>
      </c>
      <c r="G1721" s="16">
        <v>3659.3620000000001</v>
      </c>
      <c r="H1721" s="16">
        <v>4208.2665999999999</v>
      </c>
      <c r="I1721" s="1">
        <v>46196</v>
      </c>
      <c r="J1721">
        <v>56</v>
      </c>
      <c r="K1721" t="s">
        <v>5017</v>
      </c>
      <c r="L1721" t="s">
        <v>6317</v>
      </c>
      <c r="M1721">
        <v>9</v>
      </c>
      <c r="N1721">
        <v>1</v>
      </c>
      <c r="O1721" t="s">
        <v>1036</v>
      </c>
      <c r="P1721" s="17"/>
      <c r="Q1721" s="17" t="str">
        <f>_xlfn.XLOOKUP(Table2[[#This Row],[buyFromVendorNo]],'Next Day Scheduled'!A:A,'Pending Returns'!O:O,"NOT_FOUND")</f>
        <v>NOT_FOUND</v>
      </c>
    </row>
    <row r="1722" spans="1:17" x14ac:dyDescent="0.3">
      <c r="A1722" s="1">
        <v>46203</v>
      </c>
      <c r="B1722" t="s">
        <v>3753</v>
      </c>
      <c r="C1722" t="s">
        <v>2332</v>
      </c>
      <c r="D1722" t="s">
        <v>2333</v>
      </c>
      <c r="E1722" t="s">
        <v>8</v>
      </c>
      <c r="F1722" t="s">
        <v>10</v>
      </c>
      <c r="G1722" s="16">
        <v>634.77215999999999</v>
      </c>
      <c r="H1722" s="16">
        <v>703.49469999999997</v>
      </c>
      <c r="I1722" s="1">
        <v>46196</v>
      </c>
      <c r="J1722">
        <v>56</v>
      </c>
      <c r="K1722" t="s">
        <v>3677</v>
      </c>
      <c r="L1722" t="s">
        <v>6357</v>
      </c>
      <c r="M1722">
        <v>11</v>
      </c>
      <c r="N1722">
        <v>1</v>
      </c>
      <c r="O1722" t="s">
        <v>1036</v>
      </c>
      <c r="P1722" s="17"/>
      <c r="Q1722" s="17" t="str">
        <f>_xlfn.XLOOKUP(Table2[[#This Row],[buyFromVendorNo]],'Next Day Scheduled'!A:A,'Pending Returns'!O:O,"NOT_FOUND")</f>
        <v>NOT_FOUND</v>
      </c>
    </row>
    <row r="1723" spans="1:17" x14ac:dyDescent="0.3">
      <c r="A1723" s="1">
        <v>46203</v>
      </c>
      <c r="B1723" t="s">
        <v>517</v>
      </c>
      <c r="C1723" t="s">
        <v>362</v>
      </c>
      <c r="D1723" t="s">
        <v>363</v>
      </c>
      <c r="E1723" t="s">
        <v>8</v>
      </c>
      <c r="F1723" t="s">
        <v>10</v>
      </c>
      <c r="G1723" s="16">
        <v>1935.1</v>
      </c>
      <c r="H1723" s="16">
        <v>2225.3649999999998</v>
      </c>
      <c r="I1723" s="1">
        <v>46203</v>
      </c>
      <c r="J1723">
        <v>56</v>
      </c>
      <c r="K1723" t="s">
        <v>5027</v>
      </c>
      <c r="L1723" t="s">
        <v>6340</v>
      </c>
      <c r="M1723">
        <v>9</v>
      </c>
      <c r="N1723">
        <v>1</v>
      </c>
      <c r="O1723" t="s">
        <v>1036</v>
      </c>
      <c r="P1723" s="17"/>
      <c r="Q1723" s="17" t="str">
        <f>_xlfn.XLOOKUP(Table2[[#This Row],[buyFromVendorNo]],'Next Day Scheduled'!A:A,'Pending Returns'!O:O,"NOT_FOUND")</f>
        <v>NOT_FOUND</v>
      </c>
    </row>
    <row r="1724" spans="1:17" x14ac:dyDescent="0.3">
      <c r="A1724" s="1">
        <v>46203</v>
      </c>
      <c r="B1724" t="s">
        <v>5609</v>
      </c>
      <c r="C1724" t="s">
        <v>75</v>
      </c>
      <c r="D1724" t="s">
        <v>76</v>
      </c>
      <c r="E1724" t="s">
        <v>8</v>
      </c>
      <c r="F1724" t="s">
        <v>169</v>
      </c>
      <c r="G1724" s="16">
        <v>5269.8353999999999</v>
      </c>
      <c r="H1724" s="16">
        <v>6060.3109999999997</v>
      </c>
      <c r="I1724" s="1">
        <v>46194</v>
      </c>
      <c r="J1724">
        <v>56</v>
      </c>
      <c r="K1724" t="s">
        <v>5590</v>
      </c>
      <c r="L1724" t="s">
        <v>6331</v>
      </c>
      <c r="M1724">
        <v>6</v>
      </c>
      <c r="N1724">
        <v>3</v>
      </c>
      <c r="O1724" t="s">
        <v>1036</v>
      </c>
      <c r="P1724" s="17"/>
      <c r="Q1724" s="17" t="str">
        <f>_xlfn.XLOOKUP(Table2[[#This Row],[buyFromVendorNo]],'Next Day Scheduled'!A:A,'Pending Returns'!O:O,"NOT_FOUND")</f>
        <v>Posted Credit Note</v>
      </c>
    </row>
    <row r="1725" spans="1:17" x14ac:dyDescent="0.3">
      <c r="A1725" s="1">
        <v>46203</v>
      </c>
      <c r="B1725" t="s">
        <v>3418</v>
      </c>
      <c r="C1725" t="s">
        <v>781</v>
      </c>
      <c r="D1725" t="s">
        <v>782</v>
      </c>
      <c r="E1725" t="s">
        <v>8</v>
      </c>
      <c r="F1725" t="s">
        <v>10</v>
      </c>
      <c r="G1725" s="16">
        <v>750.4</v>
      </c>
      <c r="H1725" s="16">
        <v>862.96</v>
      </c>
      <c r="I1725" s="1">
        <v>46194</v>
      </c>
      <c r="J1725">
        <v>56</v>
      </c>
      <c r="K1725" t="s">
        <v>4876</v>
      </c>
      <c r="L1725" t="s">
        <v>6332</v>
      </c>
      <c r="M1725">
        <v>7</v>
      </c>
      <c r="N1725">
        <v>2</v>
      </c>
      <c r="O1725" t="s">
        <v>1036</v>
      </c>
      <c r="P1725" s="17"/>
      <c r="Q1725" s="17" t="str">
        <f>_xlfn.XLOOKUP(Table2[[#This Row],[buyFromVendorNo]],'Next Day Scheduled'!A:A,'Pending Returns'!O:O,"NOT_FOUND")</f>
        <v>NOT_FOUND</v>
      </c>
    </row>
    <row r="1726" spans="1:17" x14ac:dyDescent="0.3">
      <c r="A1726" s="1">
        <v>46203</v>
      </c>
      <c r="B1726" t="s">
        <v>230</v>
      </c>
      <c r="C1726" t="s">
        <v>2970</v>
      </c>
      <c r="D1726" t="s">
        <v>2971</v>
      </c>
      <c r="E1726" t="s">
        <v>8</v>
      </c>
      <c r="F1726" t="s">
        <v>10</v>
      </c>
      <c r="G1726" s="16">
        <v>119.262</v>
      </c>
      <c r="H1726" s="16">
        <v>137.15129999999999</v>
      </c>
      <c r="I1726" s="1">
        <v>46198</v>
      </c>
      <c r="J1726">
        <v>56</v>
      </c>
      <c r="K1726" t="s">
        <v>5441</v>
      </c>
      <c r="L1726" t="s">
        <v>6360</v>
      </c>
      <c r="M1726">
        <v>6</v>
      </c>
      <c r="N1726">
        <v>2</v>
      </c>
      <c r="O1726" t="s">
        <v>1036</v>
      </c>
      <c r="P1726" s="17"/>
      <c r="Q1726" s="17" t="str">
        <f>_xlfn.XLOOKUP(Table2[[#This Row],[buyFromVendorNo]],'Next Day Scheduled'!A:A,'Pending Returns'!O:O,"NOT_FOUND")</f>
        <v>NOT_FOUND</v>
      </c>
    </row>
    <row r="1727" spans="1:17" x14ac:dyDescent="0.3">
      <c r="A1727" s="1">
        <v>46203</v>
      </c>
      <c r="B1727" t="s">
        <v>676</v>
      </c>
      <c r="C1727" t="s">
        <v>75</v>
      </c>
      <c r="D1727" t="s">
        <v>76</v>
      </c>
      <c r="E1727" t="s">
        <v>8</v>
      </c>
      <c r="F1727" t="s">
        <v>169</v>
      </c>
      <c r="G1727" s="16">
        <v>4230.7725</v>
      </c>
      <c r="H1727" s="16">
        <v>4865.3879999999999</v>
      </c>
      <c r="I1727" s="1">
        <v>46186</v>
      </c>
      <c r="J1727">
        <v>56</v>
      </c>
      <c r="K1727" t="s">
        <v>2989</v>
      </c>
      <c r="L1727" t="s">
        <v>6343</v>
      </c>
      <c r="M1727">
        <v>6</v>
      </c>
      <c r="N1727">
        <v>3</v>
      </c>
      <c r="O1727" t="s">
        <v>1036</v>
      </c>
      <c r="P1727" s="17"/>
      <c r="Q1727" s="17" t="str">
        <f>_xlfn.XLOOKUP(Table2[[#This Row],[buyFromVendorNo]],'Next Day Scheduled'!A:A,'Pending Returns'!O:O,"NOT_FOUND")</f>
        <v>Posted Credit Note</v>
      </c>
    </row>
    <row r="1728" spans="1:17" x14ac:dyDescent="0.3">
      <c r="A1728" s="1">
        <v>46203</v>
      </c>
      <c r="B1728" t="s">
        <v>5230</v>
      </c>
      <c r="C1728" t="s">
        <v>321</v>
      </c>
      <c r="D1728" t="s">
        <v>322</v>
      </c>
      <c r="E1728" t="s">
        <v>8</v>
      </c>
      <c r="F1728" t="s">
        <v>10</v>
      </c>
      <c r="G1728" s="16">
        <v>3529.7811999999999</v>
      </c>
      <c r="H1728" s="16">
        <v>4059.2485000000001</v>
      </c>
      <c r="I1728" s="1">
        <v>46197</v>
      </c>
      <c r="J1728">
        <v>56</v>
      </c>
      <c r="K1728" t="s">
        <v>5030</v>
      </c>
      <c r="L1728" t="s">
        <v>6361</v>
      </c>
      <c r="M1728">
        <v>8</v>
      </c>
      <c r="N1728">
        <v>5</v>
      </c>
      <c r="O1728" t="s">
        <v>1036</v>
      </c>
      <c r="P1728" s="17"/>
      <c r="Q1728" s="17" t="str">
        <f>_xlfn.XLOOKUP(Table2[[#This Row],[buyFromVendorNo]],'Next Day Scheduled'!A:A,'Pending Returns'!O:O,"NOT_FOUND")</f>
        <v>NOT_FOUND</v>
      </c>
    </row>
    <row r="1729" spans="1:17" x14ac:dyDescent="0.3">
      <c r="A1729" s="1">
        <v>46203</v>
      </c>
      <c r="B1729" t="s">
        <v>2210</v>
      </c>
      <c r="C1729" t="s">
        <v>5021</v>
      </c>
      <c r="D1729" t="s">
        <v>5022</v>
      </c>
      <c r="E1729" t="s">
        <v>8</v>
      </c>
      <c r="F1729" t="s">
        <v>10</v>
      </c>
      <c r="G1729" s="16">
        <v>3688.5</v>
      </c>
      <c r="H1729" s="16">
        <v>4241.7749999999996</v>
      </c>
      <c r="I1729" s="1">
        <v>46199</v>
      </c>
      <c r="J1729">
        <v>56</v>
      </c>
      <c r="K1729" t="s">
        <v>5020</v>
      </c>
      <c r="L1729" t="s">
        <v>6345</v>
      </c>
      <c r="M1729">
        <v>0</v>
      </c>
      <c r="N1729">
        <v>215</v>
      </c>
      <c r="O1729" t="s">
        <v>1036</v>
      </c>
      <c r="P1729" s="17"/>
      <c r="Q1729" s="17" t="str">
        <f>_xlfn.XLOOKUP(Table2[[#This Row],[buyFromVendorNo]],'Next Day Scheduled'!A:A,'Pending Returns'!O:O,"NOT_FOUND")</f>
        <v>NOT_FOUND</v>
      </c>
    </row>
    <row r="1730" spans="1:17" x14ac:dyDescent="0.3">
      <c r="A1730" s="1">
        <v>46203</v>
      </c>
      <c r="B1730" t="s">
        <v>1972</v>
      </c>
      <c r="C1730" t="s">
        <v>34</v>
      </c>
      <c r="D1730" t="s">
        <v>35</v>
      </c>
      <c r="E1730" t="s">
        <v>8</v>
      </c>
      <c r="F1730" t="s">
        <v>169</v>
      </c>
      <c r="G1730" s="16">
        <v>484.44</v>
      </c>
      <c r="H1730" s="16">
        <v>557.10599999999999</v>
      </c>
      <c r="I1730" s="1">
        <v>46179</v>
      </c>
      <c r="J1730">
        <v>56</v>
      </c>
      <c r="K1730" t="s">
        <v>3358</v>
      </c>
      <c r="L1730" t="s">
        <v>6346</v>
      </c>
      <c r="M1730">
        <v>6</v>
      </c>
      <c r="N1730">
        <v>3</v>
      </c>
      <c r="O1730" t="s">
        <v>1036</v>
      </c>
      <c r="P1730" s="17"/>
      <c r="Q1730" s="17" t="str">
        <f>_xlfn.XLOOKUP(Table2[[#This Row],[buyFromVendorNo]],'Next Day Scheduled'!A:A,'Pending Returns'!O:O,"NOT_FOUND")</f>
        <v>Posted Credit Note</v>
      </c>
    </row>
    <row r="1731" spans="1:17" x14ac:dyDescent="0.3">
      <c r="A1731" s="1">
        <v>46203</v>
      </c>
      <c r="B1731" t="s">
        <v>4048</v>
      </c>
      <c r="C1731" t="s">
        <v>802</v>
      </c>
      <c r="D1731" t="s">
        <v>2331</v>
      </c>
      <c r="E1731" t="s">
        <v>8</v>
      </c>
      <c r="F1731" t="s">
        <v>38</v>
      </c>
      <c r="G1731" s="16">
        <v>25.38</v>
      </c>
      <c r="H1731" s="16">
        <v>29.187000000000001</v>
      </c>
      <c r="I1731" s="1">
        <v>46203</v>
      </c>
      <c r="J1731">
        <v>56</v>
      </c>
      <c r="K1731" t="s">
        <v>6289</v>
      </c>
      <c r="L1731" t="s">
        <v>6347</v>
      </c>
      <c r="M1731">
        <v>6</v>
      </c>
      <c r="N1731">
        <v>1</v>
      </c>
      <c r="O1731" t="s">
        <v>1036</v>
      </c>
      <c r="P1731" s="17"/>
      <c r="Q1731" s="17" t="str">
        <f>_xlfn.XLOOKUP(Table2[[#This Row],[buyFromVendorNo]],'Next Day Scheduled'!A:A,'Pending Returns'!O:O,"NOT_FOUND")</f>
        <v>NOT_FOUND</v>
      </c>
    </row>
    <row r="1732" spans="1:17" x14ac:dyDescent="0.3">
      <c r="A1732" s="1">
        <v>46203</v>
      </c>
      <c r="B1732" t="s">
        <v>1994</v>
      </c>
      <c r="C1732" t="s">
        <v>118</v>
      </c>
      <c r="D1732" t="s">
        <v>119</v>
      </c>
      <c r="E1732" t="s">
        <v>8</v>
      </c>
      <c r="F1732" t="s">
        <v>10</v>
      </c>
      <c r="G1732" s="16">
        <v>593.54999999999995</v>
      </c>
      <c r="H1732" s="16">
        <v>682.58249999999998</v>
      </c>
      <c r="I1732" s="1">
        <v>46203</v>
      </c>
      <c r="J1732">
        <v>56</v>
      </c>
      <c r="K1732" t="s">
        <v>700</v>
      </c>
      <c r="L1732" t="s">
        <v>6320</v>
      </c>
      <c r="M1732">
        <v>14</v>
      </c>
      <c r="N1732">
        <v>5</v>
      </c>
      <c r="O1732" t="s">
        <v>1036</v>
      </c>
      <c r="P1732" s="17"/>
      <c r="Q1732" s="17" t="str">
        <f>_xlfn.XLOOKUP(Table2[[#This Row],[buyFromVendorNo]],'Next Day Scheduled'!A:A,'Pending Returns'!O:O,"NOT_FOUND")</f>
        <v>Posted Credit Note</v>
      </c>
    </row>
    <row r="1733" spans="1:17" x14ac:dyDescent="0.3">
      <c r="A1733" s="1">
        <v>46203</v>
      </c>
      <c r="B1733" t="s">
        <v>4031</v>
      </c>
      <c r="C1733" t="s">
        <v>75</v>
      </c>
      <c r="D1733" t="s">
        <v>76</v>
      </c>
      <c r="E1733" t="s">
        <v>8</v>
      </c>
      <c r="F1733" t="s">
        <v>169</v>
      </c>
      <c r="G1733" s="16">
        <v>2784.5083</v>
      </c>
      <c r="H1733" s="16">
        <v>3202.1846</v>
      </c>
      <c r="I1733" s="1">
        <v>46186</v>
      </c>
      <c r="J1733">
        <v>56</v>
      </c>
      <c r="K1733" t="s">
        <v>4037</v>
      </c>
      <c r="L1733" t="s">
        <v>6322</v>
      </c>
      <c r="M1733">
        <v>6</v>
      </c>
      <c r="N1733">
        <v>3</v>
      </c>
      <c r="O1733" t="s">
        <v>1036</v>
      </c>
      <c r="P1733" s="17"/>
      <c r="Q1733" s="17" t="str">
        <f>_xlfn.XLOOKUP(Table2[[#This Row],[buyFromVendorNo]],'Next Day Scheduled'!A:A,'Pending Returns'!O:O,"NOT_FOUND")</f>
        <v>Posted Credit Note</v>
      </c>
    </row>
    <row r="1734" spans="1:17" x14ac:dyDescent="0.3">
      <c r="A1734" s="1">
        <v>46203</v>
      </c>
      <c r="B1734" t="s">
        <v>3468</v>
      </c>
      <c r="C1734" t="s">
        <v>90</v>
      </c>
      <c r="D1734" t="s">
        <v>91</v>
      </c>
      <c r="E1734" t="s">
        <v>8</v>
      </c>
      <c r="F1734" t="s">
        <v>10</v>
      </c>
      <c r="G1734" s="16">
        <v>383.23</v>
      </c>
      <c r="H1734" s="16">
        <v>440.71449999999999</v>
      </c>
      <c r="I1734" s="1">
        <v>46175</v>
      </c>
      <c r="J1734">
        <v>56</v>
      </c>
      <c r="K1734" t="s">
        <v>3469</v>
      </c>
      <c r="L1734" t="s">
        <v>6324</v>
      </c>
      <c r="M1734">
        <v>9</v>
      </c>
      <c r="N1734">
        <v>3</v>
      </c>
      <c r="O1734" t="s">
        <v>1036</v>
      </c>
      <c r="P1734" s="17"/>
      <c r="Q1734" s="17" t="str">
        <f>_xlfn.XLOOKUP(Table2[[#This Row],[buyFromVendorNo]],'Next Day Scheduled'!A:A,'Pending Returns'!O:O,"NOT_FOUND")</f>
        <v>NOT_FOUND</v>
      </c>
    </row>
    <row r="1735" spans="1:17" x14ac:dyDescent="0.3">
      <c r="A1735" s="1">
        <v>46203</v>
      </c>
      <c r="B1735" t="s">
        <v>3288</v>
      </c>
      <c r="C1735" t="s">
        <v>321</v>
      </c>
      <c r="D1735" t="s">
        <v>322</v>
      </c>
      <c r="E1735" t="s">
        <v>8</v>
      </c>
      <c r="F1735" t="s">
        <v>10</v>
      </c>
      <c r="G1735" s="16">
        <v>90.611199999999997</v>
      </c>
      <c r="H1735" s="16">
        <v>104.20287999999999</v>
      </c>
      <c r="I1735" s="1">
        <v>46197</v>
      </c>
      <c r="J1735">
        <v>56</v>
      </c>
      <c r="K1735" t="s">
        <v>5232</v>
      </c>
      <c r="L1735" t="s">
        <v>6325</v>
      </c>
      <c r="M1735">
        <v>8</v>
      </c>
      <c r="N1735">
        <v>5</v>
      </c>
      <c r="O1735" t="s">
        <v>1036</v>
      </c>
      <c r="P1735" s="17"/>
      <c r="Q1735" s="17" t="str">
        <f>_xlfn.XLOOKUP(Table2[[#This Row],[buyFromVendorNo]],'Next Day Scheduled'!A:A,'Pending Returns'!O:O,"NOT_FOUND")</f>
        <v>NOT_FOUND</v>
      </c>
    </row>
    <row r="1736" spans="1:17" x14ac:dyDescent="0.3">
      <c r="A1736" s="1">
        <v>46203</v>
      </c>
      <c r="B1736" t="s">
        <v>729</v>
      </c>
      <c r="C1736" t="s">
        <v>34</v>
      </c>
      <c r="D1736" t="s">
        <v>35</v>
      </c>
      <c r="E1736" t="s">
        <v>8</v>
      </c>
      <c r="F1736" t="s">
        <v>10</v>
      </c>
      <c r="G1736" s="16">
        <v>5016.6400000000003</v>
      </c>
      <c r="H1736" s="16">
        <v>5769.1360000000004</v>
      </c>
      <c r="I1736" s="1">
        <v>46184</v>
      </c>
      <c r="J1736">
        <v>56</v>
      </c>
      <c r="K1736" t="s">
        <v>2679</v>
      </c>
      <c r="L1736" t="s">
        <v>6354</v>
      </c>
      <c r="M1736">
        <v>11</v>
      </c>
      <c r="N1736">
        <v>8</v>
      </c>
      <c r="O1736" t="s">
        <v>1036</v>
      </c>
      <c r="P1736" s="17"/>
      <c r="Q1736" s="17" t="str">
        <f>_xlfn.XLOOKUP(Table2[[#This Row],[buyFromVendorNo]],'Next Day Scheduled'!A:A,'Pending Returns'!O:O,"NOT_FOUND")</f>
        <v>Posted Credit Note</v>
      </c>
    </row>
    <row r="1737" spans="1:17" x14ac:dyDescent="0.3">
      <c r="A1737" s="1">
        <v>46203</v>
      </c>
      <c r="B1737" t="s">
        <v>4249</v>
      </c>
      <c r="C1737" t="s">
        <v>470</v>
      </c>
      <c r="D1737" t="s">
        <v>471</v>
      </c>
      <c r="E1737" t="s">
        <v>8</v>
      </c>
      <c r="F1737" t="s">
        <v>10</v>
      </c>
      <c r="G1737" s="16">
        <v>346.5</v>
      </c>
      <c r="H1737" s="16">
        <v>346.5</v>
      </c>
      <c r="I1737" s="1">
        <v>46184</v>
      </c>
      <c r="J1737">
        <v>56</v>
      </c>
      <c r="K1737" t="s">
        <v>4250</v>
      </c>
      <c r="L1737" t="s">
        <v>6315</v>
      </c>
      <c r="M1737">
        <v>10</v>
      </c>
      <c r="N1737">
        <v>6</v>
      </c>
      <c r="O1737" t="s">
        <v>1036</v>
      </c>
      <c r="P1737" s="17"/>
      <c r="Q1737" s="17" t="str">
        <f>_xlfn.XLOOKUP(Table2[[#This Row],[buyFromVendorNo]],'Next Day Scheduled'!A:A,'Pending Returns'!O:O,"NOT_FOUND")</f>
        <v>NOT_FOUND</v>
      </c>
    </row>
    <row r="1738" spans="1:17" x14ac:dyDescent="0.3">
      <c r="A1738" s="1">
        <v>46203</v>
      </c>
      <c r="B1738" t="s">
        <v>4437</v>
      </c>
      <c r="C1738" t="s">
        <v>1916</v>
      </c>
      <c r="D1738" t="s">
        <v>1917</v>
      </c>
      <c r="E1738" t="s">
        <v>8</v>
      </c>
      <c r="F1738" t="s">
        <v>10</v>
      </c>
      <c r="G1738" s="16">
        <v>18</v>
      </c>
      <c r="H1738" s="16">
        <v>20.7</v>
      </c>
      <c r="I1738" s="1">
        <v>46196</v>
      </c>
      <c r="J1738">
        <v>56</v>
      </c>
      <c r="K1738" t="s">
        <v>4438</v>
      </c>
      <c r="L1738" t="s">
        <v>6355</v>
      </c>
      <c r="M1738">
        <v>10</v>
      </c>
      <c r="N1738">
        <v>10</v>
      </c>
      <c r="O1738" t="s">
        <v>1036</v>
      </c>
      <c r="P1738" s="17"/>
      <c r="Q1738" s="17" t="str">
        <f>_xlfn.XLOOKUP(Table2[[#This Row],[buyFromVendorNo]],'Next Day Scheduled'!A:A,'Pending Returns'!O:O,"NOT_FOUND")</f>
        <v>Posted Credit Note</v>
      </c>
    </row>
    <row r="1739" spans="1:17" x14ac:dyDescent="0.3">
      <c r="A1739" s="1">
        <v>46203</v>
      </c>
      <c r="B1739" t="s">
        <v>1875</v>
      </c>
      <c r="C1739" t="s">
        <v>562</v>
      </c>
      <c r="D1739" t="s">
        <v>563</v>
      </c>
      <c r="E1739" t="s">
        <v>8</v>
      </c>
      <c r="F1739" t="s">
        <v>38</v>
      </c>
      <c r="G1739" s="16">
        <v>1588.4880000000001</v>
      </c>
      <c r="H1739" s="16">
        <v>1826.7611999999999</v>
      </c>
      <c r="I1739" s="1">
        <v>46203</v>
      </c>
      <c r="J1739">
        <v>56</v>
      </c>
      <c r="K1739" t="s">
        <v>1839</v>
      </c>
      <c r="L1739" t="s">
        <v>6316</v>
      </c>
      <c r="M1739">
        <v>20</v>
      </c>
      <c r="N1739">
        <v>23</v>
      </c>
      <c r="O1739" t="s">
        <v>1036</v>
      </c>
      <c r="P1739" s="17"/>
      <c r="Q1739" s="17" t="str">
        <f>_xlfn.XLOOKUP(Table2[[#This Row],[buyFromVendorNo]],'Next Day Scheduled'!A:A,'Pending Returns'!O:O,"NOT_FOUND")</f>
        <v>NOT_FOUND</v>
      </c>
    </row>
    <row r="1740" spans="1:17" x14ac:dyDescent="0.3">
      <c r="A1740" s="1">
        <v>46203</v>
      </c>
      <c r="B1740" t="s">
        <v>2452</v>
      </c>
      <c r="C1740" t="s">
        <v>98</v>
      </c>
      <c r="D1740" t="s">
        <v>99</v>
      </c>
      <c r="E1740" t="s">
        <v>8</v>
      </c>
      <c r="F1740" t="s">
        <v>10</v>
      </c>
      <c r="G1740" s="16">
        <v>1135.6199999999999</v>
      </c>
      <c r="H1740" s="16">
        <v>1305.963</v>
      </c>
      <c r="I1740" s="1">
        <v>46203</v>
      </c>
      <c r="J1740">
        <v>56</v>
      </c>
      <c r="K1740" t="s">
        <v>4993</v>
      </c>
      <c r="L1740" t="s">
        <v>6341</v>
      </c>
      <c r="M1740">
        <v>8</v>
      </c>
      <c r="N1740">
        <v>6</v>
      </c>
      <c r="O1740" t="s">
        <v>1036</v>
      </c>
      <c r="P1740" s="17"/>
      <c r="Q1740" s="17" t="str">
        <f>_xlfn.XLOOKUP(Table2[[#This Row],[buyFromVendorNo]],'Next Day Scheduled'!A:A,'Pending Returns'!O:O,"NOT_FOUND")</f>
        <v>NOT_FOUND</v>
      </c>
    </row>
    <row r="1741" spans="1:17" x14ac:dyDescent="0.3">
      <c r="A1741" s="1">
        <v>46203</v>
      </c>
      <c r="B1741" t="s">
        <v>5927</v>
      </c>
      <c r="C1741" t="s">
        <v>65</v>
      </c>
      <c r="D1741" t="s">
        <v>66</v>
      </c>
      <c r="E1741" t="s">
        <v>8</v>
      </c>
      <c r="F1741" t="s">
        <v>169</v>
      </c>
      <c r="G1741" s="16">
        <v>790.01</v>
      </c>
      <c r="H1741" s="16">
        <v>908.51149999999996</v>
      </c>
      <c r="I1741" s="1">
        <v>46197</v>
      </c>
      <c r="J1741">
        <v>56</v>
      </c>
      <c r="K1741" t="s">
        <v>5978</v>
      </c>
      <c r="L1741" t="s">
        <v>6342</v>
      </c>
      <c r="M1741">
        <v>15</v>
      </c>
      <c r="N1741">
        <v>5</v>
      </c>
      <c r="O1741" t="s">
        <v>1036</v>
      </c>
      <c r="P1741" s="17"/>
      <c r="Q1741" s="17" t="str">
        <f>_xlfn.XLOOKUP(Table2[[#This Row],[buyFromVendorNo]],'Next Day Scheduled'!A:A,'Pending Returns'!O:O,"NOT_FOUND")</f>
        <v>Posted Credit Note</v>
      </c>
    </row>
    <row r="1742" spans="1:17" x14ac:dyDescent="0.3">
      <c r="A1742" s="1">
        <v>46203</v>
      </c>
      <c r="B1742" t="s">
        <v>2527</v>
      </c>
      <c r="C1742" t="s">
        <v>154</v>
      </c>
      <c r="D1742" t="s">
        <v>155</v>
      </c>
      <c r="E1742" t="s">
        <v>8</v>
      </c>
      <c r="F1742" t="s">
        <v>38</v>
      </c>
      <c r="G1742" s="16">
        <v>1437.84</v>
      </c>
      <c r="H1742" s="16">
        <v>1653.5160000000001</v>
      </c>
      <c r="I1742" s="1">
        <v>46177</v>
      </c>
      <c r="J1742">
        <v>56</v>
      </c>
      <c r="K1742" t="s">
        <v>2528</v>
      </c>
      <c r="L1742" t="s">
        <v>6334</v>
      </c>
      <c r="M1742">
        <v>5</v>
      </c>
      <c r="N1742">
        <v>7</v>
      </c>
      <c r="O1742" t="s">
        <v>1036</v>
      </c>
      <c r="P1742" s="17"/>
      <c r="Q1742" s="17" t="str">
        <f>_xlfn.XLOOKUP(Table2[[#This Row],[buyFromVendorNo]],'Next Day Scheduled'!A:A,'Pending Returns'!O:O,"NOT_FOUND")</f>
        <v>NOT_FOUND</v>
      </c>
    </row>
    <row r="1743" spans="1:17" x14ac:dyDescent="0.3">
      <c r="A1743" s="1">
        <v>46203</v>
      </c>
      <c r="B1743" t="s">
        <v>5904</v>
      </c>
      <c r="C1743" t="s">
        <v>362</v>
      </c>
      <c r="D1743" t="s">
        <v>363</v>
      </c>
      <c r="E1743" t="s">
        <v>8</v>
      </c>
      <c r="F1743" t="s">
        <v>10</v>
      </c>
      <c r="G1743" s="16">
        <v>73.900000000000006</v>
      </c>
      <c r="H1743" s="16">
        <v>84.984999999999999</v>
      </c>
      <c r="I1743" s="1">
        <v>46203</v>
      </c>
      <c r="J1743">
        <v>56</v>
      </c>
      <c r="K1743" t="s">
        <v>4933</v>
      </c>
      <c r="L1743" t="s">
        <v>6321</v>
      </c>
      <c r="M1743">
        <v>9</v>
      </c>
      <c r="N1743">
        <v>1</v>
      </c>
      <c r="O1743" t="s">
        <v>1036</v>
      </c>
      <c r="P1743" s="17"/>
      <c r="Q1743" s="17" t="str">
        <f>_xlfn.XLOOKUP(Table2[[#This Row],[buyFromVendorNo]],'Next Day Scheduled'!A:A,'Pending Returns'!O:O,"NOT_FOUND")</f>
        <v>NOT_FOUND</v>
      </c>
    </row>
    <row r="1744" spans="1:17" x14ac:dyDescent="0.3">
      <c r="A1744" s="1">
        <v>46203</v>
      </c>
      <c r="B1744" t="s">
        <v>5112</v>
      </c>
      <c r="C1744" t="s">
        <v>3814</v>
      </c>
      <c r="D1744" t="s">
        <v>3815</v>
      </c>
      <c r="E1744" t="s">
        <v>8</v>
      </c>
      <c r="F1744" t="s">
        <v>10</v>
      </c>
      <c r="G1744" s="16">
        <v>303.71870000000001</v>
      </c>
      <c r="H1744" s="16">
        <v>349.2765</v>
      </c>
      <c r="I1744" s="1">
        <v>46200</v>
      </c>
      <c r="J1744">
        <v>56</v>
      </c>
      <c r="K1744" t="s">
        <v>4935</v>
      </c>
      <c r="L1744" t="s">
        <v>6349</v>
      </c>
      <c r="M1744">
        <v>8</v>
      </c>
      <c r="N1744">
        <v>6</v>
      </c>
      <c r="O1744" t="s">
        <v>1036</v>
      </c>
      <c r="P1744" s="17"/>
      <c r="Q1744" s="17" t="str">
        <f>_xlfn.XLOOKUP(Table2[[#This Row],[buyFromVendorNo]],'Next Day Scheduled'!A:A,'Pending Returns'!O:O,"NOT_FOUND")</f>
        <v>Posted Credit Note</v>
      </c>
    </row>
    <row r="1745" spans="1:17" x14ac:dyDescent="0.3">
      <c r="A1745" s="1">
        <v>46203</v>
      </c>
      <c r="B1745" t="s">
        <v>2765</v>
      </c>
      <c r="C1745" t="s">
        <v>1424</v>
      </c>
      <c r="D1745" t="s">
        <v>1425</v>
      </c>
      <c r="E1745" t="s">
        <v>8</v>
      </c>
      <c r="F1745" t="s">
        <v>10</v>
      </c>
      <c r="G1745" s="16">
        <v>104.5</v>
      </c>
      <c r="H1745" s="16">
        <v>120.175</v>
      </c>
      <c r="I1745" s="1">
        <v>46203</v>
      </c>
      <c r="J1745">
        <v>56</v>
      </c>
      <c r="K1745" t="s">
        <v>5562</v>
      </c>
      <c r="L1745" t="s">
        <v>6350</v>
      </c>
      <c r="M1745">
        <v>1</v>
      </c>
      <c r="N1745">
        <v>50</v>
      </c>
      <c r="O1745" t="s">
        <v>1036</v>
      </c>
      <c r="P1745" s="17"/>
      <c r="Q1745" s="17" t="str">
        <f>_xlfn.XLOOKUP(Table2[[#This Row],[buyFromVendorNo]],'Next Day Scheduled'!A:A,'Pending Returns'!O:O,"NOT_FOUND")</f>
        <v>Posted Credit Note</v>
      </c>
    </row>
    <row r="1746" spans="1:17" x14ac:dyDescent="0.3">
      <c r="A1746" s="1">
        <v>46203</v>
      </c>
      <c r="B1746" t="s">
        <v>3295</v>
      </c>
      <c r="C1746" t="s">
        <v>1424</v>
      </c>
      <c r="D1746" t="s">
        <v>1425</v>
      </c>
      <c r="E1746" t="s">
        <v>8</v>
      </c>
      <c r="F1746" t="s">
        <v>10</v>
      </c>
      <c r="G1746" s="16">
        <v>7254.5</v>
      </c>
      <c r="H1746" s="16">
        <v>8342.6749999999993</v>
      </c>
      <c r="I1746" s="1">
        <v>46203</v>
      </c>
      <c r="J1746">
        <v>56</v>
      </c>
      <c r="K1746" t="s">
        <v>4848</v>
      </c>
      <c r="L1746" t="s">
        <v>6351</v>
      </c>
      <c r="M1746">
        <v>1</v>
      </c>
      <c r="N1746">
        <v>50</v>
      </c>
      <c r="O1746" t="s">
        <v>1036</v>
      </c>
      <c r="P1746" s="17"/>
      <c r="Q1746" s="17" t="str">
        <f>_xlfn.XLOOKUP(Table2[[#This Row],[buyFromVendorNo]],'Next Day Scheduled'!A:A,'Pending Returns'!O:O,"NOT_FOUND")</f>
        <v>Posted Credit Note</v>
      </c>
    </row>
    <row r="1747" spans="1:17" x14ac:dyDescent="0.3">
      <c r="A1747" s="1">
        <v>46203</v>
      </c>
      <c r="B1747" t="s">
        <v>2544</v>
      </c>
      <c r="C1747" t="s">
        <v>598</v>
      </c>
      <c r="D1747" t="s">
        <v>599</v>
      </c>
      <c r="E1747" t="s">
        <v>8</v>
      </c>
      <c r="F1747" t="s">
        <v>38</v>
      </c>
      <c r="G1747" s="16">
        <v>3289.3629999999998</v>
      </c>
      <c r="H1747" s="16">
        <v>3782.7673</v>
      </c>
      <c r="I1747" s="1">
        <v>46203</v>
      </c>
      <c r="J1747">
        <v>56</v>
      </c>
      <c r="K1747" t="s">
        <v>6254</v>
      </c>
      <c r="L1747" t="s">
        <v>6336</v>
      </c>
      <c r="M1747">
        <v>8</v>
      </c>
      <c r="N1747">
        <v>6</v>
      </c>
      <c r="O1747" t="s">
        <v>1036</v>
      </c>
      <c r="P1747" s="17"/>
      <c r="Q1747" s="17" t="str">
        <f>_xlfn.XLOOKUP(Table2[[#This Row],[buyFromVendorNo]],'Next Day Scheduled'!A:A,'Pending Returns'!O:O,"NOT_FOUND")</f>
        <v>NOT_FOUND</v>
      </c>
    </row>
    <row r="1748" spans="1:17" x14ac:dyDescent="0.3">
      <c r="A1748" s="1">
        <v>46203</v>
      </c>
      <c r="B1748" t="s">
        <v>3014</v>
      </c>
      <c r="C1748" t="s">
        <v>562</v>
      </c>
      <c r="D1748" t="s">
        <v>563</v>
      </c>
      <c r="E1748" t="s">
        <v>8</v>
      </c>
      <c r="F1748" t="s">
        <v>38</v>
      </c>
      <c r="G1748" s="16">
        <v>1124.58</v>
      </c>
      <c r="H1748" s="16">
        <v>1293.2670000000001</v>
      </c>
      <c r="I1748" s="1">
        <v>46203</v>
      </c>
      <c r="J1748">
        <v>56</v>
      </c>
      <c r="K1748" t="s">
        <v>3015</v>
      </c>
      <c r="L1748" t="s">
        <v>6365</v>
      </c>
      <c r="M1748">
        <v>20</v>
      </c>
      <c r="N1748">
        <v>23</v>
      </c>
      <c r="O1748" t="s">
        <v>1036</v>
      </c>
      <c r="P1748" s="17"/>
      <c r="Q1748" s="17" t="str">
        <f>_xlfn.XLOOKUP(Table2[[#This Row],[buyFromVendorNo]],'Next Day Scheduled'!A:A,'Pending Returns'!O:O,"NOT_FOUND")</f>
        <v>NOT_FOUND</v>
      </c>
    </row>
    <row r="1749" spans="1:17" x14ac:dyDescent="0.3">
      <c r="A1749" s="1">
        <v>46203</v>
      </c>
      <c r="B1749" t="s">
        <v>4074</v>
      </c>
      <c r="C1749" t="s">
        <v>562</v>
      </c>
      <c r="D1749" t="s">
        <v>563</v>
      </c>
      <c r="E1749" t="s">
        <v>8</v>
      </c>
      <c r="F1749" t="s">
        <v>38</v>
      </c>
      <c r="G1749" s="16">
        <v>1409.3611000000001</v>
      </c>
      <c r="H1749" s="16">
        <v>1620.7653</v>
      </c>
      <c r="I1749" s="1">
        <v>46203</v>
      </c>
      <c r="J1749">
        <v>56</v>
      </c>
      <c r="K1749" t="s">
        <v>5545</v>
      </c>
      <c r="L1749" t="s">
        <v>6366</v>
      </c>
      <c r="M1749">
        <v>20</v>
      </c>
      <c r="N1749">
        <v>23</v>
      </c>
      <c r="O1749" t="s">
        <v>1036</v>
      </c>
      <c r="P1749" s="17"/>
      <c r="Q1749" s="17" t="str">
        <f>_xlfn.XLOOKUP(Table2[[#This Row],[buyFromVendorNo]],'Next Day Scheduled'!A:A,'Pending Returns'!O:O,"NOT_FOUND")</f>
        <v>NOT_FOUND</v>
      </c>
    </row>
    <row r="1750" spans="1:17" x14ac:dyDescent="0.3">
      <c r="A1750" s="1">
        <v>46204</v>
      </c>
      <c r="B1750" t="s">
        <v>2640</v>
      </c>
      <c r="C1750" t="s">
        <v>502</v>
      </c>
      <c r="D1750" t="s">
        <v>503</v>
      </c>
      <c r="E1750" t="s">
        <v>8</v>
      </c>
      <c r="F1750" t="s">
        <v>10</v>
      </c>
      <c r="G1750" s="16">
        <v>782.19</v>
      </c>
      <c r="H1750" s="16">
        <v>899.51850000000002</v>
      </c>
      <c r="I1750" s="1">
        <v>46200</v>
      </c>
      <c r="J1750">
        <v>55</v>
      </c>
      <c r="K1750" t="s">
        <v>5990</v>
      </c>
      <c r="L1750" t="s">
        <v>6427</v>
      </c>
      <c r="M1750">
        <v>3</v>
      </c>
      <c r="N1750">
        <v>1</v>
      </c>
      <c r="O1750" t="s">
        <v>1036</v>
      </c>
      <c r="P1750" s="17"/>
      <c r="Q1750" s="17" t="str">
        <f>_xlfn.XLOOKUP(Table2[[#This Row],[buyFromVendorNo]],'Next Day Scheduled'!A:A,'Pending Returns'!O:O,"NOT_FOUND")</f>
        <v>NOT_FOUND</v>
      </c>
    </row>
    <row r="1751" spans="1:17" x14ac:dyDescent="0.3">
      <c r="A1751" s="1">
        <v>46204</v>
      </c>
      <c r="B1751" t="s">
        <v>1276</v>
      </c>
      <c r="C1751" t="s">
        <v>1591</v>
      </c>
      <c r="D1751" t="s">
        <v>1592</v>
      </c>
      <c r="E1751" t="s">
        <v>8</v>
      </c>
      <c r="F1751" t="s">
        <v>10</v>
      </c>
      <c r="G1751" s="16">
        <v>216</v>
      </c>
      <c r="H1751" s="16">
        <v>248.4</v>
      </c>
      <c r="I1751" s="1">
        <v>46196</v>
      </c>
      <c r="J1751">
        <v>55</v>
      </c>
      <c r="K1751" t="s">
        <v>5799</v>
      </c>
      <c r="L1751" t="s">
        <v>6428</v>
      </c>
      <c r="M1751">
        <v>8</v>
      </c>
      <c r="N1751">
        <v>2</v>
      </c>
      <c r="O1751" t="s">
        <v>1036</v>
      </c>
      <c r="P1751" s="17"/>
      <c r="Q1751" s="17" t="str">
        <f>_xlfn.XLOOKUP(Table2[[#This Row],[buyFromVendorNo]],'Next Day Scheduled'!A:A,'Pending Returns'!O:O,"NOT_FOUND")</f>
        <v>NOT_FOUND</v>
      </c>
    </row>
    <row r="1752" spans="1:17" x14ac:dyDescent="0.3">
      <c r="A1752" s="1">
        <v>46204</v>
      </c>
      <c r="B1752" t="s">
        <v>2417</v>
      </c>
      <c r="C1752" t="s">
        <v>512</v>
      </c>
      <c r="D1752" t="s">
        <v>513</v>
      </c>
      <c r="E1752" t="s">
        <v>8</v>
      </c>
      <c r="F1752" t="s">
        <v>10</v>
      </c>
      <c r="G1752" s="16">
        <v>1807.2662</v>
      </c>
      <c r="H1752" s="16">
        <v>2078.3562000000002</v>
      </c>
      <c r="I1752" s="1">
        <v>46199</v>
      </c>
      <c r="J1752">
        <v>55</v>
      </c>
      <c r="K1752" t="s">
        <v>2239</v>
      </c>
      <c r="L1752" t="s">
        <v>6393</v>
      </c>
      <c r="M1752">
        <v>8</v>
      </c>
      <c r="N1752">
        <v>3</v>
      </c>
      <c r="O1752" t="s">
        <v>1036</v>
      </c>
      <c r="P1752" s="17"/>
      <c r="Q1752" s="17" t="str">
        <f>_xlfn.XLOOKUP(Table2[[#This Row],[buyFromVendorNo]],'Next Day Scheduled'!A:A,'Pending Returns'!O:O,"NOT_FOUND")</f>
        <v>NOT_FOUND</v>
      </c>
    </row>
    <row r="1753" spans="1:17" x14ac:dyDescent="0.3">
      <c r="A1753" s="1">
        <v>46204</v>
      </c>
      <c r="B1753" t="s">
        <v>5898</v>
      </c>
      <c r="C1753" t="s">
        <v>615</v>
      </c>
      <c r="D1753" t="s">
        <v>616</v>
      </c>
      <c r="E1753" t="s">
        <v>8</v>
      </c>
      <c r="F1753" t="s">
        <v>10</v>
      </c>
      <c r="G1753" s="16">
        <v>175.25479999999999</v>
      </c>
      <c r="H1753" s="16">
        <v>201.54302999999999</v>
      </c>
      <c r="I1753" s="1">
        <v>46204</v>
      </c>
      <c r="J1753">
        <v>55</v>
      </c>
      <c r="K1753" t="s">
        <v>4142</v>
      </c>
      <c r="L1753" t="s">
        <v>6405</v>
      </c>
      <c r="M1753">
        <v>14</v>
      </c>
      <c r="N1753">
        <v>15</v>
      </c>
      <c r="O1753" t="s">
        <v>1036</v>
      </c>
      <c r="P1753" s="17"/>
      <c r="Q1753" s="17" t="str">
        <f>_xlfn.XLOOKUP(Table2[[#This Row],[buyFromVendorNo]],'Next Day Scheduled'!A:A,'Pending Returns'!O:O,"NOT_FOUND")</f>
        <v>NOT_FOUND</v>
      </c>
    </row>
    <row r="1754" spans="1:17" x14ac:dyDescent="0.3">
      <c r="A1754" s="1">
        <v>46204</v>
      </c>
      <c r="B1754" t="s">
        <v>3292</v>
      </c>
      <c r="C1754" t="s">
        <v>596</v>
      </c>
      <c r="D1754" t="s">
        <v>597</v>
      </c>
      <c r="E1754" t="s">
        <v>8</v>
      </c>
      <c r="F1754" t="s">
        <v>10</v>
      </c>
      <c r="G1754" s="16">
        <v>45.25</v>
      </c>
      <c r="H1754" s="16">
        <v>52.037500000000001</v>
      </c>
      <c r="I1754" s="1">
        <v>46199</v>
      </c>
      <c r="J1754">
        <v>55</v>
      </c>
      <c r="K1754" t="s">
        <v>5534</v>
      </c>
      <c r="L1754" t="s">
        <v>6394</v>
      </c>
      <c r="M1754">
        <v>9</v>
      </c>
      <c r="N1754">
        <v>5</v>
      </c>
      <c r="O1754" t="s">
        <v>1036</v>
      </c>
      <c r="P1754" s="17"/>
      <c r="Q1754" s="17" t="str">
        <f>_xlfn.XLOOKUP(Table2[[#This Row],[buyFromVendorNo]],'Next Day Scheduled'!A:A,'Pending Returns'!O:O,"NOT_FOUND")</f>
        <v>NOT_FOUND</v>
      </c>
    </row>
    <row r="1755" spans="1:17" x14ac:dyDescent="0.3">
      <c r="A1755" s="1">
        <v>46204</v>
      </c>
      <c r="B1755" t="s">
        <v>1207</v>
      </c>
      <c r="C1755" t="s">
        <v>43</v>
      </c>
      <c r="D1755" t="s">
        <v>44</v>
      </c>
      <c r="E1755" t="s">
        <v>8</v>
      </c>
      <c r="F1755" t="s">
        <v>38</v>
      </c>
      <c r="G1755" s="16">
        <v>6367.24</v>
      </c>
      <c r="H1755" s="16">
        <v>7322.326</v>
      </c>
      <c r="I1755" s="1">
        <v>46202</v>
      </c>
      <c r="J1755">
        <v>55</v>
      </c>
      <c r="K1755" t="s">
        <v>6212</v>
      </c>
      <c r="L1755" t="s">
        <v>6395</v>
      </c>
      <c r="M1755">
        <v>49</v>
      </c>
      <c r="N1755">
        <v>1</v>
      </c>
      <c r="O1755" t="s">
        <v>1036</v>
      </c>
      <c r="P1755" s="17"/>
      <c r="Q1755" s="17" t="str">
        <f>_xlfn.XLOOKUP(Table2[[#This Row],[buyFromVendorNo]],'Next Day Scheduled'!A:A,'Pending Returns'!O:O,"NOT_FOUND")</f>
        <v>Posted Credit Note</v>
      </c>
    </row>
    <row r="1756" spans="1:17" x14ac:dyDescent="0.3">
      <c r="A1756" s="1">
        <v>46204</v>
      </c>
      <c r="B1756" t="s">
        <v>545</v>
      </c>
      <c r="C1756" t="s">
        <v>615</v>
      </c>
      <c r="D1756" t="s">
        <v>616</v>
      </c>
      <c r="E1756" t="s">
        <v>8</v>
      </c>
      <c r="F1756" t="s">
        <v>10</v>
      </c>
      <c r="G1756" s="16">
        <v>937.51415999999995</v>
      </c>
      <c r="H1756" s="16">
        <v>1078.1412</v>
      </c>
      <c r="I1756" s="1">
        <v>46204</v>
      </c>
      <c r="J1756">
        <v>55</v>
      </c>
      <c r="K1756" t="s">
        <v>3325</v>
      </c>
      <c r="L1756" t="s">
        <v>6406</v>
      </c>
      <c r="M1756">
        <v>14</v>
      </c>
      <c r="N1756">
        <v>15</v>
      </c>
      <c r="O1756" t="s">
        <v>1036</v>
      </c>
      <c r="P1756" s="17"/>
      <c r="Q1756" s="17" t="str">
        <f>_xlfn.XLOOKUP(Table2[[#This Row],[buyFromVendorNo]],'Next Day Scheduled'!A:A,'Pending Returns'!O:O,"NOT_FOUND")</f>
        <v>NOT_FOUND</v>
      </c>
    </row>
    <row r="1757" spans="1:17" x14ac:dyDescent="0.3">
      <c r="A1757" s="1">
        <v>46204</v>
      </c>
      <c r="B1757" t="s">
        <v>3313</v>
      </c>
      <c r="C1757" t="s">
        <v>2283</v>
      </c>
      <c r="D1757" t="s">
        <v>2284</v>
      </c>
      <c r="E1757" t="s">
        <v>8</v>
      </c>
      <c r="F1757" t="s">
        <v>10</v>
      </c>
      <c r="G1757" s="16">
        <v>114</v>
      </c>
      <c r="H1757" s="16">
        <v>131.1</v>
      </c>
      <c r="I1757" s="1">
        <v>46198</v>
      </c>
      <c r="J1757">
        <v>55</v>
      </c>
      <c r="K1757" t="s">
        <v>5443</v>
      </c>
      <c r="L1757" t="s">
        <v>6407</v>
      </c>
      <c r="M1757">
        <v>14</v>
      </c>
      <c r="N1757">
        <v>3</v>
      </c>
      <c r="O1757" t="s">
        <v>1036</v>
      </c>
      <c r="P1757" s="17"/>
      <c r="Q1757" s="17" t="str">
        <f>_xlfn.XLOOKUP(Table2[[#This Row],[buyFromVendorNo]],'Next Day Scheduled'!A:A,'Pending Returns'!O:O,"NOT_FOUND")</f>
        <v>NOT_FOUND</v>
      </c>
    </row>
    <row r="1758" spans="1:17" x14ac:dyDescent="0.3">
      <c r="A1758" s="1">
        <v>46204</v>
      </c>
      <c r="B1758" t="s">
        <v>2119</v>
      </c>
      <c r="C1758" t="s">
        <v>929</v>
      </c>
      <c r="D1758" t="s">
        <v>930</v>
      </c>
      <c r="E1758" t="s">
        <v>8</v>
      </c>
      <c r="F1758" t="s">
        <v>10</v>
      </c>
      <c r="G1758" s="16">
        <v>103.64676</v>
      </c>
      <c r="H1758" s="16">
        <v>119.19377</v>
      </c>
      <c r="I1758" s="1">
        <v>46202</v>
      </c>
      <c r="J1758">
        <v>55</v>
      </c>
      <c r="K1758" t="s">
        <v>5522</v>
      </c>
      <c r="L1758" t="s">
        <v>6430</v>
      </c>
      <c r="M1758">
        <v>7</v>
      </c>
      <c r="N1758">
        <v>8</v>
      </c>
      <c r="O1758" t="s">
        <v>1036</v>
      </c>
      <c r="P1758" s="17"/>
      <c r="Q1758" s="17" t="str">
        <f>_xlfn.XLOOKUP(Table2[[#This Row],[buyFromVendorNo]],'Next Day Scheduled'!A:A,'Pending Returns'!O:O,"NOT_FOUND")</f>
        <v>NOT_FOUND</v>
      </c>
    </row>
    <row r="1759" spans="1:17" x14ac:dyDescent="0.3">
      <c r="A1759" s="1">
        <v>46204</v>
      </c>
      <c r="B1759" t="s">
        <v>3253</v>
      </c>
      <c r="C1759" t="s">
        <v>423</v>
      </c>
      <c r="D1759" t="s">
        <v>424</v>
      </c>
      <c r="E1759" t="s">
        <v>8</v>
      </c>
      <c r="F1759" t="s">
        <v>10</v>
      </c>
      <c r="G1759" s="16">
        <v>74.487499999999997</v>
      </c>
      <c r="H1759" s="16">
        <v>85.660629999999998</v>
      </c>
      <c r="I1759" s="1">
        <v>46203</v>
      </c>
      <c r="J1759">
        <v>55</v>
      </c>
      <c r="K1759" t="s">
        <v>5338</v>
      </c>
      <c r="L1759" t="s">
        <v>6424</v>
      </c>
      <c r="M1759">
        <v>8</v>
      </c>
      <c r="N1759">
        <v>3</v>
      </c>
      <c r="O1759" t="s">
        <v>1036</v>
      </c>
      <c r="P1759" s="17"/>
      <c r="Q1759" s="17" t="str">
        <f>_xlfn.XLOOKUP(Table2[[#This Row],[buyFromVendorNo]],'Next Day Scheduled'!A:A,'Pending Returns'!O:O,"NOT_FOUND")</f>
        <v>NOT_FOUND</v>
      </c>
    </row>
    <row r="1760" spans="1:17" x14ac:dyDescent="0.3">
      <c r="A1760" s="1">
        <v>46204</v>
      </c>
      <c r="B1760" t="s">
        <v>2916</v>
      </c>
      <c r="C1760" t="s">
        <v>615</v>
      </c>
      <c r="D1760" t="s">
        <v>616</v>
      </c>
      <c r="E1760" t="s">
        <v>8</v>
      </c>
      <c r="F1760" t="s">
        <v>10</v>
      </c>
      <c r="G1760" s="16">
        <v>194.33860999999999</v>
      </c>
      <c r="H1760" s="16">
        <v>223.48940999999999</v>
      </c>
      <c r="I1760" s="1">
        <v>46204</v>
      </c>
      <c r="J1760">
        <v>55</v>
      </c>
      <c r="K1760" t="s">
        <v>2917</v>
      </c>
      <c r="L1760" t="s">
        <v>6425</v>
      </c>
      <c r="M1760">
        <v>14</v>
      </c>
      <c r="N1760">
        <v>15</v>
      </c>
      <c r="O1760" t="s">
        <v>1036</v>
      </c>
      <c r="P1760" s="17"/>
      <c r="Q1760" s="17" t="str">
        <f>_xlfn.XLOOKUP(Table2[[#This Row],[buyFromVendorNo]],'Next Day Scheduled'!A:A,'Pending Returns'!O:O,"NOT_FOUND")</f>
        <v>NOT_FOUND</v>
      </c>
    </row>
    <row r="1761" spans="1:17" x14ac:dyDescent="0.3">
      <c r="A1761" s="1">
        <v>46204</v>
      </c>
      <c r="B1761" t="s">
        <v>4675</v>
      </c>
      <c r="C1761" t="s">
        <v>4090</v>
      </c>
      <c r="D1761" t="s">
        <v>4091</v>
      </c>
      <c r="E1761" t="s">
        <v>8</v>
      </c>
      <c r="F1761" t="s">
        <v>169</v>
      </c>
      <c r="G1761" s="16">
        <v>193.5</v>
      </c>
      <c r="H1761" s="16">
        <v>222.52500000000001</v>
      </c>
      <c r="I1761" s="1">
        <v>46193</v>
      </c>
      <c r="J1761">
        <v>55</v>
      </c>
      <c r="K1761" t="s">
        <v>4667</v>
      </c>
      <c r="L1761" t="s">
        <v>6426</v>
      </c>
      <c r="M1761">
        <v>2</v>
      </c>
      <c r="N1761">
        <v>5</v>
      </c>
      <c r="O1761" t="s">
        <v>1036</v>
      </c>
      <c r="P1761" s="17"/>
      <c r="Q1761" s="17" t="str">
        <f>_xlfn.XLOOKUP(Table2[[#This Row],[buyFromVendorNo]],'Next Day Scheduled'!A:A,'Pending Returns'!O:O,"NOT_FOUND")</f>
        <v>NOT_FOUND</v>
      </c>
    </row>
    <row r="1762" spans="1:17" x14ac:dyDescent="0.3">
      <c r="A1762" s="1">
        <v>46204</v>
      </c>
      <c r="B1762" t="s">
        <v>4031</v>
      </c>
      <c r="C1762" t="s">
        <v>4090</v>
      </c>
      <c r="D1762" t="s">
        <v>4091</v>
      </c>
      <c r="E1762" t="s">
        <v>8</v>
      </c>
      <c r="F1762" t="s">
        <v>169</v>
      </c>
      <c r="G1762" s="16">
        <v>539</v>
      </c>
      <c r="H1762" s="16">
        <v>619.85</v>
      </c>
      <c r="I1762" s="1">
        <v>46193</v>
      </c>
      <c r="J1762">
        <v>55</v>
      </c>
      <c r="K1762" t="s">
        <v>4092</v>
      </c>
      <c r="L1762" t="s">
        <v>6403</v>
      </c>
      <c r="M1762">
        <v>2</v>
      </c>
      <c r="N1762">
        <v>5</v>
      </c>
      <c r="O1762" t="s">
        <v>1036</v>
      </c>
      <c r="P1762" s="17"/>
      <c r="Q1762" s="17" t="str">
        <f>_xlfn.XLOOKUP(Table2[[#This Row],[buyFromVendorNo]],'Next Day Scheduled'!A:A,'Pending Returns'!O:O,"NOT_FOUND")</f>
        <v>NOT_FOUND</v>
      </c>
    </row>
    <row r="1763" spans="1:17" x14ac:dyDescent="0.3">
      <c r="A1763" s="1">
        <v>46204</v>
      </c>
      <c r="B1763" t="s">
        <v>2551</v>
      </c>
      <c r="C1763" t="s">
        <v>635</v>
      </c>
      <c r="D1763" t="s">
        <v>636</v>
      </c>
      <c r="E1763" t="s">
        <v>8</v>
      </c>
      <c r="F1763" t="s">
        <v>10</v>
      </c>
      <c r="G1763" s="16">
        <v>105.20001000000001</v>
      </c>
      <c r="H1763" s="16">
        <v>120.98000999999999</v>
      </c>
      <c r="I1763" s="1">
        <v>46197</v>
      </c>
      <c r="J1763">
        <v>55</v>
      </c>
      <c r="K1763" t="s">
        <v>5254</v>
      </c>
      <c r="L1763" t="s">
        <v>6396</v>
      </c>
      <c r="M1763">
        <v>7</v>
      </c>
      <c r="N1763">
        <v>2</v>
      </c>
      <c r="O1763" t="s">
        <v>1036</v>
      </c>
      <c r="P1763" s="17"/>
      <c r="Q1763" s="17" t="str">
        <f>_xlfn.XLOOKUP(Table2[[#This Row],[buyFromVendorNo]],'Next Day Scheduled'!A:A,'Pending Returns'!O:O,"NOT_FOUND")</f>
        <v>NOT_FOUND</v>
      </c>
    </row>
    <row r="1764" spans="1:17" x14ac:dyDescent="0.3">
      <c r="A1764" s="1">
        <v>46204</v>
      </c>
      <c r="B1764" t="s">
        <v>5896</v>
      </c>
      <c r="C1764" t="s">
        <v>615</v>
      </c>
      <c r="D1764" t="s">
        <v>616</v>
      </c>
      <c r="E1764" t="s">
        <v>8</v>
      </c>
      <c r="F1764" t="s">
        <v>10</v>
      </c>
      <c r="G1764" s="16">
        <v>36</v>
      </c>
      <c r="H1764" s="16">
        <v>41.4</v>
      </c>
      <c r="I1764" s="1">
        <v>46204</v>
      </c>
      <c r="J1764">
        <v>55</v>
      </c>
      <c r="K1764" t="s">
        <v>4255</v>
      </c>
      <c r="L1764" t="s">
        <v>6417</v>
      </c>
      <c r="M1764">
        <v>14</v>
      </c>
      <c r="N1764">
        <v>15</v>
      </c>
      <c r="O1764" t="s">
        <v>1036</v>
      </c>
      <c r="P1764" s="17"/>
      <c r="Q1764" s="17" t="str">
        <f>_xlfn.XLOOKUP(Table2[[#This Row],[buyFromVendorNo]],'Next Day Scheduled'!A:A,'Pending Returns'!O:O,"NOT_FOUND")</f>
        <v>NOT_FOUND</v>
      </c>
    </row>
    <row r="1765" spans="1:17" x14ac:dyDescent="0.3">
      <c r="A1765" s="1">
        <v>46204</v>
      </c>
      <c r="B1765" t="s">
        <v>2952</v>
      </c>
      <c r="C1765" t="s">
        <v>329</v>
      </c>
      <c r="D1765" t="s">
        <v>320</v>
      </c>
      <c r="E1765" t="s">
        <v>8</v>
      </c>
      <c r="F1765" t="s">
        <v>38</v>
      </c>
      <c r="G1765" s="16">
        <v>712</v>
      </c>
      <c r="H1765" s="16">
        <v>818.8</v>
      </c>
      <c r="I1765" s="1">
        <v>46200</v>
      </c>
      <c r="J1765">
        <v>55</v>
      </c>
      <c r="K1765" t="s">
        <v>4052</v>
      </c>
      <c r="L1765" t="s">
        <v>6418</v>
      </c>
      <c r="M1765">
        <v>6</v>
      </c>
      <c r="N1765">
        <v>2</v>
      </c>
      <c r="O1765" t="s">
        <v>1036</v>
      </c>
      <c r="P1765" s="17"/>
      <c r="Q1765" s="17" t="str">
        <f>_xlfn.XLOOKUP(Table2[[#This Row],[buyFromVendorNo]],'Next Day Scheduled'!A:A,'Pending Returns'!O:O,"NOT_FOUND")</f>
        <v>NOT_FOUND</v>
      </c>
    </row>
    <row r="1766" spans="1:17" x14ac:dyDescent="0.3">
      <c r="A1766" s="1">
        <v>46204</v>
      </c>
      <c r="B1766" t="s">
        <v>2952</v>
      </c>
      <c r="C1766" t="s">
        <v>349</v>
      </c>
      <c r="D1766" t="s">
        <v>350</v>
      </c>
      <c r="E1766" t="s">
        <v>8</v>
      </c>
      <c r="F1766" t="s">
        <v>38</v>
      </c>
      <c r="G1766" s="16">
        <v>318.25</v>
      </c>
      <c r="H1766" s="16">
        <v>365.98750000000001</v>
      </c>
      <c r="I1766" s="1">
        <v>46205</v>
      </c>
      <c r="J1766">
        <v>55</v>
      </c>
      <c r="K1766" t="s">
        <v>6241</v>
      </c>
      <c r="L1766" t="s">
        <v>6419</v>
      </c>
      <c r="M1766">
        <v>0</v>
      </c>
      <c r="N1766">
        <v>133</v>
      </c>
      <c r="O1766" t="s">
        <v>223</v>
      </c>
      <c r="P1766" s="17"/>
      <c r="Q1766" s="17" t="str">
        <f>_xlfn.XLOOKUP(Table2[[#This Row],[buyFromVendorNo]],'Next Day Scheduled'!A:A,'Pending Returns'!O:O,"NOT_FOUND")</f>
        <v>NOT_FOUND</v>
      </c>
    </row>
    <row r="1767" spans="1:17" x14ac:dyDescent="0.3">
      <c r="A1767" s="1">
        <v>46204</v>
      </c>
      <c r="B1767" t="s">
        <v>2809</v>
      </c>
      <c r="C1767" t="s">
        <v>798</v>
      </c>
      <c r="D1767" t="s">
        <v>799</v>
      </c>
      <c r="E1767" t="s">
        <v>8</v>
      </c>
      <c r="F1767" t="s">
        <v>10</v>
      </c>
      <c r="G1767" s="16">
        <v>220.5</v>
      </c>
      <c r="H1767" s="16">
        <v>253.57499999999999</v>
      </c>
      <c r="I1767" s="1">
        <v>46202</v>
      </c>
      <c r="J1767">
        <v>55</v>
      </c>
      <c r="K1767" t="s">
        <v>5002</v>
      </c>
      <c r="L1767" t="s">
        <v>6429</v>
      </c>
      <c r="M1767">
        <v>7</v>
      </c>
      <c r="N1767">
        <v>9</v>
      </c>
      <c r="O1767" t="s">
        <v>1036</v>
      </c>
      <c r="P1767" s="17"/>
      <c r="Q1767" s="17" t="str">
        <f>_xlfn.XLOOKUP(Table2[[#This Row],[buyFromVendorNo]],'Next Day Scheduled'!A:A,'Pending Returns'!O:O,"NOT_FOUND")</f>
        <v>NOT_FOUND</v>
      </c>
    </row>
    <row r="1768" spans="1:17" x14ac:dyDescent="0.3">
      <c r="A1768" s="1">
        <v>46204</v>
      </c>
      <c r="B1768" t="s">
        <v>224</v>
      </c>
      <c r="C1768" t="s">
        <v>43</v>
      </c>
      <c r="D1768" t="s">
        <v>44</v>
      </c>
      <c r="E1768" t="s">
        <v>8</v>
      </c>
      <c r="F1768" t="s">
        <v>38</v>
      </c>
      <c r="G1768" s="16">
        <v>7651.04</v>
      </c>
      <c r="H1768" s="16">
        <v>8798.6959999999999</v>
      </c>
      <c r="I1768" s="1">
        <v>46200</v>
      </c>
      <c r="J1768">
        <v>55</v>
      </c>
      <c r="K1768" t="s">
        <v>6171</v>
      </c>
      <c r="L1768" t="s">
        <v>6398</v>
      </c>
      <c r="M1768">
        <v>49</v>
      </c>
      <c r="N1768">
        <v>1</v>
      </c>
      <c r="O1768" t="s">
        <v>1036</v>
      </c>
      <c r="P1768" s="17"/>
      <c r="Q1768" s="17" t="str">
        <f>_xlfn.XLOOKUP(Table2[[#This Row],[buyFromVendorNo]],'Next Day Scheduled'!A:A,'Pending Returns'!O:O,"NOT_FOUND")</f>
        <v>Posted Credit Note</v>
      </c>
    </row>
    <row r="1769" spans="1:17" x14ac:dyDescent="0.3">
      <c r="A1769" s="1">
        <v>46204</v>
      </c>
      <c r="B1769" t="s">
        <v>6130</v>
      </c>
      <c r="C1769" t="s">
        <v>418</v>
      </c>
      <c r="D1769" t="s">
        <v>419</v>
      </c>
      <c r="E1769" t="s">
        <v>8</v>
      </c>
      <c r="F1769" t="s">
        <v>169</v>
      </c>
      <c r="G1769" s="16">
        <v>522.79999999999995</v>
      </c>
      <c r="H1769" s="16">
        <v>601.22</v>
      </c>
      <c r="I1769" s="1">
        <v>46201</v>
      </c>
      <c r="J1769">
        <v>55</v>
      </c>
      <c r="K1769" t="s">
        <v>6139</v>
      </c>
      <c r="L1769" t="s">
        <v>6421</v>
      </c>
      <c r="M1769">
        <v>7</v>
      </c>
      <c r="N1769">
        <v>3</v>
      </c>
      <c r="O1769" t="s">
        <v>1036</v>
      </c>
      <c r="P1769" s="17"/>
      <c r="Q1769" s="17" t="str">
        <f>_xlfn.XLOOKUP(Table2[[#This Row],[buyFromVendorNo]],'Next Day Scheduled'!A:A,'Pending Returns'!O:O,"NOT_FOUND")</f>
        <v>NOT_FOUND</v>
      </c>
    </row>
    <row r="1770" spans="1:17" x14ac:dyDescent="0.3">
      <c r="A1770" s="1">
        <v>46204</v>
      </c>
      <c r="B1770" t="s">
        <v>3372</v>
      </c>
      <c r="C1770" t="s">
        <v>615</v>
      </c>
      <c r="D1770" t="s">
        <v>616</v>
      </c>
      <c r="E1770" t="s">
        <v>8</v>
      </c>
      <c r="F1770" t="s">
        <v>10</v>
      </c>
      <c r="G1770" s="16">
        <v>166.61707000000001</v>
      </c>
      <c r="H1770" s="16">
        <v>191.60963000000001</v>
      </c>
      <c r="I1770" s="1">
        <v>46204</v>
      </c>
      <c r="J1770">
        <v>55</v>
      </c>
      <c r="K1770" t="s">
        <v>3218</v>
      </c>
      <c r="L1770" t="s">
        <v>6399</v>
      </c>
      <c r="M1770">
        <v>14</v>
      </c>
      <c r="N1770">
        <v>15</v>
      </c>
      <c r="O1770" t="s">
        <v>1036</v>
      </c>
      <c r="P1770" s="17"/>
      <c r="Q1770" s="17" t="str">
        <f>_xlfn.XLOOKUP(Table2[[#This Row],[buyFromVendorNo]],'Next Day Scheduled'!A:A,'Pending Returns'!O:O,"NOT_FOUND")</f>
        <v>NOT_FOUND</v>
      </c>
    </row>
    <row r="1771" spans="1:17" x14ac:dyDescent="0.3">
      <c r="A1771" s="1">
        <v>46204</v>
      </c>
      <c r="B1771" t="s">
        <v>3065</v>
      </c>
      <c r="C1771" t="s">
        <v>349</v>
      </c>
      <c r="D1771" t="s">
        <v>350</v>
      </c>
      <c r="E1771" t="s">
        <v>8</v>
      </c>
      <c r="F1771" t="s">
        <v>38</v>
      </c>
      <c r="G1771" s="16">
        <v>3128.29</v>
      </c>
      <c r="H1771" s="16">
        <v>3597.5333999999998</v>
      </c>
      <c r="I1771" s="1">
        <v>46205</v>
      </c>
      <c r="J1771">
        <v>55</v>
      </c>
      <c r="K1771" t="s">
        <v>5538</v>
      </c>
      <c r="L1771" t="s">
        <v>6400</v>
      </c>
      <c r="M1771">
        <v>0</v>
      </c>
      <c r="N1771">
        <v>133</v>
      </c>
      <c r="O1771" t="s">
        <v>223</v>
      </c>
      <c r="P1771" s="17"/>
      <c r="Q1771" s="17" t="str">
        <f>_xlfn.XLOOKUP(Table2[[#This Row],[buyFromVendorNo]],'Next Day Scheduled'!A:A,'Pending Returns'!O:O,"NOT_FOUND")</f>
        <v>NOT_FOUND</v>
      </c>
    </row>
    <row r="1772" spans="1:17" x14ac:dyDescent="0.3">
      <c r="A1772" s="1">
        <v>46204</v>
      </c>
      <c r="B1772" t="s">
        <v>485</v>
      </c>
      <c r="C1772" t="s">
        <v>39</v>
      </c>
      <c r="D1772" t="s">
        <v>40</v>
      </c>
      <c r="E1772" t="s">
        <v>8</v>
      </c>
      <c r="F1772" t="s">
        <v>10</v>
      </c>
      <c r="G1772" s="16">
        <v>3214.9535999999998</v>
      </c>
      <c r="H1772" s="16">
        <v>3697.1968000000002</v>
      </c>
      <c r="J1772">
        <v>55</v>
      </c>
      <c r="K1772" t="s">
        <v>6370</v>
      </c>
      <c r="M1772">
        <v>12</v>
      </c>
      <c r="N1772">
        <v>1</v>
      </c>
      <c r="O1772" t="s">
        <v>216</v>
      </c>
      <c r="P1772" s="17"/>
      <c r="Q1772" s="17" t="str">
        <f>_xlfn.XLOOKUP(Table2[[#This Row],[buyFromVendorNo]],'Next Day Scheduled'!A:A,'Pending Returns'!O:O,"NOT_FOUND")</f>
        <v>Posted Credit Note</v>
      </c>
    </row>
    <row r="1773" spans="1:17" x14ac:dyDescent="0.3">
      <c r="A1773" s="1">
        <v>46204</v>
      </c>
      <c r="B1773" t="s">
        <v>637</v>
      </c>
      <c r="C1773" t="s">
        <v>43</v>
      </c>
      <c r="D1773" t="s">
        <v>44</v>
      </c>
      <c r="E1773" t="s">
        <v>8</v>
      </c>
      <c r="F1773" t="s">
        <v>38</v>
      </c>
      <c r="G1773" s="16">
        <v>768</v>
      </c>
      <c r="H1773" s="16">
        <v>883.2</v>
      </c>
      <c r="I1773" s="1">
        <v>46202</v>
      </c>
      <c r="J1773">
        <v>55</v>
      </c>
      <c r="K1773" t="s">
        <v>6309</v>
      </c>
      <c r="L1773" t="s">
        <v>6433</v>
      </c>
      <c r="M1773">
        <v>49</v>
      </c>
      <c r="N1773">
        <v>1</v>
      </c>
      <c r="O1773" t="s">
        <v>1036</v>
      </c>
      <c r="P1773" s="17"/>
      <c r="Q1773" s="17" t="str">
        <f>_xlfn.XLOOKUP(Table2[[#This Row],[buyFromVendorNo]],'Next Day Scheduled'!A:A,'Pending Returns'!O:O,"NOT_FOUND")</f>
        <v>Posted Credit Note</v>
      </c>
    </row>
    <row r="1774" spans="1:17" x14ac:dyDescent="0.3">
      <c r="A1774" s="1">
        <v>46204</v>
      </c>
      <c r="B1774" t="s">
        <v>429</v>
      </c>
      <c r="C1774" t="s">
        <v>349</v>
      </c>
      <c r="D1774" t="s">
        <v>350</v>
      </c>
      <c r="E1774" t="s">
        <v>8</v>
      </c>
      <c r="F1774" t="s">
        <v>38</v>
      </c>
      <c r="G1774" s="16">
        <v>8384.7199999999993</v>
      </c>
      <c r="H1774" s="16">
        <v>9642.4279999999999</v>
      </c>
      <c r="I1774" s="1">
        <v>46205</v>
      </c>
      <c r="J1774">
        <v>55</v>
      </c>
      <c r="K1774" t="s">
        <v>386</v>
      </c>
      <c r="L1774" t="s">
        <v>6411</v>
      </c>
      <c r="M1774">
        <v>0</v>
      </c>
      <c r="N1774">
        <v>133</v>
      </c>
      <c r="O1774" t="s">
        <v>223</v>
      </c>
      <c r="P1774" s="17"/>
      <c r="Q1774" s="17" t="str">
        <f>_xlfn.XLOOKUP(Table2[[#This Row],[buyFromVendorNo]],'Next Day Scheduled'!A:A,'Pending Returns'!O:O,"NOT_FOUND")</f>
        <v>NOT_FOUND</v>
      </c>
    </row>
    <row r="1775" spans="1:17" x14ac:dyDescent="0.3">
      <c r="A1775" s="1">
        <v>46204</v>
      </c>
      <c r="B1775" t="s">
        <v>5687</v>
      </c>
      <c r="C1775" t="s">
        <v>701</v>
      </c>
      <c r="D1775" t="s">
        <v>702</v>
      </c>
      <c r="E1775" t="s">
        <v>8</v>
      </c>
      <c r="F1775" t="s">
        <v>10</v>
      </c>
      <c r="G1775" s="16">
        <v>292.0718</v>
      </c>
      <c r="H1775" s="16">
        <v>335.88256999999999</v>
      </c>
      <c r="I1775" s="1">
        <v>46197</v>
      </c>
      <c r="J1775">
        <v>55</v>
      </c>
      <c r="K1775" t="s">
        <v>5424</v>
      </c>
      <c r="L1775" t="s">
        <v>6414</v>
      </c>
      <c r="M1775">
        <v>0</v>
      </c>
      <c r="N1775">
        <v>149</v>
      </c>
      <c r="O1775" t="s">
        <v>1036</v>
      </c>
      <c r="P1775" s="17"/>
      <c r="Q1775" s="17" t="str">
        <f>_xlfn.XLOOKUP(Table2[[#This Row],[buyFromVendorNo]],'Next Day Scheduled'!A:A,'Pending Returns'!O:O,"NOT_FOUND")</f>
        <v>Posted Credit Note</v>
      </c>
    </row>
    <row r="1776" spans="1:17" x14ac:dyDescent="0.3">
      <c r="A1776" s="1">
        <v>46204</v>
      </c>
      <c r="B1776" t="s">
        <v>4675</v>
      </c>
      <c r="C1776" t="s">
        <v>418</v>
      </c>
      <c r="D1776" t="s">
        <v>419</v>
      </c>
      <c r="E1776" t="s">
        <v>8</v>
      </c>
      <c r="F1776" t="s">
        <v>169</v>
      </c>
      <c r="G1776" s="16">
        <v>754.99</v>
      </c>
      <c r="H1776" s="16">
        <v>868.23850000000004</v>
      </c>
      <c r="I1776" s="1">
        <v>46201</v>
      </c>
      <c r="J1776">
        <v>55</v>
      </c>
      <c r="K1776" t="s">
        <v>4671</v>
      </c>
      <c r="L1776" t="s">
        <v>6415</v>
      </c>
      <c r="M1776">
        <v>7</v>
      </c>
      <c r="N1776">
        <v>3</v>
      </c>
      <c r="O1776" t="s">
        <v>1036</v>
      </c>
      <c r="P1776" s="17"/>
      <c r="Q1776" s="17" t="str">
        <f>_xlfn.XLOOKUP(Table2[[#This Row],[buyFromVendorNo]],'Next Day Scheduled'!A:A,'Pending Returns'!O:O,"NOT_FOUND")</f>
        <v>NOT_FOUND</v>
      </c>
    </row>
    <row r="1777" spans="1:17" x14ac:dyDescent="0.3">
      <c r="A1777" s="1">
        <v>46204</v>
      </c>
      <c r="B1777" t="s">
        <v>4057</v>
      </c>
      <c r="C1777" t="s">
        <v>349</v>
      </c>
      <c r="D1777" t="s">
        <v>350</v>
      </c>
      <c r="E1777" t="s">
        <v>8</v>
      </c>
      <c r="F1777" t="s">
        <v>38</v>
      </c>
      <c r="G1777" s="16">
        <v>2517.2199999999998</v>
      </c>
      <c r="H1777" s="16">
        <v>2894.8029999999999</v>
      </c>
      <c r="I1777" s="1">
        <v>46205</v>
      </c>
      <c r="J1777">
        <v>55</v>
      </c>
      <c r="K1777" t="s">
        <v>4058</v>
      </c>
      <c r="L1777" t="s">
        <v>6416</v>
      </c>
      <c r="M1777">
        <v>0</v>
      </c>
      <c r="N1777">
        <v>133</v>
      </c>
      <c r="O1777" t="s">
        <v>223</v>
      </c>
      <c r="P1777" s="17"/>
      <c r="Q1777" s="17" t="str">
        <f>_xlfn.XLOOKUP(Table2[[#This Row],[buyFromVendorNo]],'Next Day Scheduled'!A:A,'Pending Returns'!O:O,"NOT_FOUND")</f>
        <v>NOT_FOUND</v>
      </c>
    </row>
    <row r="1778" spans="1:17" x14ac:dyDescent="0.3">
      <c r="A1778" s="1">
        <v>46204</v>
      </c>
      <c r="B1778" t="s">
        <v>2173</v>
      </c>
      <c r="C1778" t="s">
        <v>929</v>
      </c>
      <c r="D1778" t="s">
        <v>930</v>
      </c>
      <c r="E1778" t="s">
        <v>8</v>
      </c>
      <c r="F1778" t="s">
        <v>10</v>
      </c>
      <c r="G1778" s="16">
        <v>2068.5189999999998</v>
      </c>
      <c r="H1778" s="16">
        <v>2378.7968999999998</v>
      </c>
      <c r="I1778" s="1">
        <v>46202</v>
      </c>
      <c r="J1778">
        <v>55</v>
      </c>
      <c r="K1778" t="s">
        <v>4929</v>
      </c>
      <c r="L1778" t="s">
        <v>6422</v>
      </c>
      <c r="M1778">
        <v>7</v>
      </c>
      <c r="N1778">
        <v>8</v>
      </c>
      <c r="O1778" t="s">
        <v>1036</v>
      </c>
      <c r="P1778" s="17"/>
      <c r="Q1778" s="17" t="str">
        <f>_xlfn.XLOOKUP(Table2[[#This Row],[buyFromVendorNo]],'Next Day Scheduled'!A:A,'Pending Returns'!O:O,"NOT_FOUND")</f>
        <v>NOT_FOUND</v>
      </c>
    </row>
    <row r="1779" spans="1:17" x14ac:dyDescent="0.3">
      <c r="A1779" s="1">
        <v>46204</v>
      </c>
      <c r="B1779" t="s">
        <v>5905</v>
      </c>
      <c r="C1779" t="s">
        <v>822</v>
      </c>
      <c r="D1779" t="s">
        <v>823</v>
      </c>
      <c r="E1779" t="s">
        <v>8</v>
      </c>
      <c r="F1779" t="s">
        <v>10</v>
      </c>
      <c r="G1779" s="16">
        <v>318</v>
      </c>
      <c r="H1779" s="16">
        <v>365.7</v>
      </c>
      <c r="I1779" s="1">
        <v>46203</v>
      </c>
      <c r="J1779">
        <v>55</v>
      </c>
      <c r="K1779" t="s">
        <v>5023</v>
      </c>
      <c r="L1779" t="s">
        <v>6431</v>
      </c>
      <c r="M1779">
        <v>1</v>
      </c>
      <c r="N1779">
        <v>37</v>
      </c>
      <c r="O1779" t="s">
        <v>1036</v>
      </c>
      <c r="P1779" s="17"/>
      <c r="Q1779" s="17" t="str">
        <f>_xlfn.XLOOKUP(Table2[[#This Row],[buyFromVendorNo]],'Next Day Scheduled'!A:A,'Pending Returns'!O:O,"NOT_FOUND")</f>
        <v>Pending for Collection</v>
      </c>
    </row>
    <row r="1780" spans="1:17" x14ac:dyDescent="0.3">
      <c r="A1780" s="1">
        <v>46204</v>
      </c>
      <c r="B1780" t="s">
        <v>2667</v>
      </c>
      <c r="C1780" t="s">
        <v>536</v>
      </c>
      <c r="D1780" t="s">
        <v>537</v>
      </c>
      <c r="E1780" t="s">
        <v>8</v>
      </c>
      <c r="F1780" t="s">
        <v>10</v>
      </c>
      <c r="G1780" s="16">
        <v>151.25</v>
      </c>
      <c r="H1780" s="16">
        <v>173.9375</v>
      </c>
      <c r="I1780" s="1">
        <v>46204</v>
      </c>
      <c r="J1780">
        <v>55</v>
      </c>
      <c r="K1780" t="s">
        <v>5430</v>
      </c>
      <c r="L1780" t="s">
        <v>6409</v>
      </c>
      <c r="M1780">
        <v>7</v>
      </c>
      <c r="N1780">
        <v>2</v>
      </c>
      <c r="O1780" t="s">
        <v>1036</v>
      </c>
      <c r="P1780" s="17"/>
      <c r="Q1780" s="17" t="str">
        <f>_xlfn.XLOOKUP(Table2[[#This Row],[buyFromVendorNo]],'Next Day Scheduled'!A:A,'Pending Returns'!O:O,"NOT_FOUND")</f>
        <v>NOT_FOUND</v>
      </c>
    </row>
    <row r="1781" spans="1:17" x14ac:dyDescent="0.3">
      <c r="A1781" s="1">
        <v>46204</v>
      </c>
      <c r="B1781" t="s">
        <v>428</v>
      </c>
      <c r="C1781" t="s">
        <v>349</v>
      </c>
      <c r="D1781" t="s">
        <v>350</v>
      </c>
      <c r="E1781" t="s">
        <v>8</v>
      </c>
      <c r="F1781" t="s">
        <v>38</v>
      </c>
      <c r="G1781" s="16">
        <v>18546.689999999999</v>
      </c>
      <c r="H1781" s="16">
        <v>21328.692999999999</v>
      </c>
      <c r="I1781" s="1">
        <v>46205</v>
      </c>
      <c r="J1781">
        <v>55</v>
      </c>
      <c r="K1781" t="s">
        <v>388</v>
      </c>
      <c r="L1781" t="s">
        <v>6412</v>
      </c>
      <c r="M1781">
        <v>0</v>
      </c>
      <c r="N1781">
        <v>133</v>
      </c>
      <c r="O1781" t="s">
        <v>223</v>
      </c>
      <c r="P1781" s="17"/>
      <c r="Q1781" s="17" t="str">
        <f>_xlfn.XLOOKUP(Table2[[#This Row],[buyFromVendorNo]],'Next Day Scheduled'!A:A,'Pending Returns'!O:O,"NOT_FOUND")</f>
        <v>NOT_FOUND</v>
      </c>
    </row>
    <row r="1782" spans="1:17" x14ac:dyDescent="0.3">
      <c r="A1782" s="1">
        <v>46204</v>
      </c>
      <c r="B1782" t="s">
        <v>474</v>
      </c>
      <c r="C1782" t="s">
        <v>615</v>
      </c>
      <c r="D1782" t="s">
        <v>616</v>
      </c>
      <c r="E1782" t="s">
        <v>8</v>
      </c>
      <c r="F1782" t="s">
        <v>10</v>
      </c>
      <c r="G1782" s="16">
        <v>80.583910000000003</v>
      </c>
      <c r="H1782" s="16">
        <v>92.671499999999995</v>
      </c>
      <c r="I1782" s="1">
        <v>46204</v>
      </c>
      <c r="J1782">
        <v>55</v>
      </c>
      <c r="K1782" t="s">
        <v>4403</v>
      </c>
      <c r="L1782" t="s">
        <v>6397</v>
      </c>
      <c r="M1782">
        <v>14</v>
      </c>
      <c r="N1782">
        <v>15</v>
      </c>
      <c r="O1782" t="s">
        <v>1036</v>
      </c>
      <c r="P1782" s="17"/>
      <c r="Q1782" s="17" t="str">
        <f>_xlfn.XLOOKUP(Table2[[#This Row],[buyFromVendorNo]],'Next Day Scheduled'!A:A,'Pending Returns'!O:O,"NOT_FOUND")</f>
        <v>NOT_FOUND</v>
      </c>
    </row>
    <row r="1783" spans="1:17" x14ac:dyDescent="0.3">
      <c r="A1783" s="1">
        <v>46204</v>
      </c>
      <c r="B1783" t="s">
        <v>5080</v>
      </c>
      <c r="C1783" t="s">
        <v>2287</v>
      </c>
      <c r="D1783" t="s">
        <v>2351</v>
      </c>
      <c r="E1783" t="s">
        <v>8</v>
      </c>
      <c r="F1783" t="s">
        <v>10</v>
      </c>
      <c r="G1783" s="16">
        <v>106.0003</v>
      </c>
      <c r="H1783" s="16">
        <v>106.0003</v>
      </c>
      <c r="I1783" s="1">
        <v>46197</v>
      </c>
      <c r="J1783">
        <v>55</v>
      </c>
      <c r="K1783" t="s">
        <v>4964</v>
      </c>
      <c r="L1783" t="s">
        <v>6420</v>
      </c>
      <c r="M1783">
        <v>7</v>
      </c>
      <c r="N1783">
        <v>7</v>
      </c>
      <c r="O1783" t="s">
        <v>1036</v>
      </c>
      <c r="P1783" s="17"/>
      <c r="Q1783" s="17" t="str">
        <f>_xlfn.XLOOKUP(Table2[[#This Row],[buyFromVendorNo]],'Next Day Scheduled'!A:A,'Pending Returns'!O:O,"NOT_FOUND")</f>
        <v>Posted Credit Note</v>
      </c>
    </row>
    <row r="1784" spans="1:17" x14ac:dyDescent="0.3">
      <c r="A1784" s="1">
        <v>46204</v>
      </c>
      <c r="B1784" t="s">
        <v>2968</v>
      </c>
      <c r="C1784" t="s">
        <v>615</v>
      </c>
      <c r="D1784" t="s">
        <v>616</v>
      </c>
      <c r="E1784" t="s">
        <v>8</v>
      </c>
      <c r="F1784" t="s">
        <v>10</v>
      </c>
      <c r="G1784" s="16">
        <v>2136.0001999999999</v>
      </c>
      <c r="H1784" s="16">
        <v>2456.4000999999998</v>
      </c>
      <c r="I1784" s="1">
        <v>46204</v>
      </c>
      <c r="J1784">
        <v>55</v>
      </c>
      <c r="K1784" t="s">
        <v>2416</v>
      </c>
      <c r="L1784" t="s">
        <v>6423</v>
      </c>
      <c r="M1784">
        <v>14</v>
      </c>
      <c r="N1784">
        <v>15</v>
      </c>
      <c r="O1784" t="s">
        <v>1036</v>
      </c>
      <c r="P1784" s="17"/>
      <c r="Q1784" s="17" t="str">
        <f>_xlfn.XLOOKUP(Table2[[#This Row],[buyFromVendorNo]],'Next Day Scheduled'!A:A,'Pending Returns'!O:O,"NOT_FOUND")</f>
        <v>NOT_FOUND</v>
      </c>
    </row>
    <row r="1785" spans="1:17" x14ac:dyDescent="0.3">
      <c r="A1785" s="1">
        <v>46204</v>
      </c>
      <c r="B1785" t="s">
        <v>3426</v>
      </c>
      <c r="C1785" t="s">
        <v>822</v>
      </c>
      <c r="D1785" t="s">
        <v>823</v>
      </c>
      <c r="E1785" t="s">
        <v>8</v>
      </c>
      <c r="F1785" t="s">
        <v>10</v>
      </c>
      <c r="G1785" s="16">
        <v>157</v>
      </c>
      <c r="H1785" s="16">
        <v>180.55</v>
      </c>
      <c r="I1785" s="1">
        <v>46203</v>
      </c>
      <c r="J1785">
        <v>55</v>
      </c>
      <c r="K1785" t="s">
        <v>5587</v>
      </c>
      <c r="L1785" t="s">
        <v>6408</v>
      </c>
      <c r="M1785">
        <v>1</v>
      </c>
      <c r="N1785">
        <v>37</v>
      </c>
      <c r="O1785" t="s">
        <v>1036</v>
      </c>
      <c r="P1785" s="17"/>
      <c r="Q1785" s="17" t="str">
        <f>_xlfn.XLOOKUP(Table2[[#This Row],[buyFromVendorNo]],'Next Day Scheduled'!A:A,'Pending Returns'!O:O,"NOT_FOUND")</f>
        <v>Pending for Collection</v>
      </c>
    </row>
    <row r="1786" spans="1:17" x14ac:dyDescent="0.3">
      <c r="A1786" s="1">
        <v>46204</v>
      </c>
      <c r="B1786" t="s">
        <v>5318</v>
      </c>
      <c r="C1786" t="s">
        <v>5319</v>
      </c>
      <c r="D1786" t="s">
        <v>5320</v>
      </c>
      <c r="E1786" t="s">
        <v>8</v>
      </c>
      <c r="F1786" t="s">
        <v>10</v>
      </c>
      <c r="G1786" s="16">
        <v>28.95</v>
      </c>
      <c r="H1786" s="16">
        <v>33.292499999999997</v>
      </c>
      <c r="I1786" s="1">
        <v>46197</v>
      </c>
      <c r="J1786">
        <v>55</v>
      </c>
      <c r="K1786" t="s">
        <v>5321</v>
      </c>
      <c r="L1786" t="s">
        <v>6410</v>
      </c>
      <c r="M1786">
        <v>2</v>
      </c>
      <c r="N1786">
        <v>33</v>
      </c>
      <c r="O1786" t="s">
        <v>1036</v>
      </c>
      <c r="P1786" s="17"/>
      <c r="Q1786" s="17" t="str">
        <f>_xlfn.XLOOKUP(Table2[[#This Row],[buyFromVendorNo]],'Next Day Scheduled'!A:A,'Pending Returns'!O:O,"NOT_FOUND")</f>
        <v>NOT_FOUND</v>
      </c>
    </row>
    <row r="1787" spans="1:17" x14ac:dyDescent="0.3">
      <c r="A1787" s="1">
        <v>46204</v>
      </c>
      <c r="B1787" t="s">
        <v>2533</v>
      </c>
      <c r="C1787" t="s">
        <v>423</v>
      </c>
      <c r="D1787" t="s">
        <v>424</v>
      </c>
      <c r="E1787" t="s">
        <v>8</v>
      </c>
      <c r="F1787" t="s">
        <v>10</v>
      </c>
      <c r="G1787" s="16">
        <v>433.76749999999998</v>
      </c>
      <c r="H1787" s="16">
        <v>498.83264000000003</v>
      </c>
      <c r="I1787" s="1">
        <v>46203</v>
      </c>
      <c r="J1787">
        <v>55</v>
      </c>
      <c r="K1787" t="s">
        <v>4727</v>
      </c>
      <c r="L1787" t="s">
        <v>6402</v>
      </c>
      <c r="M1787">
        <v>8</v>
      </c>
      <c r="N1787">
        <v>3</v>
      </c>
      <c r="O1787" t="s">
        <v>1036</v>
      </c>
      <c r="P1787" s="17"/>
      <c r="Q1787" s="17" t="str">
        <f>_xlfn.XLOOKUP(Table2[[#This Row],[buyFromVendorNo]],'Next Day Scheduled'!A:A,'Pending Returns'!O:O,"NOT_FOUND")</f>
        <v>NOT_FOUND</v>
      </c>
    </row>
    <row r="1788" spans="1:17" x14ac:dyDescent="0.3">
      <c r="A1788" s="1">
        <v>46204</v>
      </c>
      <c r="B1788" t="s">
        <v>215</v>
      </c>
      <c r="C1788" t="s">
        <v>43</v>
      </c>
      <c r="D1788" t="s">
        <v>44</v>
      </c>
      <c r="E1788" t="s">
        <v>8</v>
      </c>
      <c r="F1788" t="s">
        <v>10</v>
      </c>
      <c r="G1788" s="16">
        <v>9054.6299999999992</v>
      </c>
      <c r="H1788" s="16">
        <v>10412.824000000001</v>
      </c>
      <c r="I1788" s="1">
        <v>46202</v>
      </c>
      <c r="J1788">
        <v>55</v>
      </c>
      <c r="K1788" t="s">
        <v>4842</v>
      </c>
      <c r="L1788" t="s">
        <v>6434</v>
      </c>
      <c r="M1788">
        <v>17</v>
      </c>
      <c r="N1788">
        <v>2</v>
      </c>
      <c r="O1788" t="s">
        <v>1036</v>
      </c>
      <c r="P1788" s="17"/>
      <c r="Q1788" s="17" t="str">
        <f>_xlfn.XLOOKUP(Table2[[#This Row],[buyFromVendorNo]],'Next Day Scheduled'!A:A,'Pending Returns'!O:O,"NOT_FOUND")</f>
        <v>Posted Credit Note</v>
      </c>
    </row>
    <row r="1789" spans="1:17" x14ac:dyDescent="0.3">
      <c r="A1789" s="1">
        <v>46204</v>
      </c>
      <c r="B1789" t="s">
        <v>1527</v>
      </c>
      <c r="C1789" t="s">
        <v>875</v>
      </c>
      <c r="D1789" t="s">
        <v>876</v>
      </c>
      <c r="E1789" t="s">
        <v>8</v>
      </c>
      <c r="F1789" t="s">
        <v>38</v>
      </c>
      <c r="G1789" s="16">
        <v>136.59800000000001</v>
      </c>
      <c r="H1789" s="16">
        <v>157.08770000000001</v>
      </c>
      <c r="I1789" s="1">
        <v>46204</v>
      </c>
      <c r="J1789">
        <v>55</v>
      </c>
      <c r="K1789" t="s">
        <v>6236</v>
      </c>
      <c r="L1789" t="s">
        <v>6435</v>
      </c>
      <c r="M1789">
        <v>5</v>
      </c>
      <c r="N1789">
        <v>14</v>
      </c>
      <c r="O1789" t="s">
        <v>1036</v>
      </c>
      <c r="P1789" s="17"/>
      <c r="Q1789" s="17" t="str">
        <f>_xlfn.XLOOKUP(Table2[[#This Row],[buyFromVendorNo]],'Next Day Scheduled'!A:A,'Pending Returns'!O:O,"NOT_FOUND")</f>
        <v>NOT_FOUND</v>
      </c>
    </row>
    <row r="1790" spans="1:17" x14ac:dyDescent="0.3">
      <c r="A1790" s="1">
        <v>46204</v>
      </c>
      <c r="B1790" t="s">
        <v>3341</v>
      </c>
      <c r="C1790" t="s">
        <v>2292</v>
      </c>
      <c r="D1790" t="s">
        <v>2293</v>
      </c>
      <c r="E1790" t="s">
        <v>8</v>
      </c>
      <c r="F1790" t="s">
        <v>10</v>
      </c>
      <c r="G1790" s="16">
        <v>110.31520999999999</v>
      </c>
      <c r="H1790" s="16">
        <v>126.86248999999999</v>
      </c>
      <c r="I1790" s="1">
        <v>46176</v>
      </c>
      <c r="J1790">
        <v>55</v>
      </c>
      <c r="K1790" t="s">
        <v>3342</v>
      </c>
      <c r="L1790" t="s">
        <v>6404</v>
      </c>
      <c r="M1790">
        <v>2</v>
      </c>
      <c r="N1790">
        <v>33</v>
      </c>
      <c r="O1790" t="s">
        <v>1036</v>
      </c>
      <c r="P1790" s="17"/>
      <c r="Q1790" s="17" t="str">
        <f>_xlfn.XLOOKUP(Table2[[#This Row],[buyFromVendorNo]],'Next Day Scheduled'!A:A,'Pending Returns'!O:O,"NOT_FOUND")</f>
        <v>NOT_FOUND</v>
      </c>
    </row>
    <row r="1791" spans="1:17" x14ac:dyDescent="0.3">
      <c r="A1791" s="1">
        <v>46204</v>
      </c>
      <c r="B1791" t="s">
        <v>5097</v>
      </c>
      <c r="C1791" t="s">
        <v>615</v>
      </c>
      <c r="D1791" t="s">
        <v>616</v>
      </c>
      <c r="E1791" t="s">
        <v>8</v>
      </c>
      <c r="F1791" t="s">
        <v>10</v>
      </c>
      <c r="G1791" s="16">
        <v>153.1046</v>
      </c>
      <c r="H1791" s="16">
        <v>176.0703</v>
      </c>
      <c r="I1791" s="1">
        <v>46204</v>
      </c>
      <c r="J1791">
        <v>55</v>
      </c>
      <c r="K1791" t="s">
        <v>4303</v>
      </c>
      <c r="L1791" t="s">
        <v>6413</v>
      </c>
      <c r="M1791">
        <v>14</v>
      </c>
      <c r="N1791">
        <v>15</v>
      </c>
      <c r="O1791" t="s">
        <v>1036</v>
      </c>
      <c r="P1791" s="17"/>
      <c r="Q1791" s="17" t="str">
        <f>_xlfn.XLOOKUP(Table2[[#This Row],[buyFromVendorNo]],'Next Day Scheduled'!A:A,'Pending Returns'!O:O,"NOT_FOUND")</f>
        <v>NOT_FOUND</v>
      </c>
    </row>
    <row r="1792" spans="1:17" x14ac:dyDescent="0.3">
      <c r="A1792" s="1">
        <v>46205</v>
      </c>
      <c r="B1792" t="s">
        <v>5177</v>
      </c>
      <c r="C1792" t="s">
        <v>848</v>
      </c>
      <c r="D1792" t="s">
        <v>849</v>
      </c>
      <c r="E1792" t="s">
        <v>8</v>
      </c>
      <c r="F1792" t="s">
        <v>10</v>
      </c>
      <c r="G1792" s="16">
        <v>3103.1</v>
      </c>
      <c r="H1792" s="16">
        <v>3568.5650000000001</v>
      </c>
      <c r="I1792" s="1">
        <v>46176</v>
      </c>
      <c r="J1792">
        <v>54</v>
      </c>
      <c r="K1792" t="s">
        <v>3628</v>
      </c>
      <c r="L1792" t="s">
        <v>6475</v>
      </c>
      <c r="M1792">
        <v>2</v>
      </c>
      <c r="N1792">
        <v>3</v>
      </c>
      <c r="O1792" t="s">
        <v>1036</v>
      </c>
      <c r="P1792" s="17"/>
      <c r="Q1792" s="17" t="str">
        <f>_xlfn.XLOOKUP(Table2[[#This Row],[buyFromVendorNo]],'Next Day Scheduled'!A:A,'Pending Returns'!O:O,"NOT_FOUND")</f>
        <v>NOT_FOUND</v>
      </c>
    </row>
    <row r="1793" spans="1:17" x14ac:dyDescent="0.3">
      <c r="A1793" s="1">
        <v>46205</v>
      </c>
      <c r="B1793" t="s">
        <v>474</v>
      </c>
      <c r="C1793" t="s">
        <v>470</v>
      </c>
      <c r="D1793" t="s">
        <v>471</v>
      </c>
      <c r="E1793" t="s">
        <v>8</v>
      </c>
      <c r="F1793" t="s">
        <v>10</v>
      </c>
      <c r="G1793" s="16">
        <v>5731.5649999999996</v>
      </c>
      <c r="H1793" s="16">
        <v>6546.4520000000002</v>
      </c>
      <c r="I1793" s="1">
        <v>46184</v>
      </c>
      <c r="J1793">
        <v>54</v>
      </c>
      <c r="K1793" t="s">
        <v>2493</v>
      </c>
      <c r="L1793" t="s">
        <v>6462</v>
      </c>
      <c r="M1793">
        <v>9</v>
      </c>
      <c r="N1793">
        <v>6</v>
      </c>
      <c r="O1793" t="s">
        <v>1036</v>
      </c>
      <c r="P1793" s="17"/>
      <c r="Q1793" s="17" t="str">
        <f>_xlfn.XLOOKUP(Table2[[#This Row],[buyFromVendorNo]],'Next Day Scheduled'!A:A,'Pending Returns'!O:O,"NOT_FOUND")</f>
        <v>NOT_FOUND</v>
      </c>
    </row>
    <row r="1794" spans="1:17" x14ac:dyDescent="0.3">
      <c r="A1794" s="1">
        <v>46205</v>
      </c>
      <c r="B1794" t="s">
        <v>5899</v>
      </c>
      <c r="C1794" t="s">
        <v>506</v>
      </c>
      <c r="D1794" t="s">
        <v>507</v>
      </c>
      <c r="E1794" t="s">
        <v>8</v>
      </c>
      <c r="F1794" t="s">
        <v>10</v>
      </c>
      <c r="G1794" s="16">
        <v>101</v>
      </c>
      <c r="H1794" s="16">
        <v>113</v>
      </c>
      <c r="I1794" s="1">
        <v>46198</v>
      </c>
      <c r="J1794">
        <v>54</v>
      </c>
      <c r="K1794" t="s">
        <v>4958</v>
      </c>
      <c r="L1794" t="s">
        <v>6442</v>
      </c>
      <c r="M1794">
        <v>7</v>
      </c>
      <c r="N1794">
        <v>5</v>
      </c>
      <c r="O1794" t="s">
        <v>1036</v>
      </c>
      <c r="P1794" s="17"/>
      <c r="Q1794" s="17" t="str">
        <f>_xlfn.XLOOKUP(Table2[[#This Row],[buyFromVendorNo]],'Next Day Scheduled'!A:A,'Pending Returns'!O:O,"NOT_FOUND")</f>
        <v>Posted Credit Note</v>
      </c>
    </row>
    <row r="1795" spans="1:17" x14ac:dyDescent="0.3">
      <c r="A1795" s="1">
        <v>46205</v>
      </c>
      <c r="B1795" t="s">
        <v>2704</v>
      </c>
      <c r="C1795" t="s">
        <v>65</v>
      </c>
      <c r="D1795" t="s">
        <v>66</v>
      </c>
      <c r="E1795" t="s">
        <v>8</v>
      </c>
      <c r="F1795" t="s">
        <v>10</v>
      </c>
      <c r="G1795" s="16">
        <v>2566.5859999999998</v>
      </c>
      <c r="H1795" s="16">
        <v>2951.5740000000001</v>
      </c>
      <c r="I1795" s="1">
        <v>46205</v>
      </c>
      <c r="J1795">
        <v>54</v>
      </c>
      <c r="K1795" t="s">
        <v>6120</v>
      </c>
      <c r="L1795" t="s">
        <v>6494</v>
      </c>
      <c r="M1795">
        <v>19</v>
      </c>
      <c r="N1795">
        <v>5</v>
      </c>
      <c r="O1795" t="s">
        <v>1036</v>
      </c>
      <c r="P1795" s="17"/>
      <c r="Q1795" s="17" t="str">
        <f>_xlfn.XLOOKUP(Table2[[#This Row],[buyFromVendorNo]],'Next Day Scheduled'!A:A,'Pending Returns'!O:O,"NOT_FOUND")</f>
        <v>Posted Credit Note</v>
      </c>
    </row>
    <row r="1796" spans="1:17" x14ac:dyDescent="0.3">
      <c r="A1796" s="1">
        <v>46205</v>
      </c>
      <c r="B1796" t="s">
        <v>2889</v>
      </c>
      <c r="C1796" t="s">
        <v>987</v>
      </c>
      <c r="D1796" t="s">
        <v>988</v>
      </c>
      <c r="E1796" t="s">
        <v>8</v>
      </c>
      <c r="F1796" t="s">
        <v>10</v>
      </c>
      <c r="G1796" s="16">
        <v>624</v>
      </c>
      <c r="H1796" s="16">
        <v>717.6</v>
      </c>
      <c r="J1796">
        <v>54</v>
      </c>
      <c r="K1796" t="s">
        <v>6481</v>
      </c>
      <c r="M1796">
        <v>0</v>
      </c>
      <c r="N1796">
        <v>240</v>
      </c>
      <c r="O1796" t="s">
        <v>216</v>
      </c>
      <c r="P1796" s="17"/>
      <c r="Q1796" s="17" t="str">
        <f>_xlfn.XLOOKUP(Table2[[#This Row],[buyFromVendorNo]],'Next Day Scheduled'!A:A,'Pending Returns'!O:O,"NOT_FOUND")</f>
        <v>NOT_FOUND</v>
      </c>
    </row>
    <row r="1797" spans="1:17" x14ac:dyDescent="0.3">
      <c r="A1797" s="1">
        <v>46205</v>
      </c>
      <c r="B1797" t="s">
        <v>2385</v>
      </c>
      <c r="C1797" t="s">
        <v>41</v>
      </c>
      <c r="D1797" t="s">
        <v>42</v>
      </c>
      <c r="E1797" t="s">
        <v>8</v>
      </c>
      <c r="F1797" t="s">
        <v>10</v>
      </c>
      <c r="G1797" s="16">
        <v>5097.1440000000002</v>
      </c>
      <c r="H1797" s="16">
        <v>5861.7160000000003</v>
      </c>
      <c r="J1797">
        <v>54</v>
      </c>
      <c r="K1797" t="s">
        <v>6490</v>
      </c>
      <c r="M1797">
        <v>5</v>
      </c>
      <c r="N1797">
        <v>26</v>
      </c>
      <c r="O1797" t="s">
        <v>216</v>
      </c>
      <c r="P1797" s="17"/>
      <c r="Q1797" s="17" t="str">
        <f>_xlfn.XLOOKUP(Table2[[#This Row],[buyFromVendorNo]],'Next Day Scheduled'!A:A,'Pending Returns'!O:O,"NOT_FOUND")</f>
        <v>NOT_FOUND</v>
      </c>
    </row>
    <row r="1798" spans="1:17" x14ac:dyDescent="0.3">
      <c r="A1798" s="1">
        <v>46205</v>
      </c>
      <c r="B1798" t="s">
        <v>642</v>
      </c>
      <c r="C1798" t="s">
        <v>71</v>
      </c>
      <c r="D1798" t="s">
        <v>72</v>
      </c>
      <c r="E1798" t="s">
        <v>8</v>
      </c>
      <c r="F1798" t="s">
        <v>38</v>
      </c>
      <c r="G1798" s="16">
        <v>695.08799999999997</v>
      </c>
      <c r="H1798" s="16">
        <v>799.35119999999995</v>
      </c>
      <c r="I1798" s="1">
        <v>46188</v>
      </c>
      <c r="J1798">
        <v>54</v>
      </c>
      <c r="K1798" t="s">
        <v>2064</v>
      </c>
      <c r="L1798" t="s">
        <v>6499</v>
      </c>
      <c r="M1798">
        <v>9</v>
      </c>
      <c r="N1798">
        <v>7</v>
      </c>
      <c r="O1798" t="s">
        <v>1036</v>
      </c>
      <c r="P1798" s="17"/>
      <c r="Q1798" s="17" t="str">
        <f>_xlfn.XLOOKUP(Table2[[#This Row],[buyFromVendorNo]],'Next Day Scheduled'!A:A,'Pending Returns'!O:O,"NOT_FOUND")</f>
        <v>Posted Credit Note</v>
      </c>
    </row>
    <row r="1799" spans="1:17" x14ac:dyDescent="0.3">
      <c r="A1799" s="1">
        <v>46205</v>
      </c>
      <c r="B1799" t="s">
        <v>2617</v>
      </c>
      <c r="C1799" t="s">
        <v>95</v>
      </c>
      <c r="D1799" t="s">
        <v>96</v>
      </c>
      <c r="E1799" t="s">
        <v>8</v>
      </c>
      <c r="F1799" t="s">
        <v>10</v>
      </c>
      <c r="G1799" s="16">
        <v>2141.4902000000002</v>
      </c>
      <c r="H1799" s="16">
        <v>2462.7136</v>
      </c>
      <c r="I1799" s="1">
        <v>46174</v>
      </c>
      <c r="J1799">
        <v>54</v>
      </c>
      <c r="K1799" t="s">
        <v>2618</v>
      </c>
      <c r="L1799" t="s">
        <v>6502</v>
      </c>
      <c r="M1799">
        <v>8</v>
      </c>
      <c r="N1799">
        <v>1</v>
      </c>
      <c r="O1799" t="s">
        <v>1036</v>
      </c>
      <c r="P1799" s="17"/>
      <c r="Q1799" s="17" t="str">
        <f>_xlfn.XLOOKUP(Table2[[#This Row],[buyFromVendorNo]],'Next Day Scheduled'!A:A,'Pending Returns'!O:O,"NOT_FOUND")</f>
        <v>NOT_FOUND</v>
      </c>
    </row>
    <row r="1800" spans="1:17" x14ac:dyDescent="0.3">
      <c r="A1800" s="1">
        <v>46205</v>
      </c>
      <c r="B1800" t="s">
        <v>3426</v>
      </c>
      <c r="C1800" t="s">
        <v>1707</v>
      </c>
      <c r="D1800" t="s">
        <v>1708</v>
      </c>
      <c r="E1800" t="s">
        <v>8</v>
      </c>
      <c r="F1800" t="s">
        <v>10</v>
      </c>
      <c r="G1800" s="16">
        <v>10.26</v>
      </c>
      <c r="H1800" s="16">
        <v>11.798999999999999</v>
      </c>
      <c r="J1800">
        <v>54</v>
      </c>
      <c r="K1800" t="s">
        <v>6508</v>
      </c>
      <c r="M1800">
        <v>0</v>
      </c>
      <c r="N1800">
        <v>561</v>
      </c>
      <c r="O1800" t="s">
        <v>216</v>
      </c>
      <c r="P1800" s="17"/>
      <c r="Q1800" s="17" t="str">
        <f>_xlfn.XLOOKUP(Table2[[#This Row],[buyFromVendorNo]],'Next Day Scheduled'!A:A,'Pending Returns'!O:O,"NOT_FOUND")</f>
        <v>NOT_FOUND</v>
      </c>
    </row>
    <row r="1801" spans="1:17" x14ac:dyDescent="0.3">
      <c r="A1801" s="1">
        <v>46205</v>
      </c>
      <c r="B1801" t="s">
        <v>2940</v>
      </c>
      <c r="C1801" t="s">
        <v>2930</v>
      </c>
      <c r="D1801" t="s">
        <v>2931</v>
      </c>
      <c r="E1801" t="s">
        <v>8</v>
      </c>
      <c r="F1801" t="s">
        <v>10</v>
      </c>
      <c r="G1801" s="16">
        <v>78.19</v>
      </c>
      <c r="H1801" s="16">
        <v>89.918499999999995</v>
      </c>
      <c r="I1801" s="1">
        <v>46205</v>
      </c>
      <c r="J1801">
        <v>54</v>
      </c>
      <c r="K1801" t="s">
        <v>5373</v>
      </c>
      <c r="L1801" t="s">
        <v>6452</v>
      </c>
      <c r="M1801">
        <v>0</v>
      </c>
      <c r="N1801">
        <v>191</v>
      </c>
      <c r="O1801" t="s">
        <v>1036</v>
      </c>
      <c r="P1801" s="17"/>
      <c r="Q1801" s="17" t="str">
        <f>_xlfn.XLOOKUP(Table2[[#This Row],[buyFromVendorNo]],'Next Day Scheduled'!A:A,'Pending Returns'!O:O,"NOT_FOUND")</f>
        <v>NOT_FOUND</v>
      </c>
    </row>
    <row r="1802" spans="1:17" x14ac:dyDescent="0.3">
      <c r="A1802" s="1">
        <v>46205</v>
      </c>
      <c r="B1802" t="s">
        <v>2849</v>
      </c>
      <c r="C1802" t="s">
        <v>534</v>
      </c>
      <c r="D1802" t="s">
        <v>535</v>
      </c>
      <c r="E1802" t="s">
        <v>8</v>
      </c>
      <c r="F1802" t="s">
        <v>10</v>
      </c>
      <c r="G1802" s="16">
        <v>606.66489999999999</v>
      </c>
      <c r="H1802" s="16">
        <v>697.66459999999995</v>
      </c>
      <c r="J1802">
        <v>54</v>
      </c>
      <c r="K1802" t="s">
        <v>6507</v>
      </c>
      <c r="M1802">
        <v>6</v>
      </c>
      <c r="N1802">
        <v>2</v>
      </c>
      <c r="O1802" t="s">
        <v>216</v>
      </c>
      <c r="P1802" s="17"/>
      <c r="Q1802" s="17" t="str">
        <f>_xlfn.XLOOKUP(Table2[[#This Row],[buyFromVendorNo]],'Next Day Scheduled'!A:A,'Pending Returns'!O:O,"NOT_FOUND")</f>
        <v>NOT_FOUND</v>
      </c>
    </row>
    <row r="1803" spans="1:17" x14ac:dyDescent="0.3">
      <c r="A1803" s="1">
        <v>46205</v>
      </c>
      <c r="B1803" t="s">
        <v>2452</v>
      </c>
      <c r="C1803" t="s">
        <v>880</v>
      </c>
      <c r="D1803" t="s">
        <v>881</v>
      </c>
      <c r="E1803" t="s">
        <v>8</v>
      </c>
      <c r="F1803" t="s">
        <v>10</v>
      </c>
      <c r="G1803" s="16">
        <v>764.98</v>
      </c>
      <c r="H1803" s="16">
        <v>879.72699999999998</v>
      </c>
      <c r="I1803" s="1">
        <v>46205</v>
      </c>
      <c r="J1803">
        <v>54</v>
      </c>
      <c r="K1803" t="s">
        <v>6304</v>
      </c>
      <c r="L1803" t="s">
        <v>6473</v>
      </c>
      <c r="M1803">
        <v>4</v>
      </c>
      <c r="N1803">
        <v>13</v>
      </c>
      <c r="O1803" t="s">
        <v>1036</v>
      </c>
      <c r="P1803" s="17"/>
      <c r="Q1803" s="17" t="str">
        <f>_xlfn.XLOOKUP(Table2[[#This Row],[buyFromVendorNo]],'Next Day Scheduled'!A:A,'Pending Returns'!O:O,"NOT_FOUND")</f>
        <v>NOT_FOUND</v>
      </c>
    </row>
    <row r="1804" spans="1:17" x14ac:dyDescent="0.3">
      <c r="A1804" s="1">
        <v>46205</v>
      </c>
      <c r="B1804" t="s">
        <v>3328</v>
      </c>
      <c r="C1804" t="s">
        <v>6457</v>
      </c>
      <c r="D1804" t="s">
        <v>6458</v>
      </c>
      <c r="E1804" t="s">
        <v>8</v>
      </c>
      <c r="F1804" t="s">
        <v>10</v>
      </c>
      <c r="G1804" s="16">
        <v>3.8</v>
      </c>
      <c r="H1804" s="16">
        <v>4.37</v>
      </c>
      <c r="J1804">
        <v>54</v>
      </c>
      <c r="K1804" t="s">
        <v>6459</v>
      </c>
      <c r="M1804">
        <v>0</v>
      </c>
      <c r="O1804" t="s">
        <v>216</v>
      </c>
      <c r="P1804" s="17"/>
      <c r="Q1804" s="17" t="str">
        <f>_xlfn.XLOOKUP(Table2[[#This Row],[buyFromVendorNo]],'Next Day Scheduled'!A:A,'Pending Returns'!O:O,"NOT_FOUND")</f>
        <v>NOT_FOUND</v>
      </c>
    </row>
    <row r="1805" spans="1:17" x14ac:dyDescent="0.3">
      <c r="A1805" s="1">
        <v>46205</v>
      </c>
      <c r="B1805" t="s">
        <v>3255</v>
      </c>
      <c r="C1805" t="s">
        <v>470</v>
      </c>
      <c r="D1805" t="s">
        <v>471</v>
      </c>
      <c r="E1805" t="s">
        <v>8</v>
      </c>
      <c r="F1805" t="s">
        <v>10</v>
      </c>
      <c r="G1805" s="16">
        <v>1738.9875</v>
      </c>
      <c r="H1805" s="16">
        <v>1880.5530000000001</v>
      </c>
      <c r="I1805" s="1">
        <v>46184</v>
      </c>
      <c r="J1805">
        <v>54</v>
      </c>
      <c r="K1805" t="s">
        <v>3534</v>
      </c>
      <c r="L1805" t="s">
        <v>6460</v>
      </c>
      <c r="M1805">
        <v>9</v>
      </c>
      <c r="N1805">
        <v>6</v>
      </c>
      <c r="O1805" t="s">
        <v>1036</v>
      </c>
      <c r="P1805" s="17"/>
      <c r="Q1805" s="17" t="str">
        <f>_xlfn.XLOOKUP(Table2[[#This Row],[buyFromVendorNo]],'Next Day Scheduled'!A:A,'Pending Returns'!O:O,"NOT_FOUND")</f>
        <v>NOT_FOUND</v>
      </c>
    </row>
    <row r="1806" spans="1:17" x14ac:dyDescent="0.3">
      <c r="A1806" s="1">
        <v>46205</v>
      </c>
      <c r="B1806" t="s">
        <v>6485</v>
      </c>
      <c r="C1806" t="s">
        <v>2804</v>
      </c>
      <c r="D1806" t="s">
        <v>2805</v>
      </c>
      <c r="E1806" t="s">
        <v>8</v>
      </c>
      <c r="F1806" t="s">
        <v>10</v>
      </c>
      <c r="G1806" s="16">
        <v>13.65</v>
      </c>
      <c r="H1806" s="16">
        <v>15.6975</v>
      </c>
      <c r="J1806">
        <v>54</v>
      </c>
      <c r="K1806" t="s">
        <v>6486</v>
      </c>
      <c r="M1806">
        <v>0</v>
      </c>
      <c r="O1806" t="s">
        <v>216</v>
      </c>
      <c r="P1806" s="17"/>
      <c r="Q1806" s="17" t="str">
        <f>_xlfn.XLOOKUP(Table2[[#This Row],[buyFromVendorNo]],'Next Day Scheduled'!A:A,'Pending Returns'!O:O,"NOT_FOUND")</f>
        <v>NOT_FOUND</v>
      </c>
    </row>
    <row r="1807" spans="1:17" x14ac:dyDescent="0.3">
      <c r="A1807" s="1">
        <v>46205</v>
      </c>
      <c r="B1807" t="s">
        <v>1886</v>
      </c>
      <c r="C1807" t="s">
        <v>177</v>
      </c>
      <c r="D1807" t="s">
        <v>178</v>
      </c>
      <c r="E1807" t="s">
        <v>8</v>
      </c>
      <c r="F1807" t="s">
        <v>10</v>
      </c>
      <c r="G1807" s="16">
        <v>3016.03</v>
      </c>
      <c r="H1807" s="16">
        <v>3468.4342999999999</v>
      </c>
      <c r="I1807" s="1">
        <v>46185</v>
      </c>
      <c r="J1807">
        <v>54</v>
      </c>
      <c r="K1807" t="s">
        <v>2152</v>
      </c>
      <c r="L1807" t="s">
        <v>6461</v>
      </c>
      <c r="M1807">
        <v>15</v>
      </c>
      <c r="N1807">
        <v>2</v>
      </c>
      <c r="O1807" t="s">
        <v>1036</v>
      </c>
      <c r="P1807" s="17"/>
      <c r="Q1807" s="17" t="str">
        <f>_xlfn.XLOOKUP(Table2[[#This Row],[buyFromVendorNo]],'Next Day Scheduled'!A:A,'Pending Returns'!O:O,"NOT_FOUND")</f>
        <v>Posted Credit Note</v>
      </c>
    </row>
    <row r="1808" spans="1:17" x14ac:dyDescent="0.3">
      <c r="A1808" s="1">
        <v>46205</v>
      </c>
      <c r="B1808" t="s">
        <v>3249</v>
      </c>
      <c r="C1808" t="s">
        <v>576</v>
      </c>
      <c r="D1808" t="s">
        <v>577</v>
      </c>
      <c r="E1808" t="s">
        <v>8</v>
      </c>
      <c r="F1808" t="s">
        <v>10</v>
      </c>
      <c r="G1808" s="16">
        <v>1044.3544999999999</v>
      </c>
      <c r="H1808" s="16">
        <v>1201.0077000000001</v>
      </c>
      <c r="I1808" s="1">
        <v>46205</v>
      </c>
      <c r="J1808">
        <v>54</v>
      </c>
      <c r="K1808" t="s">
        <v>5376</v>
      </c>
      <c r="L1808" t="s">
        <v>6491</v>
      </c>
      <c r="M1808">
        <v>9</v>
      </c>
      <c r="N1808">
        <v>3</v>
      </c>
      <c r="O1808" t="s">
        <v>1036</v>
      </c>
      <c r="P1808" s="17"/>
      <c r="Q1808" s="17" t="str">
        <f>_xlfn.XLOOKUP(Table2[[#This Row],[buyFromVendorNo]],'Next Day Scheduled'!A:A,'Pending Returns'!O:O,"NOT_FOUND")</f>
        <v>NOT_FOUND</v>
      </c>
    </row>
    <row r="1809" spans="1:17" x14ac:dyDescent="0.3">
      <c r="A1809" s="1">
        <v>46205</v>
      </c>
      <c r="B1809" t="s">
        <v>5474</v>
      </c>
      <c r="C1809" t="s">
        <v>2930</v>
      </c>
      <c r="D1809" t="s">
        <v>2931</v>
      </c>
      <c r="E1809" t="s">
        <v>8</v>
      </c>
      <c r="F1809" t="s">
        <v>10</v>
      </c>
      <c r="G1809" s="16">
        <v>26.05</v>
      </c>
      <c r="H1809" s="16">
        <v>29.9575</v>
      </c>
      <c r="I1809" s="1">
        <v>46205</v>
      </c>
      <c r="J1809">
        <v>54</v>
      </c>
      <c r="K1809" t="s">
        <v>5475</v>
      </c>
      <c r="L1809" t="s">
        <v>6443</v>
      </c>
      <c r="M1809">
        <v>0</v>
      </c>
      <c r="N1809">
        <v>191</v>
      </c>
      <c r="O1809" t="s">
        <v>1036</v>
      </c>
      <c r="P1809" s="17"/>
      <c r="Q1809" s="17" t="str">
        <f>_xlfn.XLOOKUP(Table2[[#This Row],[buyFromVendorNo]],'Next Day Scheduled'!A:A,'Pending Returns'!O:O,"NOT_FOUND")</f>
        <v>NOT_FOUND</v>
      </c>
    </row>
    <row r="1810" spans="1:17" x14ac:dyDescent="0.3">
      <c r="A1810" s="1">
        <v>46205</v>
      </c>
      <c r="B1810" t="s">
        <v>2580</v>
      </c>
      <c r="C1810" t="s">
        <v>133</v>
      </c>
      <c r="D1810" t="s">
        <v>134</v>
      </c>
      <c r="E1810" t="s">
        <v>8</v>
      </c>
      <c r="F1810" t="s">
        <v>10</v>
      </c>
      <c r="G1810" s="16">
        <v>484.59005999999999</v>
      </c>
      <c r="H1810" s="16">
        <v>557.27855999999997</v>
      </c>
      <c r="I1810" s="1">
        <v>46197</v>
      </c>
      <c r="J1810">
        <v>54</v>
      </c>
      <c r="K1810" t="s">
        <v>5238</v>
      </c>
      <c r="L1810" t="s">
        <v>6479</v>
      </c>
      <c r="M1810">
        <v>10</v>
      </c>
      <c r="N1810">
        <v>12</v>
      </c>
      <c r="O1810" t="s">
        <v>1036</v>
      </c>
      <c r="P1810" s="17"/>
      <c r="Q1810" s="17" t="str">
        <f>_xlfn.XLOOKUP(Table2[[#This Row],[buyFromVendorNo]],'Next Day Scheduled'!A:A,'Pending Returns'!O:O,"NOT_FOUND")</f>
        <v>NOT_FOUND</v>
      </c>
    </row>
    <row r="1811" spans="1:17" x14ac:dyDescent="0.3">
      <c r="A1811" s="1">
        <v>46205</v>
      </c>
      <c r="B1811" t="s">
        <v>3018</v>
      </c>
      <c r="C1811" t="s">
        <v>177</v>
      </c>
      <c r="D1811" t="s">
        <v>178</v>
      </c>
      <c r="E1811" t="s">
        <v>8</v>
      </c>
      <c r="F1811" t="s">
        <v>10</v>
      </c>
      <c r="G1811" s="16">
        <v>2207.21</v>
      </c>
      <c r="H1811" s="16">
        <v>2538.2914999999998</v>
      </c>
      <c r="I1811" s="1">
        <v>46185</v>
      </c>
      <c r="J1811">
        <v>54</v>
      </c>
      <c r="K1811" t="s">
        <v>3943</v>
      </c>
      <c r="L1811" t="s">
        <v>6495</v>
      </c>
      <c r="M1811">
        <v>15</v>
      </c>
      <c r="N1811">
        <v>2</v>
      </c>
      <c r="O1811" t="s">
        <v>1036</v>
      </c>
      <c r="P1811" s="17"/>
      <c r="Q1811" s="17" t="str">
        <f>_xlfn.XLOOKUP(Table2[[#This Row],[buyFromVendorNo]],'Next Day Scheduled'!A:A,'Pending Returns'!O:O,"NOT_FOUND")</f>
        <v>Posted Credit Note</v>
      </c>
    </row>
    <row r="1812" spans="1:17" x14ac:dyDescent="0.3">
      <c r="A1812" s="1">
        <v>46205</v>
      </c>
      <c r="B1812" t="s">
        <v>5087</v>
      </c>
      <c r="C1812" t="s">
        <v>512</v>
      </c>
      <c r="D1812" t="s">
        <v>513</v>
      </c>
      <c r="E1812" t="s">
        <v>8</v>
      </c>
      <c r="F1812" t="s">
        <v>10</v>
      </c>
      <c r="G1812" s="16">
        <v>227.67385999999999</v>
      </c>
      <c r="H1812" s="16">
        <v>261.82495</v>
      </c>
      <c r="I1812" s="1">
        <v>46204</v>
      </c>
      <c r="J1812">
        <v>54</v>
      </c>
      <c r="K1812" t="s">
        <v>4932</v>
      </c>
      <c r="L1812" t="s">
        <v>6465</v>
      </c>
      <c r="M1812">
        <v>8</v>
      </c>
      <c r="N1812">
        <v>3</v>
      </c>
      <c r="O1812" t="s">
        <v>1036</v>
      </c>
      <c r="P1812" s="17"/>
      <c r="Q1812" s="17" t="str">
        <f>_xlfn.XLOOKUP(Table2[[#This Row],[buyFromVendorNo]],'Next Day Scheduled'!A:A,'Pending Returns'!O:O,"NOT_FOUND")</f>
        <v>NOT_FOUND</v>
      </c>
    </row>
    <row r="1813" spans="1:17" x14ac:dyDescent="0.3">
      <c r="A1813" s="1">
        <v>46205</v>
      </c>
      <c r="B1813" t="s">
        <v>1328</v>
      </c>
      <c r="C1813" t="s">
        <v>146</v>
      </c>
      <c r="D1813" t="s">
        <v>147</v>
      </c>
      <c r="E1813" t="s">
        <v>8</v>
      </c>
      <c r="F1813" t="s">
        <v>10</v>
      </c>
      <c r="G1813" s="16">
        <v>1274.95</v>
      </c>
      <c r="H1813" s="16">
        <v>1466.1925000000001</v>
      </c>
      <c r="I1813" s="1">
        <v>46202</v>
      </c>
      <c r="J1813">
        <v>54</v>
      </c>
      <c r="K1813" t="s">
        <v>5045</v>
      </c>
      <c r="L1813" t="s">
        <v>6464</v>
      </c>
      <c r="M1813">
        <v>8</v>
      </c>
      <c r="N1813">
        <v>2</v>
      </c>
      <c r="O1813" t="s">
        <v>1036</v>
      </c>
      <c r="P1813" s="17"/>
      <c r="Q1813" s="17" t="str">
        <f>_xlfn.XLOOKUP(Table2[[#This Row],[buyFromVendorNo]],'Next Day Scheduled'!A:A,'Pending Returns'!O:O,"NOT_FOUND")</f>
        <v>NOT_FOUND</v>
      </c>
    </row>
    <row r="1814" spans="1:17" x14ac:dyDescent="0.3">
      <c r="A1814" s="1">
        <v>46205</v>
      </c>
      <c r="B1814" t="s">
        <v>1947</v>
      </c>
      <c r="C1814" t="s">
        <v>95</v>
      </c>
      <c r="D1814" t="s">
        <v>96</v>
      </c>
      <c r="E1814" t="s">
        <v>8</v>
      </c>
      <c r="F1814" t="s">
        <v>10</v>
      </c>
      <c r="G1814" s="16">
        <v>3119.4497000000001</v>
      </c>
      <c r="H1814" s="16">
        <v>3587.3670000000002</v>
      </c>
      <c r="I1814" s="1">
        <v>46194</v>
      </c>
      <c r="J1814">
        <v>54</v>
      </c>
      <c r="K1814" t="s">
        <v>5056</v>
      </c>
      <c r="L1814" t="s">
        <v>6504</v>
      </c>
      <c r="M1814">
        <v>8</v>
      </c>
      <c r="N1814">
        <v>1</v>
      </c>
      <c r="O1814" t="s">
        <v>1036</v>
      </c>
      <c r="P1814" s="17"/>
      <c r="Q1814" s="17" t="str">
        <f>_xlfn.XLOOKUP(Table2[[#This Row],[buyFromVendorNo]],'Next Day Scheduled'!A:A,'Pending Returns'!O:O,"NOT_FOUND")</f>
        <v>NOT_FOUND</v>
      </c>
    </row>
    <row r="1815" spans="1:17" x14ac:dyDescent="0.3">
      <c r="A1815" s="1">
        <v>46205</v>
      </c>
      <c r="B1815" t="s">
        <v>640</v>
      </c>
      <c r="C1815" t="s">
        <v>470</v>
      </c>
      <c r="D1815" t="s">
        <v>471</v>
      </c>
      <c r="E1815" t="s">
        <v>8</v>
      </c>
      <c r="F1815" t="s">
        <v>10</v>
      </c>
      <c r="G1815" s="16">
        <v>24221.096000000001</v>
      </c>
      <c r="H1815" s="16">
        <v>27011.317999999999</v>
      </c>
      <c r="I1815" s="1">
        <v>46184</v>
      </c>
      <c r="J1815">
        <v>54</v>
      </c>
      <c r="K1815" t="s">
        <v>797</v>
      </c>
      <c r="L1815" t="s">
        <v>6451</v>
      </c>
      <c r="M1815">
        <v>9</v>
      </c>
      <c r="N1815">
        <v>6</v>
      </c>
      <c r="O1815" t="s">
        <v>1036</v>
      </c>
      <c r="P1815" s="17"/>
      <c r="Q1815" s="17" t="str">
        <f>_xlfn.XLOOKUP(Table2[[#This Row],[buyFromVendorNo]],'Next Day Scheduled'!A:A,'Pending Returns'!O:O,"NOT_FOUND")</f>
        <v>NOT_FOUND</v>
      </c>
    </row>
    <row r="1816" spans="1:17" x14ac:dyDescent="0.3">
      <c r="A1816" s="1">
        <v>46205</v>
      </c>
      <c r="B1816" t="s">
        <v>5061</v>
      </c>
      <c r="C1816" t="s">
        <v>65</v>
      </c>
      <c r="D1816" t="s">
        <v>66</v>
      </c>
      <c r="E1816" t="s">
        <v>8</v>
      </c>
      <c r="F1816" t="s">
        <v>10</v>
      </c>
      <c r="G1816" s="16">
        <v>3153.6696999999999</v>
      </c>
      <c r="H1816" s="16">
        <v>3626.7202000000002</v>
      </c>
      <c r="I1816" s="1">
        <v>46205</v>
      </c>
      <c r="J1816">
        <v>54</v>
      </c>
      <c r="K1816" t="s">
        <v>6123</v>
      </c>
      <c r="L1816" t="s">
        <v>6510</v>
      </c>
      <c r="M1816">
        <v>19</v>
      </c>
      <c r="N1816">
        <v>5</v>
      </c>
      <c r="O1816" t="s">
        <v>1036</v>
      </c>
      <c r="P1816" s="17"/>
      <c r="Q1816" s="17" t="str">
        <f>_xlfn.XLOOKUP(Table2[[#This Row],[buyFromVendorNo]],'Next Day Scheduled'!A:A,'Pending Returns'!O:O,"NOT_FOUND")</f>
        <v>Posted Credit Note</v>
      </c>
    </row>
    <row r="1817" spans="1:17" x14ac:dyDescent="0.3">
      <c r="A1817" s="1">
        <v>46205</v>
      </c>
      <c r="B1817" t="s">
        <v>1777</v>
      </c>
      <c r="C1817" t="s">
        <v>191</v>
      </c>
      <c r="D1817" t="s">
        <v>192</v>
      </c>
      <c r="E1817" t="s">
        <v>8</v>
      </c>
      <c r="F1817" t="s">
        <v>10</v>
      </c>
      <c r="G1817" s="16">
        <v>673.45</v>
      </c>
      <c r="H1817" s="16">
        <v>774.46749999999997</v>
      </c>
      <c r="I1817" s="1">
        <v>46199</v>
      </c>
      <c r="J1817">
        <v>54</v>
      </c>
      <c r="K1817" t="s">
        <v>5963</v>
      </c>
      <c r="L1817" t="s">
        <v>6437</v>
      </c>
      <c r="M1817">
        <v>7</v>
      </c>
      <c r="N1817">
        <v>3</v>
      </c>
      <c r="O1817" t="s">
        <v>1036</v>
      </c>
      <c r="P1817" s="17"/>
      <c r="Q1817" s="17" t="str">
        <f>_xlfn.XLOOKUP(Table2[[#This Row],[buyFromVendorNo]],'Next Day Scheduled'!A:A,'Pending Returns'!O:O,"NOT_FOUND")</f>
        <v>NOT_FOUND</v>
      </c>
    </row>
    <row r="1818" spans="1:17" x14ac:dyDescent="0.3">
      <c r="A1818" s="1">
        <v>46205</v>
      </c>
      <c r="B1818" t="s">
        <v>5196</v>
      </c>
      <c r="C1818" t="s">
        <v>2341</v>
      </c>
      <c r="D1818" t="s">
        <v>2342</v>
      </c>
      <c r="E1818" t="s">
        <v>8</v>
      </c>
      <c r="F1818" t="s">
        <v>10</v>
      </c>
      <c r="G1818" s="16">
        <v>1632.8333</v>
      </c>
      <c r="H1818" s="16">
        <v>1877.7582</v>
      </c>
      <c r="I1818" s="1">
        <v>46182</v>
      </c>
      <c r="J1818">
        <v>54</v>
      </c>
      <c r="K1818" t="s">
        <v>4622</v>
      </c>
      <c r="L1818" t="s">
        <v>6440</v>
      </c>
      <c r="M1818">
        <v>1</v>
      </c>
      <c r="N1818">
        <v>47</v>
      </c>
      <c r="O1818" t="s">
        <v>1036</v>
      </c>
      <c r="P1818" s="17"/>
      <c r="Q1818" s="17" t="str">
        <f>_xlfn.XLOOKUP(Table2[[#This Row],[buyFromVendorNo]],'Next Day Scheduled'!A:A,'Pending Returns'!O:O,"NOT_FOUND")</f>
        <v>NOT_FOUND</v>
      </c>
    </row>
    <row r="1819" spans="1:17" x14ac:dyDescent="0.3">
      <c r="A1819" s="1">
        <v>46205</v>
      </c>
      <c r="B1819" t="s">
        <v>5353</v>
      </c>
      <c r="C1819" t="s">
        <v>146</v>
      </c>
      <c r="D1819" t="s">
        <v>147</v>
      </c>
      <c r="E1819" t="s">
        <v>8</v>
      </c>
      <c r="F1819" t="s">
        <v>10</v>
      </c>
      <c r="G1819" s="16">
        <v>140.44999999999999</v>
      </c>
      <c r="H1819" s="16">
        <v>161.51750000000001</v>
      </c>
      <c r="I1819" s="1">
        <v>46202</v>
      </c>
      <c r="J1819">
        <v>54</v>
      </c>
      <c r="K1819" t="s">
        <v>5354</v>
      </c>
      <c r="L1819" t="s">
        <v>6441</v>
      </c>
      <c r="M1819">
        <v>8</v>
      </c>
      <c r="N1819">
        <v>2</v>
      </c>
      <c r="O1819" t="s">
        <v>1036</v>
      </c>
      <c r="P1819" s="17"/>
      <c r="Q1819" s="17" t="str">
        <f>_xlfn.XLOOKUP(Table2[[#This Row],[buyFromVendorNo]],'Next Day Scheduled'!A:A,'Pending Returns'!O:O,"NOT_FOUND")</f>
        <v>NOT_FOUND</v>
      </c>
    </row>
    <row r="1820" spans="1:17" x14ac:dyDescent="0.3">
      <c r="A1820" s="1">
        <v>46205</v>
      </c>
      <c r="B1820" t="s">
        <v>3421</v>
      </c>
      <c r="C1820" t="s">
        <v>470</v>
      </c>
      <c r="D1820" t="s">
        <v>471</v>
      </c>
      <c r="E1820" t="s">
        <v>8</v>
      </c>
      <c r="F1820" t="s">
        <v>10</v>
      </c>
      <c r="G1820" s="16">
        <v>3469.3467000000001</v>
      </c>
      <c r="H1820" s="16">
        <v>3815.6410000000001</v>
      </c>
      <c r="I1820" s="1">
        <v>46184</v>
      </c>
      <c r="J1820">
        <v>54</v>
      </c>
      <c r="K1820" t="s">
        <v>3209</v>
      </c>
      <c r="L1820" t="s">
        <v>6493</v>
      </c>
      <c r="M1820">
        <v>9</v>
      </c>
      <c r="N1820">
        <v>6</v>
      </c>
      <c r="O1820" t="s">
        <v>1036</v>
      </c>
      <c r="P1820" s="17"/>
      <c r="Q1820" s="17" t="str">
        <f>_xlfn.XLOOKUP(Table2[[#This Row],[buyFromVendorNo]],'Next Day Scheduled'!A:A,'Pending Returns'!O:O,"NOT_FOUND")</f>
        <v>NOT_FOUND</v>
      </c>
    </row>
    <row r="1821" spans="1:17" x14ac:dyDescent="0.3">
      <c r="A1821" s="1">
        <v>46205</v>
      </c>
      <c r="B1821" t="s">
        <v>539</v>
      </c>
      <c r="C1821" t="s">
        <v>177</v>
      </c>
      <c r="D1821" t="s">
        <v>178</v>
      </c>
      <c r="E1821" t="s">
        <v>8</v>
      </c>
      <c r="F1821" t="s">
        <v>10</v>
      </c>
      <c r="G1821" s="16">
        <v>2397.3200000000002</v>
      </c>
      <c r="H1821" s="16">
        <v>2756.9180000000001</v>
      </c>
      <c r="I1821" s="1">
        <v>46185</v>
      </c>
      <c r="J1821">
        <v>54</v>
      </c>
      <c r="K1821" t="s">
        <v>1756</v>
      </c>
      <c r="L1821" t="s">
        <v>6444</v>
      </c>
      <c r="M1821">
        <v>15</v>
      </c>
      <c r="N1821">
        <v>2</v>
      </c>
      <c r="O1821" t="s">
        <v>1036</v>
      </c>
      <c r="P1821" s="17"/>
      <c r="Q1821" s="17" t="str">
        <f>_xlfn.XLOOKUP(Table2[[#This Row],[buyFromVendorNo]],'Next Day Scheduled'!A:A,'Pending Returns'!O:O,"NOT_FOUND")</f>
        <v>Posted Credit Note</v>
      </c>
    </row>
    <row r="1822" spans="1:17" x14ac:dyDescent="0.3">
      <c r="A1822" s="1">
        <v>46205</v>
      </c>
      <c r="B1822" t="s">
        <v>1953</v>
      </c>
      <c r="C1822" t="s">
        <v>133</v>
      </c>
      <c r="D1822" t="s">
        <v>134</v>
      </c>
      <c r="E1822" t="s">
        <v>8</v>
      </c>
      <c r="F1822" t="s">
        <v>10</v>
      </c>
      <c r="G1822" s="16">
        <v>1470.2838999999999</v>
      </c>
      <c r="H1822" s="16">
        <v>1690.8264999999999</v>
      </c>
      <c r="I1822" s="1">
        <v>46197</v>
      </c>
      <c r="J1822">
        <v>54</v>
      </c>
      <c r="K1822" t="s">
        <v>4378</v>
      </c>
      <c r="L1822" t="s">
        <v>6498</v>
      </c>
      <c r="M1822">
        <v>10</v>
      </c>
      <c r="N1822">
        <v>12</v>
      </c>
      <c r="O1822" t="s">
        <v>1036</v>
      </c>
      <c r="P1822" s="17"/>
      <c r="Q1822" s="17" t="str">
        <f>_xlfn.XLOOKUP(Table2[[#This Row],[buyFromVendorNo]],'Next Day Scheduled'!A:A,'Pending Returns'!O:O,"NOT_FOUND")</f>
        <v>NOT_FOUND</v>
      </c>
    </row>
    <row r="1823" spans="1:17" x14ac:dyDescent="0.3">
      <c r="A1823" s="1">
        <v>46205</v>
      </c>
      <c r="B1823" t="s">
        <v>3992</v>
      </c>
      <c r="C1823" t="s">
        <v>3993</v>
      </c>
      <c r="D1823" t="s">
        <v>3994</v>
      </c>
      <c r="E1823" t="s">
        <v>8</v>
      </c>
      <c r="F1823" t="s">
        <v>10</v>
      </c>
      <c r="G1823" s="16">
        <v>496</v>
      </c>
      <c r="H1823" s="16">
        <v>498.625</v>
      </c>
      <c r="I1823" s="1">
        <v>46191</v>
      </c>
      <c r="J1823">
        <v>54</v>
      </c>
      <c r="K1823" t="s">
        <v>3995</v>
      </c>
      <c r="L1823" t="s">
        <v>6466</v>
      </c>
      <c r="M1823">
        <v>7</v>
      </c>
      <c r="N1823">
        <v>9</v>
      </c>
      <c r="O1823" t="s">
        <v>1036</v>
      </c>
      <c r="P1823" s="17"/>
      <c r="Q1823" s="17" t="str">
        <f>_xlfn.XLOOKUP(Table2[[#This Row],[buyFromVendorNo]],'Next Day Scheduled'!A:A,'Pending Returns'!O:O,"NOT_FOUND")</f>
        <v>NOT_FOUND</v>
      </c>
    </row>
    <row r="1824" spans="1:17" x14ac:dyDescent="0.3">
      <c r="A1824" s="1">
        <v>46205</v>
      </c>
      <c r="B1824" t="s">
        <v>472</v>
      </c>
      <c r="C1824" t="s">
        <v>95</v>
      </c>
      <c r="D1824" t="s">
        <v>96</v>
      </c>
      <c r="E1824" t="s">
        <v>8</v>
      </c>
      <c r="F1824" t="s">
        <v>10</v>
      </c>
      <c r="G1824" s="16">
        <v>4361.8500000000004</v>
      </c>
      <c r="H1824" s="16">
        <v>5016.1274000000003</v>
      </c>
      <c r="I1824" s="1">
        <v>46187</v>
      </c>
      <c r="J1824">
        <v>54</v>
      </c>
      <c r="K1824" t="s">
        <v>4589</v>
      </c>
      <c r="L1824" t="s">
        <v>6467</v>
      </c>
      <c r="M1824">
        <v>8</v>
      </c>
      <c r="N1824">
        <v>1</v>
      </c>
      <c r="O1824" t="s">
        <v>1036</v>
      </c>
      <c r="P1824" s="17"/>
      <c r="Q1824" s="17" t="str">
        <f>_xlfn.XLOOKUP(Table2[[#This Row],[buyFromVendorNo]],'Next Day Scheduled'!A:A,'Pending Returns'!O:O,"NOT_FOUND")</f>
        <v>NOT_FOUND</v>
      </c>
    </row>
    <row r="1825" spans="1:17" x14ac:dyDescent="0.3">
      <c r="A1825" s="1">
        <v>46205</v>
      </c>
      <c r="B1825" t="s">
        <v>3812</v>
      </c>
      <c r="C1825" t="s">
        <v>470</v>
      </c>
      <c r="D1825" t="s">
        <v>471</v>
      </c>
      <c r="E1825" t="s">
        <v>8</v>
      </c>
      <c r="F1825" t="s">
        <v>10</v>
      </c>
      <c r="G1825" s="16">
        <v>592.85</v>
      </c>
      <c r="H1825" s="16">
        <v>606.1925</v>
      </c>
      <c r="I1825" s="1">
        <v>46184</v>
      </c>
      <c r="J1825">
        <v>54</v>
      </c>
      <c r="K1825" t="s">
        <v>3813</v>
      </c>
      <c r="L1825" t="s">
        <v>6469</v>
      </c>
      <c r="M1825">
        <v>9</v>
      </c>
      <c r="N1825">
        <v>6</v>
      </c>
      <c r="O1825" t="s">
        <v>1036</v>
      </c>
      <c r="P1825" s="17"/>
      <c r="Q1825" s="17" t="str">
        <f>_xlfn.XLOOKUP(Table2[[#This Row],[buyFromVendorNo]],'Next Day Scheduled'!A:A,'Pending Returns'!O:O,"NOT_FOUND")</f>
        <v>NOT_FOUND</v>
      </c>
    </row>
    <row r="1826" spans="1:17" x14ac:dyDescent="0.3">
      <c r="A1826" s="1">
        <v>46205</v>
      </c>
      <c r="B1826" t="s">
        <v>642</v>
      </c>
      <c r="C1826" t="s">
        <v>39</v>
      </c>
      <c r="D1826" t="s">
        <v>40</v>
      </c>
      <c r="E1826" t="s">
        <v>8</v>
      </c>
      <c r="F1826" t="s">
        <v>38</v>
      </c>
      <c r="G1826" s="16">
        <v>1023.70734</v>
      </c>
      <c r="H1826" s="16">
        <v>1177.2634</v>
      </c>
      <c r="J1826">
        <v>54</v>
      </c>
      <c r="K1826" t="s">
        <v>6512</v>
      </c>
      <c r="M1826">
        <v>14</v>
      </c>
      <c r="N1826">
        <v>22</v>
      </c>
      <c r="O1826" t="s">
        <v>216</v>
      </c>
      <c r="P1826" s="17"/>
      <c r="Q1826" s="17" t="str">
        <f>_xlfn.XLOOKUP(Table2[[#This Row],[buyFromVendorNo]],'Next Day Scheduled'!A:A,'Pending Returns'!O:O,"NOT_FOUND")</f>
        <v>Posted Credit Note</v>
      </c>
    </row>
    <row r="1827" spans="1:17" x14ac:dyDescent="0.3">
      <c r="A1827" s="1">
        <v>46205</v>
      </c>
      <c r="B1827" t="s">
        <v>3284</v>
      </c>
      <c r="C1827" t="s">
        <v>937</v>
      </c>
      <c r="D1827" t="s">
        <v>938</v>
      </c>
      <c r="E1827" t="s">
        <v>8</v>
      </c>
      <c r="F1827" t="s">
        <v>10</v>
      </c>
      <c r="G1827" s="16">
        <v>453.53789999999998</v>
      </c>
      <c r="H1827" s="16">
        <v>521.56859999999995</v>
      </c>
      <c r="J1827">
        <v>54</v>
      </c>
      <c r="K1827" t="s">
        <v>6455</v>
      </c>
      <c r="M1827">
        <v>5</v>
      </c>
      <c r="N1827">
        <v>12</v>
      </c>
      <c r="O1827" t="s">
        <v>216</v>
      </c>
      <c r="P1827" s="17"/>
      <c r="Q1827" s="17" t="str">
        <f>_xlfn.XLOOKUP(Table2[[#This Row],[buyFromVendorNo]],'Next Day Scheduled'!A:A,'Pending Returns'!O:O,"NOT_FOUND")</f>
        <v>NOT_FOUND</v>
      </c>
    </row>
    <row r="1828" spans="1:17" x14ac:dyDescent="0.3">
      <c r="A1828" s="1">
        <v>46205</v>
      </c>
      <c r="B1828" t="s">
        <v>2849</v>
      </c>
      <c r="C1828" t="s">
        <v>576</v>
      </c>
      <c r="D1828" t="s">
        <v>577</v>
      </c>
      <c r="E1828" t="s">
        <v>8</v>
      </c>
      <c r="F1828" t="s">
        <v>10</v>
      </c>
      <c r="G1828" s="16">
        <v>1755.4888000000001</v>
      </c>
      <c r="H1828" s="16">
        <v>2018.8121000000001</v>
      </c>
      <c r="I1828" s="1">
        <v>46205</v>
      </c>
      <c r="J1828">
        <v>54</v>
      </c>
      <c r="K1828" t="s">
        <v>6188</v>
      </c>
      <c r="L1828" t="s">
        <v>6472</v>
      </c>
      <c r="M1828">
        <v>9</v>
      </c>
      <c r="N1828">
        <v>3</v>
      </c>
      <c r="O1828" t="s">
        <v>1036</v>
      </c>
      <c r="P1828" s="17"/>
      <c r="Q1828" s="17" t="str">
        <f>_xlfn.XLOOKUP(Table2[[#This Row],[buyFromVendorNo]],'Next Day Scheduled'!A:A,'Pending Returns'!O:O,"NOT_FOUND")</f>
        <v>NOT_FOUND</v>
      </c>
    </row>
    <row r="1829" spans="1:17" x14ac:dyDescent="0.3">
      <c r="A1829" s="1">
        <v>46205</v>
      </c>
      <c r="B1829" t="s">
        <v>4053</v>
      </c>
      <c r="C1829" t="s">
        <v>406</v>
      </c>
      <c r="D1829" t="s">
        <v>407</v>
      </c>
      <c r="E1829" t="s">
        <v>8</v>
      </c>
      <c r="F1829" t="s">
        <v>10</v>
      </c>
      <c r="G1829" s="16">
        <v>640</v>
      </c>
      <c r="H1829" s="16">
        <v>736</v>
      </c>
      <c r="J1829">
        <v>54</v>
      </c>
      <c r="K1829" t="s">
        <v>6513</v>
      </c>
      <c r="M1829">
        <v>0</v>
      </c>
      <c r="O1829" t="s">
        <v>216</v>
      </c>
      <c r="P1829" s="17"/>
      <c r="Q1829" s="17" t="str">
        <f>_xlfn.XLOOKUP(Table2[[#This Row],[buyFromVendorNo]],'Next Day Scheduled'!A:A,'Pending Returns'!O:O,"NOT_FOUND")</f>
        <v>NOT_FOUND</v>
      </c>
    </row>
    <row r="1830" spans="1:17" x14ac:dyDescent="0.3">
      <c r="A1830" s="1">
        <v>46205</v>
      </c>
      <c r="B1830" t="s">
        <v>2457</v>
      </c>
      <c r="C1830" t="s">
        <v>95</v>
      </c>
      <c r="D1830" t="s">
        <v>96</v>
      </c>
      <c r="E1830" t="s">
        <v>8</v>
      </c>
      <c r="F1830" t="s">
        <v>10</v>
      </c>
      <c r="G1830" s="16">
        <v>5248.23</v>
      </c>
      <c r="H1830" s="16">
        <v>6035.4650000000001</v>
      </c>
      <c r="I1830" s="1">
        <v>46184</v>
      </c>
      <c r="J1830">
        <v>54</v>
      </c>
      <c r="K1830" t="s">
        <v>3938</v>
      </c>
      <c r="L1830" t="s">
        <v>6515</v>
      </c>
      <c r="M1830">
        <v>8</v>
      </c>
      <c r="N1830">
        <v>1</v>
      </c>
      <c r="O1830" t="s">
        <v>1036</v>
      </c>
      <c r="P1830" s="17"/>
      <c r="Q1830" s="17" t="str">
        <f>_xlfn.XLOOKUP(Table2[[#This Row],[buyFromVendorNo]],'Next Day Scheduled'!A:A,'Pending Returns'!O:O,"NOT_FOUND")</f>
        <v>NOT_FOUND</v>
      </c>
    </row>
    <row r="1831" spans="1:17" x14ac:dyDescent="0.3">
      <c r="A1831" s="1">
        <v>46205</v>
      </c>
      <c r="B1831" t="s">
        <v>3259</v>
      </c>
      <c r="C1831" t="s">
        <v>49</v>
      </c>
      <c r="D1831" t="s">
        <v>50</v>
      </c>
      <c r="E1831" t="s">
        <v>8</v>
      </c>
      <c r="F1831" t="s">
        <v>10</v>
      </c>
      <c r="G1831" s="16">
        <v>1779.8933</v>
      </c>
      <c r="H1831" s="16">
        <v>2046.8773000000001</v>
      </c>
      <c r="I1831" s="1">
        <v>46203</v>
      </c>
      <c r="J1831">
        <v>54</v>
      </c>
      <c r="K1831" t="s">
        <v>4641</v>
      </c>
      <c r="L1831" t="s">
        <v>6476</v>
      </c>
      <c r="M1831">
        <v>5</v>
      </c>
      <c r="N1831">
        <v>15</v>
      </c>
      <c r="O1831" t="s">
        <v>1036</v>
      </c>
      <c r="P1831" s="17"/>
      <c r="Q1831" s="17" t="str">
        <f>_xlfn.XLOOKUP(Table2[[#This Row],[buyFromVendorNo]],'Next Day Scheduled'!A:A,'Pending Returns'!O:O,"NOT_FOUND")</f>
        <v>NOT_FOUND</v>
      </c>
    </row>
    <row r="1832" spans="1:17" x14ac:dyDescent="0.3">
      <c r="A1832" s="1">
        <v>46205</v>
      </c>
      <c r="B1832" t="s">
        <v>642</v>
      </c>
      <c r="C1832" t="s">
        <v>39</v>
      </c>
      <c r="D1832" t="s">
        <v>40</v>
      </c>
      <c r="E1832" t="s">
        <v>8</v>
      </c>
      <c r="F1832" t="s">
        <v>38</v>
      </c>
      <c r="G1832" s="16">
        <v>2271.2658999999999</v>
      </c>
      <c r="H1832" s="16">
        <v>2611.9558000000002</v>
      </c>
      <c r="J1832">
        <v>54</v>
      </c>
      <c r="K1832" t="s">
        <v>6489</v>
      </c>
      <c r="M1832">
        <v>14</v>
      </c>
      <c r="N1832">
        <v>22</v>
      </c>
      <c r="O1832" t="s">
        <v>216</v>
      </c>
      <c r="P1832" s="17"/>
      <c r="Q1832" s="17" t="str">
        <f>_xlfn.XLOOKUP(Table2[[#This Row],[buyFromVendorNo]],'Next Day Scheduled'!A:A,'Pending Returns'!O:O,"NOT_FOUND")</f>
        <v>Posted Credit Note</v>
      </c>
    </row>
    <row r="1833" spans="1:17" x14ac:dyDescent="0.3">
      <c r="A1833" s="1">
        <v>46205</v>
      </c>
      <c r="B1833" t="s">
        <v>686</v>
      </c>
      <c r="C1833" t="s">
        <v>880</v>
      </c>
      <c r="D1833" t="s">
        <v>881</v>
      </c>
      <c r="E1833" t="s">
        <v>8</v>
      </c>
      <c r="F1833" t="s">
        <v>10</v>
      </c>
      <c r="G1833" s="16">
        <v>1300.02</v>
      </c>
      <c r="H1833" s="16">
        <v>1495.0229999999999</v>
      </c>
      <c r="I1833" s="1">
        <v>46205</v>
      </c>
      <c r="J1833">
        <v>54</v>
      </c>
      <c r="K1833" t="s">
        <v>6369</v>
      </c>
      <c r="L1833" t="s">
        <v>6478</v>
      </c>
      <c r="M1833">
        <v>4</v>
      </c>
      <c r="N1833">
        <v>13</v>
      </c>
      <c r="O1833" t="s">
        <v>1036</v>
      </c>
      <c r="P1833" s="17"/>
      <c r="Q1833" s="17" t="str">
        <f>_xlfn.XLOOKUP(Table2[[#This Row],[buyFromVendorNo]],'Next Day Scheduled'!A:A,'Pending Returns'!O:O,"NOT_FOUND")</f>
        <v>NOT_FOUND</v>
      </c>
    </row>
    <row r="1834" spans="1:17" x14ac:dyDescent="0.3">
      <c r="A1834" s="1">
        <v>46205</v>
      </c>
      <c r="B1834" t="s">
        <v>2884</v>
      </c>
      <c r="C1834" t="s">
        <v>25</v>
      </c>
      <c r="D1834" t="s">
        <v>26</v>
      </c>
      <c r="E1834" t="s">
        <v>8</v>
      </c>
      <c r="F1834" t="s">
        <v>10</v>
      </c>
      <c r="G1834" s="16">
        <v>609.6</v>
      </c>
      <c r="H1834" s="16">
        <v>701.04</v>
      </c>
      <c r="J1834">
        <v>54</v>
      </c>
      <c r="K1834" t="s">
        <v>6500</v>
      </c>
      <c r="M1834">
        <v>7</v>
      </c>
      <c r="N1834">
        <v>7</v>
      </c>
      <c r="O1834" t="s">
        <v>216</v>
      </c>
      <c r="P1834" s="17"/>
      <c r="Q1834" s="17" t="str">
        <f>_xlfn.XLOOKUP(Table2[[#This Row],[buyFromVendorNo]],'Next Day Scheduled'!A:A,'Pending Returns'!O:O,"NOT_FOUND")</f>
        <v>NOT_FOUND</v>
      </c>
    </row>
    <row r="1835" spans="1:17" x14ac:dyDescent="0.3">
      <c r="A1835" s="1">
        <v>46205</v>
      </c>
      <c r="B1835" t="s">
        <v>2386</v>
      </c>
      <c r="C1835" t="s">
        <v>830</v>
      </c>
      <c r="D1835" t="s">
        <v>831</v>
      </c>
      <c r="E1835" t="s">
        <v>8</v>
      </c>
      <c r="F1835" t="s">
        <v>10</v>
      </c>
      <c r="G1835" s="16">
        <v>12386.4</v>
      </c>
      <c r="H1835" s="16">
        <v>12386.4</v>
      </c>
      <c r="I1835" s="1">
        <v>46199</v>
      </c>
      <c r="J1835">
        <v>54</v>
      </c>
      <c r="K1835" t="s">
        <v>2224</v>
      </c>
      <c r="L1835" t="s">
        <v>6501</v>
      </c>
      <c r="M1835">
        <v>0</v>
      </c>
      <c r="N1835">
        <v>367</v>
      </c>
      <c r="O1835" t="s">
        <v>1036</v>
      </c>
      <c r="P1835" s="17"/>
      <c r="Q1835" s="17" t="str">
        <f>_xlfn.XLOOKUP(Table2[[#This Row],[buyFromVendorNo]],'Next Day Scheduled'!A:A,'Pending Returns'!O:O,"NOT_FOUND")</f>
        <v>NOT_FOUND</v>
      </c>
    </row>
    <row r="1836" spans="1:17" x14ac:dyDescent="0.3">
      <c r="A1836" s="1">
        <v>46205</v>
      </c>
      <c r="B1836" t="s">
        <v>4698</v>
      </c>
      <c r="C1836" t="s">
        <v>3993</v>
      </c>
      <c r="D1836" t="s">
        <v>3994</v>
      </c>
      <c r="E1836" t="s">
        <v>8</v>
      </c>
      <c r="F1836" t="s">
        <v>10</v>
      </c>
      <c r="G1836" s="16">
        <v>270</v>
      </c>
      <c r="H1836" s="16">
        <v>270</v>
      </c>
      <c r="I1836" s="1">
        <v>46191</v>
      </c>
      <c r="J1836">
        <v>54</v>
      </c>
      <c r="K1836" t="s">
        <v>4656</v>
      </c>
      <c r="L1836" t="s">
        <v>6505</v>
      </c>
      <c r="M1836">
        <v>7</v>
      </c>
      <c r="N1836">
        <v>9</v>
      </c>
      <c r="O1836" t="s">
        <v>1036</v>
      </c>
      <c r="P1836" s="17"/>
      <c r="Q1836" s="17" t="str">
        <f>_xlfn.XLOOKUP(Table2[[#This Row],[buyFromVendorNo]],'Next Day Scheduled'!A:A,'Pending Returns'!O:O,"NOT_FOUND")</f>
        <v>NOT_FOUND</v>
      </c>
    </row>
    <row r="1837" spans="1:17" x14ac:dyDescent="0.3">
      <c r="A1837" s="1">
        <v>46205</v>
      </c>
      <c r="B1837" t="s">
        <v>2600</v>
      </c>
      <c r="C1837" t="s">
        <v>534</v>
      </c>
      <c r="D1837" t="s">
        <v>535</v>
      </c>
      <c r="E1837" t="s">
        <v>8</v>
      </c>
      <c r="F1837" t="s">
        <v>10</v>
      </c>
      <c r="G1837" s="16">
        <v>943.01969999999994</v>
      </c>
      <c r="H1837" s="16">
        <v>1084.4727</v>
      </c>
      <c r="I1837" s="1">
        <v>46185</v>
      </c>
      <c r="J1837">
        <v>54</v>
      </c>
      <c r="K1837" t="s">
        <v>2601</v>
      </c>
      <c r="L1837" t="s">
        <v>6506</v>
      </c>
      <c r="M1837">
        <v>6</v>
      </c>
      <c r="N1837">
        <v>2</v>
      </c>
      <c r="O1837" t="s">
        <v>1036</v>
      </c>
      <c r="P1837" s="17"/>
      <c r="Q1837" s="17" t="str">
        <f>_xlfn.XLOOKUP(Table2[[#This Row],[buyFromVendorNo]],'Next Day Scheduled'!A:A,'Pending Returns'!O:O,"NOT_FOUND")</f>
        <v>NOT_FOUND</v>
      </c>
    </row>
    <row r="1838" spans="1:17" x14ac:dyDescent="0.3">
      <c r="A1838" s="1">
        <v>46205</v>
      </c>
      <c r="B1838" t="s">
        <v>2117</v>
      </c>
      <c r="C1838" t="s">
        <v>65</v>
      </c>
      <c r="D1838" t="s">
        <v>66</v>
      </c>
      <c r="E1838" t="s">
        <v>8</v>
      </c>
      <c r="F1838" t="s">
        <v>10</v>
      </c>
      <c r="G1838" s="16">
        <v>3444.7568000000001</v>
      </c>
      <c r="H1838" s="16">
        <v>3961.4704999999999</v>
      </c>
      <c r="I1838" s="1">
        <v>46205</v>
      </c>
      <c r="J1838">
        <v>54</v>
      </c>
      <c r="K1838" t="s">
        <v>6129</v>
      </c>
      <c r="L1838" t="s">
        <v>6448</v>
      </c>
      <c r="M1838">
        <v>19</v>
      </c>
      <c r="N1838">
        <v>5</v>
      </c>
      <c r="O1838" t="s">
        <v>1036</v>
      </c>
      <c r="P1838" s="17"/>
      <c r="Q1838" s="17" t="str">
        <f>_xlfn.XLOOKUP(Table2[[#This Row],[buyFromVendorNo]],'Next Day Scheduled'!A:A,'Pending Returns'!O:O,"NOT_FOUND")</f>
        <v>Posted Credit Note</v>
      </c>
    </row>
    <row r="1839" spans="1:17" x14ac:dyDescent="0.3">
      <c r="A1839" s="1">
        <v>46205</v>
      </c>
      <c r="B1839" t="s">
        <v>315</v>
      </c>
      <c r="C1839" t="s">
        <v>470</v>
      </c>
      <c r="D1839" t="s">
        <v>471</v>
      </c>
      <c r="E1839" t="s">
        <v>8</v>
      </c>
      <c r="F1839" t="s">
        <v>10</v>
      </c>
      <c r="G1839" s="16">
        <v>11215.9</v>
      </c>
      <c r="H1839" s="16">
        <v>11481.588</v>
      </c>
      <c r="I1839" s="1">
        <v>46184</v>
      </c>
      <c r="J1839">
        <v>54</v>
      </c>
      <c r="K1839" t="s">
        <v>2140</v>
      </c>
      <c r="L1839" t="s">
        <v>6468</v>
      </c>
      <c r="M1839">
        <v>9</v>
      </c>
      <c r="N1839">
        <v>6</v>
      </c>
      <c r="O1839" t="s">
        <v>1036</v>
      </c>
      <c r="P1839" s="17"/>
      <c r="Q1839" s="17" t="str">
        <f>_xlfn.XLOOKUP(Table2[[#This Row],[buyFromVendorNo]],'Next Day Scheduled'!A:A,'Pending Returns'!O:O,"NOT_FOUND")</f>
        <v>NOT_FOUND</v>
      </c>
    </row>
    <row r="1840" spans="1:17" x14ac:dyDescent="0.3">
      <c r="A1840" s="1">
        <v>46205</v>
      </c>
      <c r="B1840" t="s">
        <v>3420</v>
      </c>
      <c r="C1840" t="s">
        <v>133</v>
      </c>
      <c r="D1840" t="s">
        <v>134</v>
      </c>
      <c r="E1840" t="s">
        <v>8</v>
      </c>
      <c r="F1840" t="s">
        <v>10</v>
      </c>
      <c r="G1840" s="16">
        <v>240.40001000000001</v>
      </c>
      <c r="H1840" s="16">
        <v>276.46001999999999</v>
      </c>
      <c r="I1840" s="1">
        <v>46197</v>
      </c>
      <c r="J1840">
        <v>54</v>
      </c>
      <c r="K1840" t="s">
        <v>3208</v>
      </c>
      <c r="L1840" t="s">
        <v>6509</v>
      </c>
      <c r="M1840">
        <v>10</v>
      </c>
      <c r="N1840">
        <v>12</v>
      </c>
      <c r="O1840" t="s">
        <v>1036</v>
      </c>
      <c r="P1840" s="17"/>
      <c r="Q1840" s="17" t="str">
        <f>_xlfn.XLOOKUP(Table2[[#This Row],[buyFromVendorNo]],'Next Day Scheduled'!A:A,'Pending Returns'!O:O,"NOT_FOUND")</f>
        <v>NOT_FOUND</v>
      </c>
    </row>
    <row r="1841" spans="1:17" x14ac:dyDescent="0.3">
      <c r="A1841" s="1">
        <v>46205</v>
      </c>
      <c r="B1841" t="s">
        <v>4006</v>
      </c>
      <c r="C1841" t="s">
        <v>470</v>
      </c>
      <c r="D1841" t="s">
        <v>471</v>
      </c>
      <c r="E1841" t="s">
        <v>8</v>
      </c>
      <c r="F1841" t="s">
        <v>10</v>
      </c>
      <c r="G1841" s="16">
        <v>410.9</v>
      </c>
      <c r="H1841" s="16">
        <v>456.2525</v>
      </c>
      <c r="I1841" s="1">
        <v>46184</v>
      </c>
      <c r="J1841">
        <v>54</v>
      </c>
      <c r="K1841" t="s">
        <v>4007</v>
      </c>
      <c r="L1841" t="s">
        <v>6453</v>
      </c>
      <c r="M1841">
        <v>9</v>
      </c>
      <c r="N1841">
        <v>6</v>
      </c>
      <c r="O1841" t="s">
        <v>1036</v>
      </c>
      <c r="P1841" s="17"/>
      <c r="Q1841" s="17" t="str">
        <f>_xlfn.XLOOKUP(Table2[[#This Row],[buyFromVendorNo]],'Next Day Scheduled'!A:A,'Pending Returns'!O:O,"NOT_FOUND")</f>
        <v>NOT_FOUND</v>
      </c>
    </row>
    <row r="1842" spans="1:17" x14ac:dyDescent="0.3">
      <c r="A1842" s="1">
        <v>46205</v>
      </c>
      <c r="B1842" t="s">
        <v>3063</v>
      </c>
      <c r="C1842" t="s">
        <v>491</v>
      </c>
      <c r="D1842" t="s">
        <v>492</v>
      </c>
      <c r="E1842" t="s">
        <v>8</v>
      </c>
      <c r="F1842" t="s">
        <v>10</v>
      </c>
      <c r="G1842" s="16">
        <v>405.75</v>
      </c>
      <c r="H1842" s="16">
        <v>466.61250000000001</v>
      </c>
      <c r="I1842" s="1">
        <v>46202</v>
      </c>
      <c r="J1842">
        <v>54</v>
      </c>
      <c r="K1842" t="s">
        <v>5524</v>
      </c>
      <c r="L1842" t="s">
        <v>6483</v>
      </c>
      <c r="M1842">
        <v>8</v>
      </c>
      <c r="N1842">
        <v>2</v>
      </c>
      <c r="O1842" t="s">
        <v>1036</v>
      </c>
      <c r="P1842" s="17"/>
      <c r="Q1842" s="17" t="str">
        <f>_xlfn.XLOOKUP(Table2[[#This Row],[buyFromVendorNo]],'Next Day Scheduled'!A:A,'Pending Returns'!O:O,"NOT_FOUND")</f>
        <v>NOT_FOUND</v>
      </c>
    </row>
    <row r="1843" spans="1:17" x14ac:dyDescent="0.3">
      <c r="A1843" s="1">
        <v>46206</v>
      </c>
      <c r="B1843" t="s">
        <v>4883</v>
      </c>
      <c r="C1843" t="s">
        <v>65</v>
      </c>
      <c r="D1843" t="s">
        <v>66</v>
      </c>
      <c r="E1843" t="s">
        <v>8</v>
      </c>
      <c r="F1843" t="s">
        <v>10</v>
      </c>
      <c r="G1843" s="16">
        <v>3478.1995000000002</v>
      </c>
      <c r="H1843" s="16">
        <v>3999.9292</v>
      </c>
      <c r="J1843">
        <v>53</v>
      </c>
      <c r="K1843" t="s">
        <v>6529</v>
      </c>
      <c r="M1843">
        <v>19</v>
      </c>
      <c r="N1843">
        <v>5</v>
      </c>
      <c r="O1843" t="s">
        <v>216</v>
      </c>
      <c r="P1843" s="17"/>
      <c r="Q1843" s="17" t="str">
        <f>_xlfn.XLOOKUP(Table2[[#This Row],[buyFromVendorNo]],'Next Day Scheduled'!A:A,'Pending Returns'!O:O,"NOT_FOUND")</f>
        <v>Posted Credit Note</v>
      </c>
    </row>
    <row r="1844" spans="1:17" x14ac:dyDescent="0.3">
      <c r="A1844" s="1">
        <v>46207</v>
      </c>
      <c r="B1844" t="s">
        <v>2897</v>
      </c>
      <c r="C1844" t="s">
        <v>1743</v>
      </c>
      <c r="D1844" t="s">
        <v>1744</v>
      </c>
      <c r="E1844" t="s">
        <v>8</v>
      </c>
      <c r="F1844" t="s">
        <v>10</v>
      </c>
      <c r="G1844" s="16">
        <v>2202.7199999999998</v>
      </c>
      <c r="H1844" s="16">
        <v>2533.1280000000002</v>
      </c>
      <c r="I1844" s="1">
        <v>46193</v>
      </c>
      <c r="J1844">
        <v>52</v>
      </c>
      <c r="K1844" t="s">
        <v>2898</v>
      </c>
      <c r="L1844" t="s">
        <v>6590</v>
      </c>
      <c r="M1844">
        <v>4</v>
      </c>
      <c r="N1844">
        <v>19</v>
      </c>
      <c r="O1844" t="s">
        <v>1036</v>
      </c>
      <c r="P1844" s="17"/>
      <c r="Q1844" s="17" t="str">
        <f>_xlfn.XLOOKUP(Table2[[#This Row],[buyFromVendorNo]],'Next Day Scheduled'!A:A,'Pending Returns'!O:O,"NOT_FOUND")</f>
        <v>NOT_FOUND</v>
      </c>
    </row>
    <row r="1845" spans="1:17" x14ac:dyDescent="0.3">
      <c r="A1845" s="1">
        <v>46207</v>
      </c>
      <c r="B1845" t="s">
        <v>2522</v>
      </c>
      <c r="C1845" t="s">
        <v>4620</v>
      </c>
      <c r="D1845" t="s">
        <v>4621</v>
      </c>
      <c r="E1845" t="s">
        <v>8</v>
      </c>
      <c r="F1845" t="s">
        <v>10</v>
      </c>
      <c r="G1845" s="16">
        <v>8</v>
      </c>
      <c r="H1845" s="16">
        <v>9.1999999999999993</v>
      </c>
      <c r="I1845" s="1">
        <v>46203</v>
      </c>
      <c r="J1845">
        <v>52</v>
      </c>
      <c r="K1845" t="s">
        <v>5409</v>
      </c>
      <c r="L1845" t="s">
        <v>6591</v>
      </c>
      <c r="M1845">
        <v>3</v>
      </c>
      <c r="N1845">
        <v>14</v>
      </c>
      <c r="O1845" t="s">
        <v>1036</v>
      </c>
      <c r="P1845" s="17"/>
      <c r="Q1845" s="17" t="str">
        <f>_xlfn.XLOOKUP(Table2[[#This Row],[buyFromVendorNo]],'Next Day Scheduled'!A:A,'Pending Returns'!O:O,"NOT_FOUND")</f>
        <v>NOT_FOUND</v>
      </c>
    </row>
    <row r="1846" spans="1:17" x14ac:dyDescent="0.3">
      <c r="A1846" s="1">
        <v>46207</v>
      </c>
      <c r="B1846" t="s">
        <v>1730</v>
      </c>
      <c r="C1846" t="s">
        <v>863</v>
      </c>
      <c r="D1846" t="s">
        <v>864</v>
      </c>
      <c r="E1846" t="s">
        <v>8</v>
      </c>
      <c r="F1846" t="s">
        <v>10</v>
      </c>
      <c r="G1846" s="16">
        <v>6185.6220000000003</v>
      </c>
      <c r="H1846" s="16">
        <v>7113.4652999999998</v>
      </c>
      <c r="I1846" s="1">
        <v>46184</v>
      </c>
      <c r="J1846">
        <v>52</v>
      </c>
      <c r="K1846" t="s">
        <v>1014</v>
      </c>
      <c r="L1846" t="s">
        <v>6620</v>
      </c>
      <c r="M1846">
        <v>1</v>
      </c>
      <c r="N1846">
        <v>7</v>
      </c>
      <c r="O1846" t="s">
        <v>1036</v>
      </c>
      <c r="P1846" s="17"/>
      <c r="Q1846" s="17" t="str">
        <f>_xlfn.XLOOKUP(Table2[[#This Row],[buyFromVendorNo]],'Next Day Scheduled'!A:A,'Pending Returns'!O:O,"NOT_FOUND")</f>
        <v>NOT_FOUND</v>
      </c>
    </row>
    <row r="1847" spans="1:17" x14ac:dyDescent="0.3">
      <c r="A1847" s="1">
        <v>46207</v>
      </c>
      <c r="B1847" t="s">
        <v>3523</v>
      </c>
      <c r="C1847" t="s">
        <v>2166</v>
      </c>
      <c r="D1847" t="s">
        <v>2167</v>
      </c>
      <c r="E1847" t="s">
        <v>8</v>
      </c>
      <c r="F1847" t="s">
        <v>10</v>
      </c>
      <c r="G1847" s="16">
        <v>2032.6451</v>
      </c>
      <c r="H1847" s="16">
        <v>2337.5419999999999</v>
      </c>
      <c r="J1847">
        <v>52</v>
      </c>
      <c r="K1847" t="s">
        <v>6551</v>
      </c>
      <c r="M1847">
        <v>3</v>
      </c>
      <c r="N1847">
        <v>8</v>
      </c>
      <c r="O1847" t="s">
        <v>216</v>
      </c>
      <c r="P1847" s="17"/>
      <c r="Q1847" s="17" t="str">
        <f>_xlfn.XLOOKUP(Table2[[#This Row],[buyFromVendorNo]],'Next Day Scheduled'!A:A,'Pending Returns'!O:O,"NOT_FOUND")</f>
        <v>NOT_FOUND</v>
      </c>
    </row>
    <row r="1848" spans="1:17" x14ac:dyDescent="0.3">
      <c r="A1848" s="1">
        <v>46207</v>
      </c>
      <c r="B1848" t="s">
        <v>2765</v>
      </c>
      <c r="C1848" t="s">
        <v>2273</v>
      </c>
      <c r="D1848" t="s">
        <v>2274</v>
      </c>
      <c r="E1848" t="s">
        <v>8</v>
      </c>
      <c r="F1848" t="s">
        <v>10</v>
      </c>
      <c r="G1848" s="16">
        <v>858.25</v>
      </c>
      <c r="H1848" s="16">
        <v>986.98749999999995</v>
      </c>
      <c r="J1848">
        <v>52</v>
      </c>
      <c r="K1848" t="s">
        <v>6579</v>
      </c>
      <c r="M1848">
        <v>0</v>
      </c>
      <c r="N1848">
        <v>92</v>
      </c>
      <c r="O1848" t="s">
        <v>216</v>
      </c>
      <c r="P1848" s="17"/>
      <c r="Q1848" s="17" t="str">
        <f>_xlfn.XLOOKUP(Table2[[#This Row],[buyFromVendorNo]],'Next Day Scheduled'!A:A,'Pending Returns'!O:O,"NOT_FOUND")</f>
        <v>NOT_FOUND</v>
      </c>
    </row>
    <row r="1849" spans="1:17" x14ac:dyDescent="0.3">
      <c r="A1849" s="1">
        <v>46207</v>
      </c>
      <c r="B1849" t="s">
        <v>6656</v>
      </c>
      <c r="C1849" t="s">
        <v>39</v>
      </c>
      <c r="D1849" t="s">
        <v>40</v>
      </c>
      <c r="E1849" t="s">
        <v>8</v>
      </c>
      <c r="F1849" t="s">
        <v>10</v>
      </c>
      <c r="G1849" s="16">
        <v>2618.7017000000001</v>
      </c>
      <c r="H1849" s="16">
        <v>3011.5068000000001</v>
      </c>
      <c r="J1849">
        <v>52</v>
      </c>
      <c r="K1849" t="s">
        <v>6657</v>
      </c>
      <c r="M1849">
        <v>12</v>
      </c>
      <c r="N1849">
        <v>1</v>
      </c>
      <c r="O1849" t="s">
        <v>216</v>
      </c>
      <c r="P1849" s="17"/>
      <c r="Q1849" s="17" t="str">
        <f>_xlfn.XLOOKUP(Table2[[#This Row],[buyFromVendorNo]],'Next Day Scheduled'!A:A,'Pending Returns'!O:O,"NOT_FOUND")</f>
        <v>Posted Credit Note</v>
      </c>
    </row>
    <row r="1850" spans="1:17" x14ac:dyDescent="0.3">
      <c r="A1850" s="1">
        <v>46207</v>
      </c>
      <c r="B1850" t="s">
        <v>3448</v>
      </c>
      <c r="C1850" t="s">
        <v>2365</v>
      </c>
      <c r="D1850" t="s">
        <v>2366</v>
      </c>
      <c r="E1850" t="s">
        <v>8</v>
      </c>
      <c r="F1850" t="s">
        <v>10</v>
      </c>
      <c r="G1850" s="16">
        <v>609.39620000000002</v>
      </c>
      <c r="H1850" s="16">
        <v>700.80560000000003</v>
      </c>
      <c r="I1850" s="1">
        <v>46191</v>
      </c>
      <c r="J1850">
        <v>52</v>
      </c>
      <c r="K1850" t="s">
        <v>3172</v>
      </c>
      <c r="L1850" t="s">
        <v>6626</v>
      </c>
      <c r="M1850">
        <v>4</v>
      </c>
      <c r="N1850">
        <v>20</v>
      </c>
      <c r="O1850" t="s">
        <v>1036</v>
      </c>
      <c r="P1850" s="17"/>
      <c r="Q1850" s="17" t="str">
        <f>_xlfn.XLOOKUP(Table2[[#This Row],[buyFromVendorNo]],'Next Day Scheduled'!A:A,'Pending Returns'!O:O,"NOT_FOUND")</f>
        <v>NOT_FOUND</v>
      </c>
    </row>
    <row r="1851" spans="1:17" x14ac:dyDescent="0.3">
      <c r="A1851" s="1">
        <v>46207</v>
      </c>
      <c r="B1851" t="s">
        <v>3578</v>
      </c>
      <c r="C1851" t="s">
        <v>1743</v>
      </c>
      <c r="D1851" t="s">
        <v>1744</v>
      </c>
      <c r="E1851" t="s">
        <v>8</v>
      </c>
      <c r="F1851" t="s">
        <v>10</v>
      </c>
      <c r="G1851" s="16">
        <v>2581.23</v>
      </c>
      <c r="H1851" s="16">
        <v>2968.4146000000001</v>
      </c>
      <c r="I1851" s="1">
        <v>46193</v>
      </c>
      <c r="J1851">
        <v>52</v>
      </c>
      <c r="K1851" t="s">
        <v>3579</v>
      </c>
      <c r="L1851" t="s">
        <v>6607</v>
      </c>
      <c r="M1851">
        <v>4</v>
      </c>
      <c r="N1851">
        <v>19</v>
      </c>
      <c r="O1851" t="s">
        <v>1036</v>
      </c>
      <c r="P1851" s="17"/>
      <c r="Q1851" s="17" t="str">
        <f>_xlfn.XLOOKUP(Table2[[#This Row],[buyFromVendorNo]],'Next Day Scheduled'!A:A,'Pending Returns'!O:O,"NOT_FOUND")</f>
        <v>NOT_FOUND</v>
      </c>
    </row>
    <row r="1852" spans="1:17" x14ac:dyDescent="0.3">
      <c r="A1852" s="1">
        <v>46207</v>
      </c>
      <c r="B1852" t="s">
        <v>2773</v>
      </c>
      <c r="C1852" t="s">
        <v>863</v>
      </c>
      <c r="D1852" t="s">
        <v>864</v>
      </c>
      <c r="E1852" t="s">
        <v>8</v>
      </c>
      <c r="F1852" t="s">
        <v>10</v>
      </c>
      <c r="G1852" s="16">
        <v>2622.78</v>
      </c>
      <c r="H1852" s="16">
        <v>3016.1970000000001</v>
      </c>
      <c r="I1852" s="1">
        <v>46184</v>
      </c>
      <c r="J1852">
        <v>52</v>
      </c>
      <c r="K1852" t="s">
        <v>2774</v>
      </c>
      <c r="L1852" t="s">
        <v>6638</v>
      </c>
      <c r="M1852">
        <v>1</v>
      </c>
      <c r="N1852">
        <v>7</v>
      </c>
      <c r="O1852" t="s">
        <v>1036</v>
      </c>
      <c r="P1852" s="17"/>
      <c r="Q1852" s="17" t="str">
        <f>_xlfn.XLOOKUP(Table2[[#This Row],[buyFromVendorNo]],'Next Day Scheduled'!A:A,'Pending Returns'!O:O,"NOT_FOUND")</f>
        <v>NOT_FOUND</v>
      </c>
    </row>
    <row r="1853" spans="1:17" x14ac:dyDescent="0.3">
      <c r="A1853" s="1">
        <v>46207</v>
      </c>
      <c r="B1853" t="s">
        <v>4800</v>
      </c>
      <c r="C1853" t="s">
        <v>1743</v>
      </c>
      <c r="D1853" t="s">
        <v>1744</v>
      </c>
      <c r="E1853" t="s">
        <v>8</v>
      </c>
      <c r="F1853" t="s">
        <v>10</v>
      </c>
      <c r="G1853" s="16">
        <v>657.3</v>
      </c>
      <c r="H1853" s="16">
        <v>755.89499999999998</v>
      </c>
      <c r="I1853" s="1">
        <v>46193</v>
      </c>
      <c r="J1853">
        <v>52</v>
      </c>
      <c r="K1853" t="s">
        <v>4740</v>
      </c>
      <c r="L1853" t="s">
        <v>6580</v>
      </c>
      <c r="M1853">
        <v>4</v>
      </c>
      <c r="N1853">
        <v>19</v>
      </c>
      <c r="O1853" t="s">
        <v>1036</v>
      </c>
      <c r="P1853" s="17"/>
      <c r="Q1853" s="17" t="str">
        <f>_xlfn.XLOOKUP(Table2[[#This Row],[buyFromVendorNo]],'Next Day Scheduled'!A:A,'Pending Returns'!O:O,"NOT_FOUND")</f>
        <v>NOT_FOUND</v>
      </c>
    </row>
    <row r="1854" spans="1:17" x14ac:dyDescent="0.3">
      <c r="A1854" s="1">
        <v>46207</v>
      </c>
      <c r="B1854" t="s">
        <v>4084</v>
      </c>
      <c r="C1854" t="s">
        <v>2166</v>
      </c>
      <c r="D1854" t="s">
        <v>2167</v>
      </c>
      <c r="E1854" t="s">
        <v>8</v>
      </c>
      <c r="F1854" t="s">
        <v>10</v>
      </c>
      <c r="G1854" s="16">
        <v>1828.6489999999999</v>
      </c>
      <c r="H1854" s="16">
        <v>2102.9465</v>
      </c>
      <c r="I1854" s="1">
        <v>46204</v>
      </c>
      <c r="J1854">
        <v>52</v>
      </c>
      <c r="K1854" t="s">
        <v>4921</v>
      </c>
      <c r="L1854" t="s">
        <v>6572</v>
      </c>
      <c r="M1854">
        <v>3</v>
      </c>
      <c r="N1854">
        <v>8</v>
      </c>
      <c r="O1854" t="s">
        <v>1036</v>
      </c>
      <c r="P1854" s="17"/>
      <c r="Q1854" s="17" t="str">
        <f>_xlfn.XLOOKUP(Table2[[#This Row],[buyFromVendorNo]],'Next Day Scheduled'!A:A,'Pending Returns'!O:O,"NOT_FOUND")</f>
        <v>NOT_FOUND</v>
      </c>
    </row>
    <row r="1855" spans="1:17" x14ac:dyDescent="0.3">
      <c r="A1855" s="1">
        <v>46207</v>
      </c>
      <c r="B1855" t="s">
        <v>5394</v>
      </c>
      <c r="C1855" t="s">
        <v>423</v>
      </c>
      <c r="D1855" t="s">
        <v>424</v>
      </c>
      <c r="E1855" t="s">
        <v>8</v>
      </c>
      <c r="F1855" t="s">
        <v>10</v>
      </c>
      <c r="G1855" s="16">
        <v>60.417200000000001</v>
      </c>
      <c r="H1855" s="16">
        <v>69.479780000000005</v>
      </c>
      <c r="I1855" s="1">
        <v>46203</v>
      </c>
      <c r="J1855">
        <v>52</v>
      </c>
      <c r="K1855" t="s">
        <v>5395</v>
      </c>
      <c r="L1855" t="s">
        <v>6574</v>
      </c>
      <c r="M1855">
        <v>8</v>
      </c>
      <c r="N1855">
        <v>3</v>
      </c>
      <c r="O1855" t="s">
        <v>1036</v>
      </c>
      <c r="P1855" s="17"/>
      <c r="Q1855" s="17" t="str">
        <f>_xlfn.XLOOKUP(Table2[[#This Row],[buyFromVendorNo]],'Next Day Scheduled'!A:A,'Pending Returns'!O:O,"NOT_FOUND")</f>
        <v>NOT_FOUND</v>
      </c>
    </row>
    <row r="1856" spans="1:17" x14ac:dyDescent="0.3">
      <c r="A1856" s="1">
        <v>46207</v>
      </c>
      <c r="B1856" t="s">
        <v>2800</v>
      </c>
      <c r="C1856" t="s">
        <v>2166</v>
      </c>
      <c r="D1856" t="s">
        <v>2167</v>
      </c>
      <c r="E1856" t="s">
        <v>8</v>
      </c>
      <c r="F1856" t="s">
        <v>10</v>
      </c>
      <c r="G1856" s="16">
        <v>666.22450000000003</v>
      </c>
      <c r="H1856" s="16">
        <v>766.15814</v>
      </c>
      <c r="I1856" s="1">
        <v>46204</v>
      </c>
      <c r="J1856">
        <v>52</v>
      </c>
      <c r="K1856" t="s">
        <v>5402</v>
      </c>
      <c r="L1856" t="s">
        <v>6594</v>
      </c>
      <c r="M1856">
        <v>3</v>
      </c>
      <c r="N1856">
        <v>8</v>
      </c>
      <c r="O1856" t="s">
        <v>1036</v>
      </c>
      <c r="P1856" s="17"/>
      <c r="Q1856" s="17" t="str">
        <f>_xlfn.XLOOKUP(Table2[[#This Row],[buyFromVendorNo]],'Next Day Scheduled'!A:A,'Pending Returns'!O:O,"NOT_FOUND")</f>
        <v>NOT_FOUND</v>
      </c>
    </row>
    <row r="1857" spans="1:17" x14ac:dyDescent="0.3">
      <c r="A1857" s="1">
        <v>46207</v>
      </c>
      <c r="B1857" t="s">
        <v>2947</v>
      </c>
      <c r="C1857" t="s">
        <v>2267</v>
      </c>
      <c r="D1857" t="s">
        <v>2268</v>
      </c>
      <c r="E1857" t="s">
        <v>8</v>
      </c>
      <c r="F1857" t="s">
        <v>10</v>
      </c>
      <c r="G1857" s="16">
        <v>350.94979999999998</v>
      </c>
      <c r="H1857" s="16">
        <v>403.59224999999998</v>
      </c>
      <c r="I1857" s="1">
        <v>46207</v>
      </c>
      <c r="J1857">
        <v>52</v>
      </c>
      <c r="K1857" t="s">
        <v>6133</v>
      </c>
      <c r="L1857" t="s">
        <v>6576</v>
      </c>
      <c r="M1857">
        <v>7</v>
      </c>
      <c r="N1857">
        <v>2</v>
      </c>
      <c r="O1857" t="s">
        <v>1036</v>
      </c>
      <c r="P1857" s="17"/>
      <c r="Q1857" s="17" t="str">
        <f>_xlfn.XLOOKUP(Table2[[#This Row],[buyFromVendorNo]],'Next Day Scheduled'!A:A,'Pending Returns'!O:O,"NOT_FOUND")</f>
        <v>NOT_FOUND</v>
      </c>
    </row>
    <row r="1858" spans="1:17" x14ac:dyDescent="0.3">
      <c r="A1858" s="1">
        <v>46207</v>
      </c>
      <c r="B1858" t="s">
        <v>3305</v>
      </c>
      <c r="C1858" t="s">
        <v>1161</v>
      </c>
      <c r="D1858" t="s">
        <v>1162</v>
      </c>
      <c r="E1858" t="s">
        <v>8</v>
      </c>
      <c r="F1858" t="s">
        <v>10</v>
      </c>
      <c r="G1858" s="16">
        <v>1147.94</v>
      </c>
      <c r="H1858" s="16">
        <v>1320.1310000000001</v>
      </c>
      <c r="I1858" s="1">
        <v>46205</v>
      </c>
      <c r="J1858">
        <v>52</v>
      </c>
      <c r="K1858" t="s">
        <v>6344</v>
      </c>
      <c r="L1858" t="s">
        <v>6624</v>
      </c>
      <c r="M1858">
        <v>8</v>
      </c>
      <c r="N1858">
        <v>6</v>
      </c>
      <c r="O1858" t="s">
        <v>1036</v>
      </c>
      <c r="P1858" s="17"/>
      <c r="Q1858" s="17" t="str">
        <f>_xlfn.XLOOKUP(Table2[[#This Row],[buyFromVendorNo]],'Next Day Scheduled'!A:A,'Pending Returns'!O:O,"NOT_FOUND")</f>
        <v>NOT_FOUND</v>
      </c>
    </row>
    <row r="1859" spans="1:17" x14ac:dyDescent="0.3">
      <c r="A1859" s="1">
        <v>46207</v>
      </c>
      <c r="B1859" t="s">
        <v>3972</v>
      </c>
      <c r="C1859" t="s">
        <v>771</v>
      </c>
      <c r="D1859" t="s">
        <v>845</v>
      </c>
      <c r="E1859" t="s">
        <v>8</v>
      </c>
      <c r="F1859" t="s">
        <v>10</v>
      </c>
      <c r="G1859" s="16">
        <v>85.7</v>
      </c>
      <c r="H1859" s="16">
        <v>98.555000000000007</v>
      </c>
      <c r="I1859" s="1">
        <v>46191</v>
      </c>
      <c r="J1859">
        <v>52</v>
      </c>
      <c r="K1859" t="s">
        <v>4756</v>
      </c>
      <c r="L1859" t="s">
        <v>6553</v>
      </c>
      <c r="M1859">
        <v>7</v>
      </c>
      <c r="N1859">
        <v>8</v>
      </c>
      <c r="O1859" t="s">
        <v>1036</v>
      </c>
      <c r="P1859" s="17"/>
      <c r="Q1859" s="17" t="str">
        <f>_xlfn.XLOOKUP(Table2[[#This Row],[buyFromVendorNo]],'Next Day Scheduled'!A:A,'Pending Returns'!O:O,"NOT_FOUND")</f>
        <v>NOT_FOUND</v>
      </c>
    </row>
    <row r="1860" spans="1:17" x14ac:dyDescent="0.3">
      <c r="A1860" s="1">
        <v>46207</v>
      </c>
      <c r="B1860" t="s">
        <v>4374</v>
      </c>
      <c r="C1860" t="s">
        <v>2367</v>
      </c>
      <c r="D1860" t="s">
        <v>2368</v>
      </c>
      <c r="E1860" t="s">
        <v>8</v>
      </c>
      <c r="F1860" t="s">
        <v>10</v>
      </c>
      <c r="G1860" s="16">
        <v>260.86799999999999</v>
      </c>
      <c r="H1860" s="16">
        <v>299.9982</v>
      </c>
      <c r="I1860" s="1">
        <v>46191</v>
      </c>
      <c r="J1860">
        <v>52</v>
      </c>
      <c r="K1860" t="s">
        <v>4375</v>
      </c>
      <c r="L1860" t="s">
        <v>6581</v>
      </c>
      <c r="M1860">
        <v>6</v>
      </c>
      <c r="N1860">
        <v>12</v>
      </c>
      <c r="O1860" t="s">
        <v>1036</v>
      </c>
      <c r="P1860" s="17"/>
      <c r="Q1860" s="17" t="str">
        <f>_xlfn.XLOOKUP(Table2[[#This Row],[buyFromVendorNo]],'Next Day Scheduled'!A:A,'Pending Returns'!O:O,"NOT_FOUND")</f>
        <v>NOT_FOUND</v>
      </c>
    </row>
    <row r="1861" spans="1:17" x14ac:dyDescent="0.3">
      <c r="A1861" s="1">
        <v>46207</v>
      </c>
      <c r="B1861" t="s">
        <v>2903</v>
      </c>
      <c r="C1861" t="s">
        <v>1743</v>
      </c>
      <c r="D1861" t="s">
        <v>1744</v>
      </c>
      <c r="E1861" t="s">
        <v>8</v>
      </c>
      <c r="F1861" t="s">
        <v>10</v>
      </c>
      <c r="G1861" s="16">
        <v>3562.53</v>
      </c>
      <c r="H1861" s="16">
        <v>4096.9097000000002</v>
      </c>
      <c r="I1861" s="1">
        <v>46193</v>
      </c>
      <c r="J1861">
        <v>52</v>
      </c>
      <c r="K1861" t="s">
        <v>2904</v>
      </c>
      <c r="L1861" t="s">
        <v>6597</v>
      </c>
      <c r="M1861">
        <v>4</v>
      </c>
      <c r="N1861">
        <v>19</v>
      </c>
      <c r="O1861" t="s">
        <v>1036</v>
      </c>
      <c r="P1861" s="17"/>
      <c r="Q1861" s="17" t="str">
        <f>_xlfn.XLOOKUP(Table2[[#This Row],[buyFromVendorNo]],'Next Day Scheduled'!A:A,'Pending Returns'!O:O,"NOT_FOUND")</f>
        <v>NOT_FOUND</v>
      </c>
    </row>
    <row r="1862" spans="1:17" x14ac:dyDescent="0.3">
      <c r="A1862" s="1">
        <v>46207</v>
      </c>
      <c r="B1862" t="s">
        <v>2857</v>
      </c>
      <c r="C1862" t="s">
        <v>863</v>
      </c>
      <c r="D1862" t="s">
        <v>864</v>
      </c>
      <c r="E1862" t="s">
        <v>8</v>
      </c>
      <c r="F1862" t="s">
        <v>10</v>
      </c>
      <c r="G1862" s="16">
        <v>1582.086</v>
      </c>
      <c r="H1862" s="16">
        <v>1819.3988999999999</v>
      </c>
      <c r="I1862" s="1">
        <v>46184</v>
      </c>
      <c r="J1862">
        <v>52</v>
      </c>
      <c r="K1862" t="s">
        <v>2858</v>
      </c>
      <c r="L1862" t="s">
        <v>6611</v>
      </c>
      <c r="M1862">
        <v>1</v>
      </c>
      <c r="N1862">
        <v>7</v>
      </c>
      <c r="O1862" t="s">
        <v>1036</v>
      </c>
      <c r="P1862" s="17"/>
      <c r="Q1862" s="17" t="str">
        <f>_xlfn.XLOOKUP(Table2[[#This Row],[buyFromVendorNo]],'Next Day Scheduled'!A:A,'Pending Returns'!O:O,"NOT_FOUND")</f>
        <v>NOT_FOUND</v>
      </c>
    </row>
    <row r="1863" spans="1:17" x14ac:dyDescent="0.3">
      <c r="A1863" s="1">
        <v>46207</v>
      </c>
      <c r="B1863" t="s">
        <v>2634</v>
      </c>
      <c r="C1863" t="s">
        <v>4877</v>
      </c>
      <c r="D1863" t="s">
        <v>5340</v>
      </c>
      <c r="E1863" t="s">
        <v>8</v>
      </c>
      <c r="F1863" t="s">
        <v>10</v>
      </c>
      <c r="G1863" s="16">
        <v>49.445</v>
      </c>
      <c r="H1863" s="16">
        <v>56.861750000000001</v>
      </c>
      <c r="J1863">
        <v>52</v>
      </c>
      <c r="K1863" t="s">
        <v>6614</v>
      </c>
      <c r="M1863">
        <v>28</v>
      </c>
      <c r="N1863">
        <v>3</v>
      </c>
      <c r="O1863" t="s">
        <v>216</v>
      </c>
      <c r="P1863" s="17"/>
      <c r="Q1863" s="17" t="str">
        <f>_xlfn.XLOOKUP(Table2[[#This Row],[buyFromVendorNo]],'Next Day Scheduled'!A:A,'Pending Returns'!O:O,"NOT_FOUND")</f>
        <v>Posted Credit Note</v>
      </c>
    </row>
    <row r="1864" spans="1:17" x14ac:dyDescent="0.3">
      <c r="A1864" s="1">
        <v>46207</v>
      </c>
      <c r="B1864" t="s">
        <v>607</v>
      </c>
      <c r="C1864" t="s">
        <v>1743</v>
      </c>
      <c r="D1864" t="s">
        <v>1744</v>
      </c>
      <c r="E1864" t="s">
        <v>8</v>
      </c>
      <c r="F1864" t="s">
        <v>10</v>
      </c>
      <c r="G1864" s="16">
        <v>1221.56</v>
      </c>
      <c r="H1864" s="16">
        <v>1404.7940000000001</v>
      </c>
      <c r="I1864" s="1">
        <v>46193</v>
      </c>
      <c r="J1864">
        <v>52</v>
      </c>
      <c r="K1864" t="s">
        <v>3678</v>
      </c>
      <c r="L1864" t="s">
        <v>6632</v>
      </c>
      <c r="M1864">
        <v>4</v>
      </c>
      <c r="N1864">
        <v>19</v>
      </c>
      <c r="O1864" t="s">
        <v>1036</v>
      </c>
      <c r="P1864" s="17"/>
      <c r="Q1864" s="17" t="str">
        <f>_xlfn.XLOOKUP(Table2[[#This Row],[buyFromVendorNo]],'Next Day Scheduled'!A:A,'Pending Returns'!O:O,"NOT_FOUND")</f>
        <v>NOT_FOUND</v>
      </c>
    </row>
    <row r="1865" spans="1:17" x14ac:dyDescent="0.3">
      <c r="A1865" s="1">
        <v>46207</v>
      </c>
      <c r="B1865" t="s">
        <v>2518</v>
      </c>
      <c r="C1865" t="s">
        <v>448</v>
      </c>
      <c r="D1865" t="s">
        <v>449</v>
      </c>
      <c r="E1865" t="s">
        <v>8</v>
      </c>
      <c r="F1865" t="s">
        <v>38</v>
      </c>
      <c r="G1865" s="16">
        <v>472.5</v>
      </c>
      <c r="H1865" s="16">
        <v>543.375</v>
      </c>
      <c r="I1865" s="1">
        <v>46187</v>
      </c>
      <c r="J1865">
        <v>52</v>
      </c>
      <c r="K1865" t="s">
        <v>2519</v>
      </c>
      <c r="L1865" t="s">
        <v>6593</v>
      </c>
      <c r="M1865">
        <v>8</v>
      </c>
      <c r="N1865">
        <v>1</v>
      </c>
      <c r="O1865" t="s">
        <v>1036</v>
      </c>
      <c r="P1865" s="17"/>
      <c r="Q1865" s="17" t="str">
        <f>_xlfn.XLOOKUP(Table2[[#This Row],[buyFromVendorNo]],'Next Day Scheduled'!A:A,'Pending Returns'!O:O,"NOT_FOUND")</f>
        <v>NOT_FOUND</v>
      </c>
    </row>
    <row r="1866" spans="1:17" x14ac:dyDescent="0.3">
      <c r="A1866" s="1">
        <v>46207</v>
      </c>
      <c r="B1866" t="s">
        <v>3395</v>
      </c>
      <c r="C1866" t="s">
        <v>863</v>
      </c>
      <c r="D1866" t="s">
        <v>864</v>
      </c>
      <c r="E1866" t="s">
        <v>8</v>
      </c>
      <c r="F1866" t="s">
        <v>10</v>
      </c>
      <c r="G1866" s="16">
        <v>299.92950000000002</v>
      </c>
      <c r="H1866" s="16">
        <v>344.91895</v>
      </c>
      <c r="I1866" s="1">
        <v>46184</v>
      </c>
      <c r="J1866">
        <v>52</v>
      </c>
      <c r="K1866" t="s">
        <v>3971</v>
      </c>
      <c r="L1866" t="s">
        <v>6554</v>
      </c>
      <c r="M1866">
        <v>1</v>
      </c>
      <c r="N1866">
        <v>7</v>
      </c>
      <c r="O1866" t="s">
        <v>1036</v>
      </c>
      <c r="P1866" s="17"/>
      <c r="Q1866" s="17" t="str">
        <f>_xlfn.XLOOKUP(Table2[[#This Row],[buyFromVendorNo]],'Next Day Scheduled'!A:A,'Pending Returns'!O:O,"NOT_FOUND")</f>
        <v>NOT_FOUND</v>
      </c>
    </row>
    <row r="1867" spans="1:17" x14ac:dyDescent="0.3">
      <c r="A1867" s="1">
        <v>46207</v>
      </c>
      <c r="B1867" t="s">
        <v>3715</v>
      </c>
      <c r="C1867" t="s">
        <v>422</v>
      </c>
      <c r="D1867" t="s">
        <v>490</v>
      </c>
      <c r="E1867" t="s">
        <v>8</v>
      </c>
      <c r="F1867" t="s">
        <v>169</v>
      </c>
      <c r="G1867" s="16">
        <v>784.83745999999996</v>
      </c>
      <c r="H1867" s="16">
        <v>902.56309999999996</v>
      </c>
      <c r="I1867" s="1">
        <v>46202</v>
      </c>
      <c r="J1867">
        <v>52</v>
      </c>
      <c r="K1867" t="s">
        <v>6270</v>
      </c>
      <c r="L1867" t="s">
        <v>6599</v>
      </c>
      <c r="M1867">
        <v>7</v>
      </c>
      <c r="N1867">
        <v>3</v>
      </c>
      <c r="O1867" t="s">
        <v>1036</v>
      </c>
      <c r="P1867" s="17"/>
      <c r="Q1867" s="17" t="str">
        <f>_xlfn.XLOOKUP(Table2[[#This Row],[buyFromVendorNo]],'Next Day Scheduled'!A:A,'Pending Returns'!O:O,"NOT_FOUND")</f>
        <v>NOT_FOUND</v>
      </c>
    </row>
    <row r="1868" spans="1:17" x14ac:dyDescent="0.3">
      <c r="A1868" s="1">
        <v>46207</v>
      </c>
      <c r="B1868" t="s">
        <v>4174</v>
      </c>
      <c r="C1868" t="s">
        <v>1743</v>
      </c>
      <c r="D1868" t="s">
        <v>1744</v>
      </c>
      <c r="E1868" t="s">
        <v>8</v>
      </c>
      <c r="F1868" t="s">
        <v>10</v>
      </c>
      <c r="G1868" s="16">
        <v>1108.1600000000001</v>
      </c>
      <c r="H1868" s="16">
        <v>1274.384</v>
      </c>
      <c r="I1868" s="1">
        <v>46193</v>
      </c>
      <c r="J1868">
        <v>52</v>
      </c>
      <c r="K1868" t="s">
        <v>4139</v>
      </c>
      <c r="L1868" t="s">
        <v>6557</v>
      </c>
      <c r="M1868">
        <v>4</v>
      </c>
      <c r="N1868">
        <v>19</v>
      </c>
      <c r="O1868" t="s">
        <v>1036</v>
      </c>
      <c r="P1868" s="17"/>
      <c r="Q1868" s="17" t="str">
        <f>_xlfn.XLOOKUP(Table2[[#This Row],[buyFromVendorNo]],'Next Day Scheduled'!A:A,'Pending Returns'!O:O,"NOT_FOUND")</f>
        <v>NOT_FOUND</v>
      </c>
    </row>
    <row r="1869" spans="1:17" x14ac:dyDescent="0.3">
      <c r="A1869" s="1">
        <v>46207</v>
      </c>
      <c r="B1869" t="s">
        <v>5326</v>
      </c>
      <c r="C1869" t="s">
        <v>5495</v>
      </c>
      <c r="D1869" t="s">
        <v>5496</v>
      </c>
      <c r="E1869" t="s">
        <v>8</v>
      </c>
      <c r="F1869" t="s">
        <v>10</v>
      </c>
      <c r="G1869" s="16">
        <v>9.8800000000000008</v>
      </c>
      <c r="H1869" s="16">
        <v>11.3619995</v>
      </c>
      <c r="I1869" s="1">
        <v>46198</v>
      </c>
      <c r="J1869">
        <v>52</v>
      </c>
      <c r="K1869" t="s">
        <v>5497</v>
      </c>
      <c r="L1869" t="s">
        <v>6612</v>
      </c>
      <c r="M1869">
        <v>2</v>
      </c>
      <c r="N1869">
        <v>3</v>
      </c>
      <c r="O1869" t="s">
        <v>1036</v>
      </c>
      <c r="P1869" s="17"/>
      <c r="Q1869" s="17" t="str">
        <f>_xlfn.XLOOKUP(Table2[[#This Row],[buyFromVendorNo]],'Next Day Scheduled'!A:A,'Pending Returns'!O:O,"NOT_FOUND")</f>
        <v>NOT_FOUND</v>
      </c>
    </row>
    <row r="1870" spans="1:17" x14ac:dyDescent="0.3">
      <c r="A1870" s="1">
        <v>46207</v>
      </c>
      <c r="B1870" t="s">
        <v>2517</v>
      </c>
      <c r="C1870" t="s">
        <v>1161</v>
      </c>
      <c r="D1870" t="s">
        <v>1162</v>
      </c>
      <c r="E1870" t="s">
        <v>8</v>
      </c>
      <c r="F1870" t="s">
        <v>10</v>
      </c>
      <c r="G1870" s="16">
        <v>1098.32</v>
      </c>
      <c r="H1870" s="16">
        <v>1263.068</v>
      </c>
      <c r="I1870" s="1">
        <v>46205</v>
      </c>
      <c r="J1870">
        <v>52</v>
      </c>
      <c r="K1870" t="s">
        <v>6187</v>
      </c>
      <c r="L1870" t="s">
        <v>6628</v>
      </c>
      <c r="M1870">
        <v>8</v>
      </c>
      <c r="N1870">
        <v>6</v>
      </c>
      <c r="O1870" t="s">
        <v>1036</v>
      </c>
      <c r="P1870" s="17"/>
      <c r="Q1870" s="17" t="str">
        <f>_xlfn.XLOOKUP(Table2[[#This Row],[buyFromVendorNo]],'Next Day Scheduled'!A:A,'Pending Returns'!O:O,"NOT_FOUND")</f>
        <v>NOT_FOUND</v>
      </c>
    </row>
    <row r="1871" spans="1:17" x14ac:dyDescent="0.3">
      <c r="A1871" s="1">
        <v>46207</v>
      </c>
      <c r="B1871" t="s">
        <v>3697</v>
      </c>
      <c r="C1871" t="s">
        <v>1743</v>
      </c>
      <c r="D1871" t="s">
        <v>1744</v>
      </c>
      <c r="E1871" t="s">
        <v>8</v>
      </c>
      <c r="F1871" t="s">
        <v>10</v>
      </c>
      <c r="G1871" s="16">
        <v>964.81</v>
      </c>
      <c r="H1871" s="16">
        <v>1109.5315000000001</v>
      </c>
      <c r="I1871" s="1">
        <v>46193</v>
      </c>
      <c r="J1871">
        <v>52</v>
      </c>
      <c r="K1871" t="s">
        <v>3650</v>
      </c>
      <c r="L1871" t="s">
        <v>6613</v>
      </c>
      <c r="M1871">
        <v>4</v>
      </c>
      <c r="N1871">
        <v>19</v>
      </c>
      <c r="O1871" t="s">
        <v>1036</v>
      </c>
      <c r="P1871" s="17"/>
      <c r="Q1871" s="17" t="str">
        <f>_xlfn.XLOOKUP(Table2[[#This Row],[buyFromVendorNo]],'Next Day Scheduled'!A:A,'Pending Returns'!O:O,"NOT_FOUND")</f>
        <v>NOT_FOUND</v>
      </c>
    </row>
    <row r="1872" spans="1:17" x14ac:dyDescent="0.3">
      <c r="A1872" s="1">
        <v>46207</v>
      </c>
      <c r="B1872" t="s">
        <v>3841</v>
      </c>
      <c r="C1872" t="s">
        <v>1743</v>
      </c>
      <c r="D1872" t="s">
        <v>1744</v>
      </c>
      <c r="E1872" t="s">
        <v>8</v>
      </c>
      <c r="F1872" t="s">
        <v>10</v>
      </c>
      <c r="G1872" s="16">
        <v>491.4</v>
      </c>
      <c r="H1872" s="16">
        <v>565.11</v>
      </c>
      <c r="I1872" s="1">
        <v>46193</v>
      </c>
      <c r="J1872">
        <v>52</v>
      </c>
      <c r="K1872" t="s">
        <v>4572</v>
      </c>
      <c r="L1872" t="s">
        <v>6585</v>
      </c>
      <c r="M1872">
        <v>4</v>
      </c>
      <c r="N1872">
        <v>19</v>
      </c>
      <c r="O1872" t="s">
        <v>1036</v>
      </c>
      <c r="P1872" s="17"/>
      <c r="Q1872" s="17" t="str">
        <f>_xlfn.XLOOKUP(Table2[[#This Row],[buyFromVendorNo]],'Next Day Scheduled'!A:A,'Pending Returns'!O:O,"NOT_FOUND")</f>
        <v>NOT_FOUND</v>
      </c>
    </row>
    <row r="1873" spans="1:17" x14ac:dyDescent="0.3">
      <c r="A1873" s="1">
        <v>46207</v>
      </c>
      <c r="B1873" t="s">
        <v>1487</v>
      </c>
      <c r="C1873" t="s">
        <v>863</v>
      </c>
      <c r="D1873" t="s">
        <v>864</v>
      </c>
      <c r="E1873" t="s">
        <v>8</v>
      </c>
      <c r="F1873" t="s">
        <v>10</v>
      </c>
      <c r="G1873" s="16">
        <v>2631.79</v>
      </c>
      <c r="H1873" s="16">
        <v>3026.5585999999998</v>
      </c>
      <c r="I1873" s="1">
        <v>46184</v>
      </c>
      <c r="J1873">
        <v>52</v>
      </c>
      <c r="K1873" t="s">
        <v>2148</v>
      </c>
      <c r="L1873" t="s">
        <v>6586</v>
      </c>
      <c r="M1873">
        <v>1</v>
      </c>
      <c r="N1873">
        <v>7</v>
      </c>
      <c r="O1873" t="s">
        <v>1036</v>
      </c>
      <c r="P1873" s="17"/>
      <c r="Q1873" s="17" t="str">
        <f>_xlfn.XLOOKUP(Table2[[#This Row],[buyFromVendorNo]],'Next Day Scheduled'!A:A,'Pending Returns'!O:O,"NOT_FOUND")</f>
        <v>NOT_FOUND</v>
      </c>
    </row>
    <row r="1874" spans="1:17" x14ac:dyDescent="0.3">
      <c r="A1874" s="1">
        <v>46207</v>
      </c>
      <c r="B1874" t="s">
        <v>2855</v>
      </c>
      <c r="C1874" t="s">
        <v>2166</v>
      </c>
      <c r="D1874" t="s">
        <v>2167</v>
      </c>
      <c r="E1874" t="s">
        <v>8</v>
      </c>
      <c r="F1874" t="s">
        <v>10</v>
      </c>
      <c r="G1874" s="16">
        <v>569.72519999999997</v>
      </c>
      <c r="H1874" s="16">
        <v>655.18395999999996</v>
      </c>
      <c r="I1874" s="1">
        <v>46204</v>
      </c>
      <c r="J1874">
        <v>52</v>
      </c>
      <c r="K1874" t="s">
        <v>5449</v>
      </c>
      <c r="L1874" t="s">
        <v>6587</v>
      </c>
      <c r="M1874">
        <v>3</v>
      </c>
      <c r="N1874">
        <v>8</v>
      </c>
      <c r="O1874" t="s">
        <v>1036</v>
      </c>
      <c r="P1874" s="17"/>
      <c r="Q1874" s="17" t="str">
        <f>_xlfn.XLOOKUP(Table2[[#This Row],[buyFromVendorNo]],'Next Day Scheduled'!A:A,'Pending Returns'!O:O,"NOT_FOUND")</f>
        <v>NOT_FOUND</v>
      </c>
    </row>
    <row r="1875" spans="1:17" x14ac:dyDescent="0.3">
      <c r="A1875" s="1">
        <v>46207</v>
      </c>
      <c r="B1875" t="s">
        <v>2789</v>
      </c>
      <c r="C1875" t="s">
        <v>65</v>
      </c>
      <c r="D1875" t="s">
        <v>66</v>
      </c>
      <c r="E1875" t="s">
        <v>8</v>
      </c>
      <c r="F1875" t="s">
        <v>10</v>
      </c>
      <c r="G1875" s="16">
        <v>4504.0200000000004</v>
      </c>
      <c r="H1875" s="16">
        <v>5179.6229999999996</v>
      </c>
      <c r="J1875">
        <v>52</v>
      </c>
      <c r="K1875" t="s">
        <v>6647</v>
      </c>
      <c r="M1875">
        <v>19</v>
      </c>
      <c r="N1875">
        <v>5</v>
      </c>
      <c r="O1875" t="s">
        <v>216</v>
      </c>
      <c r="P1875" s="17"/>
      <c r="Q1875" s="17" t="str">
        <f>_xlfn.XLOOKUP(Table2[[#This Row],[buyFromVendorNo]],'Next Day Scheduled'!A:A,'Pending Returns'!O:O,"NOT_FOUND")</f>
        <v>Posted Credit Note</v>
      </c>
    </row>
    <row r="1876" spans="1:17" x14ac:dyDescent="0.3">
      <c r="A1876" s="1">
        <v>46208</v>
      </c>
      <c r="B1876" t="s">
        <v>1841</v>
      </c>
      <c r="C1876" t="s">
        <v>199</v>
      </c>
      <c r="D1876" t="s">
        <v>200</v>
      </c>
      <c r="E1876" t="s">
        <v>8</v>
      </c>
      <c r="F1876" t="s">
        <v>10</v>
      </c>
      <c r="G1876" s="16">
        <v>462.3</v>
      </c>
      <c r="H1876" s="16">
        <v>531.64499999999998</v>
      </c>
      <c r="I1876" s="1">
        <v>46205</v>
      </c>
      <c r="J1876">
        <v>51</v>
      </c>
      <c r="K1876" t="s">
        <v>4573</v>
      </c>
      <c r="L1876" t="s">
        <v>6658</v>
      </c>
      <c r="M1876">
        <v>7</v>
      </c>
      <c r="N1876">
        <v>6</v>
      </c>
      <c r="O1876" t="s">
        <v>1036</v>
      </c>
      <c r="P1876" s="17"/>
      <c r="Q1876" s="17" t="str">
        <f>_xlfn.XLOOKUP(Table2[[#This Row],[buyFromVendorNo]],'Next Day Scheduled'!A:A,'Pending Returns'!O:O,"NOT_FOUND")</f>
        <v>NOT_FOUND</v>
      </c>
    </row>
    <row r="1877" spans="1:17" x14ac:dyDescent="0.3">
      <c r="A1877" s="1">
        <v>46208</v>
      </c>
      <c r="B1877" t="s">
        <v>468</v>
      </c>
      <c r="C1877" t="s">
        <v>122</v>
      </c>
      <c r="D1877" t="s">
        <v>123</v>
      </c>
      <c r="E1877" t="s">
        <v>8</v>
      </c>
      <c r="F1877" t="s">
        <v>10</v>
      </c>
      <c r="G1877" s="16">
        <v>690.45</v>
      </c>
      <c r="H1877" s="16">
        <v>794.01750000000004</v>
      </c>
      <c r="I1877" s="1">
        <v>46208</v>
      </c>
      <c r="J1877">
        <v>51</v>
      </c>
      <c r="K1877" t="s">
        <v>5024</v>
      </c>
      <c r="L1877" t="s">
        <v>6703</v>
      </c>
      <c r="M1877">
        <v>17</v>
      </c>
      <c r="N1877">
        <v>1</v>
      </c>
      <c r="O1877" t="s">
        <v>1036</v>
      </c>
      <c r="P1877" s="17"/>
      <c r="Q1877" s="17" t="str">
        <f>_xlfn.XLOOKUP(Table2[[#This Row],[buyFromVendorNo]],'Next Day Scheduled'!A:A,'Pending Returns'!O:O,"NOT_FOUND")</f>
        <v>NOT_FOUND</v>
      </c>
    </row>
    <row r="1878" spans="1:17" x14ac:dyDescent="0.3">
      <c r="A1878" s="1">
        <v>46208</v>
      </c>
      <c r="B1878" t="s">
        <v>1656</v>
      </c>
      <c r="C1878" t="s">
        <v>401</v>
      </c>
      <c r="D1878" t="s">
        <v>402</v>
      </c>
      <c r="E1878" t="s">
        <v>8</v>
      </c>
      <c r="F1878" t="s">
        <v>38</v>
      </c>
      <c r="G1878" s="16">
        <v>905</v>
      </c>
      <c r="H1878" s="16">
        <v>1040.75</v>
      </c>
      <c r="I1878" s="1">
        <v>46197</v>
      </c>
      <c r="J1878">
        <v>51</v>
      </c>
      <c r="K1878" t="s">
        <v>5557</v>
      </c>
      <c r="L1878" t="s">
        <v>6720</v>
      </c>
      <c r="M1878">
        <v>10</v>
      </c>
      <c r="N1878">
        <v>3</v>
      </c>
      <c r="O1878" t="s">
        <v>1036</v>
      </c>
      <c r="P1878" s="17"/>
      <c r="Q1878" s="17" t="str">
        <f>_xlfn.XLOOKUP(Table2[[#This Row],[buyFromVendorNo]],'Next Day Scheduled'!A:A,'Pending Returns'!O:O,"NOT_FOUND")</f>
        <v>Posted Credit Note</v>
      </c>
    </row>
    <row r="1879" spans="1:17" x14ac:dyDescent="0.3">
      <c r="A1879" s="1">
        <v>46208</v>
      </c>
      <c r="B1879" t="s">
        <v>5902</v>
      </c>
      <c r="C1879" t="s">
        <v>111</v>
      </c>
      <c r="D1879" t="s">
        <v>112</v>
      </c>
      <c r="E1879" t="s">
        <v>8</v>
      </c>
      <c r="F1879" t="s">
        <v>10</v>
      </c>
      <c r="G1879" s="16">
        <v>823.10029999999995</v>
      </c>
      <c r="H1879" s="16">
        <v>946.56537000000003</v>
      </c>
      <c r="J1879">
        <v>51</v>
      </c>
      <c r="K1879" t="s">
        <v>6738</v>
      </c>
      <c r="M1879">
        <v>5</v>
      </c>
      <c r="N1879">
        <v>15</v>
      </c>
      <c r="O1879" t="s">
        <v>216</v>
      </c>
      <c r="P1879" s="17"/>
      <c r="Q1879" s="17" t="str">
        <f>_xlfn.XLOOKUP(Table2[[#This Row],[buyFromVendorNo]],'Next Day Scheduled'!A:A,'Pending Returns'!O:O,"NOT_FOUND")</f>
        <v>Posted Credit Note</v>
      </c>
    </row>
    <row r="1880" spans="1:17" x14ac:dyDescent="0.3">
      <c r="A1880" s="1">
        <v>46208</v>
      </c>
      <c r="B1880" t="s">
        <v>5685</v>
      </c>
      <c r="C1880" t="s">
        <v>304</v>
      </c>
      <c r="D1880" t="s">
        <v>307</v>
      </c>
      <c r="E1880" t="s">
        <v>8</v>
      </c>
      <c r="F1880" t="s">
        <v>10</v>
      </c>
      <c r="G1880" s="16">
        <v>2491.6266999999998</v>
      </c>
      <c r="H1880" s="16">
        <v>2865.3708000000001</v>
      </c>
      <c r="I1880" s="1">
        <v>46199</v>
      </c>
      <c r="J1880">
        <v>51</v>
      </c>
      <c r="K1880" t="s">
        <v>4982</v>
      </c>
      <c r="L1880" t="s">
        <v>6667</v>
      </c>
      <c r="M1880">
        <v>8</v>
      </c>
      <c r="N1880">
        <v>6</v>
      </c>
      <c r="O1880" t="s">
        <v>1036</v>
      </c>
      <c r="P1880" s="17"/>
      <c r="Q1880" s="17" t="str">
        <f>_xlfn.XLOOKUP(Table2[[#This Row],[buyFromVendorNo]],'Next Day Scheduled'!A:A,'Pending Returns'!O:O,"NOT_FOUND")</f>
        <v>NOT_FOUND</v>
      </c>
    </row>
    <row r="1881" spans="1:17" x14ac:dyDescent="0.3">
      <c r="A1881" s="1">
        <v>46208</v>
      </c>
      <c r="B1881" t="s">
        <v>5681</v>
      </c>
      <c r="C1881" t="s">
        <v>122</v>
      </c>
      <c r="D1881" t="s">
        <v>123</v>
      </c>
      <c r="E1881" t="s">
        <v>8</v>
      </c>
      <c r="F1881" t="s">
        <v>10</v>
      </c>
      <c r="G1881" s="16">
        <v>883.2</v>
      </c>
      <c r="H1881" s="16">
        <v>1015.68</v>
      </c>
      <c r="I1881" s="1">
        <v>46208</v>
      </c>
      <c r="J1881">
        <v>51</v>
      </c>
      <c r="K1881" t="s">
        <v>4875</v>
      </c>
      <c r="L1881" t="s">
        <v>6705</v>
      </c>
      <c r="M1881">
        <v>17</v>
      </c>
      <c r="N1881">
        <v>1</v>
      </c>
      <c r="O1881" t="s">
        <v>1036</v>
      </c>
      <c r="P1881" s="17"/>
      <c r="Q1881" s="17" t="str">
        <f>_xlfn.XLOOKUP(Table2[[#This Row],[buyFromVendorNo]],'Next Day Scheduled'!A:A,'Pending Returns'!O:O,"NOT_FOUND")</f>
        <v>NOT_FOUND</v>
      </c>
    </row>
    <row r="1882" spans="1:17" x14ac:dyDescent="0.3">
      <c r="A1882" s="1">
        <v>46208</v>
      </c>
      <c r="B1882" t="s">
        <v>3445</v>
      </c>
      <c r="C1882" t="s">
        <v>73</v>
      </c>
      <c r="D1882" t="s">
        <v>74</v>
      </c>
      <c r="E1882" t="s">
        <v>8</v>
      </c>
      <c r="F1882" t="s">
        <v>10</v>
      </c>
      <c r="G1882" s="16">
        <v>228.7433</v>
      </c>
      <c r="H1882" s="16">
        <v>263.0548</v>
      </c>
      <c r="I1882" s="1">
        <v>46194</v>
      </c>
      <c r="J1882">
        <v>51</v>
      </c>
      <c r="K1882" t="s">
        <v>3173</v>
      </c>
      <c r="L1882" t="s">
        <v>6710</v>
      </c>
      <c r="M1882">
        <v>28</v>
      </c>
      <c r="N1882">
        <v>1</v>
      </c>
      <c r="O1882" t="s">
        <v>1036</v>
      </c>
      <c r="P1882" s="17"/>
      <c r="Q1882" s="17" t="str">
        <f>_xlfn.XLOOKUP(Table2[[#This Row],[buyFromVendorNo]],'Next Day Scheduled'!A:A,'Pending Returns'!O:O,"NOT_FOUND")</f>
        <v>NOT_FOUND</v>
      </c>
    </row>
    <row r="1883" spans="1:17" x14ac:dyDescent="0.3">
      <c r="A1883" s="1">
        <v>46208</v>
      </c>
      <c r="B1883" t="s">
        <v>2857</v>
      </c>
      <c r="C1883" t="s">
        <v>73</v>
      </c>
      <c r="D1883" t="s">
        <v>74</v>
      </c>
      <c r="E1883" t="s">
        <v>8</v>
      </c>
      <c r="F1883" t="s">
        <v>10</v>
      </c>
      <c r="G1883" s="16">
        <v>55.581899999999997</v>
      </c>
      <c r="H1883" s="16">
        <v>63.91919</v>
      </c>
      <c r="I1883" s="1">
        <v>46194</v>
      </c>
      <c r="J1883">
        <v>51</v>
      </c>
      <c r="K1883" t="s">
        <v>5306</v>
      </c>
      <c r="L1883" t="s">
        <v>6675</v>
      </c>
      <c r="M1883">
        <v>28</v>
      </c>
      <c r="N1883">
        <v>1</v>
      </c>
      <c r="O1883" t="s">
        <v>1036</v>
      </c>
      <c r="P1883" s="17"/>
      <c r="Q1883" s="17" t="str">
        <f>_xlfn.XLOOKUP(Table2[[#This Row],[buyFromVendorNo]],'Next Day Scheduled'!A:A,'Pending Returns'!O:O,"NOT_FOUND")</f>
        <v>NOT_FOUND</v>
      </c>
    </row>
    <row r="1884" spans="1:17" x14ac:dyDescent="0.3">
      <c r="A1884" s="1">
        <v>46208</v>
      </c>
      <c r="B1884" t="s">
        <v>252</v>
      </c>
      <c r="C1884" t="s">
        <v>1591</v>
      </c>
      <c r="D1884" t="s">
        <v>1592</v>
      </c>
      <c r="E1884" t="s">
        <v>8</v>
      </c>
      <c r="F1884" t="s">
        <v>10</v>
      </c>
      <c r="G1884" s="16">
        <v>189</v>
      </c>
      <c r="H1884" s="16">
        <v>217.35</v>
      </c>
      <c r="I1884" s="1">
        <v>46204</v>
      </c>
      <c r="J1884">
        <v>51</v>
      </c>
      <c r="K1884" t="s">
        <v>6061</v>
      </c>
      <c r="L1884" t="s">
        <v>6715</v>
      </c>
      <c r="M1884">
        <v>8</v>
      </c>
      <c r="N1884">
        <v>2</v>
      </c>
      <c r="O1884" t="s">
        <v>1036</v>
      </c>
      <c r="P1884" s="17"/>
      <c r="Q1884" s="17" t="str">
        <f>_xlfn.XLOOKUP(Table2[[#This Row],[buyFromVendorNo]],'Next Day Scheduled'!A:A,'Pending Returns'!O:O,"NOT_FOUND")</f>
        <v>NOT_FOUND</v>
      </c>
    </row>
    <row r="1885" spans="1:17" x14ac:dyDescent="0.3">
      <c r="A1885" s="1">
        <v>46208</v>
      </c>
      <c r="B1885" t="s">
        <v>1952</v>
      </c>
      <c r="C1885" t="s">
        <v>73</v>
      </c>
      <c r="D1885" t="s">
        <v>74</v>
      </c>
      <c r="E1885" t="s">
        <v>8</v>
      </c>
      <c r="F1885" t="s">
        <v>10</v>
      </c>
      <c r="G1885" s="16">
        <v>968.60940000000005</v>
      </c>
      <c r="H1885" s="16">
        <v>1113.9007999999999</v>
      </c>
      <c r="I1885" s="1">
        <v>46194</v>
      </c>
      <c r="J1885">
        <v>51</v>
      </c>
      <c r="K1885" t="s">
        <v>1926</v>
      </c>
      <c r="L1885" t="s">
        <v>6677</v>
      </c>
      <c r="M1885">
        <v>28</v>
      </c>
      <c r="N1885">
        <v>1</v>
      </c>
      <c r="O1885" t="s">
        <v>1036</v>
      </c>
      <c r="P1885" s="17"/>
      <c r="Q1885" s="17" t="str">
        <f>_xlfn.XLOOKUP(Table2[[#This Row],[buyFromVendorNo]],'Next Day Scheduled'!A:A,'Pending Returns'!O:O,"NOT_FOUND")</f>
        <v>NOT_FOUND</v>
      </c>
    </row>
    <row r="1886" spans="1:17" x14ac:dyDescent="0.3">
      <c r="A1886" s="1">
        <v>46208</v>
      </c>
      <c r="B1886" t="s">
        <v>2117</v>
      </c>
      <c r="C1886" t="s">
        <v>2976</v>
      </c>
      <c r="D1886" t="s">
        <v>2977</v>
      </c>
      <c r="E1886" t="s">
        <v>8</v>
      </c>
      <c r="F1886" t="s">
        <v>10</v>
      </c>
      <c r="G1886" s="16">
        <v>346.66663</v>
      </c>
      <c r="H1886" s="16">
        <v>398.66663</v>
      </c>
      <c r="I1886" s="1">
        <v>46199</v>
      </c>
      <c r="J1886">
        <v>51</v>
      </c>
      <c r="K1886" t="s">
        <v>5577</v>
      </c>
      <c r="L1886" t="s">
        <v>6734</v>
      </c>
      <c r="M1886">
        <v>4</v>
      </c>
      <c r="N1886">
        <v>7</v>
      </c>
      <c r="O1886" t="s">
        <v>1036</v>
      </c>
      <c r="P1886" s="17"/>
      <c r="Q1886" s="17" t="str">
        <f>_xlfn.XLOOKUP(Table2[[#This Row],[buyFromVendorNo]],'Next Day Scheduled'!A:A,'Pending Returns'!O:O,"NOT_FOUND")</f>
        <v>NOT_FOUND</v>
      </c>
    </row>
    <row r="1887" spans="1:17" x14ac:dyDescent="0.3">
      <c r="A1887" s="1">
        <v>46208</v>
      </c>
      <c r="B1887" t="s">
        <v>5060</v>
      </c>
      <c r="C1887" t="s">
        <v>73</v>
      </c>
      <c r="D1887" t="s">
        <v>74</v>
      </c>
      <c r="E1887" t="s">
        <v>8</v>
      </c>
      <c r="F1887" t="s">
        <v>10</v>
      </c>
      <c r="G1887" s="16">
        <v>328.10079999999999</v>
      </c>
      <c r="H1887" s="16">
        <v>377.31592000000001</v>
      </c>
      <c r="I1887" s="1">
        <v>46194</v>
      </c>
      <c r="J1887">
        <v>51</v>
      </c>
      <c r="K1887" t="s">
        <v>4547</v>
      </c>
      <c r="L1887" t="s">
        <v>6722</v>
      </c>
      <c r="M1887">
        <v>28</v>
      </c>
      <c r="N1887">
        <v>1</v>
      </c>
      <c r="O1887" t="s">
        <v>1036</v>
      </c>
      <c r="P1887" s="17"/>
      <c r="Q1887" s="17" t="str">
        <f>_xlfn.XLOOKUP(Table2[[#This Row],[buyFromVendorNo]],'Next Day Scheduled'!A:A,'Pending Returns'!O:O,"NOT_FOUND")</f>
        <v>NOT_FOUND</v>
      </c>
    </row>
    <row r="1888" spans="1:17" x14ac:dyDescent="0.3">
      <c r="A1888" s="1">
        <v>46208</v>
      </c>
      <c r="B1888" t="s">
        <v>1276</v>
      </c>
      <c r="C1888" t="s">
        <v>1591</v>
      </c>
      <c r="D1888" t="s">
        <v>1592</v>
      </c>
      <c r="E1888" t="s">
        <v>8</v>
      </c>
      <c r="F1888" t="s">
        <v>10</v>
      </c>
      <c r="G1888" s="16">
        <v>81</v>
      </c>
      <c r="H1888" s="16">
        <v>93.15</v>
      </c>
      <c r="I1888" s="1">
        <v>46196</v>
      </c>
      <c r="J1888">
        <v>51</v>
      </c>
      <c r="K1888" t="s">
        <v>5775</v>
      </c>
      <c r="L1888" t="s">
        <v>6666</v>
      </c>
      <c r="M1888">
        <v>8</v>
      </c>
      <c r="N1888">
        <v>2</v>
      </c>
      <c r="O1888" t="s">
        <v>1036</v>
      </c>
      <c r="P1888" s="17"/>
      <c r="Q1888" s="17" t="str">
        <f>_xlfn.XLOOKUP(Table2[[#This Row],[buyFromVendorNo]],'Next Day Scheduled'!A:A,'Pending Returns'!O:O,"NOT_FOUND")</f>
        <v>NOT_FOUND</v>
      </c>
    </row>
    <row r="1889" spans="1:17" x14ac:dyDescent="0.3">
      <c r="A1889" s="1">
        <v>46208</v>
      </c>
      <c r="B1889" t="s">
        <v>5280</v>
      </c>
      <c r="C1889" t="s">
        <v>854</v>
      </c>
      <c r="D1889" t="s">
        <v>855</v>
      </c>
      <c r="E1889" t="s">
        <v>8</v>
      </c>
      <c r="F1889" t="s">
        <v>10</v>
      </c>
      <c r="G1889" s="16">
        <v>590.40599999999995</v>
      </c>
      <c r="H1889" s="16">
        <v>678.96690000000001</v>
      </c>
      <c r="J1889">
        <v>51</v>
      </c>
      <c r="K1889" t="s">
        <v>6723</v>
      </c>
      <c r="M1889">
        <v>12</v>
      </c>
      <c r="N1889">
        <v>6</v>
      </c>
      <c r="O1889" t="s">
        <v>216</v>
      </c>
      <c r="P1889" s="17"/>
      <c r="Q1889" s="17" t="str">
        <f>_xlfn.XLOOKUP(Table2[[#This Row],[buyFromVendorNo]],'Next Day Scheduled'!A:A,'Pending Returns'!O:O,"NOT_FOUND")</f>
        <v>Posted Credit Note</v>
      </c>
    </row>
    <row r="1890" spans="1:17" x14ac:dyDescent="0.3">
      <c r="A1890" s="1">
        <v>46208</v>
      </c>
      <c r="B1890" t="s">
        <v>2825</v>
      </c>
      <c r="C1890" t="s">
        <v>5349</v>
      </c>
      <c r="D1890" t="s">
        <v>5350</v>
      </c>
      <c r="E1890" t="s">
        <v>8</v>
      </c>
      <c r="F1890" t="s">
        <v>10</v>
      </c>
      <c r="G1890" s="16">
        <v>50</v>
      </c>
      <c r="H1890" s="16">
        <v>57.5</v>
      </c>
      <c r="I1890" s="1">
        <v>46208</v>
      </c>
      <c r="J1890">
        <v>51</v>
      </c>
      <c r="K1890" t="s">
        <v>5351</v>
      </c>
      <c r="L1890" t="s">
        <v>6668</v>
      </c>
      <c r="M1890">
        <v>0</v>
      </c>
      <c r="N1890">
        <v>56</v>
      </c>
      <c r="O1890" t="s">
        <v>1036</v>
      </c>
      <c r="P1890" s="17"/>
      <c r="Q1890" s="17" t="str">
        <f>_xlfn.XLOOKUP(Table2[[#This Row],[buyFromVendorNo]],'Next Day Scheduled'!A:A,'Pending Returns'!O:O,"NOT_FOUND")</f>
        <v>NOT_FOUND</v>
      </c>
    </row>
    <row r="1891" spans="1:17" x14ac:dyDescent="0.3">
      <c r="A1891" s="1">
        <v>46208</v>
      </c>
      <c r="B1891" t="s">
        <v>4096</v>
      </c>
      <c r="C1891" t="s">
        <v>120</v>
      </c>
      <c r="D1891" t="s">
        <v>121</v>
      </c>
      <c r="E1891" t="s">
        <v>8</v>
      </c>
      <c r="F1891" t="s">
        <v>10</v>
      </c>
      <c r="G1891" s="16">
        <v>21</v>
      </c>
      <c r="H1891" s="16">
        <v>24.15</v>
      </c>
      <c r="I1891" s="1">
        <v>46208</v>
      </c>
      <c r="J1891">
        <v>51</v>
      </c>
      <c r="K1891" t="s">
        <v>4959</v>
      </c>
      <c r="L1891" t="s">
        <v>6724</v>
      </c>
      <c r="M1891">
        <v>27</v>
      </c>
      <c r="N1891">
        <v>1</v>
      </c>
      <c r="O1891" t="s">
        <v>1036</v>
      </c>
      <c r="P1891" s="17"/>
      <c r="Q1891" s="17" t="str">
        <f>_xlfn.XLOOKUP(Table2[[#This Row],[buyFromVendorNo]],'Next Day Scheduled'!A:A,'Pending Returns'!O:O,"NOT_FOUND")</f>
        <v>NOT_FOUND</v>
      </c>
    </row>
    <row r="1892" spans="1:17" x14ac:dyDescent="0.3">
      <c r="A1892" s="1">
        <v>46208</v>
      </c>
      <c r="B1892" t="s">
        <v>606</v>
      </c>
      <c r="C1892" t="s">
        <v>73</v>
      </c>
      <c r="D1892" t="s">
        <v>74</v>
      </c>
      <c r="E1892" t="s">
        <v>8</v>
      </c>
      <c r="F1892" t="s">
        <v>10</v>
      </c>
      <c r="G1892" s="16">
        <v>983.25310000000002</v>
      </c>
      <c r="H1892" s="16">
        <v>1130.7411</v>
      </c>
      <c r="I1892" s="1">
        <v>46194</v>
      </c>
      <c r="J1892">
        <v>51</v>
      </c>
      <c r="K1892" t="s">
        <v>2156</v>
      </c>
      <c r="L1892" t="s">
        <v>6684</v>
      </c>
      <c r="M1892">
        <v>28</v>
      </c>
      <c r="N1892">
        <v>1</v>
      </c>
      <c r="O1892" t="s">
        <v>1036</v>
      </c>
      <c r="P1892" s="17"/>
      <c r="Q1892" s="17" t="str">
        <f>_xlfn.XLOOKUP(Table2[[#This Row],[buyFromVendorNo]],'Next Day Scheduled'!A:A,'Pending Returns'!O:O,"NOT_FOUND")</f>
        <v>NOT_FOUND</v>
      </c>
    </row>
    <row r="1893" spans="1:17" x14ac:dyDescent="0.3">
      <c r="A1893" s="1">
        <v>46208</v>
      </c>
      <c r="B1893" t="s">
        <v>5309</v>
      </c>
      <c r="C1893" t="s">
        <v>318</v>
      </c>
      <c r="D1893" t="s">
        <v>319</v>
      </c>
      <c r="E1893" t="s">
        <v>8</v>
      </c>
      <c r="F1893" t="s">
        <v>10</v>
      </c>
      <c r="G1893" s="16">
        <v>589.32335999999998</v>
      </c>
      <c r="H1893" s="16">
        <v>677.72185999999999</v>
      </c>
      <c r="I1893" s="1">
        <v>46204</v>
      </c>
      <c r="J1893">
        <v>51</v>
      </c>
      <c r="K1893" t="s">
        <v>5310</v>
      </c>
      <c r="L1893" t="s">
        <v>6685</v>
      </c>
      <c r="M1893">
        <v>8</v>
      </c>
      <c r="N1893">
        <v>2</v>
      </c>
      <c r="O1893" t="s">
        <v>1036</v>
      </c>
      <c r="P1893" s="17"/>
      <c r="Q1893" s="17" t="str">
        <f>_xlfn.XLOOKUP(Table2[[#This Row],[buyFromVendorNo]],'Next Day Scheduled'!A:A,'Pending Returns'!O:O,"NOT_FOUND")</f>
        <v>NOT_FOUND</v>
      </c>
    </row>
    <row r="1894" spans="1:17" x14ac:dyDescent="0.3">
      <c r="A1894" s="1">
        <v>46208</v>
      </c>
      <c r="B1894" t="s">
        <v>5893</v>
      </c>
      <c r="C1894" t="s">
        <v>3686</v>
      </c>
      <c r="D1894" t="s">
        <v>3687</v>
      </c>
      <c r="E1894" t="s">
        <v>8</v>
      </c>
      <c r="F1894" t="s">
        <v>10</v>
      </c>
      <c r="G1894" s="16">
        <v>331.18220000000002</v>
      </c>
      <c r="H1894" s="16">
        <v>380.85953000000001</v>
      </c>
      <c r="I1894" s="1">
        <v>46204</v>
      </c>
      <c r="J1894">
        <v>51</v>
      </c>
      <c r="K1894" t="s">
        <v>3811</v>
      </c>
      <c r="L1894" t="s">
        <v>6671</v>
      </c>
      <c r="M1894">
        <v>6</v>
      </c>
      <c r="N1894">
        <v>13</v>
      </c>
      <c r="O1894" t="s">
        <v>1036</v>
      </c>
      <c r="P1894" s="17"/>
      <c r="Q1894" s="17" t="str">
        <f>_xlfn.XLOOKUP(Table2[[#This Row],[buyFromVendorNo]],'Next Day Scheduled'!A:A,'Pending Returns'!O:O,"NOT_FOUND")</f>
        <v>NOT_FOUND</v>
      </c>
    </row>
    <row r="1895" spans="1:17" x14ac:dyDescent="0.3">
      <c r="A1895" s="1">
        <v>46208</v>
      </c>
      <c r="B1895" t="s">
        <v>1948</v>
      </c>
      <c r="C1895" t="s">
        <v>1768</v>
      </c>
      <c r="D1895" t="s">
        <v>1769</v>
      </c>
      <c r="E1895" t="s">
        <v>8</v>
      </c>
      <c r="F1895" t="s">
        <v>10</v>
      </c>
      <c r="G1895" s="16">
        <v>247.19887</v>
      </c>
      <c r="H1895" s="16">
        <v>284.27870000000001</v>
      </c>
      <c r="I1895" s="1">
        <v>46194</v>
      </c>
      <c r="J1895">
        <v>51</v>
      </c>
      <c r="K1895" t="s">
        <v>5054</v>
      </c>
      <c r="L1895" t="s">
        <v>6672</v>
      </c>
      <c r="M1895">
        <v>6</v>
      </c>
      <c r="N1895">
        <v>5</v>
      </c>
      <c r="O1895" t="s">
        <v>1036</v>
      </c>
      <c r="P1895" s="17"/>
      <c r="Q1895" s="17" t="str">
        <f>_xlfn.XLOOKUP(Table2[[#This Row],[buyFromVendorNo]],'Next Day Scheduled'!A:A,'Pending Returns'!O:O,"NOT_FOUND")</f>
        <v>NOT_FOUND</v>
      </c>
    </row>
    <row r="1896" spans="1:17" x14ac:dyDescent="0.3">
      <c r="A1896" s="1">
        <v>46208</v>
      </c>
      <c r="B1896" t="s">
        <v>4223</v>
      </c>
      <c r="C1896" t="s">
        <v>73</v>
      </c>
      <c r="D1896" t="s">
        <v>74</v>
      </c>
      <c r="E1896" t="s">
        <v>8</v>
      </c>
      <c r="F1896" t="s">
        <v>10</v>
      </c>
      <c r="G1896" s="16">
        <v>699.39329999999995</v>
      </c>
      <c r="H1896" s="16">
        <v>804.30229999999995</v>
      </c>
      <c r="I1896" s="1">
        <v>46194</v>
      </c>
      <c r="J1896">
        <v>51</v>
      </c>
      <c r="K1896" t="s">
        <v>4478</v>
      </c>
      <c r="L1896" t="s">
        <v>6709</v>
      </c>
      <c r="M1896">
        <v>28</v>
      </c>
      <c r="N1896">
        <v>1</v>
      </c>
      <c r="O1896" t="s">
        <v>1036</v>
      </c>
      <c r="P1896" s="17"/>
      <c r="Q1896" s="17" t="str">
        <f>_xlfn.XLOOKUP(Table2[[#This Row],[buyFromVendorNo]],'Next Day Scheduled'!A:A,'Pending Returns'!O:O,"NOT_FOUND")</f>
        <v>NOT_FOUND</v>
      </c>
    </row>
    <row r="1897" spans="1:17" x14ac:dyDescent="0.3">
      <c r="A1897" s="1">
        <v>46208</v>
      </c>
      <c r="B1897" t="s">
        <v>2755</v>
      </c>
      <c r="C1897" t="s">
        <v>144</v>
      </c>
      <c r="D1897" t="s">
        <v>145</v>
      </c>
      <c r="E1897" t="s">
        <v>8</v>
      </c>
      <c r="F1897" t="s">
        <v>10</v>
      </c>
      <c r="G1897" s="16">
        <v>114.96</v>
      </c>
      <c r="H1897" s="16">
        <v>132.20400000000001</v>
      </c>
      <c r="J1897">
        <v>51</v>
      </c>
      <c r="K1897" t="s">
        <v>6689</v>
      </c>
      <c r="M1897">
        <v>0</v>
      </c>
      <c r="N1897">
        <v>411</v>
      </c>
      <c r="O1897" t="s">
        <v>216</v>
      </c>
      <c r="P1897" s="17"/>
      <c r="Q1897" s="17" t="str">
        <f>_xlfn.XLOOKUP(Table2[[#This Row],[buyFromVendorNo]],'Next Day Scheduled'!A:A,'Pending Returns'!O:O,"NOT_FOUND")</f>
        <v>NOT_FOUND</v>
      </c>
    </row>
    <row r="1898" spans="1:17" x14ac:dyDescent="0.3">
      <c r="A1898" s="1">
        <v>46208</v>
      </c>
      <c r="B1898" t="s">
        <v>642</v>
      </c>
      <c r="C1898" t="s">
        <v>4364</v>
      </c>
      <c r="D1898" t="s">
        <v>4542</v>
      </c>
      <c r="E1898" t="s">
        <v>8</v>
      </c>
      <c r="F1898" t="s">
        <v>38</v>
      </c>
      <c r="G1898" s="16">
        <v>499.5</v>
      </c>
      <c r="H1898" s="16">
        <v>574.42499999999995</v>
      </c>
      <c r="I1898" s="1">
        <v>46205</v>
      </c>
      <c r="J1898">
        <v>51</v>
      </c>
      <c r="K1898" t="s">
        <v>6109</v>
      </c>
      <c r="L1898" t="s">
        <v>6674</v>
      </c>
      <c r="M1898">
        <v>9</v>
      </c>
      <c r="N1898">
        <v>1</v>
      </c>
      <c r="O1898" t="s">
        <v>1036</v>
      </c>
      <c r="P1898" s="17"/>
      <c r="Q1898" s="17" t="str">
        <f>_xlfn.XLOOKUP(Table2[[#This Row],[buyFromVendorNo]],'Next Day Scheduled'!A:A,'Pending Returns'!O:O,"NOT_FOUND")</f>
        <v>NOT_FOUND</v>
      </c>
    </row>
    <row r="1899" spans="1:17" x14ac:dyDescent="0.3">
      <c r="A1899" s="1">
        <v>46208</v>
      </c>
      <c r="B1899" t="s">
        <v>2165</v>
      </c>
      <c r="C1899" t="s">
        <v>51</v>
      </c>
      <c r="D1899" t="s">
        <v>52</v>
      </c>
      <c r="E1899" t="s">
        <v>8</v>
      </c>
      <c r="F1899" t="s">
        <v>10</v>
      </c>
      <c r="G1899" s="16">
        <v>3151.44</v>
      </c>
      <c r="H1899" s="16">
        <v>3624.1559999999999</v>
      </c>
      <c r="J1899">
        <v>51</v>
      </c>
      <c r="K1899" t="s">
        <v>6730</v>
      </c>
      <c r="M1899">
        <v>3</v>
      </c>
      <c r="N1899">
        <v>1</v>
      </c>
      <c r="O1899" t="s">
        <v>216</v>
      </c>
      <c r="P1899" s="17"/>
      <c r="Q1899" s="17" t="str">
        <f>_xlfn.XLOOKUP(Table2[[#This Row],[buyFromVendorNo]],'Next Day Scheduled'!A:A,'Pending Returns'!O:O,"NOT_FOUND")</f>
        <v>NOT_FOUND</v>
      </c>
    </row>
    <row r="1900" spans="1:17" x14ac:dyDescent="0.3">
      <c r="A1900" s="1">
        <v>46208</v>
      </c>
      <c r="B1900" t="s">
        <v>3275</v>
      </c>
      <c r="C1900" t="s">
        <v>1591</v>
      </c>
      <c r="D1900" t="s">
        <v>1592</v>
      </c>
      <c r="E1900" t="s">
        <v>8</v>
      </c>
      <c r="F1900" t="s">
        <v>10</v>
      </c>
      <c r="G1900" s="16">
        <v>340.35</v>
      </c>
      <c r="H1900" s="16">
        <v>391.40249999999997</v>
      </c>
      <c r="I1900" s="1">
        <v>46196</v>
      </c>
      <c r="J1900">
        <v>51</v>
      </c>
      <c r="K1900" t="s">
        <v>3495</v>
      </c>
      <c r="L1900" t="s">
        <v>6718</v>
      </c>
      <c r="M1900">
        <v>8</v>
      </c>
      <c r="N1900">
        <v>2</v>
      </c>
      <c r="O1900" t="s">
        <v>1036</v>
      </c>
      <c r="P1900" s="17"/>
      <c r="Q1900" s="17" t="str">
        <f>_xlfn.XLOOKUP(Table2[[#This Row],[buyFromVendorNo]],'Next Day Scheduled'!A:A,'Pending Returns'!O:O,"NOT_FOUND")</f>
        <v>NOT_FOUND</v>
      </c>
    </row>
    <row r="1901" spans="1:17" x14ac:dyDescent="0.3">
      <c r="A1901" s="1">
        <v>46208</v>
      </c>
      <c r="B1901" t="s">
        <v>4045</v>
      </c>
      <c r="C1901" t="s">
        <v>1031</v>
      </c>
      <c r="D1901" t="s">
        <v>1032</v>
      </c>
      <c r="E1901" t="s">
        <v>8</v>
      </c>
      <c r="F1901" t="s">
        <v>38</v>
      </c>
      <c r="G1901" s="16">
        <v>3038.9</v>
      </c>
      <c r="H1901" s="16">
        <v>3494.7350000000001</v>
      </c>
      <c r="I1901" s="1">
        <v>46208</v>
      </c>
      <c r="J1901">
        <v>51</v>
      </c>
      <c r="K1901" t="s">
        <v>5555</v>
      </c>
      <c r="L1901" t="s">
        <v>6701</v>
      </c>
      <c r="M1901">
        <v>6</v>
      </c>
      <c r="N1901">
        <v>7</v>
      </c>
      <c r="O1901" t="s">
        <v>1036</v>
      </c>
      <c r="P1901" s="17"/>
      <c r="Q1901" s="17" t="str">
        <f>_xlfn.XLOOKUP(Table2[[#This Row],[buyFromVendorNo]],'Next Day Scheduled'!A:A,'Pending Returns'!O:O,"NOT_FOUND")</f>
        <v>Pending for Collection</v>
      </c>
    </row>
    <row r="1902" spans="1:17" x14ac:dyDescent="0.3">
      <c r="A1902" s="1">
        <v>46208</v>
      </c>
      <c r="B1902" t="s">
        <v>5895</v>
      </c>
      <c r="C1902" t="s">
        <v>3893</v>
      </c>
      <c r="D1902" t="s">
        <v>3894</v>
      </c>
      <c r="E1902" t="s">
        <v>8</v>
      </c>
      <c r="F1902" t="s">
        <v>10</v>
      </c>
      <c r="G1902" s="16">
        <v>410.60250000000002</v>
      </c>
      <c r="H1902" s="16">
        <v>472.19287000000003</v>
      </c>
      <c r="I1902" s="1">
        <v>46202</v>
      </c>
      <c r="J1902">
        <v>51</v>
      </c>
      <c r="K1902" t="s">
        <v>3895</v>
      </c>
      <c r="L1902" t="s">
        <v>6665</v>
      </c>
      <c r="M1902">
        <v>0</v>
      </c>
      <c r="N1902">
        <v>233</v>
      </c>
      <c r="O1902" t="s">
        <v>1036</v>
      </c>
      <c r="P1902" s="17"/>
      <c r="Q1902" s="17" t="str">
        <f>_xlfn.XLOOKUP(Table2[[#This Row],[buyFromVendorNo]],'Next Day Scheduled'!A:A,'Pending Returns'!O:O,"NOT_FOUND")</f>
        <v>NOT_FOUND</v>
      </c>
    </row>
    <row r="1903" spans="1:17" x14ac:dyDescent="0.3">
      <c r="A1903" s="1">
        <v>46208</v>
      </c>
      <c r="B1903" t="s">
        <v>3421</v>
      </c>
      <c r="C1903" t="s">
        <v>3893</v>
      </c>
      <c r="D1903" t="s">
        <v>3894</v>
      </c>
      <c r="E1903" t="s">
        <v>8</v>
      </c>
      <c r="F1903" t="s">
        <v>10</v>
      </c>
      <c r="G1903" s="16">
        <v>527.76900000000001</v>
      </c>
      <c r="H1903" s="16">
        <v>606.93439999999998</v>
      </c>
      <c r="I1903" s="1">
        <v>46202</v>
      </c>
      <c r="J1903">
        <v>51</v>
      </c>
      <c r="K1903" t="s">
        <v>4643</v>
      </c>
      <c r="L1903" t="s">
        <v>6664</v>
      </c>
      <c r="M1903">
        <v>0</v>
      </c>
      <c r="N1903">
        <v>233</v>
      </c>
      <c r="O1903" t="s">
        <v>1036</v>
      </c>
      <c r="P1903" s="17"/>
      <c r="Q1903" s="17" t="str">
        <f>_xlfn.XLOOKUP(Table2[[#This Row],[buyFromVendorNo]],'Next Day Scheduled'!A:A,'Pending Returns'!O:O,"NOT_FOUND")</f>
        <v>NOT_FOUND</v>
      </c>
    </row>
    <row r="1904" spans="1:17" x14ac:dyDescent="0.3">
      <c r="A1904" s="1">
        <v>46208</v>
      </c>
      <c r="B1904" t="s">
        <v>3707</v>
      </c>
      <c r="C1904" t="s">
        <v>1591</v>
      </c>
      <c r="D1904" t="s">
        <v>1592</v>
      </c>
      <c r="E1904" t="s">
        <v>8</v>
      </c>
      <c r="F1904" t="s">
        <v>10</v>
      </c>
      <c r="G1904" s="16">
        <v>416.1</v>
      </c>
      <c r="H1904" s="16">
        <v>478.51499999999999</v>
      </c>
      <c r="I1904" s="1">
        <v>46196</v>
      </c>
      <c r="J1904">
        <v>51</v>
      </c>
      <c r="K1904" t="s">
        <v>3662</v>
      </c>
      <c r="L1904" t="s">
        <v>6678</v>
      </c>
      <c r="M1904">
        <v>8</v>
      </c>
      <c r="N1904">
        <v>2</v>
      </c>
      <c r="O1904" t="s">
        <v>1036</v>
      </c>
      <c r="P1904" s="17"/>
      <c r="Q1904" s="17" t="str">
        <f>_xlfn.XLOOKUP(Table2[[#This Row],[buyFromVendorNo]],'Next Day Scheduled'!A:A,'Pending Returns'!O:O,"NOT_FOUND")</f>
        <v>NOT_FOUND</v>
      </c>
    </row>
    <row r="1905" spans="1:17" x14ac:dyDescent="0.3">
      <c r="A1905" s="1">
        <v>46208</v>
      </c>
      <c r="B1905" t="s">
        <v>2544</v>
      </c>
      <c r="C1905" t="s">
        <v>401</v>
      </c>
      <c r="D1905" t="s">
        <v>402</v>
      </c>
      <c r="E1905" t="s">
        <v>8</v>
      </c>
      <c r="F1905" t="s">
        <v>38</v>
      </c>
      <c r="G1905" s="16">
        <v>56.25</v>
      </c>
      <c r="H1905" s="16">
        <v>64.6875</v>
      </c>
      <c r="I1905" s="1">
        <v>46197</v>
      </c>
      <c r="J1905">
        <v>51</v>
      </c>
      <c r="K1905" t="s">
        <v>4047</v>
      </c>
      <c r="L1905" t="s">
        <v>6721</v>
      </c>
      <c r="M1905">
        <v>10</v>
      </c>
      <c r="N1905">
        <v>3</v>
      </c>
      <c r="O1905" t="s">
        <v>1036</v>
      </c>
      <c r="P1905" s="17"/>
      <c r="Q1905" s="17" t="str">
        <f>_xlfn.XLOOKUP(Table2[[#This Row],[buyFromVendorNo]],'Next Day Scheduled'!A:A,'Pending Returns'!O:O,"NOT_FOUND")</f>
        <v>Posted Credit Note</v>
      </c>
    </row>
    <row r="1906" spans="1:17" x14ac:dyDescent="0.3">
      <c r="A1906" s="1">
        <v>46208</v>
      </c>
      <c r="B1906" t="s">
        <v>4591</v>
      </c>
      <c r="C1906" t="s">
        <v>73</v>
      </c>
      <c r="D1906" t="s">
        <v>74</v>
      </c>
      <c r="E1906" t="s">
        <v>8</v>
      </c>
      <c r="F1906" t="s">
        <v>10</v>
      </c>
      <c r="G1906" s="16">
        <v>467.96820000000002</v>
      </c>
      <c r="H1906" s="16">
        <v>538.16345000000001</v>
      </c>
      <c r="I1906" s="1">
        <v>46194</v>
      </c>
      <c r="J1906">
        <v>51</v>
      </c>
      <c r="K1906" t="s">
        <v>4999</v>
      </c>
      <c r="L1906" t="s">
        <v>6679</v>
      </c>
      <c r="M1906">
        <v>28</v>
      </c>
      <c r="N1906">
        <v>1</v>
      </c>
      <c r="O1906" t="s">
        <v>1036</v>
      </c>
      <c r="P1906" s="17"/>
      <c r="Q1906" s="17" t="str">
        <f>_xlfn.XLOOKUP(Table2[[#This Row],[buyFromVendorNo]],'Next Day Scheduled'!A:A,'Pending Returns'!O:O,"NOT_FOUND")</f>
        <v>NOT_FOUND</v>
      </c>
    </row>
    <row r="1907" spans="1:17" x14ac:dyDescent="0.3">
      <c r="A1907" s="1">
        <v>46208</v>
      </c>
      <c r="B1907" t="s">
        <v>1772</v>
      </c>
      <c r="C1907" t="s">
        <v>304</v>
      </c>
      <c r="D1907" t="s">
        <v>307</v>
      </c>
      <c r="E1907" t="s">
        <v>8</v>
      </c>
      <c r="F1907" t="s">
        <v>10</v>
      </c>
      <c r="G1907" s="16">
        <v>1789.2795000000001</v>
      </c>
      <c r="H1907" s="16">
        <v>2057.6714000000002</v>
      </c>
      <c r="I1907" s="1">
        <v>46199</v>
      </c>
      <c r="J1907">
        <v>51</v>
      </c>
      <c r="K1907" t="s">
        <v>5972</v>
      </c>
      <c r="L1907" t="s">
        <v>6682</v>
      </c>
      <c r="M1907">
        <v>8</v>
      </c>
      <c r="N1907">
        <v>6</v>
      </c>
      <c r="O1907" t="s">
        <v>1036</v>
      </c>
      <c r="P1907" s="17"/>
      <c r="Q1907" s="17" t="str">
        <f>_xlfn.XLOOKUP(Table2[[#This Row],[buyFromVendorNo]],'Next Day Scheduled'!A:A,'Pending Returns'!O:O,"NOT_FOUND")</f>
        <v>NOT_FOUND</v>
      </c>
    </row>
    <row r="1908" spans="1:17" x14ac:dyDescent="0.3">
      <c r="A1908" s="1">
        <v>46208</v>
      </c>
      <c r="B1908" t="s">
        <v>2743</v>
      </c>
      <c r="C1908" t="s">
        <v>1768</v>
      </c>
      <c r="D1908" t="s">
        <v>1769</v>
      </c>
      <c r="E1908" t="s">
        <v>8</v>
      </c>
      <c r="F1908" t="s">
        <v>10</v>
      </c>
      <c r="G1908" s="16">
        <v>27.683340000000001</v>
      </c>
      <c r="H1908" s="16">
        <v>31.835840000000001</v>
      </c>
      <c r="I1908" s="1">
        <v>46194</v>
      </c>
      <c r="J1908">
        <v>51</v>
      </c>
      <c r="K1908" t="s">
        <v>5511</v>
      </c>
      <c r="L1908" t="s">
        <v>6707</v>
      </c>
      <c r="M1908">
        <v>6</v>
      </c>
      <c r="N1908">
        <v>5</v>
      </c>
      <c r="O1908" t="s">
        <v>1036</v>
      </c>
      <c r="P1908" s="17"/>
      <c r="Q1908" s="17" t="str">
        <f>_xlfn.XLOOKUP(Table2[[#This Row],[buyFromVendorNo]],'Next Day Scheduled'!A:A,'Pending Returns'!O:O,"NOT_FOUND")</f>
        <v>NOT_FOUND</v>
      </c>
    </row>
    <row r="1909" spans="1:17" x14ac:dyDescent="0.3">
      <c r="A1909" s="1">
        <v>46208</v>
      </c>
      <c r="B1909" t="s">
        <v>5309</v>
      </c>
      <c r="C1909" t="s">
        <v>919</v>
      </c>
      <c r="D1909" t="s">
        <v>920</v>
      </c>
      <c r="E1909" t="s">
        <v>8</v>
      </c>
      <c r="F1909" t="s">
        <v>10</v>
      </c>
      <c r="G1909" s="16">
        <v>968.16625999999997</v>
      </c>
      <c r="H1909" s="16">
        <v>1113.3912</v>
      </c>
      <c r="J1909">
        <v>51</v>
      </c>
      <c r="K1909" t="s">
        <v>6726</v>
      </c>
      <c r="M1909">
        <v>0</v>
      </c>
      <c r="N1909">
        <v>56</v>
      </c>
      <c r="O1909" t="s">
        <v>216</v>
      </c>
      <c r="P1909" s="17"/>
      <c r="Q1909" s="17" t="str">
        <f>_xlfn.XLOOKUP(Table2[[#This Row],[buyFromVendorNo]],'Next Day Scheduled'!A:A,'Pending Returns'!O:O,"NOT_FOUND")</f>
        <v>NOT_FOUND</v>
      </c>
    </row>
    <row r="1910" spans="1:17" x14ac:dyDescent="0.3">
      <c r="A1910" s="1">
        <v>46208</v>
      </c>
      <c r="B1910" t="s">
        <v>4602</v>
      </c>
      <c r="C1910" t="s">
        <v>73</v>
      </c>
      <c r="D1910" t="s">
        <v>74</v>
      </c>
      <c r="E1910" t="s">
        <v>8</v>
      </c>
      <c r="F1910" t="s">
        <v>10</v>
      </c>
      <c r="G1910" s="16">
        <v>176.08099999999999</v>
      </c>
      <c r="H1910" s="16">
        <v>202.49315000000001</v>
      </c>
      <c r="I1910" s="1">
        <v>46194</v>
      </c>
      <c r="J1910">
        <v>51</v>
      </c>
      <c r="K1910" t="s">
        <v>5033</v>
      </c>
      <c r="L1910" t="s">
        <v>6691</v>
      </c>
      <c r="M1910">
        <v>28</v>
      </c>
      <c r="N1910">
        <v>1</v>
      </c>
      <c r="O1910" t="s">
        <v>1036</v>
      </c>
      <c r="P1910" s="17"/>
      <c r="Q1910" s="17" t="str">
        <f>_xlfn.XLOOKUP(Table2[[#This Row],[buyFromVendorNo]],'Next Day Scheduled'!A:A,'Pending Returns'!O:O,"NOT_FOUND")</f>
        <v>NOT_FOUND</v>
      </c>
    </row>
    <row r="1911" spans="1:17" x14ac:dyDescent="0.3">
      <c r="A1911" s="1">
        <v>46208</v>
      </c>
      <c r="B1911" t="s">
        <v>517</v>
      </c>
      <c r="C1911" t="s">
        <v>73</v>
      </c>
      <c r="D1911" t="s">
        <v>74</v>
      </c>
      <c r="E1911" t="s">
        <v>8</v>
      </c>
      <c r="F1911" t="s">
        <v>10</v>
      </c>
      <c r="G1911" s="16">
        <v>1114.2882999999999</v>
      </c>
      <c r="H1911" s="16">
        <v>1281.4314999999999</v>
      </c>
      <c r="I1911" s="1">
        <v>46194</v>
      </c>
      <c r="J1911">
        <v>51</v>
      </c>
      <c r="K1911" t="s">
        <v>3541</v>
      </c>
      <c r="L1911" t="s">
        <v>6692</v>
      </c>
      <c r="M1911">
        <v>28</v>
      </c>
      <c r="N1911">
        <v>1</v>
      </c>
      <c r="O1911" t="s">
        <v>1036</v>
      </c>
      <c r="P1911" s="17"/>
      <c r="Q1911" s="17" t="str">
        <f>_xlfn.XLOOKUP(Table2[[#This Row],[buyFromVendorNo]],'Next Day Scheduled'!A:A,'Pending Returns'!O:O,"NOT_FOUND")</f>
        <v>NOT_FOUND</v>
      </c>
    </row>
    <row r="1912" spans="1:17" x14ac:dyDescent="0.3">
      <c r="A1912" s="1">
        <v>46208</v>
      </c>
      <c r="B1912" t="s">
        <v>3250</v>
      </c>
      <c r="C1912" t="s">
        <v>3893</v>
      </c>
      <c r="D1912" t="s">
        <v>3894</v>
      </c>
      <c r="E1912" t="s">
        <v>8</v>
      </c>
      <c r="F1912" t="s">
        <v>10</v>
      </c>
      <c r="G1912" s="16">
        <v>108.4435</v>
      </c>
      <c r="H1912" s="16">
        <v>124.71003</v>
      </c>
      <c r="I1912" s="1">
        <v>46202</v>
      </c>
      <c r="J1912">
        <v>51</v>
      </c>
      <c r="K1912" t="s">
        <v>4936</v>
      </c>
      <c r="L1912" t="s">
        <v>6694</v>
      </c>
      <c r="M1912">
        <v>0</v>
      </c>
      <c r="N1912">
        <v>233</v>
      </c>
      <c r="O1912" t="s">
        <v>1036</v>
      </c>
      <c r="P1912" s="17"/>
      <c r="Q1912" s="17" t="str">
        <f>_xlfn.XLOOKUP(Table2[[#This Row],[buyFromVendorNo]],'Next Day Scheduled'!A:A,'Pending Returns'!O:O,"NOT_FOUND")</f>
        <v>NOT_FOUND</v>
      </c>
    </row>
    <row r="1913" spans="1:17" x14ac:dyDescent="0.3">
      <c r="A1913" s="1">
        <v>46208</v>
      </c>
      <c r="B1913" t="s">
        <v>2696</v>
      </c>
      <c r="C1913" t="s">
        <v>73</v>
      </c>
      <c r="D1913" t="s">
        <v>74</v>
      </c>
      <c r="E1913" t="s">
        <v>8</v>
      </c>
      <c r="F1913" t="s">
        <v>10</v>
      </c>
      <c r="G1913" s="16">
        <v>1134.3527999999999</v>
      </c>
      <c r="H1913" s="16">
        <v>1304.5056999999999</v>
      </c>
      <c r="I1913" s="1">
        <v>46194</v>
      </c>
      <c r="J1913">
        <v>51</v>
      </c>
      <c r="K1913" t="s">
        <v>2697</v>
      </c>
      <c r="L1913" t="s">
        <v>6714</v>
      </c>
      <c r="M1913">
        <v>28</v>
      </c>
      <c r="N1913">
        <v>1</v>
      </c>
      <c r="O1913" t="s">
        <v>1036</v>
      </c>
      <c r="P1913" s="17"/>
      <c r="Q1913" s="17" t="str">
        <f>_xlfn.XLOOKUP(Table2[[#This Row],[buyFromVendorNo]],'Next Day Scheduled'!A:A,'Pending Returns'!O:O,"NOT_FOUND")</f>
        <v>NOT_FOUND</v>
      </c>
    </row>
    <row r="1914" spans="1:17" x14ac:dyDescent="0.3">
      <c r="A1914" s="1">
        <v>46208</v>
      </c>
      <c r="B1914" t="s">
        <v>221</v>
      </c>
      <c r="C1914" t="s">
        <v>73</v>
      </c>
      <c r="D1914" t="s">
        <v>74</v>
      </c>
      <c r="E1914" t="s">
        <v>8</v>
      </c>
      <c r="F1914" t="s">
        <v>10</v>
      </c>
      <c r="G1914" s="16">
        <v>1379.8313000000001</v>
      </c>
      <c r="H1914" s="16">
        <v>1586.806</v>
      </c>
      <c r="I1914" s="1">
        <v>46194</v>
      </c>
      <c r="J1914">
        <v>51</v>
      </c>
      <c r="K1914" t="s">
        <v>751</v>
      </c>
      <c r="L1914" t="s">
        <v>6717</v>
      </c>
      <c r="M1914">
        <v>28</v>
      </c>
      <c r="N1914">
        <v>1</v>
      </c>
      <c r="O1914" t="s">
        <v>1036</v>
      </c>
      <c r="P1914" s="17"/>
      <c r="Q1914" s="17" t="str">
        <f>_xlfn.XLOOKUP(Table2[[#This Row],[buyFromVendorNo]],'Next Day Scheduled'!A:A,'Pending Returns'!O:O,"NOT_FOUND")</f>
        <v>NOT_FOUND</v>
      </c>
    </row>
    <row r="1915" spans="1:17" x14ac:dyDescent="0.3">
      <c r="A1915" s="1">
        <v>46208</v>
      </c>
      <c r="B1915" t="s">
        <v>4074</v>
      </c>
      <c r="C1915" t="s">
        <v>1031</v>
      </c>
      <c r="D1915" t="s">
        <v>1032</v>
      </c>
      <c r="E1915" t="s">
        <v>8</v>
      </c>
      <c r="F1915" t="s">
        <v>38</v>
      </c>
      <c r="G1915" s="16">
        <v>1457.93</v>
      </c>
      <c r="H1915" s="16">
        <v>1676.6195</v>
      </c>
      <c r="I1915" s="1">
        <v>46208</v>
      </c>
      <c r="J1915">
        <v>51</v>
      </c>
      <c r="K1915" t="s">
        <v>6239</v>
      </c>
      <c r="L1915" t="s">
        <v>6660</v>
      </c>
      <c r="M1915">
        <v>6</v>
      </c>
      <c r="N1915">
        <v>7</v>
      </c>
      <c r="O1915" t="s">
        <v>1036</v>
      </c>
      <c r="P1915" s="17"/>
      <c r="Q1915" s="17" t="str">
        <f>_xlfn.XLOOKUP(Table2[[#This Row],[buyFromVendorNo]],'Next Day Scheduled'!A:A,'Pending Returns'!O:O,"NOT_FOUND")</f>
        <v>Pending for Collection</v>
      </c>
    </row>
    <row r="1916" spans="1:17" x14ac:dyDescent="0.3">
      <c r="A1916" s="1">
        <v>46208</v>
      </c>
      <c r="B1916" t="s">
        <v>2789</v>
      </c>
      <c r="C1916" t="s">
        <v>73</v>
      </c>
      <c r="D1916" t="s">
        <v>74</v>
      </c>
      <c r="E1916" t="s">
        <v>8</v>
      </c>
      <c r="F1916" t="s">
        <v>10</v>
      </c>
      <c r="G1916" s="16">
        <v>277.46539999999999</v>
      </c>
      <c r="H1916" s="16">
        <v>319.08519999999999</v>
      </c>
      <c r="I1916" s="1">
        <v>46194</v>
      </c>
      <c r="J1916">
        <v>51</v>
      </c>
      <c r="K1916" t="s">
        <v>4706</v>
      </c>
      <c r="L1916" t="s">
        <v>6704</v>
      </c>
      <c r="M1916">
        <v>28</v>
      </c>
      <c r="N1916">
        <v>1</v>
      </c>
      <c r="O1916" t="s">
        <v>1036</v>
      </c>
      <c r="P1916" s="17"/>
      <c r="Q1916" s="17" t="str">
        <f>_xlfn.XLOOKUP(Table2[[#This Row],[buyFromVendorNo]],'Next Day Scheduled'!A:A,'Pending Returns'!O:O,"NOT_FOUND")</f>
        <v>NOT_FOUND</v>
      </c>
    </row>
    <row r="1917" spans="1:17" x14ac:dyDescent="0.3">
      <c r="A1917" s="1">
        <v>46208</v>
      </c>
      <c r="B1917" t="s">
        <v>4031</v>
      </c>
      <c r="C1917" t="s">
        <v>327</v>
      </c>
      <c r="D1917" t="s">
        <v>328</v>
      </c>
      <c r="E1917" t="s">
        <v>8</v>
      </c>
      <c r="F1917" t="s">
        <v>169</v>
      </c>
      <c r="G1917" s="16">
        <v>27513.759999999998</v>
      </c>
      <c r="H1917" s="16">
        <v>31640.824000000001</v>
      </c>
      <c r="I1917" s="1">
        <v>46208</v>
      </c>
      <c r="J1917">
        <v>51</v>
      </c>
      <c r="K1917" t="s">
        <v>5743</v>
      </c>
      <c r="L1917" t="s">
        <v>6706</v>
      </c>
      <c r="M1917">
        <v>6</v>
      </c>
      <c r="N1917">
        <v>5</v>
      </c>
      <c r="O1917" t="s">
        <v>1036</v>
      </c>
      <c r="P1917" s="17"/>
      <c r="Q1917" s="17" t="str">
        <f>_xlfn.XLOOKUP(Table2[[#This Row],[buyFromVendorNo]],'Next Day Scheduled'!A:A,'Pending Returns'!O:O,"NOT_FOUND")</f>
        <v>NOT_FOUND</v>
      </c>
    </row>
    <row r="1918" spans="1:17" x14ac:dyDescent="0.3">
      <c r="A1918" s="1">
        <v>46208</v>
      </c>
      <c r="B1918" t="s">
        <v>1825</v>
      </c>
      <c r="C1918" t="s">
        <v>295</v>
      </c>
      <c r="D1918" t="s">
        <v>345</v>
      </c>
      <c r="E1918" t="s">
        <v>8</v>
      </c>
      <c r="F1918" t="s">
        <v>10</v>
      </c>
      <c r="G1918" s="16">
        <v>474.5</v>
      </c>
      <c r="H1918" s="16">
        <v>545.67499999999995</v>
      </c>
      <c r="I1918" s="1">
        <v>46180</v>
      </c>
      <c r="J1918">
        <v>51</v>
      </c>
      <c r="K1918" t="s">
        <v>2458</v>
      </c>
      <c r="L1918" t="s">
        <v>6639</v>
      </c>
      <c r="M1918">
        <v>21</v>
      </c>
      <c r="N1918">
        <v>1</v>
      </c>
      <c r="O1918" t="s">
        <v>1036</v>
      </c>
      <c r="P1918" s="17"/>
      <c r="Q1918" s="17" t="str">
        <f>_xlfn.XLOOKUP(Table2[[#This Row],[buyFromVendorNo]],'Next Day Scheduled'!A:A,'Pending Returns'!O:O,"NOT_FOUND")</f>
        <v>NOT_FOUND</v>
      </c>
    </row>
    <row r="1919" spans="1:17" x14ac:dyDescent="0.3">
      <c r="A1919" s="1">
        <v>46208</v>
      </c>
      <c r="B1919" t="s">
        <v>5410</v>
      </c>
      <c r="C1919" t="s">
        <v>1031</v>
      </c>
      <c r="D1919" t="s">
        <v>1032</v>
      </c>
      <c r="E1919" t="s">
        <v>8</v>
      </c>
      <c r="F1919" t="s">
        <v>10</v>
      </c>
      <c r="G1919" s="16">
        <v>1789.2</v>
      </c>
      <c r="H1919" s="16">
        <v>2057.58</v>
      </c>
      <c r="I1919" s="1">
        <v>46208</v>
      </c>
      <c r="J1919">
        <v>51</v>
      </c>
      <c r="K1919" t="s">
        <v>5382</v>
      </c>
      <c r="L1919" t="s">
        <v>6688</v>
      </c>
      <c r="M1919">
        <v>6</v>
      </c>
      <c r="N1919">
        <v>7</v>
      </c>
      <c r="O1919" t="s">
        <v>1036</v>
      </c>
      <c r="P1919" s="17"/>
      <c r="Q1919" s="17" t="str">
        <f>_xlfn.XLOOKUP(Table2[[#This Row],[buyFromVendorNo]],'Next Day Scheduled'!A:A,'Pending Returns'!O:O,"NOT_FOUND")</f>
        <v>Pending for Collection</v>
      </c>
    </row>
    <row r="1920" spans="1:17" x14ac:dyDescent="0.3">
      <c r="A1920" s="1">
        <v>46208</v>
      </c>
      <c r="B1920" t="s">
        <v>3292</v>
      </c>
      <c r="C1920" t="s">
        <v>1031</v>
      </c>
      <c r="D1920" t="s">
        <v>1032</v>
      </c>
      <c r="E1920" t="s">
        <v>8</v>
      </c>
      <c r="F1920" t="s">
        <v>10</v>
      </c>
      <c r="G1920" s="16">
        <v>1192.8</v>
      </c>
      <c r="H1920" s="16">
        <v>1371.72</v>
      </c>
      <c r="I1920" s="1">
        <v>46208</v>
      </c>
      <c r="J1920">
        <v>51</v>
      </c>
      <c r="K1920" t="s">
        <v>6274</v>
      </c>
      <c r="L1920" t="s">
        <v>6693</v>
      </c>
      <c r="M1920">
        <v>6</v>
      </c>
      <c r="N1920">
        <v>7</v>
      </c>
      <c r="O1920" t="s">
        <v>1036</v>
      </c>
      <c r="P1920" s="17"/>
      <c r="Q1920" s="17" t="str">
        <f>_xlfn.XLOOKUP(Table2[[#This Row],[buyFromVendorNo]],'Next Day Scheduled'!A:A,'Pending Returns'!O:O,"NOT_FOUND")</f>
        <v>Pending for Collection</v>
      </c>
    </row>
    <row r="1921" spans="1:17" x14ac:dyDescent="0.3">
      <c r="A1921" s="1">
        <v>46208</v>
      </c>
      <c r="B1921" t="s">
        <v>2138</v>
      </c>
      <c r="C1921" t="s">
        <v>199</v>
      </c>
      <c r="D1921" t="s">
        <v>200</v>
      </c>
      <c r="E1921" t="s">
        <v>8</v>
      </c>
      <c r="F1921" t="s">
        <v>10</v>
      </c>
      <c r="G1921" s="16">
        <v>631.39995999999996</v>
      </c>
      <c r="H1921" s="16">
        <v>726.11</v>
      </c>
      <c r="I1921" s="1">
        <v>46208</v>
      </c>
      <c r="J1921">
        <v>51</v>
      </c>
      <c r="K1921" t="s">
        <v>4723</v>
      </c>
      <c r="L1921" t="s">
        <v>6696</v>
      </c>
      <c r="M1921">
        <v>7</v>
      </c>
      <c r="N1921">
        <v>6</v>
      </c>
      <c r="O1921" t="s">
        <v>1036</v>
      </c>
      <c r="P1921" s="17"/>
      <c r="Q1921" s="17" t="str">
        <f>_xlfn.XLOOKUP(Table2[[#This Row],[buyFromVendorNo]],'Next Day Scheduled'!A:A,'Pending Returns'!O:O,"NOT_FOUND")</f>
        <v>NOT_FOUND</v>
      </c>
    </row>
    <row r="1922" spans="1:17" x14ac:dyDescent="0.3">
      <c r="A1922" s="1">
        <v>46208</v>
      </c>
      <c r="B1922" t="s">
        <v>280</v>
      </c>
      <c r="C1922" t="s">
        <v>73</v>
      </c>
      <c r="D1922" t="s">
        <v>74</v>
      </c>
      <c r="E1922" t="s">
        <v>8</v>
      </c>
      <c r="F1922" t="s">
        <v>10</v>
      </c>
      <c r="G1922" s="16">
        <v>2399.3796000000002</v>
      </c>
      <c r="H1922" s="16">
        <v>2759.2865999999999</v>
      </c>
      <c r="I1922" s="1">
        <v>46194</v>
      </c>
      <c r="J1922">
        <v>51</v>
      </c>
      <c r="K1922" t="s">
        <v>1813</v>
      </c>
      <c r="L1922" t="s">
        <v>6697</v>
      </c>
      <c r="M1922">
        <v>28</v>
      </c>
      <c r="N1922">
        <v>1</v>
      </c>
      <c r="O1922" t="s">
        <v>1036</v>
      </c>
      <c r="P1922" s="17"/>
      <c r="Q1922" s="17" t="str">
        <f>_xlfn.XLOOKUP(Table2[[#This Row],[buyFromVendorNo]],'Next Day Scheduled'!A:A,'Pending Returns'!O:O,"NOT_FOUND")</f>
        <v>NOT_FOUND</v>
      </c>
    </row>
    <row r="1923" spans="1:17" x14ac:dyDescent="0.3">
      <c r="A1923" s="1">
        <v>46208</v>
      </c>
      <c r="B1923" t="s">
        <v>270</v>
      </c>
      <c r="C1923" t="s">
        <v>73</v>
      </c>
      <c r="D1923" t="s">
        <v>74</v>
      </c>
      <c r="E1923" t="s">
        <v>8</v>
      </c>
      <c r="F1923" t="s">
        <v>10</v>
      </c>
      <c r="G1923" s="16">
        <v>767.94939999999997</v>
      </c>
      <c r="H1923" s="16">
        <v>883.14179999999999</v>
      </c>
      <c r="I1923" s="1">
        <v>46194</v>
      </c>
      <c r="J1923">
        <v>51</v>
      </c>
      <c r="K1923" t="s">
        <v>3936</v>
      </c>
      <c r="L1923" t="s">
        <v>6676</v>
      </c>
      <c r="M1923">
        <v>28</v>
      </c>
      <c r="N1923">
        <v>1</v>
      </c>
      <c r="O1923" t="s">
        <v>1036</v>
      </c>
      <c r="P1923" s="17"/>
      <c r="Q1923" s="17" t="str">
        <f>_xlfn.XLOOKUP(Table2[[#This Row],[buyFromVendorNo]],'Next Day Scheduled'!A:A,'Pending Returns'!O:O,"NOT_FOUND")</f>
        <v>NOT_FOUND</v>
      </c>
    </row>
    <row r="1924" spans="1:17" x14ac:dyDescent="0.3">
      <c r="A1924" s="1">
        <v>46209</v>
      </c>
      <c r="B1924" t="s">
        <v>3574</v>
      </c>
      <c r="C1924" t="s">
        <v>2475</v>
      </c>
      <c r="D1924" t="s">
        <v>2476</v>
      </c>
      <c r="E1924" t="s">
        <v>8</v>
      </c>
      <c r="F1924" t="s">
        <v>10</v>
      </c>
      <c r="G1924" s="16">
        <v>826</v>
      </c>
      <c r="H1924" s="16">
        <v>949.9</v>
      </c>
      <c r="I1924" s="1">
        <v>46181</v>
      </c>
      <c r="J1924">
        <v>50</v>
      </c>
      <c r="K1924" t="s">
        <v>3575</v>
      </c>
      <c r="L1924" t="s">
        <v>6803</v>
      </c>
      <c r="M1924">
        <v>6</v>
      </c>
      <c r="N1924">
        <v>17</v>
      </c>
      <c r="O1924" t="s">
        <v>1036</v>
      </c>
      <c r="P1924" s="17"/>
      <c r="Q1924" s="17" t="str">
        <f>_xlfn.XLOOKUP(Table2[[#This Row],[buyFromVendorNo]],'Next Day Scheduled'!A:A,'Pending Returns'!O:O,"NOT_FOUND")</f>
        <v>NOT_FOUND</v>
      </c>
    </row>
    <row r="1925" spans="1:17" x14ac:dyDescent="0.3">
      <c r="A1925" s="1">
        <v>46209</v>
      </c>
      <c r="B1925" t="s">
        <v>5391</v>
      </c>
      <c r="C1925" t="s">
        <v>957</v>
      </c>
      <c r="D1925" t="s">
        <v>958</v>
      </c>
      <c r="E1925" t="s">
        <v>8</v>
      </c>
      <c r="F1925" t="s">
        <v>10</v>
      </c>
      <c r="G1925" s="16">
        <v>219.98609999999999</v>
      </c>
      <c r="H1925" s="16">
        <v>252.98401000000001</v>
      </c>
      <c r="I1925" s="1">
        <v>46200</v>
      </c>
      <c r="J1925">
        <v>50</v>
      </c>
      <c r="K1925" t="s">
        <v>5392</v>
      </c>
      <c r="L1925" t="s">
        <v>6804</v>
      </c>
      <c r="M1925">
        <v>6</v>
      </c>
      <c r="N1925">
        <v>3</v>
      </c>
      <c r="O1925" t="s">
        <v>1036</v>
      </c>
      <c r="P1925" s="17"/>
      <c r="Q1925" s="17" t="str">
        <f>_xlfn.XLOOKUP(Table2[[#This Row],[buyFromVendorNo]],'Next Day Scheduled'!A:A,'Pending Returns'!O:O,"NOT_FOUND")</f>
        <v>NOT_FOUND</v>
      </c>
    </row>
    <row r="1926" spans="1:17" x14ac:dyDescent="0.3">
      <c r="A1926" s="1">
        <v>46209</v>
      </c>
      <c r="B1926" t="s">
        <v>5591</v>
      </c>
      <c r="C1926" t="s">
        <v>693</v>
      </c>
      <c r="D1926" t="s">
        <v>694</v>
      </c>
      <c r="E1926" t="s">
        <v>8</v>
      </c>
      <c r="F1926" t="s">
        <v>10</v>
      </c>
      <c r="G1926" s="16">
        <v>35.087159999999997</v>
      </c>
      <c r="H1926" s="16">
        <v>40.350230000000003</v>
      </c>
      <c r="I1926" s="1">
        <v>46196</v>
      </c>
      <c r="J1926">
        <v>50</v>
      </c>
      <c r="K1926" t="s">
        <v>3165</v>
      </c>
      <c r="L1926" t="s">
        <v>6832</v>
      </c>
      <c r="M1926">
        <v>0</v>
      </c>
      <c r="N1926">
        <v>278</v>
      </c>
      <c r="O1926" t="s">
        <v>1036</v>
      </c>
      <c r="P1926" s="17"/>
      <c r="Q1926" s="17" t="str">
        <f>_xlfn.XLOOKUP(Table2[[#This Row],[buyFromVendorNo]],'Next Day Scheduled'!A:A,'Pending Returns'!O:O,"NOT_FOUND")</f>
        <v>NOT_FOUND</v>
      </c>
    </row>
    <row r="1927" spans="1:17" x14ac:dyDescent="0.3">
      <c r="A1927" s="1">
        <v>46209</v>
      </c>
      <c r="B1927" t="s">
        <v>2682</v>
      </c>
      <c r="C1927" t="s">
        <v>1411</v>
      </c>
      <c r="D1927" t="s">
        <v>1412</v>
      </c>
      <c r="E1927" t="s">
        <v>8</v>
      </c>
      <c r="F1927" t="s">
        <v>10</v>
      </c>
      <c r="G1927" s="16">
        <v>596.95000000000005</v>
      </c>
      <c r="H1927" s="16">
        <v>686.49249999999995</v>
      </c>
      <c r="I1927" s="1">
        <v>46207</v>
      </c>
      <c r="J1927">
        <v>50</v>
      </c>
      <c r="K1927" t="s">
        <v>5487</v>
      </c>
      <c r="L1927" t="s">
        <v>6763</v>
      </c>
      <c r="M1927">
        <v>6</v>
      </c>
      <c r="N1927">
        <v>3</v>
      </c>
      <c r="O1927" t="s">
        <v>1036</v>
      </c>
      <c r="P1927" s="17"/>
      <c r="Q1927" s="17" t="str">
        <f>_xlfn.XLOOKUP(Table2[[#This Row],[buyFromVendorNo]],'Next Day Scheduled'!A:A,'Pending Returns'!O:O,"NOT_FOUND")</f>
        <v>NOT_FOUND</v>
      </c>
    </row>
    <row r="1928" spans="1:17" x14ac:dyDescent="0.3">
      <c r="A1928" s="1">
        <v>46209</v>
      </c>
      <c r="B1928" t="s">
        <v>3030</v>
      </c>
      <c r="C1928" t="s">
        <v>137</v>
      </c>
      <c r="D1928" t="s">
        <v>138</v>
      </c>
      <c r="E1928" t="s">
        <v>8</v>
      </c>
      <c r="F1928" t="s">
        <v>10</v>
      </c>
      <c r="G1928" s="16">
        <v>930.75</v>
      </c>
      <c r="H1928" s="16">
        <v>1070.3625</v>
      </c>
      <c r="I1928" s="1">
        <v>46197</v>
      </c>
      <c r="J1928">
        <v>50</v>
      </c>
      <c r="K1928" t="s">
        <v>3786</v>
      </c>
      <c r="L1928" t="s">
        <v>6767</v>
      </c>
      <c r="M1928">
        <v>11</v>
      </c>
      <c r="N1928">
        <v>5</v>
      </c>
      <c r="O1928" t="s">
        <v>1036</v>
      </c>
      <c r="P1928" s="17"/>
      <c r="Q1928" s="17" t="str">
        <f>_xlfn.XLOOKUP(Table2[[#This Row],[buyFromVendorNo]],'Next Day Scheduled'!A:A,'Pending Returns'!O:O,"NOT_FOUND")</f>
        <v>NOT_FOUND</v>
      </c>
    </row>
    <row r="1929" spans="1:17" x14ac:dyDescent="0.3">
      <c r="A1929" s="1">
        <v>46209</v>
      </c>
      <c r="B1929" t="s">
        <v>4004</v>
      </c>
      <c r="C1929" t="s">
        <v>90</v>
      </c>
      <c r="D1929" t="s">
        <v>91</v>
      </c>
      <c r="E1929" t="s">
        <v>8</v>
      </c>
      <c r="F1929" t="s">
        <v>10</v>
      </c>
      <c r="G1929" s="16">
        <v>216.33</v>
      </c>
      <c r="H1929" s="16">
        <v>248.77950000000001</v>
      </c>
      <c r="I1929" s="1">
        <v>46194</v>
      </c>
      <c r="J1929">
        <v>50</v>
      </c>
      <c r="K1929" t="s">
        <v>4005</v>
      </c>
      <c r="L1929" t="s">
        <v>6788</v>
      </c>
      <c r="M1929">
        <v>7</v>
      </c>
      <c r="N1929">
        <v>3</v>
      </c>
      <c r="O1929" t="s">
        <v>1036</v>
      </c>
      <c r="P1929" s="17"/>
      <c r="Q1929" s="17" t="str">
        <f>_xlfn.XLOOKUP(Table2[[#This Row],[buyFromVendorNo]],'Next Day Scheduled'!A:A,'Pending Returns'!O:O,"NOT_FOUND")</f>
        <v>NOT_FOUND</v>
      </c>
    </row>
    <row r="1930" spans="1:17" x14ac:dyDescent="0.3">
      <c r="A1930" s="1">
        <v>46209</v>
      </c>
      <c r="B1930" t="s">
        <v>1772</v>
      </c>
      <c r="C1930" t="s">
        <v>693</v>
      </c>
      <c r="D1930" t="s">
        <v>694</v>
      </c>
      <c r="E1930" t="s">
        <v>8</v>
      </c>
      <c r="F1930" t="s">
        <v>10</v>
      </c>
      <c r="G1930" s="16">
        <v>7181.1180000000004</v>
      </c>
      <c r="H1930" s="16">
        <v>8258.2860000000001</v>
      </c>
      <c r="I1930" s="1">
        <v>46196</v>
      </c>
      <c r="J1930">
        <v>50</v>
      </c>
      <c r="K1930" t="s">
        <v>695</v>
      </c>
      <c r="L1930" t="s">
        <v>6768</v>
      </c>
      <c r="M1930">
        <v>0</v>
      </c>
      <c r="N1930">
        <v>278</v>
      </c>
      <c r="O1930" t="s">
        <v>1036</v>
      </c>
      <c r="P1930" s="17"/>
      <c r="Q1930" s="17" t="str">
        <f>_xlfn.XLOOKUP(Table2[[#This Row],[buyFromVendorNo]],'Next Day Scheduled'!A:A,'Pending Returns'!O:O,"NOT_FOUND")</f>
        <v>NOT_FOUND</v>
      </c>
    </row>
    <row r="1931" spans="1:17" x14ac:dyDescent="0.3">
      <c r="A1931" s="1">
        <v>46209</v>
      </c>
      <c r="B1931" t="s">
        <v>2721</v>
      </c>
      <c r="C1931" t="s">
        <v>137</v>
      </c>
      <c r="D1931" t="s">
        <v>138</v>
      </c>
      <c r="E1931" t="s">
        <v>8</v>
      </c>
      <c r="F1931" t="s">
        <v>10</v>
      </c>
      <c r="G1931" s="16">
        <v>5081.93</v>
      </c>
      <c r="H1931" s="16">
        <v>5844.2196999999996</v>
      </c>
      <c r="I1931" s="1">
        <v>46197</v>
      </c>
      <c r="J1931">
        <v>50</v>
      </c>
      <c r="K1931" t="s">
        <v>2722</v>
      </c>
      <c r="L1931" t="s">
        <v>6770</v>
      </c>
      <c r="M1931">
        <v>11</v>
      </c>
      <c r="N1931">
        <v>5</v>
      </c>
      <c r="O1931" t="s">
        <v>1036</v>
      </c>
      <c r="P1931" s="17"/>
      <c r="Q1931" s="17" t="str">
        <f>_xlfn.XLOOKUP(Table2[[#This Row],[buyFromVendorNo]],'Next Day Scheduled'!A:A,'Pending Returns'!O:O,"NOT_FOUND")</f>
        <v>NOT_FOUND</v>
      </c>
    </row>
    <row r="1932" spans="1:17" x14ac:dyDescent="0.3">
      <c r="A1932" s="1">
        <v>46209</v>
      </c>
      <c r="B1932" t="s">
        <v>315</v>
      </c>
      <c r="C1932" t="s">
        <v>137</v>
      </c>
      <c r="D1932" t="s">
        <v>138</v>
      </c>
      <c r="E1932" t="s">
        <v>8</v>
      </c>
      <c r="F1932" t="s">
        <v>10</v>
      </c>
      <c r="G1932" s="16">
        <v>7327.55</v>
      </c>
      <c r="H1932" s="16">
        <v>8426.6830000000009</v>
      </c>
      <c r="I1932" s="1">
        <v>46197</v>
      </c>
      <c r="J1932">
        <v>50</v>
      </c>
      <c r="K1932" t="s">
        <v>4109</v>
      </c>
      <c r="L1932" t="s">
        <v>6769</v>
      </c>
      <c r="M1932">
        <v>11</v>
      </c>
      <c r="N1932">
        <v>5</v>
      </c>
      <c r="O1932" t="s">
        <v>1036</v>
      </c>
      <c r="P1932" s="17"/>
      <c r="Q1932" s="17" t="str">
        <f>_xlfn.XLOOKUP(Table2[[#This Row],[buyFromVendorNo]],'Next Day Scheduled'!A:A,'Pending Returns'!O:O,"NOT_FOUND")</f>
        <v>NOT_FOUND</v>
      </c>
    </row>
    <row r="1933" spans="1:17" x14ac:dyDescent="0.3">
      <c r="A1933" s="1">
        <v>46209</v>
      </c>
      <c r="B1933" t="s">
        <v>5535</v>
      </c>
      <c r="C1933" t="s">
        <v>130</v>
      </c>
      <c r="D1933" t="s">
        <v>131</v>
      </c>
      <c r="E1933" t="s">
        <v>8</v>
      </c>
      <c r="F1933" t="s">
        <v>10</v>
      </c>
      <c r="G1933" s="16">
        <v>530.39980000000003</v>
      </c>
      <c r="H1933" s="16">
        <v>609.9597</v>
      </c>
      <c r="I1933" s="1">
        <v>46204</v>
      </c>
      <c r="J1933">
        <v>50</v>
      </c>
      <c r="K1933" t="s">
        <v>5536</v>
      </c>
      <c r="L1933" t="s">
        <v>6737</v>
      </c>
      <c r="M1933">
        <v>7</v>
      </c>
      <c r="N1933">
        <v>7</v>
      </c>
      <c r="O1933" t="s">
        <v>1036</v>
      </c>
      <c r="P1933" s="17"/>
      <c r="Q1933" s="17" t="str">
        <f>_xlfn.XLOOKUP(Table2[[#This Row],[buyFromVendorNo]],'Next Day Scheduled'!A:A,'Pending Returns'!O:O,"NOT_FOUND")</f>
        <v>Posted Credit Note</v>
      </c>
    </row>
    <row r="1934" spans="1:17" x14ac:dyDescent="0.3">
      <c r="A1934" s="1">
        <v>46209</v>
      </c>
      <c r="B1934" t="s">
        <v>312</v>
      </c>
      <c r="C1934" t="s">
        <v>137</v>
      </c>
      <c r="D1934" t="s">
        <v>138</v>
      </c>
      <c r="E1934" t="s">
        <v>8</v>
      </c>
      <c r="F1934" t="s">
        <v>10</v>
      </c>
      <c r="G1934" s="16">
        <v>1780.59</v>
      </c>
      <c r="H1934" s="16">
        <v>2047.6785</v>
      </c>
      <c r="I1934" s="1">
        <v>46197</v>
      </c>
      <c r="J1934">
        <v>50</v>
      </c>
      <c r="K1934" t="s">
        <v>4728</v>
      </c>
      <c r="L1934" t="s">
        <v>6794</v>
      </c>
      <c r="M1934">
        <v>11</v>
      </c>
      <c r="N1934">
        <v>5</v>
      </c>
      <c r="O1934" t="s">
        <v>1036</v>
      </c>
      <c r="P1934" s="17"/>
      <c r="Q1934" s="17" t="str">
        <f>_xlfn.XLOOKUP(Table2[[#This Row],[buyFromVendorNo]],'Next Day Scheduled'!A:A,'Pending Returns'!O:O,"NOT_FOUND")</f>
        <v>NOT_FOUND</v>
      </c>
    </row>
    <row r="1935" spans="1:17" x14ac:dyDescent="0.3">
      <c r="A1935" s="1">
        <v>46209</v>
      </c>
      <c r="B1935" t="s">
        <v>2001</v>
      </c>
      <c r="C1935" t="s">
        <v>25</v>
      </c>
      <c r="D1935" t="s">
        <v>26</v>
      </c>
      <c r="E1935" t="s">
        <v>8</v>
      </c>
      <c r="F1935" t="s">
        <v>10</v>
      </c>
      <c r="G1935" s="16">
        <v>3580.7563</v>
      </c>
      <c r="H1935" s="16">
        <v>4117.87</v>
      </c>
      <c r="I1935" s="1">
        <v>46193</v>
      </c>
      <c r="J1935">
        <v>50</v>
      </c>
      <c r="K1935" t="s">
        <v>1906</v>
      </c>
      <c r="L1935" t="s">
        <v>6797</v>
      </c>
      <c r="M1935">
        <v>7</v>
      </c>
      <c r="N1935">
        <v>7</v>
      </c>
      <c r="O1935" t="s">
        <v>1036</v>
      </c>
      <c r="P1935" s="17"/>
      <c r="Q1935" s="17" t="str">
        <f>_xlfn.XLOOKUP(Table2[[#This Row],[buyFromVendorNo]],'Next Day Scheduled'!A:A,'Pending Returns'!O:O,"NOT_FOUND")</f>
        <v>NOT_FOUND</v>
      </c>
    </row>
    <row r="1936" spans="1:17" x14ac:dyDescent="0.3">
      <c r="A1936" s="1">
        <v>46209</v>
      </c>
      <c r="B1936" t="s">
        <v>1962</v>
      </c>
      <c r="C1936" t="s">
        <v>494</v>
      </c>
      <c r="D1936" t="s">
        <v>495</v>
      </c>
      <c r="E1936" t="s">
        <v>8</v>
      </c>
      <c r="F1936" t="s">
        <v>10</v>
      </c>
      <c r="G1936" s="16">
        <v>2676.24</v>
      </c>
      <c r="H1936" s="16">
        <v>3077.6759999999999</v>
      </c>
      <c r="I1936" s="1">
        <v>46208</v>
      </c>
      <c r="J1936">
        <v>50</v>
      </c>
      <c r="K1936" t="s">
        <v>6128</v>
      </c>
      <c r="L1936" t="s">
        <v>6823</v>
      </c>
      <c r="M1936">
        <v>6</v>
      </c>
      <c r="N1936">
        <v>7</v>
      </c>
      <c r="O1936" t="s">
        <v>1036</v>
      </c>
      <c r="P1936" s="17"/>
      <c r="Q1936" s="17" t="str">
        <f>_xlfn.XLOOKUP(Table2[[#This Row],[buyFromVendorNo]],'Next Day Scheduled'!A:A,'Pending Returns'!O:O,"NOT_FOUND")</f>
        <v>Posted Credit Note</v>
      </c>
    </row>
    <row r="1937" spans="1:17" x14ac:dyDescent="0.3">
      <c r="A1937" s="1">
        <v>46209</v>
      </c>
      <c r="B1937" t="s">
        <v>3274</v>
      </c>
      <c r="C1937" t="s">
        <v>3056</v>
      </c>
      <c r="D1937" t="s">
        <v>3057</v>
      </c>
      <c r="E1937" t="s">
        <v>8</v>
      </c>
      <c r="F1937" t="s">
        <v>10</v>
      </c>
      <c r="G1937" s="16">
        <v>218.4</v>
      </c>
      <c r="H1937" s="16">
        <v>251.16</v>
      </c>
      <c r="I1937" s="1">
        <v>46200</v>
      </c>
      <c r="J1937">
        <v>50</v>
      </c>
      <c r="K1937" t="s">
        <v>5463</v>
      </c>
      <c r="L1937" t="s">
        <v>6825</v>
      </c>
      <c r="M1937">
        <v>6</v>
      </c>
      <c r="N1937">
        <v>9</v>
      </c>
      <c r="O1937" t="s">
        <v>1036</v>
      </c>
      <c r="P1937" s="17"/>
      <c r="Q1937" s="17" t="str">
        <f>_xlfn.XLOOKUP(Table2[[#This Row],[buyFromVendorNo]],'Next Day Scheduled'!A:A,'Pending Returns'!O:O,"NOT_FOUND")</f>
        <v>NOT_FOUND</v>
      </c>
    </row>
    <row r="1938" spans="1:17" x14ac:dyDescent="0.3">
      <c r="A1938" s="1">
        <v>46209</v>
      </c>
      <c r="B1938" t="s">
        <v>3281</v>
      </c>
      <c r="C1938" t="s">
        <v>39</v>
      </c>
      <c r="D1938" t="s">
        <v>40</v>
      </c>
      <c r="E1938" t="s">
        <v>8</v>
      </c>
      <c r="F1938" t="s">
        <v>10</v>
      </c>
      <c r="G1938" s="16">
        <v>1107.3046999999999</v>
      </c>
      <c r="H1938" s="16">
        <v>1273.4004</v>
      </c>
      <c r="I1938" s="1">
        <v>46209</v>
      </c>
      <c r="J1938">
        <v>50</v>
      </c>
      <c r="K1938" t="s">
        <v>3152</v>
      </c>
      <c r="L1938" t="s">
        <v>6859</v>
      </c>
      <c r="M1938">
        <v>12</v>
      </c>
      <c r="N1938">
        <v>1</v>
      </c>
      <c r="O1938" t="s">
        <v>1036</v>
      </c>
      <c r="P1938" s="17"/>
      <c r="Q1938" s="17" t="str">
        <f>_xlfn.XLOOKUP(Table2[[#This Row],[buyFromVendorNo]],'Next Day Scheduled'!A:A,'Pending Returns'!O:O,"NOT_FOUND")</f>
        <v>Posted Credit Note</v>
      </c>
    </row>
    <row r="1939" spans="1:17" x14ac:dyDescent="0.3">
      <c r="A1939" s="1">
        <v>46209</v>
      </c>
      <c r="B1939" t="s">
        <v>2178</v>
      </c>
      <c r="C1939" t="s">
        <v>25</v>
      </c>
      <c r="D1939" t="s">
        <v>26</v>
      </c>
      <c r="E1939" t="s">
        <v>8</v>
      </c>
      <c r="F1939" t="s">
        <v>10</v>
      </c>
      <c r="G1939" s="16">
        <v>1490.5454</v>
      </c>
      <c r="H1939" s="16">
        <v>1714.1271999999999</v>
      </c>
      <c r="I1939" s="1">
        <v>46193</v>
      </c>
      <c r="J1939">
        <v>50</v>
      </c>
      <c r="K1939" t="s">
        <v>2651</v>
      </c>
      <c r="L1939" t="s">
        <v>6855</v>
      </c>
      <c r="M1939">
        <v>7</v>
      </c>
      <c r="N1939">
        <v>7</v>
      </c>
      <c r="O1939" t="s">
        <v>1036</v>
      </c>
      <c r="P1939" s="17"/>
      <c r="Q1939" s="17" t="str">
        <f>_xlfn.XLOOKUP(Table2[[#This Row],[buyFromVendorNo]],'Next Day Scheduled'!A:A,'Pending Returns'!O:O,"NOT_FOUND")</f>
        <v>NOT_FOUND</v>
      </c>
    </row>
    <row r="1940" spans="1:17" x14ac:dyDescent="0.3">
      <c r="A1940" s="1">
        <v>46209</v>
      </c>
      <c r="B1940" t="s">
        <v>3254</v>
      </c>
      <c r="C1940" t="s">
        <v>925</v>
      </c>
      <c r="D1940" t="s">
        <v>926</v>
      </c>
      <c r="E1940" t="s">
        <v>8</v>
      </c>
      <c r="F1940" t="s">
        <v>10</v>
      </c>
      <c r="G1940" s="16">
        <v>75.8</v>
      </c>
      <c r="H1940" s="16">
        <v>87.17</v>
      </c>
      <c r="I1940" s="1">
        <v>46209</v>
      </c>
      <c r="J1940">
        <v>50</v>
      </c>
      <c r="K1940" t="s">
        <v>6445</v>
      </c>
      <c r="L1940" t="s">
        <v>6785</v>
      </c>
      <c r="M1940">
        <v>7</v>
      </c>
      <c r="N1940">
        <v>2</v>
      </c>
      <c r="O1940" t="s">
        <v>1036</v>
      </c>
      <c r="P1940" s="17"/>
      <c r="Q1940" s="17" t="str">
        <f>_xlfn.XLOOKUP(Table2[[#This Row],[buyFromVendorNo]],'Next Day Scheduled'!A:A,'Pending Returns'!O:O,"NOT_FOUND")</f>
        <v>NOT_FOUND</v>
      </c>
    </row>
    <row r="1941" spans="1:17" x14ac:dyDescent="0.3">
      <c r="A1941" s="1">
        <v>46209</v>
      </c>
      <c r="B1941" t="s">
        <v>2938</v>
      </c>
      <c r="C1941" t="s">
        <v>2330</v>
      </c>
      <c r="D1941" t="s">
        <v>320</v>
      </c>
      <c r="E1941" t="s">
        <v>8</v>
      </c>
      <c r="F1941" t="s">
        <v>10</v>
      </c>
      <c r="G1941" s="16">
        <v>7365</v>
      </c>
      <c r="H1941" s="16">
        <v>8469.75</v>
      </c>
      <c r="I1941" s="1">
        <v>46200</v>
      </c>
      <c r="J1941">
        <v>50</v>
      </c>
      <c r="K1941" t="s">
        <v>2939</v>
      </c>
      <c r="L1941" t="s">
        <v>6831</v>
      </c>
      <c r="M1941">
        <v>7</v>
      </c>
      <c r="N1941">
        <v>2</v>
      </c>
      <c r="O1941" t="s">
        <v>1036</v>
      </c>
      <c r="P1941" s="17"/>
      <c r="Q1941" s="17" t="str">
        <f>_xlfn.XLOOKUP(Table2[[#This Row],[buyFromVendorNo]],'Next Day Scheduled'!A:A,'Pending Returns'!O:O,"NOT_FOUND")</f>
        <v>NOT_FOUND</v>
      </c>
    </row>
    <row r="1942" spans="1:17" x14ac:dyDescent="0.3">
      <c r="A1942" s="1">
        <v>46209</v>
      </c>
      <c r="B1942" t="s">
        <v>3397</v>
      </c>
      <c r="C1942" t="s">
        <v>137</v>
      </c>
      <c r="D1942" t="s">
        <v>138</v>
      </c>
      <c r="E1942" t="s">
        <v>8</v>
      </c>
      <c r="F1942" t="s">
        <v>10</v>
      </c>
      <c r="G1942" s="16">
        <v>2206.98</v>
      </c>
      <c r="H1942" s="16">
        <v>2538.027</v>
      </c>
      <c r="I1942" s="1">
        <v>46197</v>
      </c>
      <c r="J1942">
        <v>50</v>
      </c>
      <c r="K1942" t="s">
        <v>4608</v>
      </c>
      <c r="L1942" t="s">
        <v>6805</v>
      </c>
      <c r="M1942">
        <v>11</v>
      </c>
      <c r="N1942">
        <v>5</v>
      </c>
      <c r="O1942" t="s">
        <v>1036</v>
      </c>
      <c r="P1942" s="17"/>
      <c r="Q1942" s="17" t="str">
        <f>_xlfn.XLOOKUP(Table2[[#This Row],[buyFromVendorNo]],'Next Day Scheduled'!A:A,'Pending Returns'!O:O,"NOT_FOUND")</f>
        <v>NOT_FOUND</v>
      </c>
    </row>
    <row r="1943" spans="1:17" x14ac:dyDescent="0.3">
      <c r="A1943" s="1">
        <v>46209</v>
      </c>
      <c r="B1943" t="s">
        <v>760</v>
      </c>
      <c r="C1943" t="s">
        <v>693</v>
      </c>
      <c r="D1943" t="s">
        <v>694</v>
      </c>
      <c r="E1943" t="s">
        <v>8</v>
      </c>
      <c r="F1943" t="s">
        <v>10</v>
      </c>
      <c r="G1943" s="16">
        <v>6526.5586000000003</v>
      </c>
      <c r="H1943" s="16">
        <v>7505.5420000000004</v>
      </c>
      <c r="I1943" s="1">
        <v>46196</v>
      </c>
      <c r="J1943">
        <v>50</v>
      </c>
      <c r="K1943" t="s">
        <v>735</v>
      </c>
      <c r="L1943" t="s">
        <v>6806</v>
      </c>
      <c r="M1943">
        <v>0</v>
      </c>
      <c r="N1943">
        <v>278</v>
      </c>
      <c r="O1943" t="s">
        <v>1036</v>
      </c>
      <c r="P1943" s="17"/>
      <c r="Q1943" s="17" t="str">
        <f>_xlfn.XLOOKUP(Table2[[#This Row],[buyFromVendorNo]],'Next Day Scheduled'!A:A,'Pending Returns'!O:O,"NOT_FOUND")</f>
        <v>NOT_FOUND</v>
      </c>
    </row>
    <row r="1944" spans="1:17" x14ac:dyDescent="0.3">
      <c r="A1944" s="1">
        <v>46209</v>
      </c>
      <c r="B1944" t="s">
        <v>3715</v>
      </c>
      <c r="C1944" t="s">
        <v>3380</v>
      </c>
      <c r="D1944" t="s">
        <v>3381</v>
      </c>
      <c r="E1944" t="s">
        <v>8</v>
      </c>
      <c r="F1944" t="s">
        <v>169</v>
      </c>
      <c r="G1944" s="16">
        <v>117.6</v>
      </c>
      <c r="H1944" s="16">
        <v>135.24</v>
      </c>
      <c r="I1944" s="1">
        <v>46208</v>
      </c>
      <c r="J1944">
        <v>50</v>
      </c>
      <c r="K1944" t="s">
        <v>6670</v>
      </c>
      <c r="L1944" t="s">
        <v>6810</v>
      </c>
      <c r="M1944">
        <v>2</v>
      </c>
      <c r="N1944">
        <v>19</v>
      </c>
      <c r="O1944" t="s">
        <v>1036</v>
      </c>
      <c r="P1944" s="17"/>
      <c r="Q1944" s="17" t="str">
        <f>_xlfn.XLOOKUP(Table2[[#This Row],[buyFromVendorNo]],'Next Day Scheduled'!A:A,'Pending Returns'!O:O,"NOT_FOUND")</f>
        <v>NOT_FOUND</v>
      </c>
    </row>
    <row r="1945" spans="1:17" x14ac:dyDescent="0.3">
      <c r="A1945" s="1">
        <v>46209</v>
      </c>
      <c r="B1945" t="s">
        <v>2220</v>
      </c>
      <c r="C1945" t="s">
        <v>693</v>
      </c>
      <c r="D1945" t="s">
        <v>694</v>
      </c>
      <c r="E1945" t="s">
        <v>8</v>
      </c>
      <c r="F1945" t="s">
        <v>10</v>
      </c>
      <c r="G1945" s="16">
        <v>5042.7334000000001</v>
      </c>
      <c r="H1945" s="16">
        <v>5799.1436000000003</v>
      </c>
      <c r="I1945" s="1">
        <v>46196</v>
      </c>
      <c r="J1945">
        <v>50</v>
      </c>
      <c r="K1945" t="s">
        <v>2195</v>
      </c>
      <c r="L1945" t="s">
        <v>6815</v>
      </c>
      <c r="M1945">
        <v>0</v>
      </c>
      <c r="N1945">
        <v>278</v>
      </c>
      <c r="O1945" t="s">
        <v>1036</v>
      </c>
      <c r="P1945" s="17"/>
      <c r="Q1945" s="17" t="str">
        <f>_xlfn.XLOOKUP(Table2[[#This Row],[buyFromVendorNo]],'Next Day Scheduled'!A:A,'Pending Returns'!O:O,"NOT_FOUND")</f>
        <v>NOT_FOUND</v>
      </c>
    </row>
    <row r="1946" spans="1:17" x14ac:dyDescent="0.3">
      <c r="A1946" s="1">
        <v>46209</v>
      </c>
      <c r="B1946" t="s">
        <v>4371</v>
      </c>
      <c r="C1946" t="s">
        <v>39</v>
      </c>
      <c r="D1946" t="s">
        <v>40</v>
      </c>
      <c r="E1946" t="s">
        <v>8</v>
      </c>
      <c r="F1946" t="s">
        <v>10</v>
      </c>
      <c r="G1946" s="16">
        <v>956.62660000000005</v>
      </c>
      <c r="H1946" s="16">
        <v>1100.1206</v>
      </c>
      <c r="I1946" s="1">
        <v>46209</v>
      </c>
      <c r="J1946">
        <v>50</v>
      </c>
      <c r="K1946" t="s">
        <v>5036</v>
      </c>
      <c r="L1946" t="s">
        <v>6858</v>
      </c>
      <c r="M1946">
        <v>12</v>
      </c>
      <c r="N1946">
        <v>1</v>
      </c>
      <c r="O1946" t="s">
        <v>1036</v>
      </c>
      <c r="P1946" s="17"/>
      <c r="Q1946" s="17" t="str">
        <f>_xlfn.XLOOKUP(Table2[[#This Row],[buyFromVendorNo]],'Next Day Scheduled'!A:A,'Pending Returns'!O:O,"NOT_FOUND")</f>
        <v>Posted Credit Note</v>
      </c>
    </row>
    <row r="1947" spans="1:17" x14ac:dyDescent="0.3">
      <c r="A1947" s="1">
        <v>46209</v>
      </c>
      <c r="B1947" t="s">
        <v>1776</v>
      </c>
      <c r="C1947" t="s">
        <v>693</v>
      </c>
      <c r="D1947" t="s">
        <v>694</v>
      </c>
      <c r="E1947" t="s">
        <v>8</v>
      </c>
      <c r="F1947" t="s">
        <v>10</v>
      </c>
      <c r="G1947" s="16">
        <v>2386.9101999999998</v>
      </c>
      <c r="H1947" s="16">
        <v>2744.9465</v>
      </c>
      <c r="I1947" s="1">
        <v>46196</v>
      </c>
      <c r="J1947">
        <v>50</v>
      </c>
      <c r="K1947" t="s">
        <v>707</v>
      </c>
      <c r="L1947" t="s">
        <v>6840</v>
      </c>
      <c r="M1947">
        <v>0</v>
      </c>
      <c r="N1947">
        <v>278</v>
      </c>
      <c r="O1947" t="s">
        <v>1036</v>
      </c>
      <c r="P1947" s="17"/>
      <c r="Q1947" s="17" t="str">
        <f>_xlfn.XLOOKUP(Table2[[#This Row],[buyFromVendorNo]],'Next Day Scheduled'!A:A,'Pending Returns'!O:O,"NOT_FOUND")</f>
        <v>NOT_FOUND</v>
      </c>
    </row>
    <row r="1948" spans="1:17" x14ac:dyDescent="0.3">
      <c r="A1948" s="1">
        <v>46209</v>
      </c>
      <c r="B1948" t="s">
        <v>228</v>
      </c>
      <c r="C1948" t="s">
        <v>43</v>
      </c>
      <c r="D1948" t="s">
        <v>44</v>
      </c>
      <c r="E1948" t="s">
        <v>8</v>
      </c>
      <c r="F1948" t="s">
        <v>10</v>
      </c>
      <c r="G1948" s="16">
        <v>1510.22</v>
      </c>
      <c r="H1948" s="16">
        <v>1736.7529999999999</v>
      </c>
      <c r="I1948" s="1">
        <v>46209</v>
      </c>
      <c r="J1948">
        <v>50</v>
      </c>
      <c r="K1948" t="s">
        <v>6111</v>
      </c>
      <c r="L1948" t="s">
        <v>6863</v>
      </c>
      <c r="M1948">
        <v>15</v>
      </c>
      <c r="N1948">
        <v>2</v>
      </c>
      <c r="O1948" t="s">
        <v>1036</v>
      </c>
      <c r="P1948" s="17"/>
      <c r="Q1948" s="17" t="str">
        <f>_xlfn.XLOOKUP(Table2[[#This Row],[buyFromVendorNo]],'Next Day Scheduled'!A:A,'Pending Returns'!O:O,"NOT_FOUND")</f>
        <v>Posted Credit Note</v>
      </c>
    </row>
    <row r="1949" spans="1:17" x14ac:dyDescent="0.3">
      <c r="A1949" s="1">
        <v>46209</v>
      </c>
      <c r="B1949" t="s">
        <v>5518</v>
      </c>
      <c r="C1949" t="s">
        <v>321</v>
      </c>
      <c r="D1949" t="s">
        <v>322</v>
      </c>
      <c r="E1949" t="s">
        <v>8</v>
      </c>
      <c r="F1949" t="s">
        <v>10</v>
      </c>
      <c r="G1949" s="16">
        <v>16431.072</v>
      </c>
      <c r="H1949" s="16">
        <v>18895.732</v>
      </c>
      <c r="I1949" s="1">
        <v>46197</v>
      </c>
      <c r="J1949">
        <v>50</v>
      </c>
      <c r="K1949" t="s">
        <v>5824</v>
      </c>
      <c r="L1949" t="s">
        <v>6799</v>
      </c>
      <c r="M1949">
        <v>7</v>
      </c>
      <c r="N1949">
        <v>5</v>
      </c>
      <c r="O1949" t="s">
        <v>1036</v>
      </c>
      <c r="P1949" s="17"/>
      <c r="Q1949" s="17" t="str">
        <f>_xlfn.XLOOKUP(Table2[[#This Row],[buyFromVendorNo]],'Next Day Scheduled'!A:A,'Pending Returns'!O:O,"NOT_FOUND")</f>
        <v>NOT_FOUND</v>
      </c>
    </row>
    <row r="1950" spans="1:17" x14ac:dyDescent="0.3">
      <c r="A1950" s="1">
        <v>46209</v>
      </c>
      <c r="B1950" t="s">
        <v>890</v>
      </c>
      <c r="C1950" t="s">
        <v>65</v>
      </c>
      <c r="D1950" t="s">
        <v>66</v>
      </c>
      <c r="E1950" t="s">
        <v>8</v>
      </c>
      <c r="F1950" t="s">
        <v>169</v>
      </c>
      <c r="G1950" s="16">
        <v>2035.1925000000001</v>
      </c>
      <c r="H1950" s="16">
        <v>2340.4713999999999</v>
      </c>
      <c r="I1950" s="1">
        <v>46205</v>
      </c>
      <c r="J1950">
        <v>50</v>
      </c>
      <c r="K1950" t="s">
        <v>6496</v>
      </c>
      <c r="L1950" t="s">
        <v>6800</v>
      </c>
      <c r="M1950">
        <v>14</v>
      </c>
      <c r="N1950">
        <v>5</v>
      </c>
      <c r="O1950" t="s">
        <v>1036</v>
      </c>
      <c r="P1950" s="17"/>
      <c r="Q1950" s="17" t="str">
        <f>_xlfn.XLOOKUP(Table2[[#This Row],[buyFromVendorNo]],'Next Day Scheduled'!A:A,'Pending Returns'!O:O,"NOT_FOUND")</f>
        <v>Posted Credit Note</v>
      </c>
    </row>
    <row r="1951" spans="1:17" x14ac:dyDescent="0.3">
      <c r="A1951" s="1">
        <v>46209</v>
      </c>
      <c r="B1951" t="s">
        <v>1661</v>
      </c>
      <c r="C1951" t="s">
        <v>925</v>
      </c>
      <c r="D1951" t="s">
        <v>926</v>
      </c>
      <c r="E1951" t="s">
        <v>8</v>
      </c>
      <c r="F1951" t="s">
        <v>10</v>
      </c>
      <c r="G1951" s="16">
        <v>275.39999999999998</v>
      </c>
      <c r="H1951" s="16">
        <v>316.70999999999998</v>
      </c>
      <c r="I1951" s="1">
        <v>46209</v>
      </c>
      <c r="J1951">
        <v>50</v>
      </c>
      <c r="K1951" t="s">
        <v>6673</v>
      </c>
      <c r="L1951" t="s">
        <v>6849</v>
      </c>
      <c r="M1951">
        <v>7</v>
      </c>
      <c r="N1951">
        <v>2</v>
      </c>
      <c r="O1951" t="s">
        <v>1036</v>
      </c>
      <c r="P1951" s="17"/>
      <c r="Q1951" s="17" t="str">
        <f>_xlfn.XLOOKUP(Table2[[#This Row],[buyFromVendorNo]],'Next Day Scheduled'!A:A,'Pending Returns'!O:O,"NOT_FOUND")</f>
        <v>NOT_FOUND</v>
      </c>
    </row>
    <row r="1952" spans="1:17" x14ac:dyDescent="0.3">
      <c r="A1952" s="1">
        <v>46209</v>
      </c>
      <c r="B1952" t="s">
        <v>3532</v>
      </c>
      <c r="C1952" t="s">
        <v>693</v>
      </c>
      <c r="D1952" t="s">
        <v>694</v>
      </c>
      <c r="E1952" t="s">
        <v>8</v>
      </c>
      <c r="F1952" t="s">
        <v>10</v>
      </c>
      <c r="G1952" s="16">
        <v>1216.0283999999999</v>
      </c>
      <c r="H1952" s="16">
        <v>1398.4326000000001</v>
      </c>
      <c r="I1952" s="1">
        <v>46196</v>
      </c>
      <c r="J1952">
        <v>50</v>
      </c>
      <c r="K1952" t="s">
        <v>3533</v>
      </c>
      <c r="L1952" t="s">
        <v>6780</v>
      </c>
      <c r="M1952">
        <v>0</v>
      </c>
      <c r="N1952">
        <v>278</v>
      </c>
      <c r="O1952" t="s">
        <v>1036</v>
      </c>
      <c r="P1952" s="17"/>
      <c r="Q1952" s="17" t="str">
        <f>_xlfn.XLOOKUP(Table2[[#This Row],[buyFromVendorNo]],'Next Day Scheduled'!A:A,'Pending Returns'!O:O,"NOT_FOUND")</f>
        <v>NOT_FOUND</v>
      </c>
    </row>
    <row r="1953" spans="1:17" x14ac:dyDescent="0.3">
      <c r="A1953" s="1">
        <v>46209</v>
      </c>
      <c r="B1953" t="s">
        <v>279</v>
      </c>
      <c r="C1953" t="s">
        <v>137</v>
      </c>
      <c r="D1953" t="s">
        <v>138</v>
      </c>
      <c r="E1953" t="s">
        <v>8</v>
      </c>
      <c r="F1953" t="s">
        <v>10</v>
      </c>
      <c r="G1953" s="16">
        <v>7911.19</v>
      </c>
      <c r="H1953" s="16">
        <v>9097.8680000000004</v>
      </c>
      <c r="I1953" s="1">
        <v>46197</v>
      </c>
      <c r="J1953">
        <v>50</v>
      </c>
      <c r="K1953" t="s">
        <v>1900</v>
      </c>
      <c r="L1953" t="s">
        <v>6856</v>
      </c>
      <c r="M1953">
        <v>11</v>
      </c>
      <c r="N1953">
        <v>5</v>
      </c>
      <c r="O1953" t="s">
        <v>1036</v>
      </c>
      <c r="P1953" s="17"/>
      <c r="Q1953" s="17" t="str">
        <f>_xlfn.XLOOKUP(Table2[[#This Row],[buyFromVendorNo]],'Next Day Scheduled'!A:A,'Pending Returns'!O:O,"NOT_FOUND")</f>
        <v>NOT_FOUND</v>
      </c>
    </row>
    <row r="1954" spans="1:17" x14ac:dyDescent="0.3">
      <c r="A1954" s="1">
        <v>46209</v>
      </c>
      <c r="B1954" t="s">
        <v>5193</v>
      </c>
      <c r="C1954" t="s">
        <v>2475</v>
      </c>
      <c r="D1954" t="s">
        <v>2476</v>
      </c>
      <c r="E1954" t="s">
        <v>8</v>
      </c>
      <c r="F1954" t="s">
        <v>10</v>
      </c>
      <c r="G1954" s="16">
        <v>290</v>
      </c>
      <c r="H1954" s="16">
        <v>333.5</v>
      </c>
      <c r="I1954" s="1">
        <v>46181</v>
      </c>
      <c r="J1954">
        <v>50</v>
      </c>
      <c r="K1954" t="s">
        <v>4612</v>
      </c>
      <c r="L1954" t="s">
        <v>6801</v>
      </c>
      <c r="M1954">
        <v>6</v>
      </c>
      <c r="N1954">
        <v>17</v>
      </c>
      <c r="O1954" t="s">
        <v>1036</v>
      </c>
      <c r="P1954" s="17"/>
      <c r="Q1954" s="17" t="str">
        <f>_xlfn.XLOOKUP(Table2[[#This Row],[buyFromVendorNo]],'Next Day Scheduled'!A:A,'Pending Returns'!O:O,"NOT_FOUND")</f>
        <v>NOT_FOUND</v>
      </c>
    </row>
    <row r="1955" spans="1:17" x14ac:dyDescent="0.3">
      <c r="A1955" s="1">
        <v>46209</v>
      </c>
      <c r="B1955" t="s">
        <v>4899</v>
      </c>
      <c r="C1955" t="s">
        <v>199</v>
      </c>
      <c r="D1955" t="s">
        <v>200</v>
      </c>
      <c r="E1955" t="s">
        <v>8</v>
      </c>
      <c r="F1955" t="s">
        <v>10</v>
      </c>
      <c r="G1955" s="16">
        <v>425.4</v>
      </c>
      <c r="H1955" s="16">
        <v>489.21</v>
      </c>
      <c r="I1955" s="1">
        <v>46205</v>
      </c>
      <c r="J1955">
        <v>50</v>
      </c>
      <c r="K1955" t="s">
        <v>4853</v>
      </c>
      <c r="L1955" t="s">
        <v>6808</v>
      </c>
      <c r="M1955">
        <v>7</v>
      </c>
      <c r="N1955">
        <v>6</v>
      </c>
      <c r="O1955" t="s">
        <v>1036</v>
      </c>
      <c r="P1955" s="17"/>
      <c r="Q1955" s="17" t="str">
        <f>_xlfn.XLOOKUP(Table2[[#This Row],[buyFromVendorNo]],'Next Day Scheduled'!A:A,'Pending Returns'!O:O,"NOT_FOUND")</f>
        <v>NOT_FOUND</v>
      </c>
    </row>
    <row r="1956" spans="1:17" x14ac:dyDescent="0.3">
      <c r="A1956" s="1">
        <v>46209</v>
      </c>
      <c r="B1956" t="s">
        <v>6775</v>
      </c>
      <c r="C1956" t="s">
        <v>4665</v>
      </c>
      <c r="D1956" t="s">
        <v>4666</v>
      </c>
      <c r="E1956" t="s">
        <v>8</v>
      </c>
      <c r="F1956" t="s">
        <v>169</v>
      </c>
      <c r="G1956" s="16">
        <v>509.25</v>
      </c>
      <c r="H1956" s="16">
        <v>585.63750000000005</v>
      </c>
      <c r="J1956">
        <v>50</v>
      </c>
      <c r="K1956" t="s">
        <v>6807</v>
      </c>
      <c r="M1956">
        <v>0</v>
      </c>
      <c r="N1956">
        <v>208</v>
      </c>
      <c r="O1956" t="s">
        <v>216</v>
      </c>
      <c r="P1956" s="17"/>
      <c r="Q1956" s="17" t="str">
        <f>_xlfn.XLOOKUP(Table2[[#This Row],[buyFromVendorNo]],'Next Day Scheduled'!A:A,'Pending Returns'!O:O,"NOT_FOUND")</f>
        <v>NOT_FOUND</v>
      </c>
    </row>
    <row r="1957" spans="1:17" x14ac:dyDescent="0.3">
      <c r="A1957" s="1">
        <v>46209</v>
      </c>
      <c r="B1957" t="s">
        <v>1276</v>
      </c>
      <c r="C1957" t="s">
        <v>39</v>
      </c>
      <c r="D1957" t="s">
        <v>40</v>
      </c>
      <c r="E1957" t="s">
        <v>8</v>
      </c>
      <c r="F1957" t="s">
        <v>10</v>
      </c>
      <c r="G1957" s="16">
        <v>1380.0271</v>
      </c>
      <c r="H1957" s="16">
        <v>1587.0310999999999</v>
      </c>
      <c r="I1957" s="1">
        <v>46209</v>
      </c>
      <c r="J1957">
        <v>50</v>
      </c>
      <c r="K1957" t="s">
        <v>7335</v>
      </c>
      <c r="L1957" t="s">
        <v>7336</v>
      </c>
      <c r="M1957">
        <v>12</v>
      </c>
      <c r="N1957">
        <v>1</v>
      </c>
      <c r="O1957" t="s">
        <v>1036</v>
      </c>
      <c r="P1957" s="17"/>
      <c r="Q1957" s="17" t="str">
        <f>_xlfn.XLOOKUP(Table2[[#This Row],[buyFromVendorNo]],'Next Day Scheduled'!A:A,'Pending Returns'!O:O,"NOT_FOUND")</f>
        <v>Posted Credit Note</v>
      </c>
    </row>
    <row r="1958" spans="1:17" x14ac:dyDescent="0.3">
      <c r="A1958" s="1">
        <v>46209</v>
      </c>
      <c r="B1958" t="s">
        <v>2627</v>
      </c>
      <c r="C1958" t="s">
        <v>39</v>
      </c>
      <c r="D1958" t="s">
        <v>40</v>
      </c>
      <c r="E1958" t="s">
        <v>8</v>
      </c>
      <c r="F1958" t="s">
        <v>10</v>
      </c>
      <c r="G1958" s="16">
        <v>539.00005999999996</v>
      </c>
      <c r="H1958" s="16">
        <v>619.8501</v>
      </c>
      <c r="I1958" s="1">
        <v>46209</v>
      </c>
      <c r="J1958">
        <v>50</v>
      </c>
      <c r="K1958" t="s">
        <v>5929</v>
      </c>
      <c r="L1958" t="s">
        <v>6857</v>
      </c>
      <c r="M1958">
        <v>12</v>
      </c>
      <c r="N1958">
        <v>1</v>
      </c>
      <c r="O1958" t="s">
        <v>1036</v>
      </c>
      <c r="P1958" s="17"/>
      <c r="Q1958" s="17" t="str">
        <f>_xlfn.XLOOKUP(Table2[[#This Row],[buyFromVendorNo]],'Next Day Scheduled'!A:A,'Pending Returns'!O:O,"NOT_FOUND")</f>
        <v>Posted Credit Note</v>
      </c>
    </row>
    <row r="1959" spans="1:17" x14ac:dyDescent="0.3">
      <c r="A1959" s="1">
        <v>46209</v>
      </c>
      <c r="B1959" t="s">
        <v>3886</v>
      </c>
      <c r="C1959" t="s">
        <v>2475</v>
      </c>
      <c r="D1959" t="s">
        <v>2476</v>
      </c>
      <c r="E1959" t="s">
        <v>8</v>
      </c>
      <c r="F1959" t="s">
        <v>10</v>
      </c>
      <c r="G1959" s="16">
        <v>252</v>
      </c>
      <c r="H1959" s="16">
        <v>289.8</v>
      </c>
      <c r="I1959" s="1">
        <v>46181</v>
      </c>
      <c r="J1959">
        <v>50</v>
      </c>
      <c r="K1959" t="s">
        <v>3887</v>
      </c>
      <c r="L1959" t="s">
        <v>6766</v>
      </c>
      <c r="M1959">
        <v>6</v>
      </c>
      <c r="N1959">
        <v>17</v>
      </c>
      <c r="O1959" t="s">
        <v>1036</v>
      </c>
      <c r="P1959" s="17"/>
      <c r="Q1959" s="17" t="str">
        <f>_xlfn.XLOOKUP(Table2[[#This Row],[buyFromVendorNo]],'Next Day Scheduled'!A:A,'Pending Returns'!O:O,"NOT_FOUND")</f>
        <v>NOT_FOUND</v>
      </c>
    </row>
    <row r="1960" spans="1:17" x14ac:dyDescent="0.3">
      <c r="A1960" s="1">
        <v>46209</v>
      </c>
      <c r="B1960" t="s">
        <v>706</v>
      </c>
      <c r="C1960" t="s">
        <v>137</v>
      </c>
      <c r="D1960" t="s">
        <v>138</v>
      </c>
      <c r="E1960" t="s">
        <v>8</v>
      </c>
      <c r="F1960" t="s">
        <v>10</v>
      </c>
      <c r="G1960" s="16">
        <v>10700.99</v>
      </c>
      <c r="H1960" s="16">
        <v>12306.138999999999</v>
      </c>
      <c r="I1960" s="1">
        <v>46197</v>
      </c>
      <c r="J1960">
        <v>50</v>
      </c>
      <c r="K1960" t="s">
        <v>3758</v>
      </c>
      <c r="L1960" t="s">
        <v>6834</v>
      </c>
      <c r="M1960">
        <v>11</v>
      </c>
      <c r="N1960">
        <v>5</v>
      </c>
      <c r="O1960" t="s">
        <v>1036</v>
      </c>
      <c r="P1960" s="17"/>
      <c r="Q1960" s="17" t="str">
        <f>_xlfn.XLOOKUP(Table2[[#This Row],[buyFromVendorNo]],'Next Day Scheduled'!A:A,'Pending Returns'!O:O,"NOT_FOUND")</f>
        <v>NOT_FOUND</v>
      </c>
    </row>
    <row r="1961" spans="1:17" x14ac:dyDescent="0.3">
      <c r="A1961" s="1">
        <v>46209</v>
      </c>
      <c r="B1961" t="s">
        <v>1779</v>
      </c>
      <c r="C1961" t="s">
        <v>693</v>
      </c>
      <c r="D1961" t="s">
        <v>694</v>
      </c>
      <c r="E1961" t="s">
        <v>8</v>
      </c>
      <c r="F1961" t="s">
        <v>10</v>
      </c>
      <c r="G1961" s="16">
        <v>6278.52</v>
      </c>
      <c r="H1961" s="16">
        <v>7220.2983000000004</v>
      </c>
      <c r="I1961" s="1">
        <v>46196</v>
      </c>
      <c r="J1961">
        <v>50</v>
      </c>
      <c r="K1961" t="s">
        <v>733</v>
      </c>
      <c r="L1961" t="s">
        <v>6835</v>
      </c>
      <c r="M1961">
        <v>0</v>
      </c>
      <c r="N1961">
        <v>278</v>
      </c>
      <c r="O1961" t="s">
        <v>1036</v>
      </c>
      <c r="P1961" s="17"/>
      <c r="Q1961" s="17" t="str">
        <f>_xlfn.XLOOKUP(Table2[[#This Row],[buyFromVendorNo]],'Next Day Scheduled'!A:A,'Pending Returns'!O:O,"NOT_FOUND")</f>
        <v>NOT_FOUND</v>
      </c>
    </row>
    <row r="1962" spans="1:17" x14ac:dyDescent="0.3">
      <c r="A1962" s="1">
        <v>46209</v>
      </c>
      <c r="B1962" t="s">
        <v>688</v>
      </c>
      <c r="C1962" t="s">
        <v>25</v>
      </c>
      <c r="D1962" t="s">
        <v>26</v>
      </c>
      <c r="E1962" t="s">
        <v>8</v>
      </c>
      <c r="F1962" t="s">
        <v>10</v>
      </c>
      <c r="G1962" s="16">
        <v>1296.0889</v>
      </c>
      <c r="H1962" s="16">
        <v>1490.5021999999999</v>
      </c>
      <c r="I1962" s="1">
        <v>46193</v>
      </c>
      <c r="J1962">
        <v>50</v>
      </c>
      <c r="K1962" t="s">
        <v>4453</v>
      </c>
      <c r="L1962" t="s">
        <v>6811</v>
      </c>
      <c r="M1962">
        <v>7</v>
      </c>
      <c r="N1962">
        <v>7</v>
      </c>
      <c r="O1962" t="s">
        <v>1036</v>
      </c>
      <c r="P1962" s="17"/>
      <c r="Q1962" s="17" t="str">
        <f>_xlfn.XLOOKUP(Table2[[#This Row],[buyFromVendorNo]],'Next Day Scheduled'!A:A,'Pending Returns'!O:O,"NOT_FOUND")</f>
        <v>NOT_FOUND</v>
      </c>
    </row>
    <row r="1963" spans="1:17" x14ac:dyDescent="0.3">
      <c r="A1963" s="1">
        <v>46209</v>
      </c>
      <c r="B1963" t="s">
        <v>2675</v>
      </c>
      <c r="C1963" t="s">
        <v>39</v>
      </c>
      <c r="D1963" t="s">
        <v>40</v>
      </c>
      <c r="E1963" t="s">
        <v>8</v>
      </c>
      <c r="F1963" t="s">
        <v>10</v>
      </c>
      <c r="G1963" s="16">
        <v>83.217420000000004</v>
      </c>
      <c r="H1963" s="16">
        <v>95.700029999999998</v>
      </c>
      <c r="I1963" s="1">
        <v>46209</v>
      </c>
      <c r="J1963">
        <v>50</v>
      </c>
      <c r="K1963" t="s">
        <v>5941</v>
      </c>
      <c r="L1963" t="s">
        <v>6860</v>
      </c>
      <c r="M1963">
        <v>12</v>
      </c>
      <c r="N1963">
        <v>1</v>
      </c>
      <c r="O1963" t="s">
        <v>1036</v>
      </c>
      <c r="P1963" s="17"/>
      <c r="Q1963" s="17" t="str">
        <f>_xlfn.XLOOKUP(Table2[[#This Row],[buyFromVendorNo]],'Next Day Scheduled'!A:A,'Pending Returns'!O:O,"NOT_FOUND")</f>
        <v>Posted Credit Note</v>
      </c>
    </row>
    <row r="1964" spans="1:17" x14ac:dyDescent="0.3">
      <c r="A1964" s="1">
        <v>46209</v>
      </c>
      <c r="B1964" t="s">
        <v>2789</v>
      </c>
      <c r="C1964" t="s">
        <v>2330</v>
      </c>
      <c r="D1964" t="s">
        <v>320</v>
      </c>
      <c r="E1964" t="s">
        <v>8</v>
      </c>
      <c r="F1964" t="s">
        <v>10</v>
      </c>
      <c r="G1964" s="16">
        <v>126.5</v>
      </c>
      <c r="H1964" s="16">
        <v>145.47499999999999</v>
      </c>
      <c r="I1964" s="1">
        <v>46200</v>
      </c>
      <c r="J1964">
        <v>50</v>
      </c>
      <c r="K1964" t="s">
        <v>4170</v>
      </c>
      <c r="L1964" t="s">
        <v>6790</v>
      </c>
      <c r="M1964">
        <v>7</v>
      </c>
      <c r="N1964">
        <v>2</v>
      </c>
      <c r="O1964" t="s">
        <v>1036</v>
      </c>
      <c r="P1964" s="17"/>
      <c r="Q1964" s="17" t="str">
        <f>_xlfn.XLOOKUP(Table2[[#This Row],[buyFromVendorNo]],'Next Day Scheduled'!A:A,'Pending Returns'!O:O,"NOT_FOUND")</f>
        <v>NOT_FOUND</v>
      </c>
    </row>
    <row r="1965" spans="1:17" x14ac:dyDescent="0.3">
      <c r="A1965" s="1">
        <v>46209</v>
      </c>
      <c r="B1965" t="s">
        <v>2733</v>
      </c>
      <c r="C1965" t="s">
        <v>1024</v>
      </c>
      <c r="D1965" t="s">
        <v>1025</v>
      </c>
      <c r="E1965" t="s">
        <v>8</v>
      </c>
      <c r="F1965" t="s">
        <v>10</v>
      </c>
      <c r="G1965" s="16">
        <v>231.52600000000001</v>
      </c>
      <c r="H1965" s="16">
        <v>266.25490000000002</v>
      </c>
      <c r="I1965" s="1">
        <v>46207</v>
      </c>
      <c r="J1965">
        <v>50</v>
      </c>
      <c r="K1965" t="s">
        <v>5251</v>
      </c>
      <c r="L1965" t="s">
        <v>6817</v>
      </c>
      <c r="M1965">
        <v>6</v>
      </c>
      <c r="N1965">
        <v>5</v>
      </c>
      <c r="O1965" t="s">
        <v>1036</v>
      </c>
      <c r="P1965" s="17"/>
      <c r="Q1965" s="17" t="str">
        <f>_xlfn.XLOOKUP(Table2[[#This Row],[buyFromVendorNo]],'Next Day Scheduled'!A:A,'Pending Returns'!O:O,"NOT_FOUND")</f>
        <v>NOT_FOUND</v>
      </c>
    </row>
    <row r="1966" spans="1:17" x14ac:dyDescent="0.3">
      <c r="A1966" s="1">
        <v>46209</v>
      </c>
      <c r="B1966" t="s">
        <v>3245</v>
      </c>
      <c r="C1966" t="s">
        <v>2594</v>
      </c>
      <c r="D1966" t="s">
        <v>2595</v>
      </c>
      <c r="E1966" t="s">
        <v>8</v>
      </c>
      <c r="F1966" t="s">
        <v>10</v>
      </c>
      <c r="G1966" s="16">
        <v>108</v>
      </c>
      <c r="H1966" s="16">
        <v>124.2</v>
      </c>
      <c r="I1966" s="1">
        <v>46185</v>
      </c>
      <c r="J1966">
        <v>50</v>
      </c>
      <c r="K1966" t="s">
        <v>3889</v>
      </c>
      <c r="L1966" t="s">
        <v>6792</v>
      </c>
      <c r="M1966">
        <v>0</v>
      </c>
      <c r="N1966">
        <v>187</v>
      </c>
      <c r="O1966" t="s">
        <v>1036</v>
      </c>
      <c r="P1966" s="17"/>
      <c r="Q1966" s="17" t="str">
        <f>_xlfn.XLOOKUP(Table2[[#This Row],[buyFromVendorNo]],'Next Day Scheduled'!A:A,'Pending Returns'!O:O,"NOT_FOUND")</f>
        <v>NOT_FOUND</v>
      </c>
    </row>
    <row r="1967" spans="1:17" x14ac:dyDescent="0.3">
      <c r="A1967" s="1">
        <v>46209</v>
      </c>
      <c r="B1967" t="s">
        <v>2603</v>
      </c>
      <c r="C1967" t="s">
        <v>137</v>
      </c>
      <c r="D1967" t="s">
        <v>138</v>
      </c>
      <c r="E1967" t="s">
        <v>8</v>
      </c>
      <c r="F1967" t="s">
        <v>10</v>
      </c>
      <c r="G1967" s="16">
        <v>2526.35</v>
      </c>
      <c r="H1967" s="16">
        <v>2905.3024999999998</v>
      </c>
      <c r="I1967" s="1">
        <v>46197</v>
      </c>
      <c r="J1967">
        <v>50</v>
      </c>
      <c r="K1967" t="s">
        <v>4254</v>
      </c>
      <c r="L1967" t="s">
        <v>6793</v>
      </c>
      <c r="M1967">
        <v>11</v>
      </c>
      <c r="N1967">
        <v>5</v>
      </c>
      <c r="O1967" t="s">
        <v>1036</v>
      </c>
      <c r="P1967" s="17"/>
      <c r="Q1967" s="17" t="str">
        <f>_xlfn.XLOOKUP(Table2[[#This Row],[buyFromVendorNo]],'Next Day Scheduled'!A:A,'Pending Returns'!O:O,"NOT_FOUND")</f>
        <v>NOT_FOUND</v>
      </c>
    </row>
    <row r="1968" spans="1:17" x14ac:dyDescent="0.3">
      <c r="A1968" s="1">
        <v>46209</v>
      </c>
      <c r="B1968" t="s">
        <v>762</v>
      </c>
      <c r="C1968" t="s">
        <v>137</v>
      </c>
      <c r="D1968" t="s">
        <v>138</v>
      </c>
      <c r="E1968" t="s">
        <v>8</v>
      </c>
      <c r="F1968" t="s">
        <v>10</v>
      </c>
      <c r="G1968" s="16">
        <v>8569.17</v>
      </c>
      <c r="H1968" s="16">
        <v>9854.5460000000003</v>
      </c>
      <c r="I1968" s="1">
        <v>46197</v>
      </c>
      <c r="J1968">
        <v>50</v>
      </c>
      <c r="K1968" t="s">
        <v>1901</v>
      </c>
      <c r="L1968" t="s">
        <v>6796</v>
      </c>
      <c r="M1968">
        <v>11</v>
      </c>
      <c r="N1968">
        <v>5</v>
      </c>
      <c r="O1968" t="s">
        <v>1036</v>
      </c>
      <c r="P1968" s="17"/>
      <c r="Q1968" s="17" t="str">
        <f>_xlfn.XLOOKUP(Table2[[#This Row],[buyFromVendorNo]],'Next Day Scheduled'!A:A,'Pending Returns'!O:O,"NOT_FOUND")</f>
        <v>NOT_FOUND</v>
      </c>
    </row>
    <row r="1969" spans="1:17" x14ac:dyDescent="0.3">
      <c r="A1969" s="1">
        <v>46209</v>
      </c>
      <c r="B1969" t="s">
        <v>642</v>
      </c>
      <c r="C1969" t="s">
        <v>651</v>
      </c>
      <c r="D1969" t="s">
        <v>652</v>
      </c>
      <c r="E1969" t="s">
        <v>8</v>
      </c>
      <c r="F1969" t="s">
        <v>38</v>
      </c>
      <c r="G1969" s="16">
        <v>1200</v>
      </c>
      <c r="H1969" s="16">
        <v>1380</v>
      </c>
      <c r="I1969" s="1">
        <v>46187</v>
      </c>
      <c r="J1969">
        <v>50</v>
      </c>
      <c r="K1969" t="s">
        <v>653</v>
      </c>
      <c r="L1969" t="s">
        <v>6822</v>
      </c>
      <c r="M1969">
        <v>5</v>
      </c>
      <c r="N1969">
        <v>1</v>
      </c>
      <c r="O1969" t="s">
        <v>1036</v>
      </c>
      <c r="P1969" s="17"/>
      <c r="Q1969" s="17" t="str">
        <f>_xlfn.XLOOKUP(Table2[[#This Row],[buyFromVendorNo]],'Next Day Scheduled'!A:A,'Pending Returns'!O:O,"NOT_FOUND")</f>
        <v>NOT_FOUND</v>
      </c>
    </row>
    <row r="1970" spans="1:17" x14ac:dyDescent="0.3">
      <c r="A1970" s="1">
        <v>46209</v>
      </c>
      <c r="B1970" t="s">
        <v>4372</v>
      </c>
      <c r="C1970" t="s">
        <v>519</v>
      </c>
      <c r="D1970" t="s">
        <v>520</v>
      </c>
      <c r="E1970" t="s">
        <v>8</v>
      </c>
      <c r="F1970" t="s">
        <v>10</v>
      </c>
      <c r="G1970" s="16">
        <v>176.33199999999999</v>
      </c>
      <c r="H1970" s="16">
        <v>202.78178</v>
      </c>
      <c r="I1970" s="1">
        <v>46188</v>
      </c>
      <c r="J1970">
        <v>50</v>
      </c>
      <c r="K1970" t="s">
        <v>4257</v>
      </c>
      <c r="L1970" t="s">
        <v>6861</v>
      </c>
      <c r="M1970">
        <v>5</v>
      </c>
      <c r="N1970">
        <v>8</v>
      </c>
      <c r="O1970" t="s">
        <v>1036</v>
      </c>
      <c r="P1970" s="17"/>
      <c r="Q1970" s="17" t="str">
        <f>_xlfn.XLOOKUP(Table2[[#This Row],[buyFromVendorNo]],'Next Day Scheduled'!A:A,'Pending Returns'!O:O,"NOT_FOUND")</f>
        <v>NOT_FOUND</v>
      </c>
    </row>
    <row r="1971" spans="1:17" x14ac:dyDescent="0.3">
      <c r="A1971" s="1">
        <v>46209</v>
      </c>
      <c r="B1971" t="s">
        <v>262</v>
      </c>
      <c r="C1971" t="s">
        <v>130</v>
      </c>
      <c r="D1971" t="s">
        <v>131</v>
      </c>
      <c r="E1971" t="s">
        <v>8</v>
      </c>
      <c r="F1971" t="s">
        <v>10</v>
      </c>
      <c r="G1971" s="16">
        <v>357.6</v>
      </c>
      <c r="H1971" s="16">
        <v>411.24</v>
      </c>
      <c r="I1971" s="1">
        <v>46204</v>
      </c>
      <c r="J1971">
        <v>50</v>
      </c>
      <c r="K1971" t="s">
        <v>4956</v>
      </c>
      <c r="L1971" t="s">
        <v>6736</v>
      </c>
      <c r="M1971">
        <v>7</v>
      </c>
      <c r="N1971">
        <v>7</v>
      </c>
      <c r="O1971" t="s">
        <v>1036</v>
      </c>
      <c r="P1971" s="17"/>
      <c r="Q1971" s="17" t="str">
        <f>_xlfn.XLOOKUP(Table2[[#This Row],[buyFromVendorNo]],'Next Day Scheduled'!A:A,'Pending Returns'!O:O,"NOT_FOUND")</f>
        <v>Posted Credit Note</v>
      </c>
    </row>
    <row r="1972" spans="1:17" x14ac:dyDescent="0.3">
      <c r="A1972" s="1">
        <v>46209</v>
      </c>
      <c r="B1972" t="s">
        <v>2712</v>
      </c>
      <c r="C1972" t="s">
        <v>39</v>
      </c>
      <c r="D1972" t="s">
        <v>40</v>
      </c>
      <c r="E1972" t="s">
        <v>8</v>
      </c>
      <c r="F1972" t="s">
        <v>10</v>
      </c>
      <c r="G1972" s="16">
        <v>541.02795000000003</v>
      </c>
      <c r="H1972" s="16">
        <v>622.18219999999997</v>
      </c>
      <c r="I1972" s="1">
        <v>46209</v>
      </c>
      <c r="J1972">
        <v>50</v>
      </c>
      <c r="K1972" t="s">
        <v>2713</v>
      </c>
      <c r="L1972" t="s">
        <v>6864</v>
      </c>
      <c r="M1972">
        <v>12</v>
      </c>
      <c r="N1972">
        <v>1</v>
      </c>
      <c r="O1972" t="s">
        <v>1036</v>
      </c>
      <c r="P1972" s="17"/>
      <c r="Q1972" s="17" t="str">
        <f>_xlfn.XLOOKUP(Table2[[#This Row],[buyFromVendorNo]],'Next Day Scheduled'!A:A,'Pending Returns'!O:O,"NOT_FOUND")</f>
        <v>Posted Credit Note</v>
      </c>
    </row>
    <row r="1973" spans="1:17" x14ac:dyDescent="0.3">
      <c r="A1973" s="1">
        <v>46209</v>
      </c>
      <c r="B1973" t="s">
        <v>1814</v>
      </c>
      <c r="C1973" t="s">
        <v>693</v>
      </c>
      <c r="D1973" t="s">
        <v>694</v>
      </c>
      <c r="E1973" t="s">
        <v>8</v>
      </c>
      <c r="F1973" t="s">
        <v>10</v>
      </c>
      <c r="G1973" s="16">
        <v>5084.424</v>
      </c>
      <c r="H1973" s="16">
        <v>5847.0874000000003</v>
      </c>
      <c r="I1973" s="1">
        <v>46196</v>
      </c>
      <c r="J1973">
        <v>50</v>
      </c>
      <c r="K1973" t="s">
        <v>1758</v>
      </c>
      <c r="L1973" t="s">
        <v>6843</v>
      </c>
      <c r="M1973">
        <v>0</v>
      </c>
      <c r="N1973">
        <v>278</v>
      </c>
      <c r="O1973" t="s">
        <v>1036</v>
      </c>
      <c r="P1973" s="17"/>
      <c r="Q1973" s="17" t="str">
        <f>_xlfn.XLOOKUP(Table2[[#This Row],[buyFromVendorNo]],'Next Day Scheduled'!A:A,'Pending Returns'!O:O,"NOT_FOUND")</f>
        <v>NOT_FOUND</v>
      </c>
    </row>
    <row r="1974" spans="1:17" x14ac:dyDescent="0.3">
      <c r="A1974" s="1">
        <v>46209</v>
      </c>
      <c r="B1974" t="s">
        <v>226</v>
      </c>
      <c r="C1974" t="s">
        <v>137</v>
      </c>
      <c r="D1974" t="s">
        <v>138</v>
      </c>
      <c r="E1974" t="s">
        <v>8</v>
      </c>
      <c r="F1974" t="s">
        <v>10</v>
      </c>
      <c r="G1974" s="16">
        <v>1999.68</v>
      </c>
      <c r="H1974" s="16">
        <v>2299.6320000000001</v>
      </c>
      <c r="I1974" s="1">
        <v>46197</v>
      </c>
      <c r="J1974">
        <v>50</v>
      </c>
      <c r="K1974" t="s">
        <v>5576</v>
      </c>
      <c r="L1974" t="s">
        <v>6848</v>
      </c>
      <c r="M1974">
        <v>11</v>
      </c>
      <c r="N1974">
        <v>5</v>
      </c>
      <c r="O1974" t="s">
        <v>1036</v>
      </c>
      <c r="P1974" s="17"/>
      <c r="Q1974" s="17" t="str">
        <f>_xlfn.XLOOKUP(Table2[[#This Row],[buyFromVendorNo]],'Next Day Scheduled'!A:A,'Pending Returns'!O:O,"NOT_FOUND")</f>
        <v>NOT_FOUND</v>
      </c>
    </row>
    <row r="1975" spans="1:17" x14ac:dyDescent="0.3">
      <c r="A1975" s="1">
        <v>46209</v>
      </c>
      <c r="B1975" t="s">
        <v>3018</v>
      </c>
      <c r="C1975" t="s">
        <v>137</v>
      </c>
      <c r="D1975" t="s">
        <v>138</v>
      </c>
      <c r="E1975" t="s">
        <v>8</v>
      </c>
      <c r="F1975" t="s">
        <v>10</v>
      </c>
      <c r="G1975" s="16">
        <v>3950.2</v>
      </c>
      <c r="H1975" s="16">
        <v>4542.7299999999996</v>
      </c>
      <c r="I1975" s="1">
        <v>46197</v>
      </c>
      <c r="J1975">
        <v>50</v>
      </c>
      <c r="K1975" t="s">
        <v>4537</v>
      </c>
      <c r="L1975" t="s">
        <v>6824</v>
      </c>
      <c r="M1975">
        <v>11</v>
      </c>
      <c r="N1975">
        <v>5</v>
      </c>
      <c r="O1975" t="s">
        <v>1036</v>
      </c>
      <c r="P1975" s="17"/>
      <c r="Q1975" s="17" t="str">
        <f>_xlfn.XLOOKUP(Table2[[#This Row],[buyFromVendorNo]],'Next Day Scheduled'!A:A,'Pending Returns'!O:O,"NOT_FOUND")</f>
        <v>NOT_FOUND</v>
      </c>
    </row>
    <row r="1976" spans="1:17" x14ac:dyDescent="0.3">
      <c r="A1976" s="1">
        <v>46209</v>
      </c>
      <c r="B1976" t="s">
        <v>5110</v>
      </c>
      <c r="C1976" t="s">
        <v>137</v>
      </c>
      <c r="D1976" t="s">
        <v>138</v>
      </c>
      <c r="E1976" t="s">
        <v>8</v>
      </c>
      <c r="F1976" t="s">
        <v>10</v>
      </c>
      <c r="G1976" s="16">
        <v>4396.47</v>
      </c>
      <c r="H1976" s="16">
        <v>5055.9404000000004</v>
      </c>
      <c r="I1976" s="1">
        <v>46197</v>
      </c>
      <c r="J1976">
        <v>50</v>
      </c>
      <c r="K1976" t="s">
        <v>4985</v>
      </c>
      <c r="L1976" t="s">
        <v>6827</v>
      </c>
      <c r="M1976">
        <v>11</v>
      </c>
      <c r="N1976">
        <v>5</v>
      </c>
      <c r="O1976" t="s">
        <v>1036</v>
      </c>
      <c r="P1976" s="17"/>
      <c r="Q1976" s="17" t="str">
        <f>_xlfn.XLOOKUP(Table2[[#This Row],[buyFromVendorNo]],'Next Day Scheduled'!A:A,'Pending Returns'!O:O,"NOT_FOUND")</f>
        <v>NOT_FOUND</v>
      </c>
    </row>
    <row r="1977" spans="1:17" x14ac:dyDescent="0.3">
      <c r="A1977" s="1">
        <v>46209</v>
      </c>
      <c r="B1977" t="s">
        <v>2843</v>
      </c>
      <c r="C1977" t="s">
        <v>494</v>
      </c>
      <c r="D1977" t="s">
        <v>495</v>
      </c>
      <c r="E1977" t="s">
        <v>8</v>
      </c>
      <c r="F1977" t="s">
        <v>10</v>
      </c>
      <c r="G1977" s="16">
        <v>31.35</v>
      </c>
      <c r="H1977" s="16">
        <v>36.052500000000002</v>
      </c>
      <c r="I1977" s="1">
        <v>46208</v>
      </c>
      <c r="J1977">
        <v>50</v>
      </c>
      <c r="K1977" t="s">
        <v>5267</v>
      </c>
      <c r="L1977" t="s">
        <v>6828</v>
      </c>
      <c r="M1977">
        <v>6</v>
      </c>
      <c r="N1977">
        <v>7</v>
      </c>
      <c r="O1977" t="s">
        <v>1036</v>
      </c>
      <c r="P1977" s="17"/>
      <c r="Q1977" s="17" t="str">
        <f>_xlfn.XLOOKUP(Table2[[#This Row],[buyFromVendorNo]],'Next Day Scheduled'!A:A,'Pending Returns'!O:O,"NOT_FOUND")</f>
        <v>Posted Credit Note</v>
      </c>
    </row>
    <row r="1978" spans="1:17" x14ac:dyDescent="0.3">
      <c r="A1978" s="1">
        <v>46209</v>
      </c>
      <c r="B1978" t="s">
        <v>1774</v>
      </c>
      <c r="C1978" t="s">
        <v>693</v>
      </c>
      <c r="D1978" t="s">
        <v>694</v>
      </c>
      <c r="E1978" t="s">
        <v>8</v>
      </c>
      <c r="F1978" t="s">
        <v>10</v>
      </c>
      <c r="G1978" s="16">
        <v>6981.5519999999997</v>
      </c>
      <c r="H1978" s="16">
        <v>8028.7839999999997</v>
      </c>
      <c r="I1978" s="1">
        <v>46196</v>
      </c>
      <c r="J1978">
        <v>50</v>
      </c>
      <c r="K1978" t="s">
        <v>718</v>
      </c>
      <c r="L1978" t="s">
        <v>6854</v>
      </c>
      <c r="M1978">
        <v>0</v>
      </c>
      <c r="N1978">
        <v>278</v>
      </c>
      <c r="O1978" t="s">
        <v>1036</v>
      </c>
      <c r="P1978" s="17"/>
      <c r="Q1978" s="17" t="str">
        <f>_xlfn.XLOOKUP(Table2[[#This Row],[buyFromVendorNo]],'Next Day Scheduled'!A:A,'Pending Returns'!O:O,"NOT_FOUND")</f>
        <v>NOT_FOUND</v>
      </c>
    </row>
    <row r="1979" spans="1:17" x14ac:dyDescent="0.3">
      <c r="A1979" s="1">
        <v>46209</v>
      </c>
      <c r="B1979" t="s">
        <v>1948</v>
      </c>
      <c r="C1979" t="s">
        <v>25</v>
      </c>
      <c r="D1979" t="s">
        <v>26</v>
      </c>
      <c r="E1979" t="s">
        <v>8</v>
      </c>
      <c r="F1979" t="s">
        <v>10</v>
      </c>
      <c r="G1979" s="16">
        <v>3269.7292000000002</v>
      </c>
      <c r="H1979" s="16">
        <v>3760.1885000000002</v>
      </c>
      <c r="I1979" s="1">
        <v>46193</v>
      </c>
      <c r="J1979">
        <v>50</v>
      </c>
      <c r="K1979" t="s">
        <v>668</v>
      </c>
      <c r="L1979" t="s">
        <v>6787</v>
      </c>
      <c r="M1979">
        <v>7</v>
      </c>
      <c r="N1979">
        <v>7</v>
      </c>
      <c r="O1979" t="s">
        <v>1036</v>
      </c>
      <c r="P1979" s="17"/>
      <c r="Q1979" s="17" t="str">
        <f>_xlfn.XLOOKUP(Table2[[#This Row],[buyFromVendorNo]],'Next Day Scheduled'!A:A,'Pending Returns'!O:O,"NOT_FOUND")</f>
        <v>NOT_FOUND</v>
      </c>
    </row>
    <row r="1980" spans="1:17" x14ac:dyDescent="0.3">
      <c r="A1980" s="1">
        <v>46209</v>
      </c>
      <c r="B1980" t="s">
        <v>608</v>
      </c>
      <c r="C1980" t="s">
        <v>364</v>
      </c>
      <c r="D1980" t="s">
        <v>375</v>
      </c>
      <c r="E1980" t="s">
        <v>8</v>
      </c>
      <c r="F1980" t="s">
        <v>10</v>
      </c>
      <c r="G1980" s="16">
        <v>252.85</v>
      </c>
      <c r="H1980" s="16">
        <v>290.77749999999997</v>
      </c>
      <c r="I1980" s="1">
        <v>46202</v>
      </c>
      <c r="J1980">
        <v>50</v>
      </c>
      <c r="K1980" t="s">
        <v>4864</v>
      </c>
      <c r="L1980" t="s">
        <v>6786</v>
      </c>
      <c r="M1980">
        <v>7</v>
      </c>
      <c r="N1980">
        <v>5</v>
      </c>
      <c r="O1980" t="s">
        <v>1036</v>
      </c>
      <c r="P1980" s="17"/>
      <c r="Q1980" s="17" t="str">
        <f>_xlfn.XLOOKUP(Table2[[#This Row],[buyFromVendorNo]],'Next Day Scheduled'!A:A,'Pending Returns'!O:O,"NOT_FOUND")</f>
        <v>NOT_FOUND</v>
      </c>
    </row>
    <row r="1981" spans="1:17" x14ac:dyDescent="0.3">
      <c r="A1981" s="1">
        <v>46209</v>
      </c>
      <c r="B1981" t="s">
        <v>1780</v>
      </c>
      <c r="C1981" t="s">
        <v>693</v>
      </c>
      <c r="D1981" t="s">
        <v>694</v>
      </c>
      <c r="E1981" t="s">
        <v>8</v>
      </c>
      <c r="F1981" t="s">
        <v>10</v>
      </c>
      <c r="G1981" s="16">
        <v>7791.4030000000002</v>
      </c>
      <c r="H1981" s="16">
        <v>8960.1129999999994</v>
      </c>
      <c r="I1981" s="1">
        <v>46196</v>
      </c>
      <c r="J1981">
        <v>50</v>
      </c>
      <c r="K1981" t="s">
        <v>752</v>
      </c>
      <c r="L1981" t="s">
        <v>6760</v>
      </c>
      <c r="M1981">
        <v>0</v>
      </c>
      <c r="N1981">
        <v>278</v>
      </c>
      <c r="O1981" t="s">
        <v>1036</v>
      </c>
      <c r="P1981" s="17"/>
      <c r="Q1981" s="17" t="str">
        <f>_xlfn.XLOOKUP(Table2[[#This Row],[buyFromVendorNo]],'Next Day Scheduled'!A:A,'Pending Returns'!O:O,"NOT_FOUND")</f>
        <v>NOT_FOUND</v>
      </c>
    </row>
    <row r="1982" spans="1:17" x14ac:dyDescent="0.3">
      <c r="A1982" s="1">
        <v>46209</v>
      </c>
      <c r="B1982" t="s">
        <v>1778</v>
      </c>
      <c r="C1982" t="s">
        <v>693</v>
      </c>
      <c r="D1982" t="s">
        <v>694</v>
      </c>
      <c r="E1982" t="s">
        <v>8</v>
      </c>
      <c r="F1982" t="s">
        <v>10</v>
      </c>
      <c r="G1982" s="16">
        <v>8257.4850000000006</v>
      </c>
      <c r="H1982" s="16">
        <v>9496.1080000000002</v>
      </c>
      <c r="I1982" s="1">
        <v>46196</v>
      </c>
      <c r="J1982">
        <v>50</v>
      </c>
      <c r="K1982" t="s">
        <v>737</v>
      </c>
      <c r="L1982" t="s">
        <v>6762</v>
      </c>
      <c r="M1982">
        <v>0</v>
      </c>
      <c r="N1982">
        <v>278</v>
      </c>
      <c r="O1982" t="s">
        <v>1036</v>
      </c>
      <c r="P1982" s="17"/>
      <c r="Q1982" s="17" t="str">
        <f>_xlfn.XLOOKUP(Table2[[#This Row],[buyFromVendorNo]],'Next Day Scheduled'!A:A,'Pending Returns'!O:O,"NOT_FOUND")</f>
        <v>NOT_FOUND</v>
      </c>
    </row>
    <row r="1983" spans="1:17" x14ac:dyDescent="0.3">
      <c r="A1983" s="1">
        <v>46209</v>
      </c>
      <c r="B1983" t="s">
        <v>5410</v>
      </c>
      <c r="C1983" t="s">
        <v>137</v>
      </c>
      <c r="D1983" t="s">
        <v>138</v>
      </c>
      <c r="E1983" t="s">
        <v>8</v>
      </c>
      <c r="F1983" t="s">
        <v>10</v>
      </c>
      <c r="G1983" s="16">
        <v>406.1</v>
      </c>
      <c r="H1983" s="16">
        <v>467.01499999999999</v>
      </c>
      <c r="I1983" s="1">
        <v>46197</v>
      </c>
      <c r="J1983">
        <v>50</v>
      </c>
      <c r="K1983" t="s">
        <v>5411</v>
      </c>
      <c r="L1983" t="s">
        <v>6789</v>
      </c>
      <c r="M1983">
        <v>11</v>
      </c>
      <c r="N1983">
        <v>5</v>
      </c>
      <c r="O1983" t="s">
        <v>1036</v>
      </c>
      <c r="P1983" s="17"/>
      <c r="Q1983" s="17" t="str">
        <f>_xlfn.XLOOKUP(Table2[[#This Row],[buyFromVendorNo]],'Next Day Scheduled'!A:A,'Pending Returns'!O:O,"NOT_FOUND")</f>
        <v>NOT_FOUND</v>
      </c>
    </row>
    <row r="1984" spans="1:17" x14ac:dyDescent="0.3">
      <c r="A1984" s="1">
        <v>46209</v>
      </c>
      <c r="B1984" t="s">
        <v>719</v>
      </c>
      <c r="C1984" t="s">
        <v>137</v>
      </c>
      <c r="D1984" t="s">
        <v>138</v>
      </c>
      <c r="E1984" t="s">
        <v>8</v>
      </c>
      <c r="F1984" t="s">
        <v>10</v>
      </c>
      <c r="G1984" s="16">
        <v>6231.88</v>
      </c>
      <c r="H1984" s="16">
        <v>7166.6620000000003</v>
      </c>
      <c r="I1984" s="1">
        <v>46197</v>
      </c>
      <c r="J1984">
        <v>50</v>
      </c>
      <c r="K1984" t="s">
        <v>4383</v>
      </c>
      <c r="L1984" t="s">
        <v>6836</v>
      </c>
      <c r="M1984">
        <v>11</v>
      </c>
      <c r="N1984">
        <v>5</v>
      </c>
      <c r="O1984" t="s">
        <v>1036</v>
      </c>
      <c r="P1984" s="17"/>
      <c r="Q1984" s="17" t="str">
        <f>_xlfn.XLOOKUP(Table2[[#This Row],[buyFromVendorNo]],'Next Day Scheduled'!A:A,'Pending Returns'!O:O,"NOT_FOUND")</f>
        <v>NOT_FOUND</v>
      </c>
    </row>
    <row r="1985" spans="1:17" x14ac:dyDescent="0.3">
      <c r="A1985" s="1">
        <v>46209</v>
      </c>
      <c r="B1985" t="s">
        <v>3494</v>
      </c>
      <c r="C1985" t="s">
        <v>1411</v>
      </c>
      <c r="D1985" t="s">
        <v>1412</v>
      </c>
      <c r="E1985" t="s">
        <v>8</v>
      </c>
      <c r="F1985" t="s">
        <v>10</v>
      </c>
      <c r="G1985" s="16">
        <v>930.56</v>
      </c>
      <c r="H1985" s="16">
        <v>1070.144</v>
      </c>
      <c r="I1985" s="1">
        <v>46207</v>
      </c>
      <c r="J1985">
        <v>50</v>
      </c>
      <c r="K1985" t="s">
        <v>4407</v>
      </c>
      <c r="L1985" t="s">
        <v>6812</v>
      </c>
      <c r="M1985">
        <v>6</v>
      </c>
      <c r="N1985">
        <v>3</v>
      </c>
      <c r="O1985" t="s">
        <v>1036</v>
      </c>
      <c r="P1985" s="17"/>
      <c r="Q1985" s="17" t="str">
        <f>_xlfn.XLOOKUP(Table2[[#This Row],[buyFromVendorNo]],'Next Day Scheduled'!A:A,'Pending Returns'!O:O,"NOT_FOUND")</f>
        <v>NOT_FOUND</v>
      </c>
    </row>
    <row r="1986" spans="1:17" x14ac:dyDescent="0.3">
      <c r="A1986" s="1">
        <v>46209</v>
      </c>
      <c r="B1986" t="s">
        <v>756</v>
      </c>
      <c r="C1986" t="s">
        <v>693</v>
      </c>
      <c r="D1986" t="s">
        <v>694</v>
      </c>
      <c r="E1986" t="s">
        <v>8</v>
      </c>
      <c r="F1986" t="s">
        <v>10</v>
      </c>
      <c r="G1986" s="16">
        <v>6991.1790000000001</v>
      </c>
      <c r="H1986" s="16">
        <v>8039.8559999999998</v>
      </c>
      <c r="I1986" s="1">
        <v>46196</v>
      </c>
      <c r="J1986">
        <v>50</v>
      </c>
      <c r="K1986" t="s">
        <v>732</v>
      </c>
      <c r="L1986" t="s">
        <v>6771</v>
      </c>
      <c r="M1986">
        <v>0</v>
      </c>
      <c r="N1986">
        <v>278</v>
      </c>
      <c r="O1986" t="s">
        <v>1036</v>
      </c>
      <c r="P1986" s="17"/>
      <c r="Q1986" s="17" t="str">
        <f>_xlfn.XLOOKUP(Table2[[#This Row],[buyFromVendorNo]],'Next Day Scheduled'!A:A,'Pending Returns'!O:O,"NOT_FOUND")</f>
        <v>NOT_FOUND</v>
      </c>
    </row>
    <row r="1987" spans="1:17" x14ac:dyDescent="0.3">
      <c r="A1987" s="1">
        <v>46209</v>
      </c>
      <c r="B1987" t="s">
        <v>1328</v>
      </c>
      <c r="C1987" t="s">
        <v>199</v>
      </c>
      <c r="D1987" t="s">
        <v>200</v>
      </c>
      <c r="E1987" t="s">
        <v>8</v>
      </c>
      <c r="F1987" t="s">
        <v>10</v>
      </c>
      <c r="G1987" s="16">
        <v>465.8</v>
      </c>
      <c r="H1987" s="16">
        <v>535.66999999999996</v>
      </c>
      <c r="I1987" s="1">
        <v>46205</v>
      </c>
      <c r="J1987">
        <v>50</v>
      </c>
      <c r="K1987" t="s">
        <v>4989</v>
      </c>
      <c r="L1987" t="s">
        <v>6791</v>
      </c>
      <c r="M1987">
        <v>7</v>
      </c>
      <c r="N1987">
        <v>6</v>
      </c>
      <c r="O1987" t="s">
        <v>1036</v>
      </c>
      <c r="P1987" s="17"/>
      <c r="Q1987" s="17" t="str">
        <f>_xlfn.XLOOKUP(Table2[[#This Row],[buyFromVendorNo]],'Next Day Scheduled'!A:A,'Pending Returns'!O:O,"NOT_FOUND")</f>
        <v>NOT_FOUND</v>
      </c>
    </row>
    <row r="1988" spans="1:17" x14ac:dyDescent="0.3">
      <c r="A1988" s="1">
        <v>46209</v>
      </c>
      <c r="B1988" t="s">
        <v>6388</v>
      </c>
      <c r="C1988" t="s">
        <v>1411</v>
      </c>
      <c r="D1988" t="s">
        <v>1412</v>
      </c>
      <c r="E1988" t="s">
        <v>8</v>
      </c>
      <c r="F1988" t="s">
        <v>10</v>
      </c>
      <c r="G1988" s="16">
        <v>62.36</v>
      </c>
      <c r="H1988" s="16">
        <v>71.713999999999999</v>
      </c>
      <c r="I1988" s="1">
        <v>46207</v>
      </c>
      <c r="J1988">
        <v>50</v>
      </c>
      <c r="K1988" t="s">
        <v>4266</v>
      </c>
      <c r="L1988" t="s">
        <v>6772</v>
      </c>
      <c r="M1988">
        <v>6</v>
      </c>
      <c r="N1988">
        <v>3</v>
      </c>
      <c r="O1988" t="s">
        <v>1036</v>
      </c>
      <c r="P1988" s="17"/>
      <c r="Q1988" s="17" t="str">
        <f>_xlfn.XLOOKUP(Table2[[#This Row],[buyFromVendorNo]],'Next Day Scheduled'!A:A,'Pending Returns'!O:O,"NOT_FOUND")</f>
        <v>NOT_FOUND</v>
      </c>
    </row>
    <row r="1989" spans="1:17" x14ac:dyDescent="0.3">
      <c r="A1989" s="1">
        <v>46209</v>
      </c>
      <c r="B1989" t="s">
        <v>671</v>
      </c>
      <c r="C1989" t="s">
        <v>25</v>
      </c>
      <c r="D1989" t="s">
        <v>26</v>
      </c>
      <c r="E1989" t="s">
        <v>8</v>
      </c>
      <c r="F1989" t="s">
        <v>10</v>
      </c>
      <c r="G1989" s="16">
        <v>965.93444999999997</v>
      </c>
      <c r="H1989" s="16">
        <v>1110.8245999999999</v>
      </c>
      <c r="I1989" s="1">
        <v>46193</v>
      </c>
      <c r="J1989">
        <v>50</v>
      </c>
      <c r="K1989" t="s">
        <v>4977</v>
      </c>
      <c r="L1989" t="s">
        <v>6839</v>
      </c>
      <c r="M1989">
        <v>7</v>
      </c>
      <c r="N1989">
        <v>7</v>
      </c>
      <c r="O1989" t="s">
        <v>1036</v>
      </c>
      <c r="P1989" s="17"/>
      <c r="Q1989" s="17" t="str">
        <f>_xlfn.XLOOKUP(Table2[[#This Row],[buyFromVendorNo]],'Next Day Scheduled'!A:A,'Pending Returns'!O:O,"NOT_FOUND")</f>
        <v>NOT_FOUND</v>
      </c>
    </row>
    <row r="1990" spans="1:17" x14ac:dyDescent="0.3">
      <c r="A1990" s="1">
        <v>46209</v>
      </c>
      <c r="B1990" t="s">
        <v>2593</v>
      </c>
      <c r="C1990" t="s">
        <v>2594</v>
      </c>
      <c r="D1990" t="s">
        <v>2595</v>
      </c>
      <c r="E1990" t="s">
        <v>8</v>
      </c>
      <c r="F1990" t="s">
        <v>10</v>
      </c>
      <c r="G1990" s="16">
        <v>516</v>
      </c>
      <c r="H1990" s="16">
        <v>593.4</v>
      </c>
      <c r="I1990" s="1">
        <v>46185</v>
      </c>
      <c r="J1990">
        <v>50</v>
      </c>
      <c r="K1990" t="s">
        <v>2596</v>
      </c>
      <c r="L1990" t="s">
        <v>6819</v>
      </c>
      <c r="M1990">
        <v>0</v>
      </c>
      <c r="N1990">
        <v>187</v>
      </c>
      <c r="O1990" t="s">
        <v>1036</v>
      </c>
      <c r="P1990" s="17"/>
      <c r="Q1990" s="17" t="str">
        <f>_xlfn.XLOOKUP(Table2[[#This Row],[buyFromVendorNo]],'Next Day Scheduled'!A:A,'Pending Returns'!O:O,"NOT_FOUND")</f>
        <v>NOT_FOUND</v>
      </c>
    </row>
    <row r="1991" spans="1:17" x14ac:dyDescent="0.3">
      <c r="A1991" s="1">
        <v>46209</v>
      </c>
      <c r="B1991" t="s">
        <v>2868</v>
      </c>
      <c r="C1991" t="s">
        <v>2330</v>
      </c>
      <c r="D1991" t="s">
        <v>320</v>
      </c>
      <c r="E1991" t="s">
        <v>8</v>
      </c>
      <c r="F1991" t="s">
        <v>10</v>
      </c>
      <c r="G1991" s="16">
        <v>388.25</v>
      </c>
      <c r="H1991" s="16">
        <v>446.48750000000001</v>
      </c>
      <c r="I1991" s="1">
        <v>46200</v>
      </c>
      <c r="J1991">
        <v>50</v>
      </c>
      <c r="K1991" t="s">
        <v>5333</v>
      </c>
      <c r="L1991" t="s">
        <v>6773</v>
      </c>
      <c r="M1991">
        <v>7</v>
      </c>
      <c r="N1991">
        <v>2</v>
      </c>
      <c r="O1991" t="s">
        <v>1036</v>
      </c>
      <c r="P1991" s="17"/>
      <c r="Q1991" s="17" t="str">
        <f>_xlfn.XLOOKUP(Table2[[#This Row],[buyFromVendorNo]],'Next Day Scheduled'!A:A,'Pending Returns'!O:O,"NOT_FOUND")</f>
        <v>NOT_FOUND</v>
      </c>
    </row>
    <row r="1992" spans="1:17" x14ac:dyDescent="0.3">
      <c r="A1992" s="1">
        <v>46209</v>
      </c>
      <c r="B1992" t="s">
        <v>1390</v>
      </c>
      <c r="C1992" t="s">
        <v>2594</v>
      </c>
      <c r="D1992" t="s">
        <v>2595</v>
      </c>
      <c r="E1992" t="s">
        <v>8</v>
      </c>
      <c r="F1992" t="s">
        <v>10</v>
      </c>
      <c r="G1992" s="16">
        <v>272</v>
      </c>
      <c r="H1992" s="16">
        <v>312.8</v>
      </c>
      <c r="I1992" s="1">
        <v>46185</v>
      </c>
      <c r="J1992">
        <v>50</v>
      </c>
      <c r="K1992" t="s">
        <v>3683</v>
      </c>
      <c r="L1992" t="s">
        <v>6774</v>
      </c>
      <c r="M1992">
        <v>0</v>
      </c>
      <c r="N1992">
        <v>187</v>
      </c>
      <c r="O1992" t="s">
        <v>1036</v>
      </c>
      <c r="P1992" s="17"/>
      <c r="Q1992" s="17" t="str">
        <f>_xlfn.XLOOKUP(Table2[[#This Row],[buyFromVendorNo]],'Next Day Scheduled'!A:A,'Pending Returns'!O:O,"NOT_FOUND")</f>
        <v>NOT_FOUND</v>
      </c>
    </row>
    <row r="1993" spans="1:17" x14ac:dyDescent="0.3">
      <c r="A1993" s="1">
        <v>46209</v>
      </c>
      <c r="B1993" t="s">
        <v>5239</v>
      </c>
      <c r="C1993" t="s">
        <v>137</v>
      </c>
      <c r="D1993" t="s">
        <v>138</v>
      </c>
      <c r="E1993" t="s">
        <v>8</v>
      </c>
      <c r="F1993" t="s">
        <v>10</v>
      </c>
      <c r="G1993" s="16">
        <v>1335.9</v>
      </c>
      <c r="H1993" s="16">
        <v>1536.2850000000001</v>
      </c>
      <c r="I1993" s="1">
        <v>46197</v>
      </c>
      <c r="J1993">
        <v>50</v>
      </c>
      <c r="K1993" t="s">
        <v>5046</v>
      </c>
      <c r="L1993" t="s">
        <v>6842</v>
      </c>
      <c r="M1993">
        <v>11</v>
      </c>
      <c r="N1993">
        <v>5</v>
      </c>
      <c r="O1993" t="s">
        <v>1036</v>
      </c>
      <c r="P1993" s="17"/>
      <c r="Q1993" s="17" t="str">
        <f>_xlfn.XLOOKUP(Table2[[#This Row],[buyFromVendorNo]],'Next Day Scheduled'!A:A,'Pending Returns'!O:O,"NOT_FOUND")</f>
        <v>NOT_FOUND</v>
      </c>
    </row>
    <row r="1994" spans="1:17" x14ac:dyDescent="0.3">
      <c r="A1994" s="1">
        <v>46209</v>
      </c>
      <c r="B1994" t="s">
        <v>240</v>
      </c>
      <c r="C1994" t="s">
        <v>25</v>
      </c>
      <c r="D1994" t="s">
        <v>26</v>
      </c>
      <c r="E1994" t="s">
        <v>8</v>
      </c>
      <c r="F1994" t="s">
        <v>10</v>
      </c>
      <c r="G1994" s="16">
        <v>2859.3454999999999</v>
      </c>
      <c r="H1994" s="16">
        <v>3288.2469999999998</v>
      </c>
      <c r="I1994" s="1">
        <v>46193</v>
      </c>
      <c r="J1994">
        <v>50</v>
      </c>
      <c r="K1994" t="s">
        <v>114</v>
      </c>
      <c r="L1994" t="s">
        <v>6845</v>
      </c>
      <c r="M1994">
        <v>7</v>
      </c>
      <c r="N1994">
        <v>7</v>
      </c>
      <c r="O1994" t="s">
        <v>1036</v>
      </c>
      <c r="P1994" s="17"/>
      <c r="Q1994" s="17" t="str">
        <f>_xlfn.XLOOKUP(Table2[[#This Row],[buyFromVendorNo]],'Next Day Scheduled'!A:A,'Pending Returns'!O:O,"NOT_FOUND")</f>
        <v>NOT_FOUND</v>
      </c>
    </row>
    <row r="1995" spans="1:17" x14ac:dyDescent="0.3">
      <c r="A1995" s="1">
        <v>46209</v>
      </c>
      <c r="B1995" t="s">
        <v>1947</v>
      </c>
      <c r="C1995" t="s">
        <v>25</v>
      </c>
      <c r="D1995" t="s">
        <v>26</v>
      </c>
      <c r="E1995" t="s">
        <v>8</v>
      </c>
      <c r="F1995" t="s">
        <v>10</v>
      </c>
      <c r="G1995" s="16">
        <v>3968.9621999999999</v>
      </c>
      <c r="H1995" s="16">
        <v>4564.3065999999999</v>
      </c>
      <c r="I1995" s="1">
        <v>46193</v>
      </c>
      <c r="J1995">
        <v>50</v>
      </c>
      <c r="K1995" t="s">
        <v>24</v>
      </c>
      <c r="L1995" t="s">
        <v>6846</v>
      </c>
      <c r="M1995">
        <v>7</v>
      </c>
      <c r="N1995">
        <v>7</v>
      </c>
      <c r="O1995" t="s">
        <v>1036</v>
      </c>
      <c r="P1995" s="17"/>
      <c r="Q1995" s="17" t="str">
        <f>_xlfn.XLOOKUP(Table2[[#This Row],[buyFromVendorNo]],'Next Day Scheduled'!A:A,'Pending Returns'!O:O,"NOT_FOUND")</f>
        <v>NOT_FOUND</v>
      </c>
    </row>
    <row r="1996" spans="1:17" x14ac:dyDescent="0.3">
      <c r="A1996" s="1">
        <v>46209</v>
      </c>
      <c r="B1996" t="s">
        <v>226</v>
      </c>
      <c r="C1996" t="s">
        <v>25</v>
      </c>
      <c r="D1996" t="s">
        <v>26</v>
      </c>
      <c r="E1996" t="s">
        <v>8</v>
      </c>
      <c r="F1996" t="s">
        <v>10</v>
      </c>
      <c r="G1996" s="16">
        <v>3284.3202999999999</v>
      </c>
      <c r="H1996" s="16">
        <v>3776.9683</v>
      </c>
      <c r="I1996" s="1">
        <v>46193</v>
      </c>
      <c r="J1996">
        <v>50</v>
      </c>
      <c r="K1996" t="s">
        <v>59</v>
      </c>
      <c r="L1996" t="s">
        <v>6847</v>
      </c>
      <c r="M1996">
        <v>7</v>
      </c>
      <c r="N1996">
        <v>7</v>
      </c>
      <c r="O1996" t="s">
        <v>1036</v>
      </c>
      <c r="P1996" s="17"/>
      <c r="Q1996" s="17" t="str">
        <f>_xlfn.XLOOKUP(Table2[[#This Row],[buyFromVendorNo]],'Next Day Scheduled'!A:A,'Pending Returns'!O:O,"NOT_FOUND")</f>
        <v>NOT_FOUND</v>
      </c>
    </row>
    <row r="1997" spans="1:17" x14ac:dyDescent="0.3">
      <c r="A1997" s="1">
        <v>46209</v>
      </c>
      <c r="B1997" t="s">
        <v>2127</v>
      </c>
      <c r="C1997" t="s">
        <v>435</v>
      </c>
      <c r="D1997" t="s">
        <v>436</v>
      </c>
      <c r="E1997" t="s">
        <v>8</v>
      </c>
      <c r="F1997" t="s">
        <v>38</v>
      </c>
      <c r="G1997" s="16">
        <v>20.170000000000002</v>
      </c>
      <c r="H1997" s="16">
        <v>23.195499999999999</v>
      </c>
      <c r="I1997" s="1">
        <v>46209</v>
      </c>
      <c r="J1997">
        <v>50</v>
      </c>
      <c r="K1997" t="s">
        <v>6544</v>
      </c>
      <c r="L1997" t="s">
        <v>6826</v>
      </c>
      <c r="M1997">
        <v>3</v>
      </c>
      <c r="N1997">
        <v>2</v>
      </c>
      <c r="O1997" t="s">
        <v>1036</v>
      </c>
      <c r="P1997" s="17"/>
      <c r="Q1997" s="17" t="str">
        <f>_xlfn.XLOOKUP(Table2[[#This Row],[buyFromVendorNo]],'Next Day Scheduled'!A:A,'Pending Returns'!O:O,"NOT_FOUND")</f>
        <v>NOT_FOUND</v>
      </c>
    </row>
    <row r="1998" spans="1:17" x14ac:dyDescent="0.3">
      <c r="A1998" s="1">
        <v>46209</v>
      </c>
      <c r="B1998" t="s">
        <v>1991</v>
      </c>
      <c r="C1998" t="s">
        <v>25</v>
      </c>
      <c r="D1998" t="s">
        <v>26</v>
      </c>
      <c r="E1998" t="s">
        <v>8</v>
      </c>
      <c r="F1998" t="s">
        <v>10</v>
      </c>
      <c r="G1998" s="16">
        <v>4764.3549999999996</v>
      </c>
      <c r="H1998" s="16">
        <v>5479.0079999999998</v>
      </c>
      <c r="I1998" s="1">
        <v>46193</v>
      </c>
      <c r="J1998">
        <v>50</v>
      </c>
      <c r="K1998" t="s">
        <v>150</v>
      </c>
      <c r="L1998" t="s">
        <v>6851</v>
      </c>
      <c r="M1998">
        <v>7</v>
      </c>
      <c r="N1998">
        <v>7</v>
      </c>
      <c r="O1998" t="s">
        <v>1036</v>
      </c>
      <c r="P1998" s="17"/>
      <c r="Q1998" s="17" t="str">
        <f>_xlfn.XLOOKUP(Table2[[#This Row],[buyFromVendorNo]],'Next Day Scheduled'!A:A,'Pending Returns'!O:O,"NOT_FOUND")</f>
        <v>NOT_FOUND</v>
      </c>
    </row>
    <row r="1999" spans="1:17" x14ac:dyDescent="0.3">
      <c r="A1999" s="1">
        <v>46209</v>
      </c>
      <c r="B1999" t="s">
        <v>352</v>
      </c>
      <c r="C1999" t="s">
        <v>137</v>
      </c>
      <c r="D1999" t="s">
        <v>138</v>
      </c>
      <c r="E1999" t="s">
        <v>8</v>
      </c>
      <c r="F1999" t="s">
        <v>10</v>
      </c>
      <c r="G1999" s="16">
        <v>8798.49</v>
      </c>
      <c r="H1999" s="16">
        <v>10118.263999999999</v>
      </c>
      <c r="I1999" s="1">
        <v>46197</v>
      </c>
      <c r="J1999">
        <v>50</v>
      </c>
      <c r="K1999" t="s">
        <v>685</v>
      </c>
      <c r="L1999" t="s">
        <v>6850</v>
      </c>
      <c r="M1999">
        <v>11</v>
      </c>
      <c r="N1999">
        <v>5</v>
      </c>
      <c r="O1999" t="s">
        <v>1036</v>
      </c>
      <c r="P1999" s="17"/>
      <c r="Q1999" s="17" t="str">
        <f>_xlfn.XLOOKUP(Table2[[#This Row],[buyFromVendorNo]],'Next Day Scheduled'!A:A,'Pending Returns'!O:O,"NOT_FOUND")</f>
        <v>NOT_FOUND</v>
      </c>
    </row>
    <row r="2000" spans="1:17" x14ac:dyDescent="0.3">
      <c r="A2000" s="1">
        <v>46209</v>
      </c>
      <c r="B2000" t="s">
        <v>2159</v>
      </c>
      <c r="C2000" t="s">
        <v>137</v>
      </c>
      <c r="D2000" t="s">
        <v>138</v>
      </c>
      <c r="E2000" t="s">
        <v>8</v>
      </c>
      <c r="F2000" t="s">
        <v>10</v>
      </c>
      <c r="G2000" s="16">
        <v>11791.7</v>
      </c>
      <c r="H2000" s="16">
        <v>13560.455</v>
      </c>
      <c r="I2000" s="1">
        <v>46197</v>
      </c>
      <c r="J2000">
        <v>50</v>
      </c>
      <c r="K2000" t="s">
        <v>2160</v>
      </c>
      <c r="L2000" t="s">
        <v>6829</v>
      </c>
      <c r="M2000">
        <v>11</v>
      </c>
      <c r="N2000">
        <v>5</v>
      </c>
      <c r="O2000" t="s">
        <v>1036</v>
      </c>
      <c r="P2000" s="17"/>
      <c r="Q2000" s="17" t="str">
        <f>_xlfn.XLOOKUP(Table2[[#This Row],[buyFromVendorNo]],'Next Day Scheduled'!A:A,'Pending Returns'!O:O,"NOT_FOUND")</f>
        <v>NOT_FOUND</v>
      </c>
    </row>
    <row r="2001" spans="1:17" x14ac:dyDescent="0.3">
      <c r="A2001" s="1">
        <v>46209</v>
      </c>
      <c r="B2001" t="s">
        <v>3326</v>
      </c>
      <c r="C2001" t="s">
        <v>25</v>
      </c>
      <c r="D2001" t="s">
        <v>26</v>
      </c>
      <c r="E2001" t="s">
        <v>8</v>
      </c>
      <c r="F2001" t="s">
        <v>10</v>
      </c>
      <c r="G2001" s="16">
        <v>162.46</v>
      </c>
      <c r="H2001" s="16">
        <v>186.82900000000001</v>
      </c>
      <c r="I2001" s="1">
        <v>46193</v>
      </c>
      <c r="J2001">
        <v>50</v>
      </c>
      <c r="K2001" t="s">
        <v>3171</v>
      </c>
      <c r="L2001" t="s">
        <v>6778</v>
      </c>
      <c r="M2001">
        <v>7</v>
      </c>
      <c r="N2001">
        <v>7</v>
      </c>
      <c r="O2001" t="s">
        <v>1036</v>
      </c>
      <c r="P2001" s="17"/>
      <c r="Q2001" s="17" t="str">
        <f>_xlfn.XLOOKUP(Table2[[#This Row],[buyFromVendorNo]],'Next Day Scheduled'!A:A,'Pending Returns'!O:O,"NOT_FOUND")</f>
        <v>NOT_FOUND</v>
      </c>
    </row>
    <row r="2002" spans="1:17" x14ac:dyDescent="0.3">
      <c r="A2002" s="1">
        <v>46209</v>
      </c>
      <c r="B2002" t="s">
        <v>3500</v>
      </c>
      <c r="C2002" t="s">
        <v>519</v>
      </c>
      <c r="D2002" t="s">
        <v>520</v>
      </c>
      <c r="E2002" t="s">
        <v>8</v>
      </c>
      <c r="F2002" t="s">
        <v>10</v>
      </c>
      <c r="G2002" s="16">
        <v>146.25</v>
      </c>
      <c r="H2002" s="16">
        <v>168.1875</v>
      </c>
      <c r="I2002" s="1">
        <v>46188</v>
      </c>
      <c r="J2002">
        <v>50</v>
      </c>
      <c r="K2002" t="s">
        <v>3501</v>
      </c>
      <c r="L2002" t="s">
        <v>6865</v>
      </c>
      <c r="M2002">
        <v>5</v>
      </c>
      <c r="N2002">
        <v>8</v>
      </c>
      <c r="O2002" t="s">
        <v>1036</v>
      </c>
      <c r="P2002" s="17"/>
      <c r="Q2002" s="17" t="str">
        <f>_xlfn.XLOOKUP(Table2[[#This Row],[buyFromVendorNo]],'Next Day Scheduled'!A:A,'Pending Returns'!O:O,"NOT_FOUND")</f>
        <v>NOT_FOUND</v>
      </c>
    </row>
    <row r="2003" spans="1:17" x14ac:dyDescent="0.3">
      <c r="A2003" s="1">
        <v>46209</v>
      </c>
      <c r="B2003" t="s">
        <v>1781</v>
      </c>
      <c r="C2003" t="s">
        <v>693</v>
      </c>
      <c r="D2003" t="s">
        <v>694</v>
      </c>
      <c r="E2003" t="s">
        <v>8</v>
      </c>
      <c r="F2003" t="s">
        <v>10</v>
      </c>
      <c r="G2003" s="16">
        <v>7220.8230000000003</v>
      </c>
      <c r="H2003" s="16">
        <v>8303.9470000000001</v>
      </c>
      <c r="I2003" s="1">
        <v>46196</v>
      </c>
      <c r="J2003">
        <v>50</v>
      </c>
      <c r="K2003" t="s">
        <v>791</v>
      </c>
      <c r="L2003" t="s">
        <v>6862</v>
      </c>
      <c r="M2003">
        <v>0</v>
      </c>
      <c r="N2003">
        <v>278</v>
      </c>
      <c r="O2003" t="s">
        <v>1036</v>
      </c>
      <c r="P2003" s="17"/>
      <c r="Q2003" s="17" t="str">
        <f>_xlfn.XLOOKUP(Table2[[#This Row],[buyFromVendorNo]],'Next Day Scheduled'!A:A,'Pending Returns'!O:O,"NOT_FOUND")</f>
        <v>NOT_FOUND</v>
      </c>
    </row>
    <row r="2004" spans="1:17" x14ac:dyDescent="0.3">
      <c r="A2004" s="1">
        <v>46209</v>
      </c>
      <c r="B2004" t="s">
        <v>275</v>
      </c>
      <c r="C2004" t="s">
        <v>25</v>
      </c>
      <c r="D2004" t="s">
        <v>26</v>
      </c>
      <c r="E2004" t="s">
        <v>8</v>
      </c>
      <c r="F2004" t="s">
        <v>10</v>
      </c>
      <c r="G2004" s="16">
        <v>2888.3757000000001</v>
      </c>
      <c r="H2004" s="16">
        <v>3321.6320000000001</v>
      </c>
      <c r="I2004" s="1">
        <v>46193</v>
      </c>
      <c r="J2004">
        <v>50</v>
      </c>
      <c r="K2004" t="s">
        <v>525</v>
      </c>
      <c r="L2004" t="s">
        <v>6783</v>
      </c>
      <c r="M2004">
        <v>7</v>
      </c>
      <c r="N2004">
        <v>7</v>
      </c>
      <c r="O2004" t="s">
        <v>1036</v>
      </c>
      <c r="P2004" s="17"/>
      <c r="Q2004" s="17" t="str">
        <f>_xlfn.XLOOKUP(Table2[[#This Row],[buyFromVendorNo]],'Next Day Scheduled'!A:A,'Pending Returns'!O:O,"NOT_FOUND")</f>
        <v>NOT_FOUND</v>
      </c>
    </row>
    <row r="2005" spans="1:17" x14ac:dyDescent="0.3">
      <c r="A2005" s="1">
        <v>46209</v>
      </c>
      <c r="B2005" t="s">
        <v>1775</v>
      </c>
      <c r="C2005" t="s">
        <v>693</v>
      </c>
      <c r="D2005" t="s">
        <v>694</v>
      </c>
      <c r="E2005" t="s">
        <v>8</v>
      </c>
      <c r="F2005" t="s">
        <v>10</v>
      </c>
      <c r="G2005" s="16">
        <v>10002.84</v>
      </c>
      <c r="H2005" s="16">
        <v>11503.266</v>
      </c>
      <c r="I2005" s="1">
        <v>46196</v>
      </c>
      <c r="J2005">
        <v>50</v>
      </c>
      <c r="K2005" t="s">
        <v>708</v>
      </c>
      <c r="L2005" t="s">
        <v>6782</v>
      </c>
      <c r="M2005">
        <v>0</v>
      </c>
      <c r="N2005">
        <v>278</v>
      </c>
      <c r="O2005" t="s">
        <v>1036</v>
      </c>
      <c r="P2005" s="17"/>
      <c r="Q2005" s="17" t="str">
        <f>_xlfn.XLOOKUP(Table2[[#This Row],[buyFromVendorNo]],'Next Day Scheduled'!A:A,'Pending Returns'!O:O,"NOT_FOUND")</f>
        <v>NOT_FOUND</v>
      </c>
    </row>
    <row r="2006" spans="1:17" x14ac:dyDescent="0.3">
      <c r="A2006" s="1">
        <v>46209</v>
      </c>
      <c r="B2006" t="s">
        <v>5081</v>
      </c>
      <c r="C2006" t="s">
        <v>1411</v>
      </c>
      <c r="D2006" t="s">
        <v>1412</v>
      </c>
      <c r="E2006" t="s">
        <v>8</v>
      </c>
      <c r="F2006" t="s">
        <v>10</v>
      </c>
      <c r="G2006" s="16">
        <v>84.17</v>
      </c>
      <c r="H2006" s="16">
        <v>96.795500000000004</v>
      </c>
      <c r="I2006" s="1">
        <v>46207</v>
      </c>
      <c r="J2006">
        <v>50</v>
      </c>
      <c r="K2006" t="s">
        <v>4927</v>
      </c>
      <c r="L2006" t="s">
        <v>6784</v>
      </c>
      <c r="M2006">
        <v>6</v>
      </c>
      <c r="N2006">
        <v>3</v>
      </c>
      <c r="O2006" t="s">
        <v>1036</v>
      </c>
      <c r="P2006" s="17"/>
      <c r="Q2006" s="17" t="str">
        <f>_xlfn.XLOOKUP(Table2[[#This Row],[buyFromVendorNo]],'Next Day Scheduled'!A:A,'Pending Returns'!O:O,"NOT_FOUND")</f>
        <v>NOT_FOUND</v>
      </c>
    </row>
    <row r="2007" spans="1:17" x14ac:dyDescent="0.3">
      <c r="A2007" s="1">
        <v>46210</v>
      </c>
      <c r="B2007" t="s">
        <v>1995</v>
      </c>
      <c r="C2007" t="s">
        <v>177</v>
      </c>
      <c r="D2007" t="s">
        <v>178</v>
      </c>
      <c r="E2007" t="s">
        <v>8</v>
      </c>
      <c r="F2007" t="s">
        <v>10</v>
      </c>
      <c r="G2007" s="16">
        <v>4345.9279999999999</v>
      </c>
      <c r="H2007" s="16">
        <v>4997.8173999999999</v>
      </c>
      <c r="I2007" s="1">
        <v>46185</v>
      </c>
      <c r="J2007">
        <v>49</v>
      </c>
      <c r="K2007" t="s">
        <v>744</v>
      </c>
      <c r="L2007" t="s">
        <v>6893</v>
      </c>
      <c r="M2007">
        <v>14</v>
      </c>
      <c r="N2007">
        <v>2</v>
      </c>
      <c r="O2007" t="s">
        <v>1036</v>
      </c>
      <c r="P2007" s="17"/>
      <c r="Q2007" s="17" t="str">
        <f>_xlfn.XLOOKUP(Table2[[#This Row],[buyFromVendorNo]],'Next Day Scheduled'!A:A,'Pending Returns'!O:O,"NOT_FOUND")</f>
        <v>Posted Credit Note</v>
      </c>
    </row>
    <row r="2008" spans="1:17" x14ac:dyDescent="0.3">
      <c r="A2008" s="1">
        <v>46210</v>
      </c>
      <c r="B2008" t="s">
        <v>551</v>
      </c>
      <c r="C2008" t="s">
        <v>435</v>
      </c>
      <c r="D2008" t="s">
        <v>436</v>
      </c>
      <c r="E2008" t="s">
        <v>8</v>
      </c>
      <c r="F2008" t="s">
        <v>38</v>
      </c>
      <c r="G2008" s="16">
        <v>359.75</v>
      </c>
      <c r="H2008" s="16">
        <v>413.71249999999998</v>
      </c>
      <c r="I2008" s="1">
        <v>46195</v>
      </c>
      <c r="J2008">
        <v>49</v>
      </c>
      <c r="K2008" t="s">
        <v>4050</v>
      </c>
      <c r="L2008" t="s">
        <v>6874</v>
      </c>
      <c r="M2008">
        <v>3</v>
      </c>
      <c r="N2008">
        <v>2</v>
      </c>
      <c r="O2008" t="s">
        <v>1036</v>
      </c>
      <c r="P2008" s="17"/>
      <c r="Q2008" s="17" t="str">
        <f>_xlfn.XLOOKUP(Table2[[#This Row],[buyFromVendorNo]],'Next Day Scheduled'!A:A,'Pending Returns'!O:O,"NOT_FOUND")</f>
        <v>NOT_FOUND</v>
      </c>
    </row>
    <row r="2009" spans="1:17" x14ac:dyDescent="0.3">
      <c r="A2009" s="1">
        <v>46210</v>
      </c>
      <c r="B2009" t="s">
        <v>3247</v>
      </c>
      <c r="C2009" t="s">
        <v>401</v>
      </c>
      <c r="D2009" t="s">
        <v>402</v>
      </c>
      <c r="E2009" t="s">
        <v>8</v>
      </c>
      <c r="F2009" t="s">
        <v>10</v>
      </c>
      <c r="G2009" s="16">
        <v>157.5</v>
      </c>
      <c r="H2009" s="16">
        <v>181.125</v>
      </c>
      <c r="I2009" s="1">
        <v>46197</v>
      </c>
      <c r="J2009">
        <v>49</v>
      </c>
      <c r="K2009" t="s">
        <v>3121</v>
      </c>
      <c r="L2009" t="s">
        <v>6916</v>
      </c>
      <c r="M2009">
        <v>1</v>
      </c>
      <c r="N2009">
        <v>3</v>
      </c>
      <c r="O2009" t="s">
        <v>1036</v>
      </c>
      <c r="P2009" s="17"/>
      <c r="Q2009" s="17" t="str">
        <f>_xlfn.XLOOKUP(Table2[[#This Row],[buyFromVendorNo]],'Next Day Scheduled'!A:A,'Pending Returns'!O:O,"NOT_FOUND")</f>
        <v>Posted Credit Note</v>
      </c>
    </row>
    <row r="2010" spans="1:17" x14ac:dyDescent="0.3">
      <c r="A2010" s="1">
        <v>46210</v>
      </c>
      <c r="B2010" t="s">
        <v>5432</v>
      </c>
      <c r="C2010" t="s">
        <v>5151</v>
      </c>
      <c r="D2010" t="s">
        <v>5152</v>
      </c>
      <c r="E2010" t="s">
        <v>8</v>
      </c>
      <c r="F2010" t="s">
        <v>10</v>
      </c>
      <c r="G2010" s="16">
        <v>32.76</v>
      </c>
      <c r="H2010" s="16">
        <v>37.673999999999999</v>
      </c>
      <c r="I2010" s="1">
        <v>46199</v>
      </c>
      <c r="J2010">
        <v>49</v>
      </c>
      <c r="K2010" t="s">
        <v>5433</v>
      </c>
      <c r="L2010" t="s">
        <v>6878</v>
      </c>
      <c r="M2010">
        <v>3</v>
      </c>
      <c r="N2010">
        <v>2</v>
      </c>
      <c r="O2010" t="s">
        <v>1036</v>
      </c>
      <c r="P2010" s="17"/>
      <c r="Q2010" s="17" t="str">
        <f>_xlfn.XLOOKUP(Table2[[#This Row],[buyFromVendorNo]],'Next Day Scheduled'!A:A,'Pending Returns'!O:O,"NOT_FOUND")</f>
        <v>NOT_FOUND</v>
      </c>
    </row>
    <row r="2011" spans="1:17" x14ac:dyDescent="0.3">
      <c r="A2011" s="1">
        <v>46210</v>
      </c>
      <c r="B2011" t="s">
        <v>2556</v>
      </c>
      <c r="C2011" t="s">
        <v>435</v>
      </c>
      <c r="D2011" t="s">
        <v>436</v>
      </c>
      <c r="E2011" t="s">
        <v>8</v>
      </c>
      <c r="F2011" t="s">
        <v>38</v>
      </c>
      <c r="G2011" s="16">
        <v>4876.49</v>
      </c>
      <c r="H2011" s="16">
        <v>5607.9633999999996</v>
      </c>
      <c r="I2011" s="1">
        <v>46195</v>
      </c>
      <c r="J2011">
        <v>49</v>
      </c>
      <c r="K2011" t="s">
        <v>2557</v>
      </c>
      <c r="L2011" t="s">
        <v>6881</v>
      </c>
      <c r="M2011">
        <v>3</v>
      </c>
      <c r="N2011">
        <v>2</v>
      </c>
      <c r="O2011" t="s">
        <v>1036</v>
      </c>
      <c r="P2011" s="17"/>
      <c r="Q2011" s="17" t="str">
        <f>_xlfn.XLOOKUP(Table2[[#This Row],[buyFromVendorNo]],'Next Day Scheduled'!A:A,'Pending Returns'!O:O,"NOT_FOUND")</f>
        <v>NOT_FOUND</v>
      </c>
    </row>
    <row r="2012" spans="1:17" x14ac:dyDescent="0.3">
      <c r="A2012" s="1">
        <v>46210</v>
      </c>
      <c r="B2012" t="s">
        <v>4813</v>
      </c>
      <c r="C2012" t="s">
        <v>188</v>
      </c>
      <c r="D2012" t="s">
        <v>189</v>
      </c>
      <c r="E2012" t="s">
        <v>8</v>
      </c>
      <c r="F2012" t="s">
        <v>10</v>
      </c>
      <c r="G2012" s="16">
        <v>278.99930000000001</v>
      </c>
      <c r="H2012" s="16">
        <v>320.8492</v>
      </c>
      <c r="J2012">
        <v>49</v>
      </c>
      <c r="K2012" t="s">
        <v>6924</v>
      </c>
      <c r="M2012">
        <v>0</v>
      </c>
      <c r="N2012">
        <v>607</v>
      </c>
      <c r="O2012" t="s">
        <v>216</v>
      </c>
      <c r="P2012" s="17"/>
      <c r="Q2012" s="17" t="str">
        <f>_xlfn.XLOOKUP(Table2[[#This Row],[buyFromVendorNo]],'Next Day Scheduled'!A:A,'Pending Returns'!O:O,"NOT_FOUND")</f>
        <v>NOT_FOUND</v>
      </c>
    </row>
    <row r="2013" spans="1:17" x14ac:dyDescent="0.3">
      <c r="A2013" s="1">
        <v>46210</v>
      </c>
      <c r="B2013" t="s">
        <v>5358</v>
      </c>
      <c r="C2013" t="s">
        <v>401</v>
      </c>
      <c r="D2013" t="s">
        <v>402</v>
      </c>
      <c r="E2013" t="s">
        <v>8</v>
      </c>
      <c r="F2013" t="s">
        <v>10</v>
      </c>
      <c r="G2013" s="16">
        <v>26.25</v>
      </c>
      <c r="H2013" s="16">
        <v>30.1875</v>
      </c>
      <c r="I2013" s="1">
        <v>46197</v>
      </c>
      <c r="J2013">
        <v>49</v>
      </c>
      <c r="K2013" t="s">
        <v>5359</v>
      </c>
      <c r="L2013" t="s">
        <v>6891</v>
      </c>
      <c r="M2013">
        <v>1</v>
      </c>
      <c r="N2013">
        <v>3</v>
      </c>
      <c r="O2013" t="s">
        <v>1036</v>
      </c>
      <c r="P2013" s="17"/>
      <c r="Q2013" s="17" t="str">
        <f>_xlfn.XLOOKUP(Table2[[#This Row],[buyFromVendorNo]],'Next Day Scheduled'!A:A,'Pending Returns'!O:O,"NOT_FOUND")</f>
        <v>Posted Credit Note</v>
      </c>
    </row>
    <row r="2014" spans="1:17" x14ac:dyDescent="0.3">
      <c r="A2014" s="1">
        <v>46210</v>
      </c>
      <c r="B2014" t="s">
        <v>3699</v>
      </c>
      <c r="C2014" t="s">
        <v>3083</v>
      </c>
      <c r="D2014" t="s">
        <v>3084</v>
      </c>
      <c r="E2014" t="s">
        <v>8</v>
      </c>
      <c r="F2014" t="s">
        <v>10</v>
      </c>
      <c r="G2014" s="16">
        <v>28387.42</v>
      </c>
      <c r="H2014" s="16">
        <v>32645.532999999999</v>
      </c>
      <c r="J2014">
        <v>49</v>
      </c>
      <c r="K2014" t="s">
        <v>6876</v>
      </c>
      <c r="M2014">
        <v>0</v>
      </c>
      <c r="N2014">
        <v>377</v>
      </c>
      <c r="O2014" t="s">
        <v>216</v>
      </c>
      <c r="P2014" s="17"/>
      <c r="Q2014" s="17" t="str">
        <f>_xlfn.XLOOKUP(Table2[[#This Row],[buyFromVendorNo]],'Next Day Scheduled'!A:A,'Pending Returns'!O:O,"NOT_FOUND")</f>
        <v>NOT_FOUND</v>
      </c>
    </row>
    <row r="2015" spans="1:17" x14ac:dyDescent="0.3">
      <c r="A2015" s="1">
        <v>46210</v>
      </c>
      <c r="B2015" t="s">
        <v>642</v>
      </c>
      <c r="C2015" t="s">
        <v>808</v>
      </c>
      <c r="D2015" t="s">
        <v>904</v>
      </c>
      <c r="E2015" t="s">
        <v>8</v>
      </c>
      <c r="F2015" t="s">
        <v>38</v>
      </c>
      <c r="G2015" s="16">
        <v>4818.241</v>
      </c>
      <c r="H2015" s="16">
        <v>5540.9769999999999</v>
      </c>
      <c r="I2015" s="1">
        <v>46209</v>
      </c>
      <c r="J2015">
        <v>49</v>
      </c>
      <c r="K2015" t="s">
        <v>6779</v>
      </c>
      <c r="L2015" t="s">
        <v>6875</v>
      </c>
      <c r="M2015">
        <v>9</v>
      </c>
      <c r="N2015">
        <v>2</v>
      </c>
      <c r="O2015" t="s">
        <v>1036</v>
      </c>
      <c r="P2015" s="17"/>
      <c r="Q2015" s="17" t="str">
        <f>_xlfn.XLOOKUP(Table2[[#This Row],[buyFromVendorNo]],'Next Day Scheduled'!A:A,'Pending Returns'!O:O,"NOT_FOUND")</f>
        <v>NOT_FOUND</v>
      </c>
    </row>
    <row r="2016" spans="1:17" x14ac:dyDescent="0.3">
      <c r="A2016" s="1">
        <v>46210</v>
      </c>
      <c r="B2016" t="s">
        <v>4076</v>
      </c>
      <c r="C2016" t="s">
        <v>435</v>
      </c>
      <c r="D2016" t="s">
        <v>436</v>
      </c>
      <c r="E2016" t="s">
        <v>8</v>
      </c>
      <c r="F2016" t="s">
        <v>38</v>
      </c>
      <c r="G2016" s="16">
        <v>229.62</v>
      </c>
      <c r="H2016" s="16">
        <v>264.06299999999999</v>
      </c>
      <c r="I2016" s="1">
        <v>46195</v>
      </c>
      <c r="J2016">
        <v>49</v>
      </c>
      <c r="K2016" t="s">
        <v>5553</v>
      </c>
      <c r="L2016" t="s">
        <v>6914</v>
      </c>
      <c r="M2016">
        <v>3</v>
      </c>
      <c r="N2016">
        <v>2</v>
      </c>
      <c r="O2016" t="s">
        <v>1036</v>
      </c>
      <c r="P2016" s="17"/>
      <c r="Q2016" s="17" t="str">
        <f>_xlfn.XLOOKUP(Table2[[#This Row],[buyFromVendorNo]],'Next Day Scheduled'!A:A,'Pending Returns'!O:O,"NOT_FOUND")</f>
        <v>NOT_FOUND</v>
      </c>
    </row>
    <row r="2017" spans="1:17" x14ac:dyDescent="0.3">
      <c r="A2017" s="1">
        <v>46210</v>
      </c>
      <c r="B2017" t="s">
        <v>6260</v>
      </c>
      <c r="C2017" t="s">
        <v>1643</v>
      </c>
      <c r="D2017" t="s">
        <v>1644</v>
      </c>
      <c r="E2017" t="s">
        <v>8</v>
      </c>
      <c r="F2017" t="s">
        <v>38</v>
      </c>
      <c r="G2017" s="16">
        <v>2661.9110000000001</v>
      </c>
      <c r="H2017" s="16">
        <v>3061.1977999999999</v>
      </c>
      <c r="I2017" s="1">
        <v>46210</v>
      </c>
      <c r="J2017">
        <v>49</v>
      </c>
      <c r="K2017" t="s">
        <v>6243</v>
      </c>
      <c r="L2017" t="s">
        <v>6880</v>
      </c>
      <c r="M2017">
        <v>7</v>
      </c>
      <c r="N2017">
        <v>2</v>
      </c>
      <c r="O2017" t="s">
        <v>1036</v>
      </c>
      <c r="P2017" s="17"/>
      <c r="Q2017" s="17" t="str">
        <f>_xlfn.XLOOKUP(Table2[[#This Row],[buyFromVendorNo]],'Next Day Scheduled'!A:A,'Pending Returns'!O:O,"NOT_FOUND")</f>
        <v>NOT_FOUND</v>
      </c>
    </row>
    <row r="2018" spans="1:17" x14ac:dyDescent="0.3">
      <c r="A2018" s="1">
        <v>46210</v>
      </c>
      <c r="B2018" t="s">
        <v>3249</v>
      </c>
      <c r="C2018" t="s">
        <v>295</v>
      </c>
      <c r="D2018" t="s">
        <v>345</v>
      </c>
      <c r="E2018" t="s">
        <v>8</v>
      </c>
      <c r="F2018" t="s">
        <v>10</v>
      </c>
      <c r="G2018" s="16">
        <v>81.25</v>
      </c>
      <c r="H2018" s="16">
        <v>93.4375</v>
      </c>
      <c r="I2018" s="1">
        <v>46180</v>
      </c>
      <c r="J2018">
        <v>49</v>
      </c>
      <c r="K2018" t="s">
        <v>3119</v>
      </c>
      <c r="L2018" t="s">
        <v>6882</v>
      </c>
      <c r="M2018">
        <v>20</v>
      </c>
      <c r="N2018">
        <v>1</v>
      </c>
      <c r="O2018" t="s">
        <v>1036</v>
      </c>
      <c r="P2018" s="17"/>
      <c r="Q2018" s="17" t="str">
        <f>_xlfn.XLOOKUP(Table2[[#This Row],[buyFromVendorNo]],'Next Day Scheduled'!A:A,'Pending Returns'!O:O,"NOT_FOUND")</f>
        <v>NOT_FOUND</v>
      </c>
    </row>
    <row r="2019" spans="1:17" x14ac:dyDescent="0.3">
      <c r="A2019" s="1">
        <v>46210</v>
      </c>
      <c r="B2019" t="s">
        <v>642</v>
      </c>
      <c r="C2019" t="s">
        <v>39</v>
      </c>
      <c r="D2019" t="s">
        <v>40</v>
      </c>
      <c r="E2019" t="s">
        <v>8</v>
      </c>
      <c r="F2019" t="s">
        <v>38</v>
      </c>
      <c r="G2019" s="16">
        <v>1348.1039000000001</v>
      </c>
      <c r="H2019" s="16">
        <v>1550.3196</v>
      </c>
      <c r="J2019">
        <v>49</v>
      </c>
      <c r="K2019" t="s">
        <v>6884</v>
      </c>
      <c r="M2019">
        <v>12</v>
      </c>
      <c r="N2019">
        <v>22</v>
      </c>
      <c r="O2019" t="s">
        <v>216</v>
      </c>
      <c r="P2019" s="17"/>
      <c r="Q2019" s="17" t="str">
        <f>_xlfn.XLOOKUP(Table2[[#This Row],[buyFromVendorNo]],'Next Day Scheduled'!A:A,'Pending Returns'!O:O,"NOT_FOUND")</f>
        <v>Posted Credit Note</v>
      </c>
    </row>
    <row r="2020" spans="1:17" x14ac:dyDescent="0.3">
      <c r="A2020" s="1">
        <v>46210</v>
      </c>
      <c r="B2020" t="s">
        <v>224</v>
      </c>
      <c r="C2020" t="s">
        <v>6256</v>
      </c>
      <c r="D2020" t="s">
        <v>6257</v>
      </c>
      <c r="E2020" t="s">
        <v>8</v>
      </c>
      <c r="F2020" t="s">
        <v>38</v>
      </c>
      <c r="G2020" s="16">
        <v>261.62436000000002</v>
      </c>
      <c r="H2020" s="16">
        <v>300.86799999999999</v>
      </c>
      <c r="I2020" s="1">
        <v>46208</v>
      </c>
      <c r="J2020">
        <v>49</v>
      </c>
      <c r="K2020" t="s">
        <v>6385</v>
      </c>
      <c r="L2020" t="s">
        <v>6887</v>
      </c>
      <c r="M2020">
        <v>6</v>
      </c>
      <c r="N2020">
        <v>8</v>
      </c>
      <c r="O2020" t="s">
        <v>1036</v>
      </c>
      <c r="P2020" s="17"/>
      <c r="Q2020" s="17" t="str">
        <f>_xlfn.XLOOKUP(Table2[[#This Row],[buyFromVendorNo]],'Next Day Scheduled'!A:A,'Pending Returns'!O:O,"NOT_FOUND")</f>
        <v>NOT_FOUND</v>
      </c>
    </row>
    <row r="2021" spans="1:17" x14ac:dyDescent="0.3">
      <c r="A2021" s="1">
        <v>46210</v>
      </c>
      <c r="B2021" t="s">
        <v>5927</v>
      </c>
      <c r="C2021" t="s">
        <v>356</v>
      </c>
      <c r="D2021" t="s">
        <v>357</v>
      </c>
      <c r="E2021" t="s">
        <v>8</v>
      </c>
      <c r="F2021" t="s">
        <v>169</v>
      </c>
      <c r="G2021" s="16">
        <v>1613.8905999999999</v>
      </c>
      <c r="H2021" s="16">
        <v>1855.9742000000001</v>
      </c>
      <c r="I2021" s="1">
        <v>46196</v>
      </c>
      <c r="J2021">
        <v>49</v>
      </c>
      <c r="K2021" t="s">
        <v>5928</v>
      </c>
      <c r="L2021" t="s">
        <v>6889</v>
      </c>
      <c r="M2021">
        <v>11</v>
      </c>
      <c r="N2021">
        <v>2</v>
      </c>
      <c r="O2021" t="s">
        <v>1036</v>
      </c>
      <c r="P2021" s="17"/>
      <c r="Q2021" s="17" t="str">
        <f>_xlfn.XLOOKUP(Table2[[#This Row],[buyFromVendorNo]],'Next Day Scheduled'!A:A,'Pending Returns'!O:O,"NOT_FOUND")</f>
        <v>NOT_FOUND</v>
      </c>
    </row>
    <row r="2022" spans="1:17" x14ac:dyDescent="0.3">
      <c r="A2022" s="1">
        <v>46210</v>
      </c>
      <c r="B2022" t="s">
        <v>2153</v>
      </c>
      <c r="C2022" t="s">
        <v>826</v>
      </c>
      <c r="D2022" t="s">
        <v>827</v>
      </c>
      <c r="E2022" t="s">
        <v>8</v>
      </c>
      <c r="F2022" t="s">
        <v>10</v>
      </c>
      <c r="G2022" s="16">
        <v>311.02499999999998</v>
      </c>
      <c r="H2022" s="16">
        <v>311.02499999999998</v>
      </c>
      <c r="I2022" s="1">
        <v>46210</v>
      </c>
      <c r="J2022">
        <v>49</v>
      </c>
      <c r="K2022" t="s">
        <v>5325</v>
      </c>
      <c r="L2022" t="s">
        <v>6900</v>
      </c>
      <c r="M2022">
        <v>7</v>
      </c>
      <c r="N2022">
        <v>5</v>
      </c>
      <c r="O2022" t="s">
        <v>1036</v>
      </c>
      <c r="P2022" s="17"/>
      <c r="Q2022" s="17" t="str">
        <f>_xlfn.XLOOKUP(Table2[[#This Row],[buyFromVendorNo]],'Next Day Scheduled'!A:A,'Pending Returns'!O:O,"NOT_FOUND")</f>
        <v>NOT_FOUND</v>
      </c>
    </row>
    <row r="2023" spans="1:17" x14ac:dyDescent="0.3">
      <c r="A2023" s="1">
        <v>46210</v>
      </c>
      <c r="B2023" t="s">
        <v>5384</v>
      </c>
      <c r="C2023" t="s">
        <v>778</v>
      </c>
      <c r="D2023" t="s">
        <v>779</v>
      </c>
      <c r="E2023" t="s">
        <v>8</v>
      </c>
      <c r="F2023" t="s">
        <v>10</v>
      </c>
      <c r="G2023" s="16">
        <v>8</v>
      </c>
      <c r="H2023" s="16">
        <v>9.1999999999999993</v>
      </c>
      <c r="I2023" s="1">
        <v>46202</v>
      </c>
      <c r="J2023">
        <v>49</v>
      </c>
      <c r="K2023" t="s">
        <v>5385</v>
      </c>
      <c r="L2023" t="s">
        <v>6902</v>
      </c>
      <c r="M2023">
        <v>8</v>
      </c>
      <c r="N2023">
        <v>7</v>
      </c>
      <c r="O2023" t="s">
        <v>1036</v>
      </c>
      <c r="P2023" s="17"/>
      <c r="Q2023" s="17" t="str">
        <f>_xlfn.XLOOKUP(Table2[[#This Row],[buyFromVendorNo]],'Next Day Scheduled'!A:A,'Pending Returns'!O:O,"NOT_FOUND")</f>
        <v>Posted Credit Note</v>
      </c>
    </row>
    <row r="2024" spans="1:17" x14ac:dyDescent="0.3">
      <c r="A2024" s="1">
        <v>46210</v>
      </c>
      <c r="B2024" t="s">
        <v>224</v>
      </c>
      <c r="C2024" t="s">
        <v>43</v>
      </c>
      <c r="D2024" t="s">
        <v>44</v>
      </c>
      <c r="E2024" t="s">
        <v>8</v>
      </c>
      <c r="F2024" t="s">
        <v>38</v>
      </c>
      <c r="G2024" s="16">
        <v>1962.7524000000001</v>
      </c>
      <c r="H2024" s="16">
        <v>2257.1653000000001</v>
      </c>
      <c r="I2024" s="1">
        <v>46184</v>
      </c>
      <c r="J2024">
        <v>49</v>
      </c>
      <c r="K2024" t="s">
        <v>4526</v>
      </c>
      <c r="L2024" t="s">
        <v>6913</v>
      </c>
      <c r="M2024">
        <v>46</v>
      </c>
      <c r="N2024">
        <v>1</v>
      </c>
      <c r="O2024" t="s">
        <v>1036</v>
      </c>
      <c r="P2024" s="17"/>
      <c r="Q2024" s="17" t="str">
        <f>_xlfn.XLOOKUP(Table2[[#This Row],[buyFromVendorNo]],'Next Day Scheduled'!A:A,'Pending Returns'!O:O,"NOT_FOUND")</f>
        <v>Posted Credit Note</v>
      </c>
    </row>
    <row r="2025" spans="1:17" x14ac:dyDescent="0.3">
      <c r="A2025" s="1">
        <v>46210</v>
      </c>
      <c r="B2025" t="s">
        <v>2847</v>
      </c>
      <c r="C2025" t="s">
        <v>141</v>
      </c>
      <c r="D2025" t="s">
        <v>142</v>
      </c>
      <c r="E2025" t="s">
        <v>8</v>
      </c>
      <c r="F2025" t="s">
        <v>10</v>
      </c>
      <c r="G2025" s="16">
        <v>84.7</v>
      </c>
      <c r="H2025" s="16">
        <v>97.405000000000001</v>
      </c>
      <c r="I2025" s="1">
        <v>46198</v>
      </c>
      <c r="J2025">
        <v>49</v>
      </c>
      <c r="K2025" t="s">
        <v>5345</v>
      </c>
      <c r="L2025" t="s">
        <v>6903</v>
      </c>
      <c r="M2025">
        <v>6</v>
      </c>
      <c r="N2025">
        <v>6</v>
      </c>
      <c r="O2025" t="s">
        <v>1036</v>
      </c>
      <c r="P2025" s="17"/>
      <c r="Q2025" s="17" t="str">
        <f>_xlfn.XLOOKUP(Table2[[#This Row],[buyFromVendorNo]],'Next Day Scheduled'!A:A,'Pending Returns'!O:O,"NOT_FOUND")</f>
        <v>NOT_FOUND</v>
      </c>
    </row>
    <row r="2026" spans="1:17" x14ac:dyDescent="0.3">
      <c r="A2026" s="1">
        <v>46210</v>
      </c>
      <c r="B2026" t="s">
        <v>3293</v>
      </c>
      <c r="C2026" t="s">
        <v>34</v>
      </c>
      <c r="D2026" t="s">
        <v>35</v>
      </c>
      <c r="E2026" t="s">
        <v>8</v>
      </c>
      <c r="F2026" t="s">
        <v>10</v>
      </c>
      <c r="G2026" s="16">
        <v>42.54</v>
      </c>
      <c r="H2026" s="16">
        <v>48.920999999999999</v>
      </c>
      <c r="I2026" s="1">
        <v>46205</v>
      </c>
      <c r="J2026">
        <v>49</v>
      </c>
      <c r="K2026" t="s">
        <v>4934</v>
      </c>
      <c r="L2026" t="s">
        <v>6904</v>
      </c>
      <c r="M2026">
        <v>9</v>
      </c>
      <c r="N2026">
        <v>8</v>
      </c>
      <c r="O2026" t="s">
        <v>1036</v>
      </c>
      <c r="P2026" s="17"/>
      <c r="Q2026" s="17" t="str">
        <f>_xlfn.XLOOKUP(Table2[[#This Row],[buyFromVendorNo]],'Next Day Scheduled'!A:A,'Pending Returns'!O:O,"NOT_FOUND")</f>
        <v>Posted Credit Note</v>
      </c>
    </row>
    <row r="2027" spans="1:17" x14ac:dyDescent="0.3">
      <c r="A2027" s="1">
        <v>46210</v>
      </c>
      <c r="B2027" t="s">
        <v>3001</v>
      </c>
      <c r="C2027" t="s">
        <v>109</v>
      </c>
      <c r="D2027" t="s">
        <v>110</v>
      </c>
      <c r="E2027" t="s">
        <v>8</v>
      </c>
      <c r="F2027" t="s">
        <v>10</v>
      </c>
      <c r="G2027" s="16">
        <v>97.4</v>
      </c>
      <c r="H2027" s="16">
        <v>112.01</v>
      </c>
      <c r="I2027" s="1">
        <v>46195</v>
      </c>
      <c r="J2027">
        <v>49</v>
      </c>
      <c r="K2027" t="s">
        <v>5268</v>
      </c>
      <c r="L2027" t="s">
        <v>6905</v>
      </c>
      <c r="M2027">
        <v>5</v>
      </c>
      <c r="N2027">
        <v>7</v>
      </c>
      <c r="O2027" t="s">
        <v>1036</v>
      </c>
      <c r="P2027" s="17"/>
      <c r="Q2027" s="17" t="str">
        <f>_xlfn.XLOOKUP(Table2[[#This Row],[buyFromVendorNo]],'Next Day Scheduled'!A:A,'Pending Returns'!O:O,"NOT_FOUND")</f>
        <v>NOT_FOUND</v>
      </c>
    </row>
    <row r="2028" spans="1:17" x14ac:dyDescent="0.3">
      <c r="A2028" s="1">
        <v>46210</v>
      </c>
      <c r="B2028" t="s">
        <v>686</v>
      </c>
      <c r="C2028" t="s">
        <v>633</v>
      </c>
      <c r="D2028" t="s">
        <v>690</v>
      </c>
      <c r="E2028" t="s">
        <v>8</v>
      </c>
      <c r="F2028" t="s">
        <v>10</v>
      </c>
      <c r="G2028" s="16">
        <v>3930.3123000000001</v>
      </c>
      <c r="H2028" s="16">
        <v>4519.8590000000004</v>
      </c>
      <c r="I2028" s="1">
        <v>46193</v>
      </c>
      <c r="J2028">
        <v>49</v>
      </c>
      <c r="K2028" t="s">
        <v>4609</v>
      </c>
      <c r="L2028" t="s">
        <v>6917</v>
      </c>
      <c r="M2028">
        <v>7</v>
      </c>
      <c r="N2028">
        <v>6</v>
      </c>
      <c r="O2028" t="s">
        <v>1036</v>
      </c>
      <c r="P2028" s="17"/>
      <c r="Q2028" s="17" t="str">
        <f>_xlfn.XLOOKUP(Table2[[#This Row],[buyFromVendorNo]],'Next Day Scheduled'!A:A,'Pending Returns'!O:O,"NOT_FOUND")</f>
        <v>NOT_FOUND</v>
      </c>
    </row>
    <row r="2029" spans="1:17" x14ac:dyDescent="0.3">
      <c r="A2029" s="1">
        <v>46210</v>
      </c>
      <c r="B2029" t="s">
        <v>434</v>
      </c>
      <c r="C2029" t="s">
        <v>435</v>
      </c>
      <c r="D2029" t="s">
        <v>436</v>
      </c>
      <c r="E2029" t="s">
        <v>8</v>
      </c>
      <c r="F2029" t="s">
        <v>38</v>
      </c>
      <c r="G2029" s="16">
        <v>3821.49</v>
      </c>
      <c r="H2029" s="16">
        <v>4394.7133999999996</v>
      </c>
      <c r="I2029" s="1">
        <v>46195</v>
      </c>
      <c r="J2029">
        <v>49</v>
      </c>
      <c r="K2029" t="s">
        <v>437</v>
      </c>
      <c r="L2029" t="s">
        <v>6879</v>
      </c>
      <c r="M2029">
        <v>3</v>
      </c>
      <c r="N2029">
        <v>2</v>
      </c>
      <c r="O2029" t="s">
        <v>1036</v>
      </c>
      <c r="P2029" s="17"/>
      <c r="Q2029" s="17" t="str">
        <f>_xlfn.XLOOKUP(Table2[[#This Row],[buyFromVendorNo]],'Next Day Scheduled'!A:A,'Pending Returns'!O:O,"NOT_FOUND")</f>
        <v>NOT_FOUND</v>
      </c>
    </row>
    <row r="2030" spans="1:17" x14ac:dyDescent="0.3">
      <c r="A2030" s="1">
        <v>46210</v>
      </c>
      <c r="B2030" t="s">
        <v>1833</v>
      </c>
      <c r="C2030" t="s">
        <v>34</v>
      </c>
      <c r="D2030" t="s">
        <v>35</v>
      </c>
      <c r="E2030" t="s">
        <v>8</v>
      </c>
      <c r="F2030" t="s">
        <v>10</v>
      </c>
      <c r="G2030" s="16">
        <v>1805.9299000000001</v>
      </c>
      <c r="H2030" s="16">
        <v>2076.8193000000001</v>
      </c>
      <c r="I2030" s="1">
        <v>46205</v>
      </c>
      <c r="J2030">
        <v>49</v>
      </c>
      <c r="K2030" t="s">
        <v>5296</v>
      </c>
      <c r="L2030" t="s">
        <v>6918</v>
      </c>
      <c r="M2030">
        <v>9</v>
      </c>
      <c r="N2030">
        <v>8</v>
      </c>
      <c r="O2030" t="s">
        <v>1036</v>
      </c>
      <c r="P2030" s="17"/>
      <c r="Q2030" s="17" t="str">
        <f>_xlfn.XLOOKUP(Table2[[#This Row],[buyFromVendorNo]],'Next Day Scheduled'!A:A,'Pending Returns'!O:O,"NOT_FOUND")</f>
        <v>Posted Credit Note</v>
      </c>
    </row>
    <row r="2031" spans="1:17" x14ac:dyDescent="0.3">
      <c r="A2031" s="1">
        <v>46210</v>
      </c>
      <c r="B2031" t="s">
        <v>3340</v>
      </c>
      <c r="C2031" t="s">
        <v>580</v>
      </c>
      <c r="D2031" t="s">
        <v>581</v>
      </c>
      <c r="E2031" t="s">
        <v>8</v>
      </c>
      <c r="F2031" t="s">
        <v>10</v>
      </c>
      <c r="G2031" s="16">
        <v>370</v>
      </c>
      <c r="H2031" s="16">
        <v>425.5</v>
      </c>
      <c r="J2031">
        <v>49</v>
      </c>
      <c r="K2031" t="s">
        <v>6919</v>
      </c>
      <c r="M2031">
        <v>4</v>
      </c>
      <c r="N2031">
        <v>3</v>
      </c>
      <c r="O2031" t="s">
        <v>216</v>
      </c>
      <c r="P2031" s="17"/>
      <c r="Q2031" s="17" t="str">
        <f>_xlfn.XLOOKUP(Table2[[#This Row],[buyFromVendorNo]],'Next Day Scheduled'!A:A,'Pending Returns'!O:O,"NOT_FOUND")</f>
        <v>NOT_FOUND</v>
      </c>
    </row>
    <row r="2032" spans="1:17" x14ac:dyDescent="0.3">
      <c r="A2032" s="1">
        <v>46210</v>
      </c>
      <c r="B2032" t="s">
        <v>8485</v>
      </c>
      <c r="C2032" t="s">
        <v>3083</v>
      </c>
      <c r="D2032" t="s">
        <v>3084</v>
      </c>
      <c r="E2032" t="s">
        <v>8</v>
      </c>
      <c r="F2032" t="s">
        <v>10</v>
      </c>
      <c r="G2032" s="16">
        <v>6434.12</v>
      </c>
      <c r="H2032" s="16">
        <v>7399.2380000000003</v>
      </c>
      <c r="J2032">
        <v>49</v>
      </c>
      <c r="K2032" t="s">
        <v>6888</v>
      </c>
      <c r="M2032">
        <v>0</v>
      </c>
      <c r="N2032">
        <v>377</v>
      </c>
      <c r="O2032" t="s">
        <v>216</v>
      </c>
      <c r="P2032" s="17"/>
      <c r="Q2032" s="17" t="str">
        <f>_xlfn.XLOOKUP(Table2[[#This Row],[buyFromVendorNo]],'Next Day Scheduled'!A:A,'Pending Returns'!O:O,"NOT_FOUND")</f>
        <v>NOT_FOUND</v>
      </c>
    </row>
    <row r="2033" spans="1:17" x14ac:dyDescent="0.3">
      <c r="A2033" s="1">
        <v>46210</v>
      </c>
      <c r="B2033" t="s">
        <v>2851</v>
      </c>
      <c r="C2033" t="s">
        <v>1643</v>
      </c>
      <c r="D2033" t="s">
        <v>1644</v>
      </c>
      <c r="E2033" t="s">
        <v>8</v>
      </c>
      <c r="F2033" t="s">
        <v>38</v>
      </c>
      <c r="G2033" s="16">
        <v>1177.538</v>
      </c>
      <c r="H2033" s="16">
        <v>1354.1686999999999</v>
      </c>
      <c r="I2033" s="1">
        <v>46210</v>
      </c>
      <c r="J2033">
        <v>49</v>
      </c>
      <c r="K2033" t="s">
        <v>6542</v>
      </c>
      <c r="L2033" t="s">
        <v>6920</v>
      </c>
      <c r="M2033">
        <v>7</v>
      </c>
      <c r="N2033">
        <v>2</v>
      </c>
      <c r="O2033" t="s">
        <v>1036</v>
      </c>
      <c r="P2033" s="17"/>
      <c r="Q2033" s="17" t="str">
        <f>_xlfn.XLOOKUP(Table2[[#This Row],[buyFromVendorNo]],'Next Day Scheduled'!A:A,'Pending Returns'!O:O,"NOT_FOUND")</f>
        <v>NOT_FOUND</v>
      </c>
    </row>
    <row r="2034" spans="1:17" x14ac:dyDescent="0.3">
      <c r="A2034" s="1">
        <v>46210</v>
      </c>
      <c r="B2034" t="s">
        <v>6651</v>
      </c>
      <c r="C2034" t="s">
        <v>2256</v>
      </c>
      <c r="D2034" t="s">
        <v>2257</v>
      </c>
      <c r="E2034" t="s">
        <v>8</v>
      </c>
      <c r="F2034" t="s">
        <v>10</v>
      </c>
      <c r="G2034" s="16">
        <v>63.7</v>
      </c>
      <c r="H2034" s="16">
        <v>73.254999999999995</v>
      </c>
      <c r="I2034" s="1">
        <v>46210</v>
      </c>
      <c r="J2034">
        <v>49</v>
      </c>
      <c r="K2034" t="s">
        <v>6652</v>
      </c>
      <c r="L2034" t="s">
        <v>6883</v>
      </c>
      <c r="M2034">
        <v>4</v>
      </c>
      <c r="N2034">
        <v>2</v>
      </c>
      <c r="O2034" t="s">
        <v>1036</v>
      </c>
      <c r="P2034" s="17"/>
      <c r="Q2034" s="17" t="str">
        <f>_xlfn.XLOOKUP(Table2[[#This Row],[buyFromVendorNo]],'Next Day Scheduled'!A:A,'Pending Returns'!O:O,"NOT_FOUND")</f>
        <v>NOT_FOUND</v>
      </c>
    </row>
    <row r="2035" spans="1:17" x14ac:dyDescent="0.3">
      <c r="A2035" s="1">
        <v>46210</v>
      </c>
      <c r="B2035" t="s">
        <v>3360</v>
      </c>
      <c r="C2035" t="s">
        <v>2963</v>
      </c>
      <c r="D2035" t="s">
        <v>2964</v>
      </c>
      <c r="E2035" t="s">
        <v>8</v>
      </c>
      <c r="F2035" t="s">
        <v>10</v>
      </c>
      <c r="G2035" s="16">
        <v>10581.178</v>
      </c>
      <c r="H2035" s="16">
        <v>12168.354499999999</v>
      </c>
      <c r="J2035">
        <v>49</v>
      </c>
      <c r="K2035" t="s">
        <v>6932</v>
      </c>
      <c r="M2035">
        <v>0</v>
      </c>
      <c r="N2035">
        <v>184</v>
      </c>
      <c r="O2035" t="s">
        <v>216</v>
      </c>
      <c r="P2035" s="17"/>
      <c r="Q2035" s="17" t="str">
        <f>_xlfn.XLOOKUP(Table2[[#This Row],[buyFromVendorNo]],'Next Day Scheduled'!A:A,'Pending Returns'!O:O,"NOT_FOUND")</f>
        <v>NOT_FOUND</v>
      </c>
    </row>
    <row r="2036" spans="1:17" x14ac:dyDescent="0.3">
      <c r="A2036" s="1">
        <v>46210</v>
      </c>
      <c r="B2036" t="s">
        <v>642</v>
      </c>
      <c r="C2036" t="s">
        <v>808</v>
      </c>
      <c r="D2036" t="s">
        <v>904</v>
      </c>
      <c r="E2036" t="s">
        <v>8</v>
      </c>
      <c r="F2036" t="s">
        <v>38</v>
      </c>
      <c r="G2036" s="16">
        <v>3606.11</v>
      </c>
      <c r="H2036" s="16">
        <v>4147.0263999999997</v>
      </c>
      <c r="I2036" s="1">
        <v>46209</v>
      </c>
      <c r="J2036">
        <v>49</v>
      </c>
      <c r="K2036" t="s">
        <v>6097</v>
      </c>
      <c r="L2036" t="s">
        <v>6886</v>
      </c>
      <c r="M2036">
        <v>9</v>
      </c>
      <c r="N2036">
        <v>2</v>
      </c>
      <c r="O2036" t="s">
        <v>1036</v>
      </c>
      <c r="P2036" s="17"/>
      <c r="Q2036" s="17" t="str">
        <f>_xlfn.XLOOKUP(Table2[[#This Row],[buyFromVendorNo]],'Next Day Scheduled'!A:A,'Pending Returns'!O:O,"NOT_FOUND")</f>
        <v>NOT_FOUND</v>
      </c>
    </row>
    <row r="2037" spans="1:17" x14ac:dyDescent="0.3">
      <c r="A2037" s="1">
        <v>46210</v>
      </c>
      <c r="B2037" t="s">
        <v>5229</v>
      </c>
      <c r="C2037" t="s">
        <v>561</v>
      </c>
      <c r="D2037" t="s">
        <v>593</v>
      </c>
      <c r="E2037" t="s">
        <v>8</v>
      </c>
      <c r="F2037" t="s">
        <v>10</v>
      </c>
      <c r="G2037" s="16">
        <v>1706.13</v>
      </c>
      <c r="H2037" s="16">
        <v>1962.0496000000001</v>
      </c>
      <c r="I2037" s="1">
        <v>46191</v>
      </c>
      <c r="J2037">
        <v>49</v>
      </c>
      <c r="K2037" t="s">
        <v>5003</v>
      </c>
      <c r="L2037" t="s">
        <v>6922</v>
      </c>
      <c r="M2037">
        <v>6</v>
      </c>
      <c r="N2037">
        <v>6</v>
      </c>
      <c r="O2037" t="s">
        <v>1036</v>
      </c>
      <c r="P2037" s="17"/>
      <c r="Q2037" s="17" t="str">
        <f>_xlfn.XLOOKUP(Table2[[#This Row],[buyFromVendorNo]],'Next Day Scheduled'!A:A,'Pending Returns'!O:O,"NOT_FOUND")</f>
        <v>NOT_FOUND</v>
      </c>
    </row>
    <row r="2038" spans="1:17" x14ac:dyDescent="0.3">
      <c r="A2038" s="1">
        <v>46210</v>
      </c>
      <c r="B2038" t="s">
        <v>265</v>
      </c>
      <c r="C2038" t="s">
        <v>295</v>
      </c>
      <c r="D2038" t="s">
        <v>345</v>
      </c>
      <c r="E2038" t="s">
        <v>8</v>
      </c>
      <c r="F2038" t="s">
        <v>10</v>
      </c>
      <c r="G2038" s="16">
        <v>474.49997000000002</v>
      </c>
      <c r="H2038" s="16">
        <v>545.67499999999995</v>
      </c>
      <c r="I2038" s="1">
        <v>46184</v>
      </c>
      <c r="J2038">
        <v>49</v>
      </c>
      <c r="K2038" t="s">
        <v>4311</v>
      </c>
      <c r="L2038" t="s">
        <v>6911</v>
      </c>
      <c r="M2038">
        <v>20</v>
      </c>
      <c r="N2038">
        <v>1</v>
      </c>
      <c r="O2038" t="s">
        <v>1036</v>
      </c>
      <c r="P2038" s="17"/>
      <c r="Q2038" s="17" t="str">
        <f>_xlfn.XLOOKUP(Table2[[#This Row],[buyFromVendorNo]],'Next Day Scheduled'!A:A,'Pending Returns'!O:O,"NOT_FOUND")</f>
        <v>NOT_FOUND</v>
      </c>
    </row>
    <row r="2039" spans="1:17" x14ac:dyDescent="0.3">
      <c r="A2039" s="1">
        <v>46210</v>
      </c>
      <c r="B2039" t="s">
        <v>224</v>
      </c>
      <c r="C2039" t="s">
        <v>71</v>
      </c>
      <c r="D2039" t="s">
        <v>72</v>
      </c>
      <c r="E2039" t="s">
        <v>8</v>
      </c>
      <c r="F2039" t="s">
        <v>38</v>
      </c>
      <c r="G2039" s="16">
        <v>2833.36</v>
      </c>
      <c r="H2039" s="16">
        <v>3258.364</v>
      </c>
      <c r="I2039" s="1">
        <v>46209</v>
      </c>
      <c r="J2039">
        <v>49</v>
      </c>
      <c r="K2039" t="s">
        <v>6382</v>
      </c>
      <c r="L2039" t="s">
        <v>6926</v>
      </c>
      <c r="M2039">
        <v>9</v>
      </c>
      <c r="N2039">
        <v>7</v>
      </c>
      <c r="O2039" t="s">
        <v>1036</v>
      </c>
      <c r="P2039" s="17"/>
      <c r="Q2039" s="17" t="str">
        <f>_xlfn.XLOOKUP(Table2[[#This Row],[buyFromVendorNo]],'Next Day Scheduled'!A:A,'Pending Returns'!O:O,"NOT_FOUND")</f>
        <v>Posted Credit Note</v>
      </c>
    </row>
    <row r="2040" spans="1:17" x14ac:dyDescent="0.3">
      <c r="A2040" s="1">
        <v>46210</v>
      </c>
      <c r="B2040" t="s">
        <v>1521</v>
      </c>
      <c r="C2040" t="s">
        <v>1743</v>
      </c>
      <c r="D2040" t="s">
        <v>1744</v>
      </c>
      <c r="E2040" t="s">
        <v>8</v>
      </c>
      <c r="F2040" t="s">
        <v>10</v>
      </c>
      <c r="G2040" s="16">
        <v>18327.224999999999</v>
      </c>
      <c r="H2040" s="16">
        <v>21076.309000000001</v>
      </c>
      <c r="I2040" s="1">
        <v>46193</v>
      </c>
      <c r="J2040">
        <v>49</v>
      </c>
      <c r="K2040" t="s">
        <v>2201</v>
      </c>
      <c r="L2040" t="s">
        <v>6899</v>
      </c>
      <c r="M2040">
        <v>4</v>
      </c>
      <c r="N2040">
        <v>19</v>
      </c>
      <c r="O2040" t="s">
        <v>1036</v>
      </c>
      <c r="P2040" s="17"/>
      <c r="Q2040" s="17" t="str">
        <f>_xlfn.XLOOKUP(Table2[[#This Row],[buyFromVendorNo]],'Next Day Scheduled'!A:A,'Pending Returns'!O:O,"NOT_FOUND")</f>
        <v>NOT_FOUND</v>
      </c>
    </row>
    <row r="2041" spans="1:17" x14ac:dyDescent="0.3">
      <c r="A2041" s="1">
        <v>46210</v>
      </c>
      <c r="B2041" t="s">
        <v>642</v>
      </c>
      <c r="C2041" t="s">
        <v>618</v>
      </c>
      <c r="D2041" t="s">
        <v>6379</v>
      </c>
      <c r="E2041" t="s">
        <v>8</v>
      </c>
      <c r="F2041" t="s">
        <v>38</v>
      </c>
      <c r="G2041" s="16">
        <v>547.98239999999998</v>
      </c>
      <c r="H2041" s="16">
        <v>547.98239999999998</v>
      </c>
      <c r="I2041" s="1">
        <v>46208</v>
      </c>
      <c r="J2041">
        <v>49</v>
      </c>
      <c r="K2041" t="s">
        <v>6716</v>
      </c>
      <c r="L2041" t="s">
        <v>6872</v>
      </c>
      <c r="M2041">
        <v>50</v>
      </c>
      <c r="N2041">
        <v>0</v>
      </c>
      <c r="O2041" t="s">
        <v>1036</v>
      </c>
      <c r="P2041" s="17"/>
      <c r="Q2041" s="17" t="str">
        <f>_xlfn.XLOOKUP(Table2[[#This Row],[buyFromVendorNo]],'Next Day Scheduled'!A:A,'Pending Returns'!O:O,"NOT_FOUND")</f>
        <v>NOT_FOUND</v>
      </c>
    </row>
    <row r="2042" spans="1:17" x14ac:dyDescent="0.3">
      <c r="A2042" s="1">
        <v>46210</v>
      </c>
      <c r="B2042" t="s">
        <v>1098</v>
      </c>
      <c r="C2042" t="s">
        <v>71</v>
      </c>
      <c r="D2042" t="s">
        <v>72</v>
      </c>
      <c r="E2042" t="s">
        <v>8</v>
      </c>
      <c r="F2042" t="s">
        <v>38</v>
      </c>
      <c r="G2042" s="16">
        <v>5194.32</v>
      </c>
      <c r="H2042" s="16">
        <v>5973.4679999999998</v>
      </c>
      <c r="I2042" s="1">
        <v>46209</v>
      </c>
      <c r="J2042">
        <v>49</v>
      </c>
      <c r="K2042" t="s">
        <v>6838</v>
      </c>
      <c r="L2042" t="s">
        <v>6901</v>
      </c>
      <c r="M2042">
        <v>9</v>
      </c>
      <c r="N2042">
        <v>7</v>
      </c>
      <c r="O2042" t="s">
        <v>1036</v>
      </c>
      <c r="P2042" s="17"/>
      <c r="Q2042" s="17" t="str">
        <f>_xlfn.XLOOKUP(Table2[[#This Row],[buyFromVendorNo]],'Next Day Scheduled'!A:A,'Pending Returns'!O:O,"NOT_FOUND")</f>
        <v>Posted Credit Note</v>
      </c>
    </row>
    <row r="2043" spans="1:17" x14ac:dyDescent="0.3">
      <c r="A2043" s="1">
        <v>46210</v>
      </c>
      <c r="B2043" t="s">
        <v>2745</v>
      </c>
      <c r="C2043" t="s">
        <v>613</v>
      </c>
      <c r="D2043" t="s">
        <v>614</v>
      </c>
      <c r="E2043" t="s">
        <v>8</v>
      </c>
      <c r="F2043" t="s">
        <v>10</v>
      </c>
      <c r="G2043" s="16">
        <v>711.45</v>
      </c>
      <c r="H2043" s="16">
        <v>818.16750000000002</v>
      </c>
      <c r="J2043">
        <v>49</v>
      </c>
      <c r="K2043" t="s">
        <v>6927</v>
      </c>
      <c r="M2043">
        <v>5</v>
      </c>
      <c r="N2043">
        <v>2</v>
      </c>
      <c r="O2043" t="s">
        <v>216</v>
      </c>
      <c r="P2043" s="17"/>
      <c r="Q2043" s="17" t="str">
        <f>_xlfn.XLOOKUP(Table2[[#This Row],[buyFromVendorNo]],'Next Day Scheduled'!A:A,'Pending Returns'!O:O,"NOT_FOUND")</f>
        <v>NOT_FOUND</v>
      </c>
    </row>
    <row r="2044" spans="1:17" x14ac:dyDescent="0.3">
      <c r="A2044" s="1">
        <v>46210</v>
      </c>
      <c r="B2044" t="s">
        <v>1889</v>
      </c>
      <c r="C2044" t="s">
        <v>850</v>
      </c>
      <c r="D2044" t="s">
        <v>851</v>
      </c>
      <c r="E2044" t="s">
        <v>8</v>
      </c>
      <c r="F2044" t="s">
        <v>10</v>
      </c>
      <c r="G2044" s="16">
        <v>855</v>
      </c>
      <c r="H2044" s="16">
        <v>983.25</v>
      </c>
      <c r="I2044" s="1">
        <v>46203</v>
      </c>
      <c r="J2044">
        <v>49</v>
      </c>
      <c r="K2044" t="s">
        <v>4941</v>
      </c>
      <c r="L2044" t="s">
        <v>6907</v>
      </c>
      <c r="M2044">
        <v>7</v>
      </c>
      <c r="N2044">
        <v>1</v>
      </c>
      <c r="O2044" t="s">
        <v>1036</v>
      </c>
      <c r="P2044" s="17"/>
      <c r="Q2044" s="17" t="str">
        <f>_xlfn.XLOOKUP(Table2[[#This Row],[buyFromVendorNo]],'Next Day Scheduled'!A:A,'Pending Returns'!O:O,"NOT_FOUND")</f>
        <v>NOT_FOUND</v>
      </c>
    </row>
    <row r="2045" spans="1:17" x14ac:dyDescent="0.3">
      <c r="A2045" s="1">
        <v>46210</v>
      </c>
      <c r="B2045" t="s">
        <v>5609</v>
      </c>
      <c r="C2045" t="s">
        <v>34</v>
      </c>
      <c r="D2045" t="s">
        <v>35</v>
      </c>
      <c r="E2045" t="s">
        <v>8</v>
      </c>
      <c r="F2045" t="s">
        <v>169</v>
      </c>
      <c r="G2045" s="16">
        <v>12641.4</v>
      </c>
      <c r="H2045" s="16">
        <v>14537.61</v>
      </c>
      <c r="I2045" s="1">
        <v>46200</v>
      </c>
      <c r="J2045">
        <v>49</v>
      </c>
      <c r="K2045" t="s">
        <v>5589</v>
      </c>
      <c r="L2045" t="s">
        <v>6909</v>
      </c>
      <c r="M2045">
        <v>5</v>
      </c>
      <c r="N2045">
        <v>3</v>
      </c>
      <c r="O2045" t="s">
        <v>1036</v>
      </c>
      <c r="P2045" s="17"/>
      <c r="Q2045" s="17" t="str">
        <f>_xlfn.XLOOKUP(Table2[[#This Row],[buyFromVendorNo]],'Next Day Scheduled'!A:A,'Pending Returns'!O:O,"NOT_FOUND")</f>
        <v>Posted Credit Note</v>
      </c>
    </row>
    <row r="2046" spans="1:17" x14ac:dyDescent="0.3">
      <c r="A2046" s="1">
        <v>46210</v>
      </c>
      <c r="B2046" t="s">
        <v>2725</v>
      </c>
      <c r="C2046" t="s">
        <v>943</v>
      </c>
      <c r="D2046" t="s">
        <v>944</v>
      </c>
      <c r="E2046" t="s">
        <v>8</v>
      </c>
      <c r="F2046" t="s">
        <v>10</v>
      </c>
      <c r="G2046" s="16">
        <v>67.632499999999993</v>
      </c>
      <c r="H2046" s="16">
        <v>77.777379999999994</v>
      </c>
      <c r="I2046" s="1">
        <v>46194</v>
      </c>
      <c r="J2046">
        <v>49</v>
      </c>
      <c r="K2046" t="s">
        <v>5521</v>
      </c>
      <c r="L2046" t="s">
        <v>6910</v>
      </c>
      <c r="M2046">
        <v>2</v>
      </c>
      <c r="N2046">
        <v>23</v>
      </c>
      <c r="O2046" t="s">
        <v>1036</v>
      </c>
      <c r="P2046" s="17"/>
      <c r="Q2046" s="17" t="str">
        <f>_xlfn.XLOOKUP(Table2[[#This Row],[buyFromVendorNo]],'Next Day Scheduled'!A:A,'Pending Returns'!O:O,"NOT_FOUND")</f>
        <v>NOT_FOUND</v>
      </c>
    </row>
    <row r="2047" spans="1:17" x14ac:dyDescent="0.3">
      <c r="A2047" s="1">
        <v>46210</v>
      </c>
      <c r="B2047" t="s">
        <v>3775</v>
      </c>
      <c r="C2047" t="s">
        <v>841</v>
      </c>
      <c r="D2047" t="s">
        <v>842</v>
      </c>
      <c r="E2047" t="s">
        <v>8</v>
      </c>
      <c r="F2047" t="s">
        <v>10</v>
      </c>
      <c r="G2047" s="16">
        <v>40</v>
      </c>
      <c r="H2047" s="16">
        <v>46</v>
      </c>
      <c r="I2047" s="1">
        <v>46190</v>
      </c>
      <c r="J2047">
        <v>49</v>
      </c>
      <c r="K2047" t="s">
        <v>4851</v>
      </c>
      <c r="L2047" t="s">
        <v>6925</v>
      </c>
      <c r="M2047">
        <v>7</v>
      </c>
      <c r="N2047">
        <v>9</v>
      </c>
      <c r="O2047" t="s">
        <v>1036</v>
      </c>
      <c r="P2047" s="17"/>
      <c r="Q2047" s="17" t="str">
        <f>_xlfn.XLOOKUP(Table2[[#This Row],[buyFromVendorNo]],'Next Day Scheduled'!A:A,'Pending Returns'!O:O,"NOT_FOUND")</f>
        <v>Posted Credit Note</v>
      </c>
    </row>
    <row r="2048" spans="1:17" x14ac:dyDescent="0.3">
      <c r="A2048" s="1">
        <v>46210</v>
      </c>
      <c r="B2048" t="s">
        <v>674</v>
      </c>
      <c r="C2048" t="s">
        <v>633</v>
      </c>
      <c r="D2048" t="s">
        <v>690</v>
      </c>
      <c r="E2048" t="s">
        <v>8</v>
      </c>
      <c r="F2048" t="s">
        <v>10</v>
      </c>
      <c r="G2048" s="16">
        <v>1724.4875</v>
      </c>
      <c r="H2048" s="16">
        <v>1983.1605999999999</v>
      </c>
      <c r="I2048" s="1">
        <v>46193</v>
      </c>
      <c r="J2048">
        <v>49</v>
      </c>
      <c r="K2048" t="s">
        <v>5012</v>
      </c>
      <c r="L2048" t="s">
        <v>6897</v>
      </c>
      <c r="M2048">
        <v>7</v>
      </c>
      <c r="N2048">
        <v>6</v>
      </c>
      <c r="O2048" t="s">
        <v>1036</v>
      </c>
      <c r="P2048" s="17"/>
      <c r="Q2048" s="17" t="str">
        <f>_xlfn.XLOOKUP(Table2[[#This Row],[buyFromVendorNo]],'Next Day Scheduled'!A:A,'Pending Returns'!O:O,"NOT_FOUND")</f>
        <v>NOT_FOUND</v>
      </c>
    </row>
    <row r="2049" spans="1:17" x14ac:dyDescent="0.3">
      <c r="A2049" s="1">
        <v>46210</v>
      </c>
      <c r="B2049" t="s">
        <v>3366</v>
      </c>
      <c r="C2049" t="s">
        <v>109</v>
      </c>
      <c r="D2049" t="s">
        <v>110</v>
      </c>
      <c r="E2049" t="s">
        <v>8</v>
      </c>
      <c r="F2049" t="s">
        <v>10</v>
      </c>
      <c r="G2049" s="16">
        <v>330</v>
      </c>
      <c r="H2049" s="16">
        <v>379.5</v>
      </c>
      <c r="I2049" s="1">
        <v>46195</v>
      </c>
      <c r="J2049">
        <v>49</v>
      </c>
      <c r="K2049" t="s">
        <v>4429</v>
      </c>
      <c r="L2049" t="s">
        <v>6898</v>
      </c>
      <c r="M2049">
        <v>5</v>
      </c>
      <c r="N2049">
        <v>7</v>
      </c>
      <c r="O2049" t="s">
        <v>1036</v>
      </c>
      <c r="P2049" s="17"/>
      <c r="Q2049" s="17" t="str">
        <f>_xlfn.XLOOKUP(Table2[[#This Row],[buyFromVendorNo]],'Next Day Scheduled'!A:A,'Pending Returns'!O:O,"NOT_FOUND")</f>
        <v>NOT_FOUND</v>
      </c>
    </row>
    <row r="2050" spans="1:17" x14ac:dyDescent="0.3">
      <c r="A2050" s="1">
        <v>46210</v>
      </c>
      <c r="B2050" t="s">
        <v>5750</v>
      </c>
      <c r="C2050" t="s">
        <v>109</v>
      </c>
      <c r="D2050" t="s">
        <v>110</v>
      </c>
      <c r="E2050" t="s">
        <v>8</v>
      </c>
      <c r="F2050" t="s">
        <v>10</v>
      </c>
      <c r="G2050" s="16">
        <v>546.6</v>
      </c>
      <c r="H2050" s="16">
        <v>628.59</v>
      </c>
      <c r="I2050" s="1">
        <v>46195</v>
      </c>
      <c r="J2050">
        <v>49</v>
      </c>
      <c r="K2050" t="s">
        <v>5500</v>
      </c>
      <c r="L2050" t="s">
        <v>6892</v>
      </c>
      <c r="M2050">
        <v>5</v>
      </c>
      <c r="N2050">
        <v>7</v>
      </c>
      <c r="O2050" t="s">
        <v>1036</v>
      </c>
      <c r="P2050" s="17"/>
      <c r="Q2050" s="17" t="str">
        <f>_xlfn.XLOOKUP(Table2[[#This Row],[buyFromVendorNo]],'Next Day Scheduled'!A:A,'Pending Returns'!O:O,"NOT_FOUND")</f>
        <v>NOT_FOUND</v>
      </c>
    </row>
    <row r="2051" spans="1:17" x14ac:dyDescent="0.3">
      <c r="A2051" s="1">
        <v>46211</v>
      </c>
      <c r="B2051" t="s">
        <v>2868</v>
      </c>
      <c r="C2051" t="s">
        <v>839</v>
      </c>
      <c r="D2051" t="s">
        <v>840</v>
      </c>
      <c r="E2051" t="s">
        <v>8</v>
      </c>
      <c r="F2051" t="s">
        <v>10</v>
      </c>
      <c r="G2051" s="16">
        <v>363.45</v>
      </c>
      <c r="H2051" s="16">
        <v>417.96749999999997</v>
      </c>
      <c r="I2051" s="1">
        <v>46208</v>
      </c>
      <c r="J2051">
        <v>48</v>
      </c>
      <c r="K2051" t="s">
        <v>6558</v>
      </c>
      <c r="L2051" t="s">
        <v>6935</v>
      </c>
      <c r="M2051">
        <v>7</v>
      </c>
      <c r="N2051">
        <v>2</v>
      </c>
      <c r="O2051" t="s">
        <v>1036</v>
      </c>
      <c r="P2051" s="17"/>
      <c r="Q2051" s="17" t="str">
        <f>_xlfn.XLOOKUP(Table2[[#This Row],[buyFromVendorNo]],'Next Day Scheduled'!A:A,'Pending Returns'!O:O,"NOT_FOUND")</f>
        <v>NOT_FOUND</v>
      </c>
    </row>
    <row r="2052" spans="1:17" x14ac:dyDescent="0.3">
      <c r="A2052" s="1">
        <v>46211</v>
      </c>
      <c r="B2052" t="s">
        <v>2202</v>
      </c>
      <c r="C2052" t="s">
        <v>57</v>
      </c>
      <c r="D2052" t="s">
        <v>58</v>
      </c>
      <c r="E2052" t="s">
        <v>8</v>
      </c>
      <c r="F2052" t="s">
        <v>10</v>
      </c>
      <c r="G2052" s="16">
        <v>90</v>
      </c>
      <c r="H2052" s="16">
        <v>103.5</v>
      </c>
      <c r="I2052" s="1">
        <v>46210</v>
      </c>
      <c r="J2052">
        <v>48</v>
      </c>
      <c r="K2052" t="s">
        <v>5531</v>
      </c>
      <c r="L2052" t="s">
        <v>6936</v>
      </c>
      <c r="M2052">
        <v>5</v>
      </c>
      <c r="N2052">
        <v>8</v>
      </c>
      <c r="O2052" t="s">
        <v>1036</v>
      </c>
      <c r="P2052" s="17"/>
      <c r="Q2052" s="17" t="str">
        <f>_xlfn.XLOOKUP(Table2[[#This Row],[buyFromVendorNo]],'Next Day Scheduled'!A:A,'Pending Returns'!O:O,"NOT_FOUND")</f>
        <v>Posted Credit Note</v>
      </c>
    </row>
    <row r="2053" spans="1:17" x14ac:dyDescent="0.3">
      <c r="A2053" s="1">
        <v>46211</v>
      </c>
      <c r="B2053" t="s">
        <v>3564</v>
      </c>
      <c r="C2053" t="s">
        <v>3565</v>
      </c>
      <c r="D2053" t="s">
        <v>3566</v>
      </c>
      <c r="E2053" t="s">
        <v>8</v>
      </c>
      <c r="F2053" t="s">
        <v>10</v>
      </c>
      <c r="G2053" s="16">
        <v>5964</v>
      </c>
      <c r="H2053" s="16">
        <v>6858.6</v>
      </c>
      <c r="I2053" s="1">
        <v>46194</v>
      </c>
      <c r="J2053">
        <v>48</v>
      </c>
      <c r="K2053" t="s">
        <v>3567</v>
      </c>
      <c r="L2053" t="s">
        <v>6937</v>
      </c>
      <c r="M2053">
        <v>0</v>
      </c>
      <c r="N2053">
        <v>199</v>
      </c>
      <c r="O2053" t="s">
        <v>1036</v>
      </c>
      <c r="P2053" s="17"/>
      <c r="Q2053" s="17" t="str">
        <f>_xlfn.XLOOKUP(Table2[[#This Row],[buyFromVendorNo]],'Next Day Scheduled'!A:A,'Pending Returns'!O:O,"NOT_FOUND")</f>
        <v>NOT_FOUND</v>
      </c>
    </row>
    <row r="2054" spans="1:17" x14ac:dyDescent="0.3">
      <c r="A2054" s="1">
        <v>46211</v>
      </c>
      <c r="B2054" t="s">
        <v>231</v>
      </c>
      <c r="C2054" t="s">
        <v>5059</v>
      </c>
      <c r="D2054" t="s">
        <v>5156</v>
      </c>
      <c r="E2054" t="s">
        <v>8</v>
      </c>
      <c r="F2054" t="s">
        <v>10</v>
      </c>
      <c r="G2054" s="16">
        <v>649.58410000000003</v>
      </c>
      <c r="H2054" s="16">
        <v>747.02170000000001</v>
      </c>
      <c r="I2054" s="1">
        <v>46207</v>
      </c>
      <c r="J2054">
        <v>48</v>
      </c>
      <c r="K2054" t="s">
        <v>5440</v>
      </c>
      <c r="L2054" t="s">
        <v>6953</v>
      </c>
      <c r="M2054">
        <v>6</v>
      </c>
      <c r="N2054">
        <v>2</v>
      </c>
      <c r="O2054" t="s">
        <v>1036</v>
      </c>
      <c r="P2054" s="17"/>
      <c r="Q2054" s="17" t="str">
        <f>_xlfn.XLOOKUP(Table2[[#This Row],[buyFromVendorNo]],'Next Day Scheduled'!A:A,'Pending Returns'!O:O,"NOT_FOUND")</f>
        <v>NOT_FOUND</v>
      </c>
    </row>
    <row r="2055" spans="1:17" x14ac:dyDescent="0.3">
      <c r="A2055" s="1">
        <v>46211</v>
      </c>
      <c r="B2055" t="s">
        <v>3901</v>
      </c>
      <c r="C2055" t="s">
        <v>633</v>
      </c>
      <c r="D2055" t="s">
        <v>690</v>
      </c>
      <c r="E2055" t="s">
        <v>8</v>
      </c>
      <c r="F2055" t="s">
        <v>10</v>
      </c>
      <c r="G2055" s="16">
        <v>292.95999999999998</v>
      </c>
      <c r="H2055" s="16">
        <v>336.904</v>
      </c>
      <c r="I2055" s="1">
        <v>46193</v>
      </c>
      <c r="J2055">
        <v>48</v>
      </c>
      <c r="K2055" t="s">
        <v>4132</v>
      </c>
      <c r="L2055" t="s">
        <v>6954</v>
      </c>
      <c r="M2055">
        <v>7</v>
      </c>
      <c r="N2055">
        <v>6</v>
      </c>
      <c r="O2055" t="s">
        <v>1036</v>
      </c>
      <c r="P2055" s="17"/>
      <c r="Q2055" s="17" t="str">
        <f>_xlfn.XLOOKUP(Table2[[#This Row],[buyFromVendorNo]],'Next Day Scheduled'!A:A,'Pending Returns'!O:O,"NOT_FOUND")</f>
        <v>NOT_FOUND</v>
      </c>
    </row>
    <row r="2056" spans="1:17" x14ac:dyDescent="0.3">
      <c r="A2056" s="1">
        <v>46211</v>
      </c>
      <c r="B2056" t="s">
        <v>4173</v>
      </c>
      <c r="C2056" t="s">
        <v>141</v>
      </c>
      <c r="D2056" t="s">
        <v>142</v>
      </c>
      <c r="E2056" t="s">
        <v>8</v>
      </c>
      <c r="F2056" t="s">
        <v>10</v>
      </c>
      <c r="G2056" s="16">
        <v>962.51</v>
      </c>
      <c r="H2056" s="16">
        <v>1106.8865000000001</v>
      </c>
      <c r="I2056" s="1">
        <v>46191</v>
      </c>
      <c r="J2056">
        <v>48</v>
      </c>
      <c r="K2056" t="s">
        <v>5035</v>
      </c>
      <c r="L2056" t="s">
        <v>6957</v>
      </c>
      <c r="M2056">
        <v>6</v>
      </c>
      <c r="N2056">
        <v>6</v>
      </c>
      <c r="O2056" t="s">
        <v>1036</v>
      </c>
      <c r="P2056" s="17"/>
      <c r="Q2056" s="17" t="str">
        <f>_xlfn.XLOOKUP(Table2[[#This Row],[buyFromVendorNo]],'Next Day Scheduled'!A:A,'Pending Returns'!O:O,"NOT_FOUND")</f>
        <v>NOT_FOUND</v>
      </c>
    </row>
    <row r="2057" spans="1:17" x14ac:dyDescent="0.3">
      <c r="A2057" s="1">
        <v>46211</v>
      </c>
      <c r="B2057" t="s">
        <v>4096</v>
      </c>
      <c r="C2057" t="s">
        <v>1161</v>
      </c>
      <c r="D2057" t="s">
        <v>1162</v>
      </c>
      <c r="E2057" t="s">
        <v>8</v>
      </c>
      <c r="F2057" t="s">
        <v>10</v>
      </c>
      <c r="G2057" s="16">
        <v>1132.6600000000001</v>
      </c>
      <c r="H2057" s="16">
        <v>1302.559</v>
      </c>
      <c r="I2057" s="1">
        <v>46210</v>
      </c>
      <c r="J2057">
        <v>48</v>
      </c>
      <c r="K2057" t="s">
        <v>6725</v>
      </c>
      <c r="L2057" t="s">
        <v>6956</v>
      </c>
      <c r="M2057">
        <v>7</v>
      </c>
      <c r="N2057">
        <v>6</v>
      </c>
      <c r="O2057" t="s">
        <v>1036</v>
      </c>
      <c r="P2057" s="17"/>
      <c r="Q2057" s="17" t="str">
        <f>_xlfn.XLOOKUP(Table2[[#This Row],[buyFromVendorNo]],'Next Day Scheduled'!A:A,'Pending Returns'!O:O,"NOT_FOUND")</f>
        <v>NOT_FOUND</v>
      </c>
    </row>
    <row r="2058" spans="1:17" x14ac:dyDescent="0.3">
      <c r="A2058" s="1">
        <v>46211</v>
      </c>
      <c r="B2058" t="s">
        <v>6219</v>
      </c>
      <c r="C2058" t="s">
        <v>65</v>
      </c>
      <c r="D2058" t="s">
        <v>66</v>
      </c>
      <c r="E2058" t="s">
        <v>8</v>
      </c>
      <c r="F2058" t="s">
        <v>10</v>
      </c>
      <c r="G2058" s="16">
        <v>5068.0190000000002</v>
      </c>
      <c r="H2058" s="16">
        <v>5828.2219999999998</v>
      </c>
      <c r="I2058" s="1">
        <v>46211</v>
      </c>
      <c r="J2058">
        <v>48</v>
      </c>
      <c r="K2058" t="s">
        <v>6220</v>
      </c>
      <c r="L2058" t="s">
        <v>6969</v>
      </c>
      <c r="M2058">
        <v>18</v>
      </c>
      <c r="N2058">
        <v>5</v>
      </c>
      <c r="O2058" t="s">
        <v>1036</v>
      </c>
      <c r="P2058" s="17"/>
      <c r="Q2058" s="17" t="str">
        <f>_xlfn.XLOOKUP(Table2[[#This Row],[buyFromVendorNo]],'Next Day Scheduled'!A:A,'Pending Returns'!O:O,"NOT_FOUND")</f>
        <v>Posted Credit Note</v>
      </c>
    </row>
    <row r="2059" spans="1:17" x14ac:dyDescent="0.3">
      <c r="A2059" s="1">
        <v>46211</v>
      </c>
      <c r="B2059" t="s">
        <v>1390</v>
      </c>
      <c r="C2059" t="s">
        <v>34</v>
      </c>
      <c r="D2059" t="s">
        <v>35</v>
      </c>
      <c r="E2059" t="s">
        <v>8</v>
      </c>
      <c r="F2059" t="s">
        <v>10</v>
      </c>
      <c r="G2059" s="16">
        <v>4694.6000000000004</v>
      </c>
      <c r="H2059" s="16">
        <v>5398.79</v>
      </c>
      <c r="I2059" s="1">
        <v>46205</v>
      </c>
      <c r="J2059">
        <v>48</v>
      </c>
      <c r="K2059" t="s">
        <v>4979</v>
      </c>
      <c r="L2059" t="s">
        <v>6942</v>
      </c>
      <c r="M2059">
        <v>9</v>
      </c>
      <c r="N2059">
        <v>8</v>
      </c>
      <c r="O2059" t="s">
        <v>1036</v>
      </c>
      <c r="P2059" s="17"/>
      <c r="Q2059" s="17" t="str">
        <f>_xlfn.XLOOKUP(Table2[[#This Row],[buyFromVendorNo]],'Next Day Scheduled'!A:A,'Pending Returns'!O:O,"NOT_FOUND")</f>
        <v>Posted Credit Note</v>
      </c>
    </row>
    <row r="2060" spans="1:17" x14ac:dyDescent="0.3">
      <c r="A2060" s="1">
        <v>46211</v>
      </c>
      <c r="B2060" t="s">
        <v>607</v>
      </c>
      <c r="C2060" t="s">
        <v>118</v>
      </c>
      <c r="D2060" t="s">
        <v>119</v>
      </c>
      <c r="E2060" t="s">
        <v>8</v>
      </c>
      <c r="F2060" t="s">
        <v>10</v>
      </c>
      <c r="G2060" s="16">
        <v>69.5</v>
      </c>
      <c r="H2060" s="16">
        <v>79.924999999999997</v>
      </c>
      <c r="I2060" s="1">
        <v>46211</v>
      </c>
      <c r="J2060">
        <v>48</v>
      </c>
      <c r="K2060" t="s">
        <v>5572</v>
      </c>
      <c r="L2060" t="s">
        <v>6973</v>
      </c>
      <c r="M2060">
        <v>12</v>
      </c>
      <c r="N2060">
        <v>5</v>
      </c>
      <c r="O2060" t="s">
        <v>1036</v>
      </c>
      <c r="P2060" s="17"/>
      <c r="Q2060" s="17" t="str">
        <f>_xlfn.XLOOKUP(Table2[[#This Row],[buyFromVendorNo]],'Next Day Scheduled'!A:A,'Pending Returns'!O:O,"NOT_FOUND")</f>
        <v>Posted Credit Note</v>
      </c>
    </row>
    <row r="2061" spans="1:17" x14ac:dyDescent="0.3">
      <c r="A2061" s="1">
        <v>46211</v>
      </c>
      <c r="B2061" t="s">
        <v>390</v>
      </c>
      <c r="C2061" t="s">
        <v>253</v>
      </c>
      <c r="D2061" t="s">
        <v>254</v>
      </c>
      <c r="E2061" t="s">
        <v>8</v>
      </c>
      <c r="F2061" t="s">
        <v>38</v>
      </c>
      <c r="G2061" s="16">
        <v>34.17</v>
      </c>
      <c r="H2061" s="16">
        <v>39.295499999999997</v>
      </c>
      <c r="J2061">
        <v>48</v>
      </c>
      <c r="K2061" t="s">
        <v>6982</v>
      </c>
      <c r="M2061">
        <v>0</v>
      </c>
      <c r="N2061">
        <v>313</v>
      </c>
      <c r="O2061" t="s">
        <v>216</v>
      </c>
      <c r="P2061" s="17"/>
      <c r="Q2061" s="17" t="str">
        <f>_xlfn.XLOOKUP(Table2[[#This Row],[buyFromVendorNo]],'Next Day Scheduled'!A:A,'Pending Returns'!O:O,"NOT_FOUND")</f>
        <v>NOT_FOUND</v>
      </c>
    </row>
    <row r="2062" spans="1:17" x14ac:dyDescent="0.3">
      <c r="A2062" s="1">
        <v>46211</v>
      </c>
      <c r="B2062" t="s">
        <v>555</v>
      </c>
      <c r="C2062" t="s">
        <v>618</v>
      </c>
      <c r="D2062" t="s">
        <v>6379</v>
      </c>
      <c r="E2062" t="s">
        <v>8</v>
      </c>
      <c r="F2062" t="s">
        <v>38</v>
      </c>
      <c r="G2062" s="16">
        <v>4337.8647000000001</v>
      </c>
      <c r="H2062" s="16">
        <v>4337.8647000000001</v>
      </c>
      <c r="I2062" s="1">
        <v>46209</v>
      </c>
      <c r="J2062">
        <v>48</v>
      </c>
      <c r="K2062" t="s">
        <v>6765</v>
      </c>
      <c r="L2062" t="s">
        <v>6965</v>
      </c>
      <c r="M2062">
        <v>49</v>
      </c>
      <c r="N2062">
        <v>0</v>
      </c>
      <c r="O2062" t="s">
        <v>1036</v>
      </c>
      <c r="P2062" s="17"/>
      <c r="Q2062" s="17" t="str">
        <f>_xlfn.XLOOKUP(Table2[[#This Row],[buyFromVendorNo]],'Next Day Scheduled'!A:A,'Pending Returns'!O:O,"NOT_FOUND")</f>
        <v>NOT_FOUND</v>
      </c>
    </row>
    <row r="2063" spans="1:17" x14ac:dyDescent="0.3">
      <c r="A2063" s="1">
        <v>46211</v>
      </c>
      <c r="B2063" t="s">
        <v>2527</v>
      </c>
      <c r="C2063" t="s">
        <v>562</v>
      </c>
      <c r="D2063" t="s">
        <v>563</v>
      </c>
      <c r="E2063" t="s">
        <v>8</v>
      </c>
      <c r="F2063" t="s">
        <v>38</v>
      </c>
      <c r="G2063" s="16">
        <v>764.21749999999997</v>
      </c>
      <c r="H2063" s="16">
        <v>878.85015999999996</v>
      </c>
      <c r="I2063" s="1">
        <v>46210</v>
      </c>
      <c r="J2063">
        <v>48</v>
      </c>
      <c r="K2063" t="s">
        <v>6534</v>
      </c>
      <c r="L2063" t="s">
        <v>6984</v>
      </c>
      <c r="M2063">
        <v>15</v>
      </c>
      <c r="N2063">
        <v>23</v>
      </c>
      <c r="O2063" t="s">
        <v>1036</v>
      </c>
      <c r="P2063" s="17"/>
      <c r="Q2063" s="17" t="str">
        <f>_xlfn.XLOOKUP(Table2[[#This Row],[buyFromVendorNo]],'Next Day Scheduled'!A:A,'Pending Returns'!O:O,"NOT_FOUND")</f>
        <v>NOT_FOUND</v>
      </c>
    </row>
    <row r="2064" spans="1:17" x14ac:dyDescent="0.3">
      <c r="A2064" s="1">
        <v>46211</v>
      </c>
      <c r="B2064" t="s">
        <v>551</v>
      </c>
      <c r="C2064" t="s">
        <v>562</v>
      </c>
      <c r="D2064" t="s">
        <v>563</v>
      </c>
      <c r="E2064" t="s">
        <v>8</v>
      </c>
      <c r="F2064" t="s">
        <v>38</v>
      </c>
      <c r="G2064" s="16">
        <v>2709.2840000000001</v>
      </c>
      <c r="H2064" s="16">
        <v>3115.6765</v>
      </c>
      <c r="I2064" s="1">
        <v>46210</v>
      </c>
      <c r="J2064">
        <v>48</v>
      </c>
      <c r="K2064" t="s">
        <v>2552</v>
      </c>
      <c r="L2064" t="s">
        <v>6985</v>
      </c>
      <c r="M2064">
        <v>15</v>
      </c>
      <c r="N2064">
        <v>23</v>
      </c>
      <c r="O2064" t="s">
        <v>1036</v>
      </c>
      <c r="P2064" s="17"/>
      <c r="Q2064" s="17" t="str">
        <f>_xlfn.XLOOKUP(Table2[[#This Row],[buyFromVendorNo]],'Next Day Scheduled'!A:A,'Pending Returns'!O:O,"NOT_FOUND")</f>
        <v>NOT_FOUND</v>
      </c>
    </row>
    <row r="2065" spans="1:17" x14ac:dyDescent="0.3">
      <c r="A2065" s="1">
        <v>46211</v>
      </c>
      <c r="B2065" t="s">
        <v>2718</v>
      </c>
      <c r="C2065" t="s">
        <v>632</v>
      </c>
      <c r="D2065" t="s">
        <v>682</v>
      </c>
      <c r="E2065" t="s">
        <v>8</v>
      </c>
      <c r="F2065" t="s">
        <v>10</v>
      </c>
      <c r="G2065" s="16">
        <v>154</v>
      </c>
      <c r="H2065" s="16">
        <v>177.1</v>
      </c>
      <c r="I2065" s="1">
        <v>46197</v>
      </c>
      <c r="J2065">
        <v>48</v>
      </c>
      <c r="K2065" t="s">
        <v>5526</v>
      </c>
      <c r="L2065" t="s">
        <v>6966</v>
      </c>
      <c r="M2065">
        <v>7</v>
      </c>
      <c r="N2065">
        <v>1</v>
      </c>
      <c r="O2065" t="s">
        <v>1036</v>
      </c>
      <c r="P2065" s="17"/>
      <c r="Q2065" s="17" t="str">
        <f>_xlfn.XLOOKUP(Table2[[#This Row],[buyFromVendorNo]],'Next Day Scheduled'!A:A,'Pending Returns'!O:O,"NOT_FOUND")</f>
        <v>NOT_FOUND</v>
      </c>
    </row>
    <row r="2066" spans="1:17" x14ac:dyDescent="0.3">
      <c r="A2066" s="1">
        <v>46211</v>
      </c>
      <c r="B2066" t="s">
        <v>2172</v>
      </c>
      <c r="C2066" t="s">
        <v>51</v>
      </c>
      <c r="D2066" t="s">
        <v>52</v>
      </c>
      <c r="E2066" t="s">
        <v>8</v>
      </c>
      <c r="F2066" t="s">
        <v>10</v>
      </c>
      <c r="G2066" s="16">
        <v>3848.36</v>
      </c>
      <c r="H2066" s="16">
        <v>4425.6139999999996</v>
      </c>
      <c r="J2066">
        <v>48</v>
      </c>
      <c r="K2066" t="s">
        <v>6987</v>
      </c>
      <c r="M2066">
        <v>3</v>
      </c>
      <c r="N2066">
        <v>1</v>
      </c>
      <c r="O2066" t="s">
        <v>216</v>
      </c>
      <c r="P2066" s="17"/>
      <c r="Q2066" s="17" t="str">
        <f>_xlfn.XLOOKUP(Table2[[#This Row],[buyFromVendorNo]],'Next Day Scheduled'!A:A,'Pending Returns'!O:O,"NOT_FOUND")</f>
        <v>NOT_FOUND</v>
      </c>
    </row>
    <row r="2067" spans="1:17" x14ac:dyDescent="0.3">
      <c r="A2067" s="1">
        <v>46211</v>
      </c>
      <c r="B2067" t="s">
        <v>4069</v>
      </c>
      <c r="C2067" t="s">
        <v>93</v>
      </c>
      <c r="D2067" t="s">
        <v>94</v>
      </c>
      <c r="E2067" t="s">
        <v>8</v>
      </c>
      <c r="F2067" t="s">
        <v>38</v>
      </c>
      <c r="G2067" s="16">
        <v>5583.3459999999995</v>
      </c>
      <c r="H2067" s="16">
        <v>6420.8477000000003</v>
      </c>
      <c r="I2067" s="1">
        <v>46199</v>
      </c>
      <c r="J2067">
        <v>48</v>
      </c>
      <c r="K2067" t="s">
        <v>4070</v>
      </c>
      <c r="L2067" t="s">
        <v>6949</v>
      </c>
      <c r="M2067">
        <v>5</v>
      </c>
      <c r="N2067">
        <v>6</v>
      </c>
      <c r="O2067" t="s">
        <v>1036</v>
      </c>
      <c r="P2067" s="17"/>
      <c r="Q2067" s="17" t="str">
        <f>_xlfn.XLOOKUP(Table2[[#This Row],[buyFromVendorNo]],'Next Day Scheduled'!A:A,'Pending Returns'!O:O,"NOT_FOUND")</f>
        <v>Posted Credit Note</v>
      </c>
    </row>
    <row r="2068" spans="1:17" x14ac:dyDescent="0.3">
      <c r="A2068" s="1">
        <v>46211</v>
      </c>
      <c r="B2068" t="s">
        <v>5600</v>
      </c>
      <c r="C2068" t="s">
        <v>632</v>
      </c>
      <c r="D2068" t="s">
        <v>682</v>
      </c>
      <c r="E2068" t="s">
        <v>8</v>
      </c>
      <c r="F2068" t="s">
        <v>10</v>
      </c>
      <c r="G2068" s="16">
        <v>58.65</v>
      </c>
      <c r="H2068" s="16">
        <v>67.447500000000005</v>
      </c>
      <c r="I2068" s="1">
        <v>46197</v>
      </c>
      <c r="J2068">
        <v>48</v>
      </c>
      <c r="K2068" t="s">
        <v>5565</v>
      </c>
      <c r="L2068" t="s">
        <v>6979</v>
      </c>
      <c r="M2068">
        <v>7</v>
      </c>
      <c r="N2068">
        <v>1</v>
      </c>
      <c r="O2068" t="s">
        <v>1036</v>
      </c>
      <c r="P2068" s="17"/>
      <c r="Q2068" s="17" t="str">
        <f>_xlfn.XLOOKUP(Table2[[#This Row],[buyFromVendorNo]],'Next Day Scheduled'!A:A,'Pending Returns'!O:O,"NOT_FOUND")</f>
        <v>NOT_FOUND</v>
      </c>
    </row>
    <row r="2069" spans="1:17" x14ac:dyDescent="0.3">
      <c r="A2069" s="1">
        <v>46211</v>
      </c>
      <c r="B2069" t="s">
        <v>2387</v>
      </c>
      <c r="C2069" t="s">
        <v>49</v>
      </c>
      <c r="D2069" t="s">
        <v>50</v>
      </c>
      <c r="E2069" t="s">
        <v>8</v>
      </c>
      <c r="F2069" t="s">
        <v>10</v>
      </c>
      <c r="G2069" s="16">
        <v>132.12</v>
      </c>
      <c r="H2069" s="16">
        <v>151.93799999999999</v>
      </c>
      <c r="I2069" s="1">
        <v>46203</v>
      </c>
      <c r="J2069">
        <v>48</v>
      </c>
      <c r="K2069" t="s">
        <v>5406</v>
      </c>
      <c r="L2069" t="s">
        <v>6980</v>
      </c>
      <c r="M2069">
        <v>4</v>
      </c>
      <c r="N2069">
        <v>15</v>
      </c>
      <c r="O2069" t="s">
        <v>1036</v>
      </c>
      <c r="P2069" s="17"/>
      <c r="Q2069" s="17" t="str">
        <f>_xlfn.XLOOKUP(Table2[[#This Row],[buyFromVendorNo]],'Next Day Scheduled'!A:A,'Pending Returns'!O:O,"NOT_FOUND")</f>
        <v>NOT_FOUND</v>
      </c>
    </row>
    <row r="2070" spans="1:17" x14ac:dyDescent="0.3">
      <c r="A2070" s="1">
        <v>46211</v>
      </c>
      <c r="B2070" t="s">
        <v>3440</v>
      </c>
      <c r="C2070" t="s">
        <v>1027</v>
      </c>
      <c r="D2070" t="s">
        <v>1028</v>
      </c>
      <c r="E2070" t="s">
        <v>8</v>
      </c>
      <c r="F2070" t="s">
        <v>10</v>
      </c>
      <c r="G2070" s="16">
        <v>434.31</v>
      </c>
      <c r="H2070" s="16">
        <v>499.45650000000001</v>
      </c>
      <c r="I2070" s="1">
        <v>46184</v>
      </c>
      <c r="J2070">
        <v>48</v>
      </c>
      <c r="K2070" t="s">
        <v>3192</v>
      </c>
      <c r="L2070" t="s">
        <v>6955</v>
      </c>
      <c r="M2070">
        <v>5</v>
      </c>
      <c r="N2070">
        <v>5</v>
      </c>
      <c r="O2070" t="s">
        <v>1036</v>
      </c>
      <c r="P2070" s="17"/>
      <c r="Q2070" s="17" t="str">
        <f>_xlfn.XLOOKUP(Table2[[#This Row],[buyFromVendorNo]],'Next Day Scheduled'!A:A,'Pending Returns'!O:O,"NOT_FOUND")</f>
        <v>NOT_FOUND</v>
      </c>
    </row>
    <row r="2071" spans="1:17" x14ac:dyDescent="0.3">
      <c r="A2071" s="1">
        <v>46211</v>
      </c>
      <c r="B2071" t="s">
        <v>2157</v>
      </c>
      <c r="C2071" t="s">
        <v>2339</v>
      </c>
      <c r="D2071" t="s">
        <v>2340</v>
      </c>
      <c r="E2071" t="s">
        <v>8</v>
      </c>
      <c r="F2071" t="s">
        <v>10</v>
      </c>
      <c r="G2071" s="16">
        <v>7582.99</v>
      </c>
      <c r="H2071" s="16">
        <v>8720.4380000000001</v>
      </c>
      <c r="I2071" s="1">
        <v>46210</v>
      </c>
      <c r="J2071">
        <v>48</v>
      </c>
      <c r="K2071" t="s">
        <v>6781</v>
      </c>
      <c r="L2071" t="s">
        <v>6959</v>
      </c>
      <c r="M2071">
        <v>0</v>
      </c>
      <c r="N2071">
        <v>607</v>
      </c>
      <c r="O2071" t="s">
        <v>1036</v>
      </c>
      <c r="P2071" s="17"/>
      <c r="Q2071" s="17" t="str">
        <f>_xlfn.XLOOKUP(Table2[[#This Row],[buyFromVendorNo]],'Next Day Scheduled'!A:A,'Pending Returns'!O:O,"NOT_FOUND")</f>
        <v>NOT_FOUND</v>
      </c>
    </row>
    <row r="2072" spans="1:17" x14ac:dyDescent="0.3">
      <c r="A2072" s="1">
        <v>46211</v>
      </c>
      <c r="B2072" t="s">
        <v>1993</v>
      </c>
      <c r="C2072" t="s">
        <v>118</v>
      </c>
      <c r="D2072" t="s">
        <v>119</v>
      </c>
      <c r="E2072" t="s">
        <v>8</v>
      </c>
      <c r="F2072" t="s">
        <v>10</v>
      </c>
      <c r="G2072" s="16">
        <v>648.45000000000005</v>
      </c>
      <c r="H2072" s="16">
        <v>745.71749999999997</v>
      </c>
      <c r="I2072" s="1">
        <v>46211</v>
      </c>
      <c r="J2072">
        <v>48</v>
      </c>
      <c r="K2072" t="s">
        <v>510</v>
      </c>
      <c r="L2072" t="s">
        <v>6977</v>
      </c>
      <c r="M2072">
        <v>12</v>
      </c>
      <c r="N2072">
        <v>5</v>
      </c>
      <c r="O2072" t="s">
        <v>1036</v>
      </c>
      <c r="P2072" s="17"/>
      <c r="Q2072" s="17" t="str">
        <f>_xlfn.XLOOKUP(Table2[[#This Row],[buyFromVendorNo]],'Next Day Scheduled'!A:A,'Pending Returns'!O:O,"NOT_FOUND")</f>
        <v>Posted Credit Note</v>
      </c>
    </row>
    <row r="2073" spans="1:17" x14ac:dyDescent="0.3">
      <c r="A2073" s="1">
        <v>46211</v>
      </c>
      <c r="B2073" t="s">
        <v>242</v>
      </c>
      <c r="C2073" t="s">
        <v>65</v>
      </c>
      <c r="D2073" t="s">
        <v>66</v>
      </c>
      <c r="E2073" t="s">
        <v>8</v>
      </c>
      <c r="F2073" t="s">
        <v>10</v>
      </c>
      <c r="G2073" s="16">
        <v>5217.2992999999997</v>
      </c>
      <c r="H2073" s="16">
        <v>5999.8940000000002</v>
      </c>
      <c r="I2073" s="1">
        <v>46211</v>
      </c>
      <c r="J2073">
        <v>48</v>
      </c>
      <c r="K2073" t="s">
        <v>6535</v>
      </c>
      <c r="L2073" t="s">
        <v>6938</v>
      </c>
      <c r="M2073">
        <v>18</v>
      </c>
      <c r="N2073">
        <v>5</v>
      </c>
      <c r="O2073" t="s">
        <v>1036</v>
      </c>
      <c r="P2073" s="17"/>
      <c r="Q2073" s="17" t="str">
        <f>_xlfn.XLOOKUP(Table2[[#This Row],[buyFromVendorNo]],'Next Day Scheduled'!A:A,'Pending Returns'!O:O,"NOT_FOUND")</f>
        <v>Posted Credit Note</v>
      </c>
    </row>
    <row r="2074" spans="1:17" x14ac:dyDescent="0.3">
      <c r="A2074" s="1">
        <v>46211</v>
      </c>
      <c r="B2074" t="s">
        <v>224</v>
      </c>
      <c r="C2074" t="s">
        <v>813</v>
      </c>
      <c r="D2074" t="s">
        <v>814</v>
      </c>
      <c r="E2074" t="s">
        <v>8</v>
      </c>
      <c r="F2074" t="s">
        <v>38</v>
      </c>
      <c r="G2074" s="16">
        <v>1335.4</v>
      </c>
      <c r="H2074" s="16">
        <v>1535.71</v>
      </c>
      <c r="I2074" s="1">
        <v>46174</v>
      </c>
      <c r="J2074">
        <v>48</v>
      </c>
      <c r="K2074" t="s">
        <v>3482</v>
      </c>
      <c r="L2074" t="s">
        <v>6940</v>
      </c>
      <c r="M2074">
        <v>0</v>
      </c>
      <c r="N2074">
        <v>55</v>
      </c>
      <c r="O2074" t="s">
        <v>1036</v>
      </c>
      <c r="P2074" s="17"/>
      <c r="Q2074" s="17" t="str">
        <f>_xlfn.XLOOKUP(Table2[[#This Row],[buyFromVendorNo]],'Next Day Scheduled'!A:A,'Pending Returns'!O:O,"NOT_FOUND")</f>
        <v>NOT_FOUND</v>
      </c>
    </row>
    <row r="2075" spans="1:17" x14ac:dyDescent="0.3">
      <c r="A2075" s="1">
        <v>46211</v>
      </c>
      <c r="B2075" t="s">
        <v>5280</v>
      </c>
      <c r="C2075" t="s">
        <v>837</v>
      </c>
      <c r="D2075" t="s">
        <v>838</v>
      </c>
      <c r="E2075" t="s">
        <v>8</v>
      </c>
      <c r="F2075" t="s">
        <v>10</v>
      </c>
      <c r="G2075" s="16">
        <v>11</v>
      </c>
      <c r="H2075" s="16">
        <v>12.65</v>
      </c>
      <c r="I2075" s="1">
        <v>46207</v>
      </c>
      <c r="J2075">
        <v>48</v>
      </c>
      <c r="K2075" t="s">
        <v>5281</v>
      </c>
      <c r="L2075" t="s">
        <v>6981</v>
      </c>
      <c r="M2075">
        <v>4</v>
      </c>
      <c r="N2075">
        <v>2</v>
      </c>
      <c r="O2075" t="s">
        <v>1036</v>
      </c>
      <c r="P2075" s="17"/>
      <c r="Q2075" s="17" t="str">
        <f>_xlfn.XLOOKUP(Table2[[#This Row],[buyFromVendorNo]],'Next Day Scheduled'!A:A,'Pending Returns'!O:O,"NOT_FOUND")</f>
        <v>NOT_FOUND</v>
      </c>
    </row>
    <row r="2076" spans="1:17" x14ac:dyDescent="0.3">
      <c r="A2076" s="1">
        <v>46211</v>
      </c>
      <c r="B2076" t="s">
        <v>5688</v>
      </c>
      <c r="C2076" t="s">
        <v>911</v>
      </c>
      <c r="D2076" t="s">
        <v>912</v>
      </c>
      <c r="E2076" t="s">
        <v>8</v>
      </c>
      <c r="F2076" t="s">
        <v>10</v>
      </c>
      <c r="G2076" s="16">
        <v>162.28</v>
      </c>
      <c r="H2076" s="16">
        <v>186.62200000000001</v>
      </c>
      <c r="I2076" s="1">
        <v>46198</v>
      </c>
      <c r="J2076">
        <v>48</v>
      </c>
      <c r="K2076" t="s">
        <v>5491</v>
      </c>
      <c r="L2076" t="s">
        <v>6983</v>
      </c>
      <c r="M2076">
        <v>6</v>
      </c>
      <c r="N2076">
        <v>5</v>
      </c>
      <c r="O2076" t="s">
        <v>1036</v>
      </c>
      <c r="P2076" s="17"/>
      <c r="Q2076" s="17" t="str">
        <f>_xlfn.XLOOKUP(Table2[[#This Row],[buyFromVendorNo]],'Next Day Scheduled'!A:A,'Pending Returns'!O:O,"NOT_FOUND")</f>
        <v>NOT_FOUND</v>
      </c>
    </row>
    <row r="2077" spans="1:17" x14ac:dyDescent="0.3">
      <c r="A2077" s="1">
        <v>46211</v>
      </c>
      <c r="B2077" t="s">
        <v>1435</v>
      </c>
      <c r="C2077" t="s">
        <v>802</v>
      </c>
      <c r="D2077" t="s">
        <v>2331</v>
      </c>
      <c r="E2077" t="s">
        <v>8</v>
      </c>
      <c r="F2077" t="s">
        <v>38</v>
      </c>
      <c r="G2077" s="16">
        <v>25.38</v>
      </c>
      <c r="H2077" s="16">
        <v>29.187000000000001</v>
      </c>
      <c r="I2077" s="1">
        <v>46211</v>
      </c>
      <c r="J2077">
        <v>48</v>
      </c>
      <c r="K2077" t="s">
        <v>6645</v>
      </c>
      <c r="L2077" t="s">
        <v>6928</v>
      </c>
      <c r="M2077">
        <v>5</v>
      </c>
      <c r="N2077">
        <v>1</v>
      </c>
      <c r="O2077" t="s">
        <v>1036</v>
      </c>
      <c r="P2077" s="17"/>
      <c r="Q2077" s="17" t="str">
        <f>_xlfn.XLOOKUP(Table2[[#This Row],[buyFromVendorNo]],'Next Day Scheduled'!A:A,'Pending Returns'!O:O,"NOT_FOUND")</f>
        <v>NOT_FOUND</v>
      </c>
    </row>
    <row r="2078" spans="1:17" x14ac:dyDescent="0.3">
      <c r="A2078" s="1">
        <v>46211</v>
      </c>
      <c r="B2078" t="s">
        <v>2518</v>
      </c>
      <c r="C2078" t="s">
        <v>93</v>
      </c>
      <c r="D2078" t="s">
        <v>94</v>
      </c>
      <c r="E2078" t="s">
        <v>8</v>
      </c>
      <c r="F2078" t="s">
        <v>38</v>
      </c>
      <c r="G2078" s="16">
        <v>4189.1570000000002</v>
      </c>
      <c r="H2078" s="16">
        <v>4817.5309999999999</v>
      </c>
      <c r="I2078" s="1">
        <v>46199</v>
      </c>
      <c r="J2078">
        <v>48</v>
      </c>
      <c r="K2078" t="s">
        <v>5541</v>
      </c>
      <c r="L2078" t="s">
        <v>6944</v>
      </c>
      <c r="M2078">
        <v>5</v>
      </c>
      <c r="N2078">
        <v>6</v>
      </c>
      <c r="O2078" t="s">
        <v>1036</v>
      </c>
      <c r="P2078" s="17"/>
      <c r="Q2078" s="17" t="str">
        <f>_xlfn.XLOOKUP(Table2[[#This Row],[buyFromVendorNo]],'Next Day Scheduled'!A:A,'Pending Returns'!O:O,"NOT_FOUND")</f>
        <v>Posted Credit Note</v>
      </c>
    </row>
    <row r="2079" spans="1:17" x14ac:dyDescent="0.3">
      <c r="A2079" s="1">
        <v>46211</v>
      </c>
      <c r="B2079" t="s">
        <v>352</v>
      </c>
      <c r="C2079" t="s">
        <v>118</v>
      </c>
      <c r="D2079" t="s">
        <v>119</v>
      </c>
      <c r="E2079" t="s">
        <v>8</v>
      </c>
      <c r="F2079" t="s">
        <v>10</v>
      </c>
      <c r="G2079" s="16">
        <v>230.65</v>
      </c>
      <c r="H2079" s="16">
        <v>265.2475</v>
      </c>
      <c r="I2079" s="1">
        <v>46211</v>
      </c>
      <c r="J2079">
        <v>48</v>
      </c>
      <c r="K2079" t="s">
        <v>5042</v>
      </c>
      <c r="L2079" t="s">
        <v>6947</v>
      </c>
      <c r="M2079">
        <v>12</v>
      </c>
      <c r="N2079">
        <v>5</v>
      </c>
      <c r="O2079" t="s">
        <v>1036</v>
      </c>
      <c r="P2079" s="17"/>
      <c r="Q2079" s="17" t="str">
        <f>_xlfn.XLOOKUP(Table2[[#This Row],[buyFromVendorNo]],'Next Day Scheduled'!A:A,'Pending Returns'!O:O,"NOT_FOUND")</f>
        <v>Posted Credit Note</v>
      </c>
    </row>
    <row r="2080" spans="1:17" x14ac:dyDescent="0.3">
      <c r="A2080" s="1">
        <v>46211</v>
      </c>
      <c r="B2080" t="s">
        <v>441</v>
      </c>
      <c r="C2080" t="s">
        <v>57</v>
      </c>
      <c r="D2080" t="s">
        <v>58</v>
      </c>
      <c r="E2080" t="s">
        <v>8</v>
      </c>
      <c r="F2080" t="s">
        <v>38</v>
      </c>
      <c r="G2080" s="16">
        <v>82.5</v>
      </c>
      <c r="H2080" s="16">
        <v>94.875</v>
      </c>
      <c r="I2080" s="1">
        <v>46210</v>
      </c>
      <c r="J2080">
        <v>48</v>
      </c>
      <c r="K2080" t="s">
        <v>6246</v>
      </c>
      <c r="L2080" t="s">
        <v>6939</v>
      </c>
      <c r="M2080">
        <v>0</v>
      </c>
      <c r="N2080">
        <v>191</v>
      </c>
      <c r="O2080" t="s">
        <v>1036</v>
      </c>
      <c r="P2080" s="17"/>
      <c r="Q2080" s="17" t="str">
        <f>_xlfn.XLOOKUP(Table2[[#This Row],[buyFromVendorNo]],'Next Day Scheduled'!A:A,'Pending Returns'!O:O,"NOT_FOUND")</f>
        <v>Posted Credit Note</v>
      </c>
    </row>
    <row r="2081" spans="1:17" x14ac:dyDescent="0.3">
      <c r="A2081" s="1">
        <v>46211</v>
      </c>
      <c r="B2081" t="s">
        <v>5367</v>
      </c>
      <c r="C2081" t="s">
        <v>5368</v>
      </c>
      <c r="D2081" t="s">
        <v>5369</v>
      </c>
      <c r="E2081" t="s">
        <v>8</v>
      </c>
      <c r="F2081" t="s">
        <v>10</v>
      </c>
      <c r="G2081" s="16">
        <v>3.6665999999999999</v>
      </c>
      <c r="H2081" s="16">
        <v>4.2165900000000001</v>
      </c>
      <c r="I2081" s="1">
        <v>46211</v>
      </c>
      <c r="J2081">
        <v>48</v>
      </c>
      <c r="K2081" t="s">
        <v>5370</v>
      </c>
      <c r="L2081" t="s">
        <v>6960</v>
      </c>
      <c r="M2081">
        <v>0</v>
      </c>
      <c r="N2081">
        <v>120</v>
      </c>
      <c r="O2081" t="s">
        <v>1036</v>
      </c>
      <c r="P2081" s="17"/>
      <c r="Q2081" s="17" t="str">
        <f>_xlfn.XLOOKUP(Table2[[#This Row],[buyFromVendorNo]],'Next Day Scheduled'!A:A,'Pending Returns'!O:O,"NOT_FOUND")</f>
        <v>NOT_FOUND</v>
      </c>
    </row>
    <row r="2082" spans="1:17" x14ac:dyDescent="0.3">
      <c r="A2082" s="1">
        <v>46211</v>
      </c>
      <c r="B2082" t="s">
        <v>5908</v>
      </c>
      <c r="C2082" t="s">
        <v>1615</v>
      </c>
      <c r="D2082" t="s">
        <v>1616</v>
      </c>
      <c r="E2082" t="s">
        <v>8</v>
      </c>
      <c r="F2082" t="s">
        <v>10</v>
      </c>
      <c r="G2082" s="16">
        <v>75.3</v>
      </c>
      <c r="H2082" s="16">
        <v>86.594999999999999</v>
      </c>
      <c r="I2082" s="1">
        <v>46200</v>
      </c>
      <c r="J2082">
        <v>48</v>
      </c>
      <c r="K2082" t="s">
        <v>5571</v>
      </c>
      <c r="L2082" t="s">
        <v>6961</v>
      </c>
      <c r="M2082">
        <v>7</v>
      </c>
      <c r="N2082">
        <v>5</v>
      </c>
      <c r="O2082" t="s">
        <v>1036</v>
      </c>
      <c r="P2082" s="17"/>
      <c r="Q2082" s="17" t="str">
        <f>_xlfn.XLOOKUP(Table2[[#This Row],[buyFromVendorNo]],'Next Day Scheduled'!A:A,'Pending Returns'!O:O,"NOT_FOUND")</f>
        <v>NOT_FOUND</v>
      </c>
    </row>
    <row r="2083" spans="1:17" x14ac:dyDescent="0.3">
      <c r="A2083" s="1">
        <v>46211</v>
      </c>
      <c r="B2083" t="s">
        <v>6686</v>
      </c>
      <c r="C2083" t="s">
        <v>809</v>
      </c>
      <c r="D2083" t="s">
        <v>360</v>
      </c>
      <c r="E2083" t="s">
        <v>8</v>
      </c>
      <c r="F2083" t="s">
        <v>10</v>
      </c>
      <c r="G2083" s="16">
        <v>443.63</v>
      </c>
      <c r="H2083" s="16">
        <v>510.17450000000002</v>
      </c>
      <c r="I2083" s="1">
        <v>46211</v>
      </c>
      <c r="J2083">
        <v>48</v>
      </c>
      <c r="K2083" t="s">
        <v>6687</v>
      </c>
      <c r="L2083" t="s">
        <v>6941</v>
      </c>
      <c r="M2083">
        <v>6</v>
      </c>
      <c r="N2083">
        <v>6</v>
      </c>
      <c r="O2083" t="s">
        <v>1036</v>
      </c>
      <c r="P2083" s="17"/>
      <c r="Q2083" s="17" t="str">
        <f>_xlfn.XLOOKUP(Table2[[#This Row],[buyFromVendorNo]],'Next Day Scheduled'!A:A,'Pending Returns'!O:O,"NOT_FOUND")</f>
        <v>Posted Credit Note</v>
      </c>
    </row>
    <row r="2084" spans="1:17" x14ac:dyDescent="0.3">
      <c r="A2084" s="1">
        <v>46211</v>
      </c>
      <c r="B2084" t="s">
        <v>605</v>
      </c>
      <c r="C2084" t="s">
        <v>1732</v>
      </c>
      <c r="D2084" t="s">
        <v>1733</v>
      </c>
      <c r="E2084" t="s">
        <v>8</v>
      </c>
      <c r="F2084" t="s">
        <v>10</v>
      </c>
      <c r="G2084" s="16">
        <v>2100</v>
      </c>
      <c r="H2084" s="16">
        <v>2100</v>
      </c>
      <c r="I2084" s="1">
        <v>46204</v>
      </c>
      <c r="J2084">
        <v>48</v>
      </c>
      <c r="K2084" t="s">
        <v>1734</v>
      </c>
      <c r="L2084" t="s">
        <v>6976</v>
      </c>
      <c r="M2084">
        <v>4</v>
      </c>
      <c r="N2084">
        <v>3</v>
      </c>
      <c r="O2084" t="s">
        <v>1036</v>
      </c>
      <c r="P2084" s="17"/>
      <c r="Q2084" s="17" t="str">
        <f>_xlfn.XLOOKUP(Table2[[#This Row],[buyFromVendorNo]],'Next Day Scheduled'!A:A,'Pending Returns'!O:O,"NOT_FOUND")</f>
        <v>NOT_FOUND</v>
      </c>
    </row>
    <row r="2085" spans="1:17" x14ac:dyDescent="0.3">
      <c r="A2085" s="1">
        <v>46211</v>
      </c>
      <c r="B2085" t="s">
        <v>3272</v>
      </c>
      <c r="C2085" t="s">
        <v>118</v>
      </c>
      <c r="D2085" t="s">
        <v>119</v>
      </c>
      <c r="E2085" t="s">
        <v>8</v>
      </c>
      <c r="F2085" t="s">
        <v>10</v>
      </c>
      <c r="G2085" s="16">
        <v>73.25</v>
      </c>
      <c r="H2085" s="16">
        <v>84.237499999999997</v>
      </c>
      <c r="I2085" s="1">
        <v>46211</v>
      </c>
      <c r="J2085">
        <v>48</v>
      </c>
      <c r="K2085" t="s">
        <v>3098</v>
      </c>
      <c r="L2085" t="s">
        <v>6948</v>
      </c>
      <c r="M2085">
        <v>12</v>
      </c>
      <c r="N2085">
        <v>5</v>
      </c>
      <c r="O2085" t="s">
        <v>1036</v>
      </c>
      <c r="P2085" s="17"/>
      <c r="Q2085" s="17" t="str">
        <f>_xlfn.XLOOKUP(Table2[[#This Row],[buyFromVendorNo]],'Next Day Scheduled'!A:A,'Pending Returns'!O:O,"NOT_FOUND")</f>
        <v>Posted Credit Note</v>
      </c>
    </row>
    <row r="2086" spans="1:17" x14ac:dyDescent="0.3">
      <c r="A2086" s="1">
        <v>46211</v>
      </c>
      <c r="B2086" t="s">
        <v>4069</v>
      </c>
      <c r="C2086" t="s">
        <v>562</v>
      </c>
      <c r="D2086" t="s">
        <v>563</v>
      </c>
      <c r="E2086" t="s">
        <v>8</v>
      </c>
      <c r="F2086" t="s">
        <v>38</v>
      </c>
      <c r="G2086" s="16">
        <v>895.3827</v>
      </c>
      <c r="H2086" s="16">
        <v>1029.6901</v>
      </c>
      <c r="I2086" s="1">
        <v>46210</v>
      </c>
      <c r="J2086">
        <v>48</v>
      </c>
      <c r="K2086" t="s">
        <v>6252</v>
      </c>
      <c r="L2086" t="s">
        <v>6990</v>
      </c>
      <c r="M2086">
        <v>15</v>
      </c>
      <c r="N2086">
        <v>23</v>
      </c>
      <c r="O2086" t="s">
        <v>1036</v>
      </c>
      <c r="P2086" s="17"/>
      <c r="Q2086" s="17" t="str">
        <f>_xlfn.XLOOKUP(Table2[[#This Row],[buyFromVendorNo]],'Next Day Scheduled'!A:A,'Pending Returns'!O:O,"NOT_FOUND")</f>
        <v>NOT_FOUND</v>
      </c>
    </row>
    <row r="2087" spans="1:17" x14ac:dyDescent="0.3">
      <c r="A2087" s="1">
        <v>46211</v>
      </c>
      <c r="B2087" t="s">
        <v>1449</v>
      </c>
      <c r="C2087" t="s">
        <v>34</v>
      </c>
      <c r="D2087" t="s">
        <v>35</v>
      </c>
      <c r="E2087" t="s">
        <v>8</v>
      </c>
      <c r="F2087" t="s">
        <v>10</v>
      </c>
      <c r="G2087" s="16">
        <v>3040.22</v>
      </c>
      <c r="H2087" s="16">
        <v>3496.2530000000002</v>
      </c>
      <c r="I2087" s="1">
        <v>46205</v>
      </c>
      <c r="J2087">
        <v>48</v>
      </c>
      <c r="K2087" t="s">
        <v>4487</v>
      </c>
      <c r="L2087" t="s">
        <v>6978</v>
      </c>
      <c r="M2087">
        <v>9</v>
      </c>
      <c r="N2087">
        <v>8</v>
      </c>
      <c r="O2087" t="s">
        <v>1036</v>
      </c>
      <c r="P2087" s="17"/>
      <c r="Q2087" s="17" t="str">
        <f>_xlfn.XLOOKUP(Table2[[#This Row],[buyFromVendorNo]],'Next Day Scheduled'!A:A,'Pending Returns'!O:O,"NOT_FOUND")</f>
        <v>Posted Credit Note</v>
      </c>
    </row>
    <row r="2088" spans="1:17" x14ac:dyDescent="0.3">
      <c r="A2088" s="1">
        <v>46212</v>
      </c>
      <c r="B2088" t="s">
        <v>5326</v>
      </c>
      <c r="C2088" t="s">
        <v>401</v>
      </c>
      <c r="D2088" t="s">
        <v>402</v>
      </c>
      <c r="E2088" t="s">
        <v>8</v>
      </c>
      <c r="F2088" t="s">
        <v>10</v>
      </c>
      <c r="G2088" s="16">
        <v>8.75</v>
      </c>
      <c r="H2088" s="16">
        <v>10.0625</v>
      </c>
      <c r="I2088" s="1">
        <v>46197</v>
      </c>
      <c r="J2088">
        <v>47</v>
      </c>
      <c r="K2088" t="s">
        <v>5327</v>
      </c>
      <c r="L2088" t="s">
        <v>7038</v>
      </c>
      <c r="M2088">
        <v>1</v>
      </c>
      <c r="N2088">
        <v>3</v>
      </c>
      <c r="O2088" t="s">
        <v>1036</v>
      </c>
      <c r="P2088" s="17"/>
      <c r="Q2088" s="17" t="str">
        <f>_xlfn.XLOOKUP(Table2[[#This Row],[buyFromVendorNo]],'Next Day Scheduled'!A:A,'Pending Returns'!O:O,"NOT_FOUND")</f>
        <v>Posted Credit Note</v>
      </c>
    </row>
    <row r="2089" spans="1:17" x14ac:dyDescent="0.3">
      <c r="A2089" s="1">
        <v>46212</v>
      </c>
      <c r="B2089" t="s">
        <v>1777</v>
      </c>
      <c r="C2089" t="s">
        <v>693</v>
      </c>
      <c r="D2089" t="s">
        <v>694</v>
      </c>
      <c r="E2089" t="s">
        <v>8</v>
      </c>
      <c r="F2089" t="s">
        <v>10</v>
      </c>
      <c r="G2089" s="16">
        <v>7899.6494000000002</v>
      </c>
      <c r="H2089" s="16">
        <v>9084.5969999999998</v>
      </c>
      <c r="I2089" s="1">
        <v>46196</v>
      </c>
      <c r="J2089">
        <v>47</v>
      </c>
      <c r="K2089" t="s">
        <v>727</v>
      </c>
      <c r="L2089" t="s">
        <v>7040</v>
      </c>
      <c r="M2089">
        <v>0</v>
      </c>
      <c r="N2089">
        <v>278</v>
      </c>
      <c r="O2089" t="s">
        <v>1036</v>
      </c>
      <c r="P2089" s="17"/>
      <c r="Q2089" s="17" t="str">
        <f>_xlfn.XLOOKUP(Table2[[#This Row],[buyFromVendorNo]],'Next Day Scheduled'!A:A,'Pending Returns'!O:O,"NOT_FOUND")</f>
        <v>NOT_FOUND</v>
      </c>
    </row>
    <row r="2090" spans="1:17" x14ac:dyDescent="0.3">
      <c r="A2090" s="1">
        <v>46212</v>
      </c>
      <c r="B2090" t="s">
        <v>2757</v>
      </c>
      <c r="C2090" t="s">
        <v>2505</v>
      </c>
      <c r="D2090" t="s">
        <v>2758</v>
      </c>
      <c r="E2090" t="s">
        <v>8</v>
      </c>
      <c r="F2090" t="s">
        <v>10</v>
      </c>
      <c r="G2090" s="16">
        <v>690.98400000000004</v>
      </c>
      <c r="H2090" s="16">
        <v>794.63160000000005</v>
      </c>
      <c r="I2090" s="1">
        <v>46197</v>
      </c>
      <c r="J2090">
        <v>47</v>
      </c>
      <c r="K2090" t="s">
        <v>2759</v>
      </c>
      <c r="L2090" t="s">
        <v>7007</v>
      </c>
      <c r="M2090">
        <v>0</v>
      </c>
      <c r="O2090" t="s">
        <v>1036</v>
      </c>
      <c r="P2090" s="17"/>
      <c r="Q2090" s="17" t="str">
        <f>_xlfn.XLOOKUP(Table2[[#This Row],[buyFromVendorNo]],'Next Day Scheduled'!A:A,'Pending Returns'!O:O,"NOT_FOUND")</f>
        <v>Posted Credit Note</v>
      </c>
    </row>
    <row r="2091" spans="1:17" x14ac:dyDescent="0.3">
      <c r="A2091" s="1">
        <v>46212</v>
      </c>
      <c r="B2091" t="s">
        <v>612</v>
      </c>
      <c r="C2091" t="s">
        <v>39</v>
      </c>
      <c r="D2091" t="s">
        <v>40</v>
      </c>
      <c r="E2091" t="s">
        <v>8</v>
      </c>
      <c r="F2091" t="s">
        <v>10</v>
      </c>
      <c r="G2091" s="16">
        <v>2443.3159999999998</v>
      </c>
      <c r="H2091" s="16">
        <v>2809.8132000000001</v>
      </c>
      <c r="I2091" s="1">
        <v>46210</v>
      </c>
      <c r="J2091">
        <v>47</v>
      </c>
      <c r="K2091" t="s">
        <v>6868</v>
      </c>
      <c r="L2091" t="s">
        <v>7060</v>
      </c>
      <c r="M2091">
        <v>10</v>
      </c>
      <c r="N2091">
        <v>1</v>
      </c>
      <c r="O2091" t="s">
        <v>1036</v>
      </c>
      <c r="P2091" s="17"/>
      <c r="Q2091" s="17" t="str">
        <f>_xlfn.XLOOKUP(Table2[[#This Row],[buyFromVendorNo]],'Next Day Scheduled'!A:A,'Pending Returns'!O:O,"NOT_FOUND")</f>
        <v>Posted Credit Note</v>
      </c>
    </row>
    <row r="2092" spans="1:17" x14ac:dyDescent="0.3">
      <c r="A2092" s="1">
        <v>46212</v>
      </c>
      <c r="B2092" t="s">
        <v>3368</v>
      </c>
      <c r="C2092" t="s">
        <v>804</v>
      </c>
      <c r="D2092" t="s">
        <v>805</v>
      </c>
      <c r="E2092" t="s">
        <v>8</v>
      </c>
      <c r="F2092" t="s">
        <v>10</v>
      </c>
      <c r="G2092" s="16">
        <v>71.94</v>
      </c>
      <c r="H2092" s="16">
        <v>82.730999999999995</v>
      </c>
      <c r="J2092">
        <v>47</v>
      </c>
      <c r="K2092" t="s">
        <v>7137</v>
      </c>
      <c r="M2092">
        <v>0</v>
      </c>
      <c r="N2092">
        <v>206</v>
      </c>
      <c r="O2092" t="s">
        <v>216</v>
      </c>
      <c r="P2092" s="17"/>
      <c r="Q2092" s="17" t="str">
        <f>_xlfn.XLOOKUP(Table2[[#This Row],[buyFromVendorNo]],'Next Day Scheduled'!A:A,'Pending Returns'!O:O,"NOT_FOUND")</f>
        <v>NOT_FOUND</v>
      </c>
    </row>
    <row r="2093" spans="1:17" x14ac:dyDescent="0.3">
      <c r="A2093" s="1">
        <v>46212</v>
      </c>
      <c r="B2093" t="s">
        <v>1098</v>
      </c>
      <c r="C2093" t="s">
        <v>43</v>
      </c>
      <c r="D2093" t="s">
        <v>44</v>
      </c>
      <c r="E2093" t="s">
        <v>8</v>
      </c>
      <c r="F2093" t="s">
        <v>38</v>
      </c>
      <c r="G2093" s="16">
        <v>6912</v>
      </c>
      <c r="H2093" s="16">
        <v>7948.8</v>
      </c>
      <c r="I2093" s="1">
        <v>46211</v>
      </c>
      <c r="J2093">
        <v>47</v>
      </c>
      <c r="K2093" t="s">
        <v>6690</v>
      </c>
      <c r="L2093" t="s">
        <v>7063</v>
      </c>
      <c r="M2093">
        <v>44</v>
      </c>
      <c r="N2093">
        <v>1</v>
      </c>
      <c r="O2093" t="s">
        <v>1036</v>
      </c>
      <c r="P2093" s="17"/>
      <c r="Q2093" s="17" t="str">
        <f>_xlfn.XLOOKUP(Table2[[#This Row],[buyFromVendorNo]],'Next Day Scheduled'!A:A,'Pending Returns'!O:O,"NOT_FOUND")</f>
        <v>Posted Credit Note</v>
      </c>
    </row>
    <row r="2094" spans="1:17" x14ac:dyDescent="0.3">
      <c r="A2094" s="1">
        <v>46212</v>
      </c>
      <c r="B2094" t="s">
        <v>230</v>
      </c>
      <c r="C2094" t="s">
        <v>39</v>
      </c>
      <c r="D2094" t="s">
        <v>40</v>
      </c>
      <c r="E2094" t="s">
        <v>8</v>
      </c>
      <c r="F2094" t="s">
        <v>10</v>
      </c>
      <c r="G2094" s="16">
        <v>2039.0283999999999</v>
      </c>
      <c r="H2094" s="16">
        <v>2344.8825999999999</v>
      </c>
      <c r="I2094" s="1">
        <v>46210</v>
      </c>
      <c r="J2094">
        <v>47</v>
      </c>
      <c r="K2094" t="s">
        <v>4312</v>
      </c>
      <c r="L2094" t="s">
        <v>7099</v>
      </c>
      <c r="M2094">
        <v>10</v>
      </c>
      <c r="N2094">
        <v>1</v>
      </c>
      <c r="O2094" t="s">
        <v>1036</v>
      </c>
      <c r="P2094" s="17"/>
      <c r="Q2094" s="17" t="str">
        <f>_xlfn.XLOOKUP(Table2[[#This Row],[buyFromVendorNo]],'Next Day Scheduled'!A:A,'Pending Returns'!O:O,"NOT_FOUND")</f>
        <v>Posted Credit Note</v>
      </c>
    </row>
    <row r="2095" spans="1:17" x14ac:dyDescent="0.3">
      <c r="A2095" s="1">
        <v>46212</v>
      </c>
      <c r="B2095" t="s">
        <v>394</v>
      </c>
      <c r="C2095" t="s">
        <v>1424</v>
      </c>
      <c r="D2095" t="s">
        <v>1425</v>
      </c>
      <c r="E2095" t="s">
        <v>8</v>
      </c>
      <c r="F2095" t="s">
        <v>10</v>
      </c>
      <c r="G2095" s="16">
        <v>3834</v>
      </c>
      <c r="H2095" s="16">
        <v>4409.1000000000004</v>
      </c>
      <c r="I2095" s="1">
        <v>46210</v>
      </c>
      <c r="J2095">
        <v>47</v>
      </c>
      <c r="K2095" t="s">
        <v>6818</v>
      </c>
      <c r="L2095" t="s">
        <v>7020</v>
      </c>
      <c r="M2095">
        <v>0</v>
      </c>
      <c r="N2095">
        <v>50</v>
      </c>
      <c r="O2095" t="s">
        <v>1036</v>
      </c>
      <c r="P2095" s="17"/>
      <c r="Q2095" s="17" t="str">
        <f>_xlfn.XLOOKUP(Table2[[#This Row],[buyFromVendorNo]],'Next Day Scheduled'!A:A,'Pending Returns'!O:O,"NOT_FOUND")</f>
        <v>Posted Credit Note</v>
      </c>
    </row>
    <row r="2096" spans="1:17" x14ac:dyDescent="0.3">
      <c r="A2096" s="1">
        <v>46212</v>
      </c>
      <c r="B2096" t="s">
        <v>6258</v>
      </c>
      <c r="C2096" t="s">
        <v>2510</v>
      </c>
      <c r="D2096" t="s">
        <v>2511</v>
      </c>
      <c r="E2096" t="s">
        <v>8</v>
      </c>
      <c r="F2096" t="s">
        <v>38</v>
      </c>
      <c r="G2096" s="16">
        <v>161.41</v>
      </c>
      <c r="H2096" s="16">
        <v>185.6215</v>
      </c>
      <c r="I2096" s="1">
        <v>46207</v>
      </c>
      <c r="J2096">
        <v>47</v>
      </c>
      <c r="K2096" t="s">
        <v>6240</v>
      </c>
      <c r="L2096" t="s">
        <v>7071</v>
      </c>
      <c r="M2096">
        <v>3</v>
      </c>
      <c r="N2096">
        <v>23</v>
      </c>
      <c r="O2096" t="s">
        <v>1036</v>
      </c>
      <c r="P2096" s="17"/>
      <c r="Q2096" s="17" t="str">
        <f>_xlfn.XLOOKUP(Table2[[#This Row],[buyFromVendorNo]],'Next Day Scheduled'!A:A,'Pending Returns'!O:O,"NOT_FOUND")</f>
        <v>NOT_FOUND</v>
      </c>
    </row>
    <row r="2097" spans="1:17" x14ac:dyDescent="0.3">
      <c r="A2097" s="1">
        <v>46212</v>
      </c>
      <c r="B2097" t="s">
        <v>1773</v>
      </c>
      <c r="C2097" t="s">
        <v>693</v>
      </c>
      <c r="D2097" t="s">
        <v>694</v>
      </c>
      <c r="E2097" t="s">
        <v>8</v>
      </c>
      <c r="F2097" t="s">
        <v>10</v>
      </c>
      <c r="G2097" s="16">
        <v>7378.0330000000004</v>
      </c>
      <c r="H2097" s="16">
        <v>8484.7379999999994</v>
      </c>
      <c r="I2097" s="1">
        <v>46196</v>
      </c>
      <c r="J2097">
        <v>47</v>
      </c>
      <c r="K2097" t="s">
        <v>696</v>
      </c>
      <c r="L2097" t="s">
        <v>7074</v>
      </c>
      <c r="M2097">
        <v>0</v>
      </c>
      <c r="N2097">
        <v>278</v>
      </c>
      <c r="O2097" t="s">
        <v>1036</v>
      </c>
      <c r="P2097" s="17"/>
      <c r="Q2097" s="17" t="str">
        <f>_xlfn.XLOOKUP(Table2[[#This Row],[buyFromVendorNo]],'Next Day Scheduled'!A:A,'Pending Returns'!O:O,"NOT_FOUND")</f>
        <v>NOT_FOUND</v>
      </c>
    </row>
    <row r="2098" spans="1:17" x14ac:dyDescent="0.3">
      <c r="A2098" s="1">
        <v>46212</v>
      </c>
      <c r="B2098" t="s">
        <v>3328</v>
      </c>
      <c r="C2098" t="s">
        <v>177</v>
      </c>
      <c r="D2098" t="s">
        <v>178</v>
      </c>
      <c r="E2098" t="s">
        <v>8</v>
      </c>
      <c r="F2098" t="s">
        <v>10</v>
      </c>
      <c r="G2098" s="16">
        <v>255.78</v>
      </c>
      <c r="H2098" s="16">
        <v>294.14699999999999</v>
      </c>
      <c r="I2098" s="1">
        <v>46207</v>
      </c>
      <c r="J2098">
        <v>47</v>
      </c>
      <c r="K2098" t="s">
        <v>4130</v>
      </c>
      <c r="L2098" t="s">
        <v>7080</v>
      </c>
      <c r="M2098">
        <v>14</v>
      </c>
      <c r="N2098">
        <v>2</v>
      </c>
      <c r="O2098" t="s">
        <v>1036</v>
      </c>
      <c r="P2098" s="17"/>
      <c r="Q2098" s="17" t="str">
        <f>_xlfn.XLOOKUP(Table2[[#This Row],[buyFromVendorNo]],'Next Day Scheduled'!A:A,'Pending Returns'!O:O,"NOT_FOUND")</f>
        <v>Posted Credit Note</v>
      </c>
    </row>
    <row r="2099" spans="1:17" x14ac:dyDescent="0.3">
      <c r="A2099" s="1">
        <v>46212</v>
      </c>
      <c r="B2099" t="s">
        <v>353</v>
      </c>
      <c r="C2099" t="s">
        <v>39</v>
      </c>
      <c r="D2099" t="s">
        <v>40</v>
      </c>
      <c r="E2099" t="s">
        <v>8</v>
      </c>
      <c r="F2099" t="s">
        <v>10</v>
      </c>
      <c r="G2099" s="16">
        <v>2257.6646000000001</v>
      </c>
      <c r="H2099" s="16">
        <v>2596.3141999999998</v>
      </c>
      <c r="I2099" s="1">
        <v>46211</v>
      </c>
      <c r="J2099">
        <v>47</v>
      </c>
      <c r="K2099" t="s">
        <v>6866</v>
      </c>
      <c r="L2099" t="s">
        <v>7084</v>
      </c>
      <c r="M2099">
        <v>10</v>
      </c>
      <c r="N2099">
        <v>1</v>
      </c>
      <c r="O2099" t="s">
        <v>1036</v>
      </c>
      <c r="P2099" s="17"/>
      <c r="Q2099" s="17" t="str">
        <f>_xlfn.XLOOKUP(Table2[[#This Row],[buyFromVendorNo]],'Next Day Scheduled'!A:A,'Pending Returns'!O:O,"NOT_FOUND")</f>
        <v>Posted Credit Note</v>
      </c>
    </row>
    <row r="2100" spans="1:17" x14ac:dyDescent="0.3">
      <c r="A2100" s="1">
        <v>46212</v>
      </c>
      <c r="B2100" t="s">
        <v>2551</v>
      </c>
      <c r="C2100" t="s">
        <v>177</v>
      </c>
      <c r="D2100" t="s">
        <v>178</v>
      </c>
      <c r="E2100" t="s">
        <v>8</v>
      </c>
      <c r="F2100" t="s">
        <v>10</v>
      </c>
      <c r="G2100" s="16">
        <v>48.374600000000001</v>
      </c>
      <c r="H2100" s="16">
        <v>55.630789999999998</v>
      </c>
      <c r="I2100" s="1">
        <v>46207</v>
      </c>
      <c r="J2100">
        <v>47</v>
      </c>
      <c r="K2100" t="s">
        <v>3797</v>
      </c>
      <c r="L2100" t="s">
        <v>7037</v>
      </c>
      <c r="M2100">
        <v>14</v>
      </c>
      <c r="N2100">
        <v>2</v>
      </c>
      <c r="O2100" t="s">
        <v>1036</v>
      </c>
      <c r="P2100" s="17"/>
      <c r="Q2100" s="17" t="str">
        <f>_xlfn.XLOOKUP(Table2[[#This Row],[buyFromVendorNo]],'Next Day Scheduled'!A:A,'Pending Returns'!O:O,"NOT_FOUND")</f>
        <v>Posted Credit Note</v>
      </c>
    </row>
    <row r="2101" spans="1:17" x14ac:dyDescent="0.3">
      <c r="A2101" s="1">
        <v>46212</v>
      </c>
      <c r="B2101" t="s">
        <v>3287</v>
      </c>
      <c r="C2101" t="s">
        <v>1124</v>
      </c>
      <c r="D2101" t="s">
        <v>1125</v>
      </c>
      <c r="E2101" t="s">
        <v>8</v>
      </c>
      <c r="F2101" t="s">
        <v>10</v>
      </c>
      <c r="G2101" s="16">
        <v>1788.75</v>
      </c>
      <c r="H2101" s="16">
        <v>2057.0625</v>
      </c>
      <c r="I2101" s="1">
        <v>46205</v>
      </c>
      <c r="J2101">
        <v>47</v>
      </c>
      <c r="K2101" t="s">
        <v>3127</v>
      </c>
      <c r="L2101" t="s">
        <v>7087</v>
      </c>
      <c r="M2101">
        <v>0</v>
      </c>
      <c r="N2101">
        <v>246</v>
      </c>
      <c r="O2101" t="s">
        <v>1036</v>
      </c>
      <c r="P2101" s="17"/>
      <c r="Q2101" s="17" t="str">
        <f>_xlfn.XLOOKUP(Table2[[#This Row],[buyFromVendorNo]],'Next Day Scheduled'!A:A,'Pending Returns'!O:O,"NOT_FOUND")</f>
        <v>NOT_FOUND</v>
      </c>
    </row>
    <row r="2102" spans="1:17" x14ac:dyDescent="0.3">
      <c r="A2102" s="1">
        <v>46212</v>
      </c>
      <c r="B2102" t="s">
        <v>2615</v>
      </c>
      <c r="C2102" t="s">
        <v>966</v>
      </c>
      <c r="D2102" t="s">
        <v>967</v>
      </c>
      <c r="E2102" t="s">
        <v>8</v>
      </c>
      <c r="F2102" t="s">
        <v>10</v>
      </c>
      <c r="G2102" s="16">
        <v>2511.2600000000002</v>
      </c>
      <c r="H2102" s="16">
        <v>2887.9490000000001</v>
      </c>
      <c r="I2102" s="1">
        <v>46177</v>
      </c>
      <c r="J2102">
        <v>47</v>
      </c>
      <c r="K2102" t="s">
        <v>2616</v>
      </c>
      <c r="L2102" t="s">
        <v>7088</v>
      </c>
      <c r="M2102">
        <v>3</v>
      </c>
      <c r="N2102">
        <v>10</v>
      </c>
      <c r="O2102" t="s">
        <v>1036</v>
      </c>
      <c r="P2102" s="17"/>
      <c r="Q2102" s="17" t="str">
        <f>_xlfn.XLOOKUP(Table2[[#This Row],[buyFromVendorNo]],'Next Day Scheduled'!A:A,'Pending Returns'!O:O,"NOT_FOUND")</f>
        <v>NOT_FOUND</v>
      </c>
    </row>
    <row r="2103" spans="1:17" x14ac:dyDescent="0.3">
      <c r="A2103" s="1">
        <v>46212</v>
      </c>
      <c r="B2103" t="s">
        <v>3460</v>
      </c>
      <c r="C2103" t="s">
        <v>2390</v>
      </c>
      <c r="D2103" t="s">
        <v>2391</v>
      </c>
      <c r="E2103" t="s">
        <v>8</v>
      </c>
      <c r="F2103" t="s">
        <v>10</v>
      </c>
      <c r="G2103" s="16">
        <v>13.04</v>
      </c>
      <c r="H2103" s="16">
        <v>14.996</v>
      </c>
      <c r="I2103" s="1">
        <v>46188</v>
      </c>
      <c r="J2103">
        <v>47</v>
      </c>
      <c r="K2103" t="s">
        <v>3190</v>
      </c>
      <c r="L2103" t="s">
        <v>7089</v>
      </c>
      <c r="M2103">
        <v>7</v>
      </c>
      <c r="N2103">
        <v>1</v>
      </c>
      <c r="O2103" t="s">
        <v>1036</v>
      </c>
      <c r="P2103" s="17"/>
      <c r="Q2103" s="17" t="str">
        <f>_xlfn.XLOOKUP(Table2[[#This Row],[buyFromVendorNo]],'Next Day Scheduled'!A:A,'Pending Returns'!O:O,"NOT_FOUND")</f>
        <v>NOT_FOUND</v>
      </c>
    </row>
    <row r="2104" spans="1:17" x14ac:dyDescent="0.3">
      <c r="A2104" s="1">
        <v>46212</v>
      </c>
      <c r="B2104" t="s">
        <v>3411</v>
      </c>
      <c r="C2104" t="s">
        <v>420</v>
      </c>
      <c r="D2104" t="s">
        <v>421</v>
      </c>
      <c r="E2104" t="s">
        <v>8</v>
      </c>
      <c r="F2104" t="s">
        <v>10</v>
      </c>
      <c r="G2104" s="16">
        <v>1635.6699000000001</v>
      </c>
      <c r="H2104" s="16">
        <v>1881.0204000000001</v>
      </c>
      <c r="I2104" s="1">
        <v>46195</v>
      </c>
      <c r="J2104">
        <v>47</v>
      </c>
      <c r="K2104" t="s">
        <v>4579</v>
      </c>
      <c r="L2104" t="s">
        <v>7091</v>
      </c>
      <c r="M2104">
        <v>7</v>
      </c>
      <c r="N2104">
        <v>3</v>
      </c>
      <c r="O2104" t="s">
        <v>1036</v>
      </c>
      <c r="P2104" s="17"/>
      <c r="Q2104" s="17" t="str">
        <f>_xlfn.XLOOKUP(Table2[[#This Row],[buyFromVendorNo]],'Next Day Scheduled'!A:A,'Pending Returns'!O:O,"NOT_FOUND")</f>
        <v>NOT_FOUND</v>
      </c>
    </row>
    <row r="2105" spans="1:17" x14ac:dyDescent="0.3">
      <c r="A2105" s="1">
        <v>46212</v>
      </c>
      <c r="B2105" t="s">
        <v>1775</v>
      </c>
      <c r="C2105" t="s">
        <v>7129</v>
      </c>
      <c r="D2105" t="s">
        <v>7130</v>
      </c>
      <c r="E2105" t="s">
        <v>8</v>
      </c>
      <c r="F2105" t="s">
        <v>10</v>
      </c>
      <c r="G2105" s="16">
        <v>48.5</v>
      </c>
      <c r="H2105" s="16">
        <v>55.774999999999999</v>
      </c>
      <c r="J2105">
        <v>47</v>
      </c>
      <c r="K2105" t="s">
        <v>7152</v>
      </c>
      <c r="M2105">
        <v>5</v>
      </c>
      <c r="N2105">
        <v>16</v>
      </c>
      <c r="O2105" t="s">
        <v>216</v>
      </c>
      <c r="P2105" s="17"/>
      <c r="Q2105" s="17" t="str">
        <f>_xlfn.XLOOKUP(Table2[[#This Row],[buyFromVendorNo]],'Next Day Scheduled'!A:A,'Pending Returns'!O:O,"NOT_FOUND")</f>
        <v>NOT_FOUND</v>
      </c>
    </row>
    <row r="2106" spans="1:17" x14ac:dyDescent="0.3">
      <c r="A2106" s="1">
        <v>46212</v>
      </c>
      <c r="B2106" t="s">
        <v>7009</v>
      </c>
      <c r="C2106" t="s">
        <v>534</v>
      </c>
      <c r="D2106" t="s">
        <v>535</v>
      </c>
      <c r="E2106" t="s">
        <v>8</v>
      </c>
      <c r="F2106" t="s">
        <v>10</v>
      </c>
      <c r="G2106" s="16">
        <v>47.564999999999998</v>
      </c>
      <c r="H2106" s="16">
        <v>54.699750000000002</v>
      </c>
      <c r="J2106">
        <v>47</v>
      </c>
      <c r="K2106" t="s">
        <v>7010</v>
      </c>
      <c r="M2106">
        <v>5</v>
      </c>
      <c r="N2106">
        <v>2</v>
      </c>
      <c r="O2106" t="s">
        <v>216</v>
      </c>
      <c r="P2106" s="17"/>
      <c r="Q2106" s="17" t="str">
        <f>_xlfn.XLOOKUP(Table2[[#This Row],[buyFromVendorNo]],'Next Day Scheduled'!A:A,'Pending Returns'!O:O,"NOT_FOUND")</f>
        <v>NOT_FOUND</v>
      </c>
    </row>
    <row r="2107" spans="1:17" x14ac:dyDescent="0.3">
      <c r="A2107" s="1">
        <v>46212</v>
      </c>
      <c r="B2107" t="s">
        <v>2002</v>
      </c>
      <c r="C2107" t="s">
        <v>2597</v>
      </c>
      <c r="D2107" t="s">
        <v>2598</v>
      </c>
      <c r="E2107" t="s">
        <v>8</v>
      </c>
      <c r="F2107" t="s">
        <v>10</v>
      </c>
      <c r="G2107" s="16">
        <v>13.75</v>
      </c>
      <c r="H2107" s="16">
        <v>15.8125</v>
      </c>
      <c r="J2107">
        <v>47</v>
      </c>
      <c r="K2107" t="s">
        <v>7161</v>
      </c>
      <c r="M2107">
        <v>0</v>
      </c>
      <c r="N2107">
        <v>376</v>
      </c>
      <c r="O2107" t="s">
        <v>216</v>
      </c>
      <c r="P2107" s="17"/>
      <c r="Q2107" s="17" t="str">
        <f>_xlfn.XLOOKUP(Table2[[#This Row],[buyFromVendorNo]],'Next Day Scheduled'!A:A,'Pending Returns'!O:O,"NOT_FOUND")</f>
        <v>NOT_FOUND</v>
      </c>
    </row>
    <row r="2108" spans="1:17" x14ac:dyDescent="0.3">
      <c r="A2108" s="1">
        <v>46212</v>
      </c>
      <c r="B2108" t="s">
        <v>763</v>
      </c>
      <c r="C2108" t="s">
        <v>693</v>
      </c>
      <c r="D2108" t="s">
        <v>694</v>
      </c>
      <c r="E2108" t="s">
        <v>8</v>
      </c>
      <c r="F2108" t="s">
        <v>10</v>
      </c>
      <c r="G2108" s="16">
        <v>6623.6234999999997</v>
      </c>
      <c r="H2108" s="16">
        <v>7617.1670000000004</v>
      </c>
      <c r="I2108" s="1">
        <v>46196</v>
      </c>
      <c r="J2108">
        <v>47</v>
      </c>
      <c r="K2108" t="s">
        <v>739</v>
      </c>
      <c r="L2108" t="s">
        <v>7064</v>
      </c>
      <c r="M2108">
        <v>0</v>
      </c>
      <c r="N2108">
        <v>278</v>
      </c>
      <c r="O2108" t="s">
        <v>1036</v>
      </c>
      <c r="P2108" s="17"/>
      <c r="Q2108" s="17" t="str">
        <f>_xlfn.XLOOKUP(Table2[[#This Row],[buyFromVendorNo]],'Next Day Scheduled'!A:A,'Pending Returns'!O:O,"NOT_FOUND")</f>
        <v>NOT_FOUND</v>
      </c>
    </row>
    <row r="2109" spans="1:17" x14ac:dyDescent="0.3">
      <c r="A2109" s="1">
        <v>46212</v>
      </c>
      <c r="B2109" t="s">
        <v>5259</v>
      </c>
      <c r="C2109" t="s">
        <v>817</v>
      </c>
      <c r="D2109" t="s">
        <v>818</v>
      </c>
      <c r="E2109" t="s">
        <v>8</v>
      </c>
      <c r="F2109" t="s">
        <v>10</v>
      </c>
      <c r="G2109" s="16">
        <v>237.97842</v>
      </c>
      <c r="H2109" s="16">
        <v>273.67516999999998</v>
      </c>
      <c r="I2109" s="1">
        <v>46210</v>
      </c>
      <c r="J2109">
        <v>47</v>
      </c>
      <c r="K2109" t="s">
        <v>6450</v>
      </c>
      <c r="L2109" t="s">
        <v>7041</v>
      </c>
      <c r="M2109">
        <v>7</v>
      </c>
      <c r="N2109">
        <v>5</v>
      </c>
      <c r="O2109" t="s">
        <v>1036</v>
      </c>
      <c r="P2109" s="17"/>
      <c r="Q2109" s="17" t="str">
        <f>_xlfn.XLOOKUP(Table2[[#This Row],[buyFromVendorNo]],'Next Day Scheduled'!A:A,'Pending Returns'!O:O,"NOT_FOUND")</f>
        <v>NOT_FOUND</v>
      </c>
    </row>
    <row r="2110" spans="1:17" x14ac:dyDescent="0.3">
      <c r="A2110" s="1">
        <v>46212</v>
      </c>
      <c r="B2110" t="s">
        <v>7165</v>
      </c>
      <c r="C2110" t="s">
        <v>2625</v>
      </c>
      <c r="D2110" t="s">
        <v>2626</v>
      </c>
      <c r="E2110" t="s">
        <v>8</v>
      </c>
      <c r="F2110" t="s">
        <v>10</v>
      </c>
      <c r="G2110" s="16">
        <v>66.262</v>
      </c>
      <c r="H2110" s="16">
        <v>76.201300000000003</v>
      </c>
      <c r="J2110">
        <v>47</v>
      </c>
      <c r="K2110" t="s">
        <v>7166</v>
      </c>
      <c r="M2110">
        <v>0</v>
      </c>
      <c r="N2110">
        <v>304</v>
      </c>
      <c r="O2110" t="s">
        <v>216</v>
      </c>
      <c r="P2110" s="17"/>
      <c r="Q2110" s="17" t="str">
        <f>_xlfn.XLOOKUP(Table2[[#This Row],[buyFromVendorNo]],'Next Day Scheduled'!A:A,'Pending Returns'!O:O,"NOT_FOUND")</f>
        <v>NOT_FOUND</v>
      </c>
    </row>
    <row r="2111" spans="1:17" x14ac:dyDescent="0.3">
      <c r="A2111" s="1">
        <v>46212</v>
      </c>
      <c r="B2111" t="s">
        <v>2816</v>
      </c>
      <c r="C2111" t="s">
        <v>188</v>
      </c>
      <c r="D2111" t="s">
        <v>189</v>
      </c>
      <c r="E2111" t="s">
        <v>8</v>
      </c>
      <c r="F2111" t="s">
        <v>10</v>
      </c>
      <c r="G2111" s="16">
        <v>1160.8933</v>
      </c>
      <c r="H2111" s="16">
        <v>1335.0273</v>
      </c>
      <c r="I2111" s="1">
        <v>46196</v>
      </c>
      <c r="J2111">
        <v>47</v>
      </c>
      <c r="K2111" t="s">
        <v>2817</v>
      </c>
      <c r="L2111" t="s">
        <v>7098</v>
      </c>
      <c r="M2111">
        <v>0</v>
      </c>
      <c r="N2111">
        <v>607</v>
      </c>
      <c r="O2111" t="s">
        <v>1036</v>
      </c>
      <c r="P2111" s="17"/>
      <c r="Q2111" s="17" t="str">
        <f>_xlfn.XLOOKUP(Table2[[#This Row],[buyFromVendorNo]],'Next Day Scheduled'!A:A,'Pending Returns'!O:O,"NOT_FOUND")</f>
        <v>NOT_FOUND</v>
      </c>
    </row>
    <row r="2112" spans="1:17" x14ac:dyDescent="0.3">
      <c r="A2112" s="1">
        <v>46212</v>
      </c>
      <c r="B2112" t="s">
        <v>3592</v>
      </c>
      <c r="C2112" t="s">
        <v>1124</v>
      </c>
      <c r="D2112" t="s">
        <v>1125</v>
      </c>
      <c r="E2112" t="s">
        <v>8</v>
      </c>
      <c r="F2112" t="s">
        <v>10</v>
      </c>
      <c r="G2112" s="16">
        <v>690</v>
      </c>
      <c r="H2112" s="16">
        <v>793.5</v>
      </c>
      <c r="I2112" s="1">
        <v>46205</v>
      </c>
      <c r="J2112">
        <v>47</v>
      </c>
      <c r="K2112" t="s">
        <v>5043</v>
      </c>
      <c r="L2112" t="s">
        <v>7017</v>
      </c>
      <c r="M2112">
        <v>0</v>
      </c>
      <c r="N2112">
        <v>246</v>
      </c>
      <c r="O2112" t="s">
        <v>1036</v>
      </c>
      <c r="P2112" s="17"/>
      <c r="Q2112" s="17" t="str">
        <f>_xlfn.XLOOKUP(Table2[[#This Row],[buyFromVendorNo]],'Next Day Scheduled'!A:A,'Pending Returns'!O:O,"NOT_FOUND")</f>
        <v>NOT_FOUND</v>
      </c>
    </row>
    <row r="2113" spans="1:17" x14ac:dyDescent="0.3">
      <c r="A2113" s="1">
        <v>46212</v>
      </c>
      <c r="B2113" t="s">
        <v>4379</v>
      </c>
      <c r="C2113" t="s">
        <v>1884</v>
      </c>
      <c r="D2113" t="s">
        <v>1885</v>
      </c>
      <c r="E2113" t="s">
        <v>8</v>
      </c>
      <c r="F2113" t="s">
        <v>10</v>
      </c>
      <c r="G2113" s="16">
        <v>392</v>
      </c>
      <c r="H2113" s="16">
        <v>450.8</v>
      </c>
      <c r="I2113" s="1">
        <v>46190</v>
      </c>
      <c r="J2113">
        <v>47</v>
      </c>
      <c r="K2113" t="s">
        <v>4380</v>
      </c>
      <c r="L2113" t="s">
        <v>7047</v>
      </c>
      <c r="M2113">
        <v>2</v>
      </c>
      <c r="N2113">
        <v>33</v>
      </c>
      <c r="O2113" t="s">
        <v>1036</v>
      </c>
      <c r="P2113" s="17"/>
      <c r="Q2113" s="17" t="str">
        <f>_xlfn.XLOOKUP(Table2[[#This Row],[buyFromVendorNo]],'Next Day Scheduled'!A:A,'Pending Returns'!O:O,"NOT_FOUND")</f>
        <v>Pending for Collection</v>
      </c>
    </row>
    <row r="2114" spans="1:17" x14ac:dyDescent="0.3">
      <c r="A2114" s="1">
        <v>46212</v>
      </c>
      <c r="B2114" t="s">
        <v>2165</v>
      </c>
      <c r="C2114" t="s">
        <v>16</v>
      </c>
      <c r="D2114" t="s">
        <v>17</v>
      </c>
      <c r="E2114" t="s">
        <v>8</v>
      </c>
      <c r="F2114" t="s">
        <v>10</v>
      </c>
      <c r="G2114" s="16">
        <v>396.75319999999999</v>
      </c>
      <c r="H2114" s="16">
        <v>456.26616999999999</v>
      </c>
      <c r="I2114" s="1">
        <v>46207</v>
      </c>
      <c r="J2114">
        <v>47</v>
      </c>
      <c r="K2114" t="s">
        <v>4961</v>
      </c>
      <c r="L2114" t="s">
        <v>7024</v>
      </c>
      <c r="M2114">
        <v>7</v>
      </c>
      <c r="N2114">
        <v>3</v>
      </c>
      <c r="O2114" t="s">
        <v>1036</v>
      </c>
      <c r="P2114" s="17"/>
      <c r="Q2114" s="17" t="str">
        <f>_xlfn.XLOOKUP(Table2[[#This Row],[buyFromVendorNo]],'Next Day Scheduled'!A:A,'Pending Returns'!O:O,"NOT_FOUND")</f>
        <v>Posted Credit Note</v>
      </c>
    </row>
    <row r="2115" spans="1:17" x14ac:dyDescent="0.3">
      <c r="A2115" s="1">
        <v>46212</v>
      </c>
      <c r="B2115" t="s">
        <v>6016</v>
      </c>
      <c r="C2115" t="s">
        <v>358</v>
      </c>
      <c r="D2115" t="s">
        <v>359</v>
      </c>
      <c r="E2115" t="s">
        <v>8</v>
      </c>
      <c r="F2115" t="s">
        <v>10</v>
      </c>
      <c r="G2115" s="16">
        <v>494.3</v>
      </c>
      <c r="H2115" s="16">
        <v>568.44500000000005</v>
      </c>
      <c r="J2115">
        <v>47</v>
      </c>
      <c r="K2115" t="s">
        <v>7103</v>
      </c>
      <c r="M2115">
        <v>5</v>
      </c>
      <c r="N2115">
        <v>1</v>
      </c>
      <c r="O2115" t="s">
        <v>216</v>
      </c>
      <c r="P2115" s="17"/>
      <c r="Q2115" s="17" t="str">
        <f>_xlfn.XLOOKUP(Table2[[#This Row],[buyFromVendorNo]],'Next Day Scheduled'!A:A,'Pending Returns'!O:O,"NOT_FOUND")</f>
        <v>NOT_FOUND</v>
      </c>
    </row>
    <row r="2116" spans="1:17" x14ac:dyDescent="0.3">
      <c r="A2116" s="1">
        <v>46212</v>
      </c>
      <c r="B2116" t="s">
        <v>258</v>
      </c>
      <c r="C2116" t="s">
        <v>2612</v>
      </c>
      <c r="D2116" t="s">
        <v>2613</v>
      </c>
      <c r="E2116" t="s">
        <v>8</v>
      </c>
      <c r="F2116" t="s">
        <v>10</v>
      </c>
      <c r="G2116" s="16">
        <v>70.833500000000001</v>
      </c>
      <c r="H2116" s="16">
        <v>81.458529999999996</v>
      </c>
      <c r="J2116">
        <v>47</v>
      </c>
      <c r="K2116" t="s">
        <v>7121</v>
      </c>
      <c r="M2116">
        <v>2</v>
      </c>
      <c r="N2116">
        <v>8</v>
      </c>
      <c r="O2116" t="s">
        <v>216</v>
      </c>
      <c r="P2116" s="17"/>
      <c r="Q2116" s="17" t="str">
        <f>_xlfn.XLOOKUP(Table2[[#This Row],[buyFromVendorNo]],'Next Day Scheduled'!A:A,'Pending Returns'!O:O,"NOT_FOUND")</f>
        <v>NOT_FOUND</v>
      </c>
    </row>
    <row r="2117" spans="1:17" x14ac:dyDescent="0.3">
      <c r="A2117" s="1">
        <v>46212</v>
      </c>
      <c r="B2117" t="s">
        <v>260</v>
      </c>
      <c r="C2117" t="s">
        <v>39</v>
      </c>
      <c r="D2117" t="s">
        <v>40</v>
      </c>
      <c r="E2117" t="s">
        <v>8</v>
      </c>
      <c r="F2117" t="s">
        <v>10</v>
      </c>
      <c r="G2117" s="16">
        <v>2579.8519999999999</v>
      </c>
      <c r="H2117" s="16">
        <v>2966.8298</v>
      </c>
      <c r="I2117" s="1">
        <v>46210</v>
      </c>
      <c r="J2117">
        <v>47</v>
      </c>
      <c r="K2117" t="s">
        <v>170</v>
      </c>
      <c r="L2117" t="s">
        <v>7104</v>
      </c>
      <c r="M2117">
        <v>10</v>
      </c>
      <c r="N2117">
        <v>1</v>
      </c>
      <c r="O2117" t="s">
        <v>1036</v>
      </c>
      <c r="P2117" s="17"/>
      <c r="Q2117" s="17" t="str">
        <f>_xlfn.XLOOKUP(Table2[[#This Row],[buyFromVendorNo]],'Next Day Scheduled'!A:A,'Pending Returns'!O:O,"NOT_FOUND")</f>
        <v>Posted Credit Note</v>
      </c>
    </row>
    <row r="2118" spans="1:17" x14ac:dyDescent="0.3">
      <c r="A2118" s="1">
        <v>46212</v>
      </c>
      <c r="B2118" t="s">
        <v>1962</v>
      </c>
      <c r="C2118" t="s">
        <v>188</v>
      </c>
      <c r="D2118" t="s">
        <v>189</v>
      </c>
      <c r="E2118" t="s">
        <v>8</v>
      </c>
      <c r="F2118" t="s">
        <v>10</v>
      </c>
      <c r="G2118" s="16">
        <v>5958.6909999999998</v>
      </c>
      <c r="H2118" s="16">
        <v>6852.4946</v>
      </c>
      <c r="I2118" s="1">
        <v>46196</v>
      </c>
      <c r="J2118">
        <v>47</v>
      </c>
      <c r="K2118" t="s">
        <v>1963</v>
      </c>
      <c r="L2118" t="s">
        <v>7049</v>
      </c>
      <c r="M2118">
        <v>0</v>
      </c>
      <c r="N2118">
        <v>607</v>
      </c>
      <c r="O2118" t="s">
        <v>1036</v>
      </c>
      <c r="P2118" s="17"/>
      <c r="Q2118" s="17" t="str">
        <f>_xlfn.XLOOKUP(Table2[[#This Row],[buyFromVendorNo]],'Next Day Scheduled'!A:A,'Pending Returns'!O:O,"NOT_FOUND")</f>
        <v>NOT_FOUND</v>
      </c>
    </row>
    <row r="2119" spans="1:17" x14ac:dyDescent="0.3">
      <c r="A2119" s="1">
        <v>46212</v>
      </c>
      <c r="B2119" t="s">
        <v>276</v>
      </c>
      <c r="C2119" t="s">
        <v>188</v>
      </c>
      <c r="D2119" t="s">
        <v>189</v>
      </c>
      <c r="E2119" t="s">
        <v>8</v>
      </c>
      <c r="F2119" t="s">
        <v>10</v>
      </c>
      <c r="G2119" s="16">
        <v>11157.207</v>
      </c>
      <c r="H2119" s="16">
        <v>12830.788</v>
      </c>
      <c r="I2119" s="1">
        <v>46196</v>
      </c>
      <c r="J2119">
        <v>47</v>
      </c>
      <c r="K2119" t="s">
        <v>187</v>
      </c>
      <c r="L2119" t="s">
        <v>7108</v>
      </c>
      <c r="M2119">
        <v>0</v>
      </c>
      <c r="N2119">
        <v>607</v>
      </c>
      <c r="O2119" t="s">
        <v>1036</v>
      </c>
      <c r="P2119" s="17"/>
      <c r="Q2119" s="17" t="str">
        <f>_xlfn.XLOOKUP(Table2[[#This Row],[buyFromVendorNo]],'Next Day Scheduled'!A:A,'Pending Returns'!O:O,"NOT_FOUND")</f>
        <v>NOT_FOUND</v>
      </c>
    </row>
    <row r="2120" spans="1:17" x14ac:dyDescent="0.3">
      <c r="A2120" s="1">
        <v>46212</v>
      </c>
      <c r="B2120" t="s">
        <v>394</v>
      </c>
      <c r="C2120" t="s">
        <v>51</v>
      </c>
      <c r="D2120" t="s">
        <v>52</v>
      </c>
      <c r="E2120" t="s">
        <v>8</v>
      </c>
      <c r="F2120" t="s">
        <v>10</v>
      </c>
      <c r="G2120" s="16">
        <v>950.59</v>
      </c>
      <c r="H2120" s="16">
        <v>1093.1785</v>
      </c>
      <c r="J2120">
        <v>47</v>
      </c>
      <c r="K2120" t="s">
        <v>7107</v>
      </c>
      <c r="M2120">
        <v>3</v>
      </c>
      <c r="N2120">
        <v>1</v>
      </c>
      <c r="O2120" t="s">
        <v>216</v>
      </c>
      <c r="P2120" s="17"/>
      <c r="Q2120" s="17" t="str">
        <f>_xlfn.XLOOKUP(Table2[[#This Row],[buyFromVendorNo]],'Next Day Scheduled'!A:A,'Pending Returns'!O:O,"NOT_FOUND")</f>
        <v>NOT_FOUND</v>
      </c>
    </row>
    <row r="2121" spans="1:17" x14ac:dyDescent="0.3">
      <c r="A2121" s="1">
        <v>46212</v>
      </c>
      <c r="B2121" t="s">
        <v>3329</v>
      </c>
      <c r="C2121" t="s">
        <v>2121</v>
      </c>
      <c r="D2121" t="s">
        <v>2122</v>
      </c>
      <c r="E2121" t="s">
        <v>8</v>
      </c>
      <c r="F2121" t="s">
        <v>10</v>
      </c>
      <c r="G2121" s="16">
        <v>24.91666</v>
      </c>
      <c r="H2121" s="16">
        <v>28.654160000000001</v>
      </c>
      <c r="I2121" s="1">
        <v>46212</v>
      </c>
      <c r="J2121">
        <v>47</v>
      </c>
      <c r="K2121" t="s">
        <v>6608</v>
      </c>
      <c r="L2121" t="s">
        <v>7052</v>
      </c>
      <c r="M2121">
        <v>3</v>
      </c>
      <c r="N2121">
        <v>22</v>
      </c>
      <c r="O2121" t="s">
        <v>1036</v>
      </c>
      <c r="P2121" s="17"/>
      <c r="Q2121" s="17" t="str">
        <f>_xlfn.XLOOKUP(Table2[[#This Row],[buyFromVendorNo]],'Next Day Scheduled'!A:A,'Pending Returns'!O:O,"NOT_FOUND")</f>
        <v>NOT_FOUND</v>
      </c>
    </row>
    <row r="2122" spans="1:17" x14ac:dyDescent="0.3">
      <c r="A2122" s="1">
        <v>46212</v>
      </c>
      <c r="B2122" t="s">
        <v>5682</v>
      </c>
      <c r="C2122" t="s">
        <v>188</v>
      </c>
      <c r="D2122" t="s">
        <v>189</v>
      </c>
      <c r="E2122" t="s">
        <v>8</v>
      </c>
      <c r="F2122" t="s">
        <v>10</v>
      </c>
      <c r="G2122" s="16">
        <v>1208.1027999999999</v>
      </c>
      <c r="H2122" s="16">
        <v>1389.3181999999999</v>
      </c>
      <c r="I2122" s="1">
        <v>46199</v>
      </c>
      <c r="J2122">
        <v>47</v>
      </c>
      <c r="K2122" t="s">
        <v>541</v>
      </c>
      <c r="L2122" t="s">
        <v>7006</v>
      </c>
      <c r="M2122">
        <v>0</v>
      </c>
      <c r="N2122">
        <v>607</v>
      </c>
      <c r="O2122" t="s">
        <v>1036</v>
      </c>
      <c r="P2122" s="17"/>
      <c r="Q2122" s="17" t="str">
        <f>_xlfn.XLOOKUP(Table2[[#This Row],[buyFromVendorNo]],'Next Day Scheduled'!A:A,'Pending Returns'!O:O,"NOT_FOUND")</f>
        <v>NOT_FOUND</v>
      </c>
    </row>
    <row r="2123" spans="1:17" x14ac:dyDescent="0.3">
      <c r="A2123" s="1">
        <v>46212</v>
      </c>
      <c r="B2123" t="s">
        <v>7150</v>
      </c>
      <c r="C2123" t="s">
        <v>561</v>
      </c>
      <c r="D2123" t="s">
        <v>593</v>
      </c>
      <c r="E2123" t="s">
        <v>8</v>
      </c>
      <c r="F2123" t="s">
        <v>10</v>
      </c>
      <c r="G2123" s="16">
        <v>56</v>
      </c>
      <c r="H2123" s="16">
        <v>64.400000000000006</v>
      </c>
      <c r="J2123">
        <v>47</v>
      </c>
      <c r="K2123" t="s">
        <v>7151</v>
      </c>
      <c r="M2123">
        <v>6</v>
      </c>
      <c r="N2123">
        <v>6</v>
      </c>
      <c r="O2123" t="s">
        <v>216</v>
      </c>
      <c r="P2123" s="17"/>
      <c r="Q2123" s="17" t="str">
        <f>_xlfn.XLOOKUP(Table2[[#This Row],[buyFromVendorNo]],'Next Day Scheduled'!A:A,'Pending Returns'!O:O,"NOT_FOUND")</f>
        <v>NOT_FOUND</v>
      </c>
    </row>
    <row r="2124" spans="1:17" x14ac:dyDescent="0.3">
      <c r="A2124" s="1">
        <v>46212</v>
      </c>
      <c r="B2124" t="s">
        <v>3369</v>
      </c>
      <c r="C2124" t="s">
        <v>3202</v>
      </c>
      <c r="D2124" t="s">
        <v>3203</v>
      </c>
      <c r="E2124" t="s">
        <v>8</v>
      </c>
      <c r="F2124" t="s">
        <v>10</v>
      </c>
      <c r="G2124" s="16">
        <v>70</v>
      </c>
      <c r="H2124" s="16">
        <v>80.5</v>
      </c>
      <c r="J2124">
        <v>47</v>
      </c>
      <c r="K2124" t="s">
        <v>7175</v>
      </c>
      <c r="M2124">
        <v>4</v>
      </c>
      <c r="N2124">
        <v>10</v>
      </c>
      <c r="O2124" t="s">
        <v>216</v>
      </c>
      <c r="P2124" s="17"/>
      <c r="Q2124" s="17" t="str">
        <f>_xlfn.XLOOKUP(Table2[[#This Row],[buyFromVendorNo]],'Next Day Scheduled'!A:A,'Pending Returns'!O:O,"NOT_FOUND")</f>
        <v>Posted Credit Note</v>
      </c>
    </row>
    <row r="2125" spans="1:17" x14ac:dyDescent="0.3">
      <c r="A2125" s="1">
        <v>46212</v>
      </c>
      <c r="B2125" t="s">
        <v>1493</v>
      </c>
      <c r="C2125" t="s">
        <v>173</v>
      </c>
      <c r="D2125" t="s">
        <v>174</v>
      </c>
      <c r="E2125" t="s">
        <v>8</v>
      </c>
      <c r="F2125" t="s">
        <v>10</v>
      </c>
      <c r="G2125" s="16">
        <v>1010.28</v>
      </c>
      <c r="H2125" s="16">
        <v>1161.8219999999999</v>
      </c>
      <c r="J2125">
        <v>47</v>
      </c>
      <c r="K2125" t="s">
        <v>7090</v>
      </c>
      <c r="M2125">
        <v>13</v>
      </c>
      <c r="N2125">
        <v>1</v>
      </c>
      <c r="O2125" t="s">
        <v>216</v>
      </c>
      <c r="P2125" s="17"/>
      <c r="Q2125" s="17" t="str">
        <f>_xlfn.XLOOKUP(Table2[[#This Row],[buyFromVendorNo]],'Next Day Scheduled'!A:A,'Pending Returns'!O:O,"NOT_FOUND")</f>
        <v>NOT_FOUND</v>
      </c>
    </row>
    <row r="2126" spans="1:17" x14ac:dyDescent="0.3">
      <c r="A2126" s="1">
        <v>46212</v>
      </c>
      <c r="B2126" t="s">
        <v>642</v>
      </c>
      <c r="C2126" t="s">
        <v>562</v>
      </c>
      <c r="D2126" t="s">
        <v>563</v>
      </c>
      <c r="E2126" t="s">
        <v>8</v>
      </c>
      <c r="F2126" t="s">
        <v>38</v>
      </c>
      <c r="G2126" s="16">
        <v>2918.2656000000002</v>
      </c>
      <c r="H2126" s="16">
        <v>3356.0054</v>
      </c>
      <c r="I2126" s="1">
        <v>46208</v>
      </c>
      <c r="J2126">
        <v>47</v>
      </c>
      <c r="K2126" t="s">
        <v>6663</v>
      </c>
      <c r="L2126" t="s">
        <v>7092</v>
      </c>
      <c r="M2126">
        <v>15</v>
      </c>
      <c r="N2126">
        <v>23</v>
      </c>
      <c r="O2126" t="s">
        <v>1036</v>
      </c>
      <c r="P2126" s="17"/>
      <c r="Q2126" s="17" t="str">
        <f>_xlfn.XLOOKUP(Table2[[#This Row],[buyFromVendorNo]],'Next Day Scheduled'!A:A,'Pending Returns'!O:O,"NOT_FOUND")</f>
        <v>NOT_FOUND</v>
      </c>
    </row>
    <row r="2127" spans="1:17" x14ac:dyDescent="0.3">
      <c r="A2127" s="1">
        <v>46212</v>
      </c>
      <c r="B2127" t="s">
        <v>2954</v>
      </c>
      <c r="C2127" t="s">
        <v>188</v>
      </c>
      <c r="D2127" t="s">
        <v>189</v>
      </c>
      <c r="E2127" t="s">
        <v>8</v>
      </c>
      <c r="F2127" t="s">
        <v>10</v>
      </c>
      <c r="G2127" s="16">
        <v>213.375</v>
      </c>
      <c r="H2127" s="16">
        <v>245.38126</v>
      </c>
      <c r="I2127" s="1">
        <v>46196</v>
      </c>
      <c r="J2127">
        <v>47</v>
      </c>
      <c r="K2127" t="s">
        <v>5442</v>
      </c>
      <c r="L2127" t="s">
        <v>7008</v>
      </c>
      <c r="M2127">
        <v>0</v>
      </c>
      <c r="N2127">
        <v>607</v>
      </c>
      <c r="O2127" t="s">
        <v>1036</v>
      </c>
      <c r="P2127" s="17"/>
      <c r="Q2127" s="17" t="str">
        <f>_xlfn.XLOOKUP(Table2[[#This Row],[buyFromVendorNo]],'Next Day Scheduled'!A:A,'Pending Returns'!O:O,"NOT_FOUND")</f>
        <v>NOT_FOUND</v>
      </c>
    </row>
    <row r="2128" spans="1:17" x14ac:dyDescent="0.3">
      <c r="A2128" s="1">
        <v>46212</v>
      </c>
      <c r="B2128" t="s">
        <v>2655</v>
      </c>
      <c r="C2128" t="s">
        <v>201</v>
      </c>
      <c r="D2128" t="s">
        <v>202</v>
      </c>
      <c r="E2128" t="s">
        <v>8</v>
      </c>
      <c r="F2128" t="s">
        <v>10</v>
      </c>
      <c r="G2128" s="16">
        <v>459.32929999999999</v>
      </c>
      <c r="H2128" s="16">
        <v>528.22875999999997</v>
      </c>
      <c r="I2128" s="1">
        <v>46210</v>
      </c>
      <c r="J2128">
        <v>47</v>
      </c>
      <c r="K2128" t="s">
        <v>6634</v>
      </c>
      <c r="L2128" t="s">
        <v>7062</v>
      </c>
      <c r="M2128">
        <v>6</v>
      </c>
      <c r="N2128">
        <v>1</v>
      </c>
      <c r="O2128" t="s">
        <v>1036</v>
      </c>
      <c r="P2128" s="17"/>
      <c r="Q2128" s="17" t="str">
        <f>_xlfn.XLOOKUP(Table2[[#This Row],[buyFromVendorNo]],'Next Day Scheduled'!A:A,'Pending Returns'!O:O,"NOT_FOUND")</f>
        <v>Pending for Collection</v>
      </c>
    </row>
    <row r="2129" spans="1:17" x14ac:dyDescent="0.3">
      <c r="A2129" s="1">
        <v>46212</v>
      </c>
      <c r="B2129" t="s">
        <v>232</v>
      </c>
      <c r="C2129" t="s">
        <v>2341</v>
      </c>
      <c r="D2129" t="s">
        <v>2342</v>
      </c>
      <c r="E2129" t="s">
        <v>8</v>
      </c>
      <c r="F2129" t="s">
        <v>10</v>
      </c>
      <c r="G2129" s="16">
        <v>42.833329999999997</v>
      </c>
      <c r="H2129" s="16">
        <v>49.258330000000001</v>
      </c>
      <c r="J2129">
        <v>47</v>
      </c>
      <c r="K2129" t="s">
        <v>7117</v>
      </c>
      <c r="M2129">
        <v>1</v>
      </c>
      <c r="N2129">
        <v>47</v>
      </c>
      <c r="O2129" t="s">
        <v>216</v>
      </c>
      <c r="P2129" s="17"/>
      <c r="Q2129" s="17" t="str">
        <f>_xlfn.XLOOKUP(Table2[[#This Row],[buyFromVendorNo]],'Next Day Scheduled'!A:A,'Pending Returns'!O:O,"NOT_FOUND")</f>
        <v>NOT_FOUND</v>
      </c>
    </row>
    <row r="2130" spans="1:17" x14ac:dyDescent="0.3">
      <c r="A2130" s="1">
        <v>46212</v>
      </c>
      <c r="B2130" t="s">
        <v>5222</v>
      </c>
      <c r="C2130" t="s">
        <v>1031</v>
      </c>
      <c r="D2130" t="s">
        <v>1032</v>
      </c>
      <c r="E2130" t="s">
        <v>8</v>
      </c>
      <c r="F2130" t="s">
        <v>38</v>
      </c>
      <c r="G2130" s="16">
        <v>1882.54</v>
      </c>
      <c r="H2130" s="16">
        <v>2164.9209999999998</v>
      </c>
      <c r="I2130" s="1">
        <v>46212</v>
      </c>
      <c r="J2130">
        <v>47</v>
      </c>
      <c r="K2130" t="s">
        <v>6540</v>
      </c>
      <c r="L2130" t="s">
        <v>7065</v>
      </c>
      <c r="M2130">
        <v>6</v>
      </c>
      <c r="N2130">
        <v>7</v>
      </c>
      <c r="O2130" t="s">
        <v>1036</v>
      </c>
      <c r="P2130" s="17"/>
      <c r="Q2130" s="17" t="str">
        <f>_xlfn.XLOOKUP(Table2[[#This Row],[buyFromVendorNo]],'Next Day Scheduled'!A:A,'Pending Returns'!O:O,"NOT_FOUND")</f>
        <v>Pending for Collection</v>
      </c>
    </row>
    <row r="2131" spans="1:17" x14ac:dyDescent="0.3">
      <c r="A2131" s="1">
        <v>46212</v>
      </c>
      <c r="B2131" t="s">
        <v>642</v>
      </c>
      <c r="C2131" t="s">
        <v>4387</v>
      </c>
      <c r="D2131" t="s">
        <v>4388</v>
      </c>
      <c r="E2131" t="s">
        <v>8</v>
      </c>
      <c r="F2131" t="s">
        <v>38</v>
      </c>
      <c r="G2131" s="16">
        <v>620</v>
      </c>
      <c r="H2131" s="16">
        <v>713</v>
      </c>
      <c r="I2131" s="1">
        <v>46197</v>
      </c>
      <c r="J2131">
        <v>47</v>
      </c>
      <c r="K2131" t="s">
        <v>4479</v>
      </c>
      <c r="L2131" t="s">
        <v>7042</v>
      </c>
      <c r="M2131">
        <v>4</v>
      </c>
      <c r="N2131">
        <v>10</v>
      </c>
      <c r="O2131" t="s">
        <v>1036</v>
      </c>
      <c r="P2131" s="17"/>
      <c r="Q2131" s="17" t="str">
        <f>_xlfn.XLOOKUP(Table2[[#This Row],[buyFromVendorNo]],'Next Day Scheduled'!A:A,'Pending Returns'!O:O,"NOT_FOUND")</f>
        <v>NOT_FOUND</v>
      </c>
    </row>
    <row r="2132" spans="1:17" x14ac:dyDescent="0.3">
      <c r="A2132" s="1">
        <v>46212</v>
      </c>
      <c r="B2132" t="s">
        <v>2634</v>
      </c>
      <c r="C2132" t="s">
        <v>16</v>
      </c>
      <c r="D2132" t="s">
        <v>17</v>
      </c>
      <c r="E2132" t="s">
        <v>8</v>
      </c>
      <c r="F2132" t="s">
        <v>10</v>
      </c>
      <c r="G2132" s="16">
        <v>1561.2166999999999</v>
      </c>
      <c r="H2132" s="16">
        <v>1795.3992000000001</v>
      </c>
      <c r="I2132" s="1">
        <v>46207</v>
      </c>
      <c r="J2132">
        <v>47</v>
      </c>
      <c r="K2132" t="s">
        <v>2635</v>
      </c>
      <c r="L2132" t="s">
        <v>7014</v>
      </c>
      <c r="M2132">
        <v>7</v>
      </c>
      <c r="N2132">
        <v>3</v>
      </c>
      <c r="O2132" t="s">
        <v>1036</v>
      </c>
      <c r="P2132" s="17"/>
      <c r="Q2132" s="17" t="str">
        <f>_xlfn.XLOOKUP(Table2[[#This Row],[buyFromVendorNo]],'Next Day Scheduled'!A:A,'Pending Returns'!O:O,"NOT_FOUND")</f>
        <v>Posted Credit Note</v>
      </c>
    </row>
    <row r="2133" spans="1:17" x14ac:dyDescent="0.3">
      <c r="A2133" s="1">
        <v>46212</v>
      </c>
      <c r="B2133" t="s">
        <v>392</v>
      </c>
      <c r="C2133" t="s">
        <v>2390</v>
      </c>
      <c r="D2133" t="s">
        <v>2391</v>
      </c>
      <c r="E2133" t="s">
        <v>8</v>
      </c>
      <c r="F2133" t="s">
        <v>10</v>
      </c>
      <c r="G2133" s="16">
        <v>138.63999999999999</v>
      </c>
      <c r="H2133" s="16">
        <v>159.43600000000001</v>
      </c>
      <c r="I2133" s="1">
        <v>46195</v>
      </c>
      <c r="J2133">
        <v>47</v>
      </c>
      <c r="K2133" t="s">
        <v>4975</v>
      </c>
      <c r="L2133" t="s">
        <v>7044</v>
      </c>
      <c r="M2133">
        <v>7</v>
      </c>
      <c r="N2133">
        <v>1</v>
      </c>
      <c r="O2133" t="s">
        <v>1036</v>
      </c>
      <c r="P2133" s="17"/>
      <c r="Q2133" s="17" t="str">
        <f>_xlfn.XLOOKUP(Table2[[#This Row],[buyFromVendorNo]],'Next Day Scheduled'!A:A,'Pending Returns'!O:O,"NOT_FOUND")</f>
        <v>NOT_FOUND</v>
      </c>
    </row>
    <row r="2134" spans="1:17" x14ac:dyDescent="0.3">
      <c r="A2134" s="1">
        <v>46212</v>
      </c>
      <c r="B2134" t="s">
        <v>612</v>
      </c>
      <c r="C2134" t="s">
        <v>69</v>
      </c>
      <c r="D2134" t="s">
        <v>70</v>
      </c>
      <c r="E2134" t="s">
        <v>8</v>
      </c>
      <c r="F2134" t="s">
        <v>10</v>
      </c>
      <c r="G2134" s="16">
        <v>363.62</v>
      </c>
      <c r="H2134" s="16">
        <v>418.16300000000001</v>
      </c>
      <c r="I2134" s="1">
        <v>46210</v>
      </c>
      <c r="J2134">
        <v>47</v>
      </c>
      <c r="K2134" t="s">
        <v>6870</v>
      </c>
      <c r="L2134" t="s">
        <v>7067</v>
      </c>
      <c r="M2134">
        <v>33</v>
      </c>
      <c r="N2134">
        <v>1</v>
      </c>
      <c r="O2134" t="s">
        <v>1036</v>
      </c>
      <c r="P2134" s="17"/>
      <c r="Q2134" s="17" t="str">
        <f>_xlfn.XLOOKUP(Table2[[#This Row],[buyFromVendorNo]],'Next Day Scheduled'!A:A,'Pending Returns'!O:O,"NOT_FOUND")</f>
        <v>Posted Credit Note</v>
      </c>
    </row>
    <row r="2135" spans="1:17" x14ac:dyDescent="0.3">
      <c r="A2135" s="1">
        <v>46212</v>
      </c>
      <c r="B2135" t="s">
        <v>2936</v>
      </c>
      <c r="C2135" t="s">
        <v>2302</v>
      </c>
      <c r="D2135" t="s">
        <v>2303</v>
      </c>
      <c r="E2135" t="s">
        <v>8</v>
      </c>
      <c r="F2135" t="s">
        <v>10</v>
      </c>
      <c r="G2135" s="16">
        <v>134.88</v>
      </c>
      <c r="H2135" s="16">
        <v>155.11199999999999</v>
      </c>
      <c r="J2135">
        <v>47</v>
      </c>
      <c r="K2135" t="s">
        <v>7164</v>
      </c>
      <c r="M2135">
        <v>4</v>
      </c>
      <c r="N2135">
        <v>16</v>
      </c>
      <c r="O2135" t="s">
        <v>216</v>
      </c>
      <c r="P2135" s="17"/>
      <c r="Q2135" s="17" t="str">
        <f>_xlfn.XLOOKUP(Table2[[#This Row],[buyFromVendorNo]],'Next Day Scheduled'!A:A,'Pending Returns'!O:O,"NOT_FOUND")</f>
        <v>NOT_FOUND</v>
      </c>
    </row>
    <row r="2136" spans="1:17" x14ac:dyDescent="0.3">
      <c r="A2136" s="1">
        <v>46212</v>
      </c>
      <c r="B2136" t="s">
        <v>3252</v>
      </c>
      <c r="C2136" t="s">
        <v>2388</v>
      </c>
      <c r="D2136" t="s">
        <v>2389</v>
      </c>
      <c r="E2136" t="s">
        <v>8</v>
      </c>
      <c r="F2136" t="s">
        <v>10</v>
      </c>
      <c r="G2136" s="16">
        <v>283.19659999999999</v>
      </c>
      <c r="H2136" s="16">
        <v>325.67610000000002</v>
      </c>
      <c r="I2136" s="1">
        <v>46177</v>
      </c>
      <c r="J2136">
        <v>47</v>
      </c>
      <c r="K2136" t="s">
        <v>3108</v>
      </c>
      <c r="L2136" t="s">
        <v>7016</v>
      </c>
      <c r="M2136">
        <v>5</v>
      </c>
      <c r="N2136">
        <v>8</v>
      </c>
      <c r="O2136" t="s">
        <v>1036</v>
      </c>
      <c r="P2136" s="17"/>
      <c r="Q2136" s="17" t="str">
        <f>_xlfn.XLOOKUP(Table2[[#This Row],[buyFromVendorNo]],'Next Day Scheduled'!A:A,'Pending Returns'!O:O,"NOT_FOUND")</f>
        <v>NOT_FOUND</v>
      </c>
    </row>
    <row r="2137" spans="1:17" x14ac:dyDescent="0.3">
      <c r="A2137" s="1">
        <v>46212</v>
      </c>
      <c r="B2137" t="s">
        <v>671</v>
      </c>
      <c r="C2137" t="s">
        <v>1884</v>
      </c>
      <c r="D2137" t="s">
        <v>1885</v>
      </c>
      <c r="E2137" t="s">
        <v>8</v>
      </c>
      <c r="F2137" t="s">
        <v>10</v>
      </c>
      <c r="G2137" s="16">
        <v>3992</v>
      </c>
      <c r="H2137" s="16">
        <v>4590.8</v>
      </c>
      <c r="I2137" s="1">
        <v>46181</v>
      </c>
      <c r="J2137">
        <v>47</v>
      </c>
      <c r="K2137" t="s">
        <v>2709</v>
      </c>
      <c r="L2137" t="s">
        <v>7018</v>
      </c>
      <c r="M2137">
        <v>2</v>
      </c>
      <c r="N2137">
        <v>33</v>
      </c>
      <c r="O2137" t="s">
        <v>1036</v>
      </c>
      <c r="P2137" s="17"/>
      <c r="Q2137" s="17" t="str">
        <f>_xlfn.XLOOKUP(Table2[[#This Row],[buyFromVendorNo]],'Next Day Scheduled'!A:A,'Pending Returns'!O:O,"NOT_FOUND")</f>
        <v>Pending for Collection</v>
      </c>
    </row>
    <row r="2138" spans="1:17" x14ac:dyDescent="0.3">
      <c r="A2138" s="1">
        <v>46212</v>
      </c>
      <c r="B2138" t="s">
        <v>3263</v>
      </c>
      <c r="C2138" t="s">
        <v>1124</v>
      </c>
      <c r="D2138" t="s">
        <v>1125</v>
      </c>
      <c r="E2138" t="s">
        <v>8</v>
      </c>
      <c r="F2138" t="s">
        <v>10</v>
      </c>
      <c r="G2138" s="16">
        <v>3675.4</v>
      </c>
      <c r="H2138" s="16">
        <v>4226.71</v>
      </c>
      <c r="I2138" s="1">
        <v>46205</v>
      </c>
      <c r="J2138">
        <v>47</v>
      </c>
      <c r="K2138" t="s">
        <v>3140</v>
      </c>
      <c r="L2138" t="s">
        <v>7019</v>
      </c>
      <c r="M2138">
        <v>0</v>
      </c>
      <c r="N2138">
        <v>246</v>
      </c>
      <c r="O2138" t="s">
        <v>1036</v>
      </c>
      <c r="P2138" s="17"/>
      <c r="Q2138" s="17" t="str">
        <f>_xlfn.XLOOKUP(Table2[[#This Row],[buyFromVendorNo]],'Next Day Scheduled'!A:A,'Pending Returns'!O:O,"NOT_FOUND")</f>
        <v>NOT_FOUND</v>
      </c>
    </row>
    <row r="2139" spans="1:17" x14ac:dyDescent="0.3">
      <c r="A2139" s="1">
        <v>46212</v>
      </c>
      <c r="B2139" t="s">
        <v>5901</v>
      </c>
      <c r="C2139" t="s">
        <v>1725</v>
      </c>
      <c r="D2139" t="s">
        <v>1726</v>
      </c>
      <c r="E2139" t="s">
        <v>8</v>
      </c>
      <c r="F2139" t="s">
        <v>10</v>
      </c>
      <c r="G2139" s="16">
        <v>85.533000000000001</v>
      </c>
      <c r="H2139" s="16">
        <v>98.362949999999998</v>
      </c>
      <c r="J2139">
        <v>47</v>
      </c>
      <c r="K2139" t="s">
        <v>7167</v>
      </c>
      <c r="M2139">
        <v>3</v>
      </c>
      <c r="N2139">
        <v>28</v>
      </c>
      <c r="O2139" t="s">
        <v>216</v>
      </c>
      <c r="P2139" s="17"/>
      <c r="Q2139" s="17" t="str">
        <f>_xlfn.XLOOKUP(Table2[[#This Row],[buyFromVendorNo]],'Next Day Scheduled'!A:A,'Pending Returns'!O:O,"NOT_FOUND")</f>
        <v>Posted Credit Note</v>
      </c>
    </row>
    <row r="2140" spans="1:17" x14ac:dyDescent="0.3">
      <c r="A2140" s="1">
        <v>46212</v>
      </c>
      <c r="B2140" t="s">
        <v>5233</v>
      </c>
      <c r="C2140" t="s">
        <v>420</v>
      </c>
      <c r="D2140" t="s">
        <v>421</v>
      </c>
      <c r="E2140" t="s">
        <v>8</v>
      </c>
      <c r="F2140" t="s">
        <v>10</v>
      </c>
      <c r="G2140" s="16">
        <v>583.41</v>
      </c>
      <c r="H2140" s="16">
        <v>670.92150000000004</v>
      </c>
      <c r="I2140" s="1">
        <v>46194</v>
      </c>
      <c r="J2140">
        <v>47</v>
      </c>
      <c r="K2140" t="s">
        <v>5234</v>
      </c>
      <c r="L2140" t="s">
        <v>7072</v>
      </c>
      <c r="M2140">
        <v>7</v>
      </c>
      <c r="N2140">
        <v>3</v>
      </c>
      <c r="O2140" t="s">
        <v>1036</v>
      </c>
      <c r="P2140" s="17"/>
      <c r="Q2140" s="17" t="str">
        <f>_xlfn.XLOOKUP(Table2[[#This Row],[buyFromVendorNo]],'Next Day Scheduled'!A:A,'Pending Returns'!O:O,"NOT_FOUND")</f>
        <v>NOT_FOUND</v>
      </c>
    </row>
    <row r="2141" spans="1:17" x14ac:dyDescent="0.3">
      <c r="A2141" s="1">
        <v>46212</v>
      </c>
      <c r="B2141" t="s">
        <v>6615</v>
      </c>
      <c r="C2141" t="s">
        <v>43</v>
      </c>
      <c r="D2141" t="s">
        <v>44</v>
      </c>
      <c r="E2141" t="s">
        <v>8</v>
      </c>
      <c r="F2141" t="s">
        <v>38</v>
      </c>
      <c r="G2141" s="16">
        <v>6430.58</v>
      </c>
      <c r="H2141" s="16">
        <v>7395.1670000000004</v>
      </c>
      <c r="I2141" s="1">
        <v>46208</v>
      </c>
      <c r="J2141">
        <v>47</v>
      </c>
      <c r="K2141" t="s">
        <v>6616</v>
      </c>
      <c r="L2141" t="s">
        <v>7102</v>
      </c>
      <c r="M2141">
        <v>44</v>
      </c>
      <c r="N2141">
        <v>1</v>
      </c>
      <c r="O2141" t="s">
        <v>1036</v>
      </c>
      <c r="P2141" s="17"/>
      <c r="Q2141" s="17" t="str">
        <f>_xlfn.XLOOKUP(Table2[[#This Row],[buyFromVendorNo]],'Next Day Scheduled'!A:A,'Pending Returns'!O:O,"NOT_FOUND")</f>
        <v>Posted Credit Note</v>
      </c>
    </row>
    <row r="2142" spans="1:17" x14ac:dyDescent="0.3">
      <c r="A2142" s="1">
        <v>46212</v>
      </c>
      <c r="B2142" t="s">
        <v>2517</v>
      </c>
      <c r="C2142" t="s">
        <v>69</v>
      </c>
      <c r="D2142" t="s">
        <v>70</v>
      </c>
      <c r="E2142" t="s">
        <v>8</v>
      </c>
      <c r="F2142" t="s">
        <v>10</v>
      </c>
      <c r="G2142" s="16">
        <v>457.01</v>
      </c>
      <c r="H2142" s="16">
        <v>525.56150000000002</v>
      </c>
      <c r="I2142" s="1">
        <v>46210</v>
      </c>
      <c r="J2142">
        <v>47</v>
      </c>
      <c r="K2142" t="s">
        <v>6556</v>
      </c>
      <c r="L2142" t="s">
        <v>7079</v>
      </c>
      <c r="M2142">
        <v>33</v>
      </c>
      <c r="N2142">
        <v>1</v>
      </c>
      <c r="O2142" t="s">
        <v>1036</v>
      </c>
      <c r="P2142" s="17"/>
      <c r="Q2142" s="17" t="str">
        <f>_xlfn.XLOOKUP(Table2[[#This Row],[buyFromVendorNo]],'Next Day Scheduled'!A:A,'Pending Returns'!O:O,"NOT_FOUND")</f>
        <v>Posted Credit Note</v>
      </c>
    </row>
    <row r="2143" spans="1:17" x14ac:dyDescent="0.3">
      <c r="A2143" s="1">
        <v>46212</v>
      </c>
      <c r="B2143" t="s">
        <v>5410</v>
      </c>
      <c r="C2143" t="s">
        <v>634</v>
      </c>
      <c r="D2143" t="s">
        <v>659</v>
      </c>
      <c r="E2143" t="s">
        <v>8</v>
      </c>
      <c r="F2143" t="s">
        <v>10</v>
      </c>
      <c r="G2143" s="16">
        <v>2397.4167000000002</v>
      </c>
      <c r="H2143" s="16">
        <v>2757.029</v>
      </c>
      <c r="I2143" s="1">
        <v>46203</v>
      </c>
      <c r="J2143">
        <v>47</v>
      </c>
      <c r="K2143" t="s">
        <v>6182</v>
      </c>
      <c r="L2143" t="s">
        <v>6991</v>
      </c>
      <c r="M2143">
        <v>4</v>
      </c>
      <c r="N2143">
        <v>7</v>
      </c>
      <c r="O2143" t="s">
        <v>1036</v>
      </c>
      <c r="P2143" s="17"/>
      <c r="Q2143" s="17" t="str">
        <f>_xlfn.XLOOKUP(Table2[[#This Row],[buyFromVendorNo]],'Next Day Scheduled'!A:A,'Pending Returns'!O:O,"NOT_FOUND")</f>
        <v>Posted Credit Note</v>
      </c>
    </row>
    <row r="2144" spans="1:17" x14ac:dyDescent="0.3">
      <c r="A2144" s="1">
        <v>46212</v>
      </c>
      <c r="B2144" t="s">
        <v>4096</v>
      </c>
      <c r="C2144" t="s">
        <v>548</v>
      </c>
      <c r="D2144" t="s">
        <v>549</v>
      </c>
      <c r="E2144" t="s">
        <v>8</v>
      </c>
      <c r="F2144" t="s">
        <v>10</v>
      </c>
      <c r="G2144" s="16">
        <v>1727.0304000000001</v>
      </c>
      <c r="H2144" s="16">
        <v>1986.085</v>
      </c>
      <c r="I2144" s="1">
        <v>46210</v>
      </c>
      <c r="J2144">
        <v>47</v>
      </c>
      <c r="K2144" t="s">
        <v>6830</v>
      </c>
      <c r="L2144" t="s">
        <v>7111</v>
      </c>
      <c r="M2144">
        <v>6</v>
      </c>
      <c r="N2144">
        <v>3</v>
      </c>
      <c r="O2144" t="s">
        <v>1036</v>
      </c>
      <c r="P2144" s="17"/>
      <c r="Q2144" s="17" t="str">
        <f>_xlfn.XLOOKUP(Table2[[#This Row],[buyFromVendorNo]],'Next Day Scheduled'!A:A,'Pending Returns'!O:O,"NOT_FOUND")</f>
        <v>NOT_FOUND</v>
      </c>
    </row>
    <row r="2145" spans="1:17" x14ac:dyDescent="0.3">
      <c r="A2145" s="1">
        <v>46212</v>
      </c>
      <c r="B2145" t="s">
        <v>5228</v>
      </c>
      <c r="C2145" t="s">
        <v>941</v>
      </c>
      <c r="D2145" t="s">
        <v>942</v>
      </c>
      <c r="E2145" t="s">
        <v>8</v>
      </c>
      <c r="F2145" t="s">
        <v>38</v>
      </c>
      <c r="G2145" s="16">
        <v>2674.02</v>
      </c>
      <c r="H2145" s="16">
        <v>3075.123</v>
      </c>
      <c r="I2145" s="1">
        <v>46209</v>
      </c>
      <c r="J2145">
        <v>47</v>
      </c>
      <c r="K2145" t="s">
        <v>6669</v>
      </c>
      <c r="L2145" t="s">
        <v>7083</v>
      </c>
      <c r="M2145">
        <v>7</v>
      </c>
      <c r="N2145">
        <v>1</v>
      </c>
      <c r="O2145" t="s">
        <v>1036</v>
      </c>
      <c r="P2145" s="17"/>
      <c r="Q2145" s="17" t="str">
        <f>_xlfn.XLOOKUP(Table2[[#This Row],[buyFromVendorNo]],'Next Day Scheduled'!A:A,'Pending Returns'!O:O,"NOT_FOUND")</f>
        <v>NOT_FOUND</v>
      </c>
    </row>
    <row r="2146" spans="1:17" x14ac:dyDescent="0.3">
      <c r="A2146" s="1">
        <v>46212</v>
      </c>
      <c r="B2146" t="s">
        <v>5264</v>
      </c>
      <c r="C2146" t="s">
        <v>2341</v>
      </c>
      <c r="D2146" t="s">
        <v>2342</v>
      </c>
      <c r="E2146" t="s">
        <v>8</v>
      </c>
      <c r="F2146" t="s">
        <v>10</v>
      </c>
      <c r="G2146" s="16">
        <v>279.66665999999998</v>
      </c>
      <c r="H2146" s="16">
        <v>321.61667</v>
      </c>
      <c r="I2146" s="1">
        <v>46207</v>
      </c>
      <c r="J2146">
        <v>47</v>
      </c>
      <c r="K2146" t="s">
        <v>5265</v>
      </c>
      <c r="L2146" t="s">
        <v>7046</v>
      </c>
      <c r="M2146">
        <v>1</v>
      </c>
      <c r="N2146">
        <v>47</v>
      </c>
      <c r="O2146" t="s">
        <v>1036</v>
      </c>
      <c r="P2146" s="17"/>
      <c r="Q2146" s="17" t="str">
        <f>_xlfn.XLOOKUP(Table2[[#This Row],[buyFromVendorNo]],'Next Day Scheduled'!A:A,'Pending Returns'!O:O,"NOT_FOUND")</f>
        <v>NOT_FOUND</v>
      </c>
    </row>
    <row r="2147" spans="1:17" x14ac:dyDescent="0.3">
      <c r="A2147" s="1">
        <v>46212</v>
      </c>
      <c r="B2147" t="s">
        <v>539</v>
      </c>
      <c r="C2147" t="s">
        <v>177</v>
      </c>
      <c r="D2147" t="s">
        <v>178</v>
      </c>
      <c r="E2147" t="s">
        <v>8</v>
      </c>
      <c r="F2147" t="s">
        <v>10</v>
      </c>
      <c r="G2147" s="16">
        <v>50.65</v>
      </c>
      <c r="H2147" s="16">
        <v>58.247500000000002</v>
      </c>
      <c r="I2147" s="1">
        <v>46207</v>
      </c>
      <c r="J2147">
        <v>47</v>
      </c>
      <c r="K2147" t="s">
        <v>4930</v>
      </c>
      <c r="L2147" t="s">
        <v>7068</v>
      </c>
      <c r="M2147">
        <v>14</v>
      </c>
      <c r="N2147">
        <v>2</v>
      </c>
      <c r="O2147" t="s">
        <v>1036</v>
      </c>
      <c r="P2147" s="17"/>
      <c r="Q2147" s="17" t="str">
        <f>_xlfn.XLOOKUP(Table2[[#This Row],[buyFromVendorNo]],'Next Day Scheduled'!A:A,'Pending Returns'!O:O,"NOT_FOUND")</f>
        <v>Posted Credit Note</v>
      </c>
    </row>
    <row r="2148" spans="1:17" x14ac:dyDescent="0.3">
      <c r="A2148" s="1">
        <v>46212</v>
      </c>
      <c r="B2148" t="s">
        <v>243</v>
      </c>
      <c r="C2148" t="s">
        <v>173</v>
      </c>
      <c r="D2148" t="s">
        <v>174</v>
      </c>
      <c r="E2148" t="s">
        <v>8</v>
      </c>
      <c r="F2148" t="s">
        <v>10</v>
      </c>
      <c r="G2148" s="16">
        <v>2654.26</v>
      </c>
      <c r="H2148" s="16">
        <v>3052.3989999999999</v>
      </c>
      <c r="I2148" s="1">
        <v>46187</v>
      </c>
      <c r="J2148">
        <v>47</v>
      </c>
      <c r="K2148" t="s">
        <v>1974</v>
      </c>
      <c r="L2148" t="s">
        <v>7076</v>
      </c>
      <c r="M2148">
        <v>13</v>
      </c>
      <c r="N2148">
        <v>1</v>
      </c>
      <c r="O2148" t="s">
        <v>1036</v>
      </c>
      <c r="P2148" s="17"/>
      <c r="Q2148" s="17" t="str">
        <f>_xlfn.XLOOKUP(Table2[[#This Row],[buyFromVendorNo]],'Next Day Scheduled'!A:A,'Pending Returns'!O:O,"NOT_FOUND")</f>
        <v>NOT_FOUND</v>
      </c>
    </row>
    <row r="2149" spans="1:17" x14ac:dyDescent="0.3">
      <c r="A2149" s="1">
        <v>46212</v>
      </c>
      <c r="B2149" t="s">
        <v>5303</v>
      </c>
      <c r="C2149" t="s">
        <v>966</v>
      </c>
      <c r="D2149" t="s">
        <v>967</v>
      </c>
      <c r="E2149" t="s">
        <v>8</v>
      </c>
      <c r="F2149" t="s">
        <v>10</v>
      </c>
      <c r="G2149" s="16">
        <v>567.83000000000004</v>
      </c>
      <c r="H2149" s="16">
        <v>653.00450000000001</v>
      </c>
      <c r="I2149" s="1">
        <v>46204</v>
      </c>
      <c r="J2149">
        <v>47</v>
      </c>
      <c r="K2149" t="s">
        <v>5304</v>
      </c>
      <c r="L2149" t="s">
        <v>7078</v>
      </c>
      <c r="M2149">
        <v>3</v>
      </c>
      <c r="N2149">
        <v>10</v>
      </c>
      <c r="O2149" t="s">
        <v>1036</v>
      </c>
      <c r="P2149" s="17"/>
      <c r="Q2149" s="17" t="str">
        <f>_xlfn.XLOOKUP(Table2[[#This Row],[buyFromVendorNo]],'Next Day Scheduled'!A:A,'Pending Returns'!O:O,"NOT_FOUND")</f>
        <v>NOT_FOUND</v>
      </c>
    </row>
    <row r="2150" spans="1:17" x14ac:dyDescent="0.3">
      <c r="A2150" s="1">
        <v>46212</v>
      </c>
      <c r="B2150" t="s">
        <v>4677</v>
      </c>
      <c r="C2150" t="s">
        <v>931</v>
      </c>
      <c r="D2150" t="s">
        <v>1767</v>
      </c>
      <c r="E2150" t="s">
        <v>8</v>
      </c>
      <c r="F2150" t="s">
        <v>10</v>
      </c>
      <c r="G2150" s="16">
        <v>1109.4100000000001</v>
      </c>
      <c r="H2150" s="16">
        <v>1275.8215</v>
      </c>
      <c r="I2150" s="1">
        <v>46195</v>
      </c>
      <c r="J2150">
        <v>47</v>
      </c>
      <c r="K2150" t="s">
        <v>4638</v>
      </c>
      <c r="L2150" t="s">
        <v>7027</v>
      </c>
      <c r="M2150">
        <v>7</v>
      </c>
      <c r="N2150">
        <v>3</v>
      </c>
      <c r="O2150" t="s">
        <v>1036</v>
      </c>
      <c r="P2150" s="17"/>
      <c r="Q2150" s="17" t="str">
        <f>_xlfn.XLOOKUP(Table2[[#This Row],[buyFromVendorNo]],'Next Day Scheduled'!A:A,'Pending Returns'!O:O,"NOT_FOUND")</f>
        <v>NOT_FOUND</v>
      </c>
    </row>
    <row r="2151" spans="1:17" x14ac:dyDescent="0.3">
      <c r="A2151" s="1">
        <v>46212</v>
      </c>
      <c r="B2151" t="s">
        <v>1264</v>
      </c>
      <c r="C2151" t="s">
        <v>2390</v>
      </c>
      <c r="D2151" t="s">
        <v>2391</v>
      </c>
      <c r="E2151" t="s">
        <v>8</v>
      </c>
      <c r="F2151" t="s">
        <v>10</v>
      </c>
      <c r="G2151" s="16">
        <v>101.95</v>
      </c>
      <c r="H2151" s="16">
        <v>117.24250000000001</v>
      </c>
      <c r="I2151" s="1">
        <v>46188</v>
      </c>
      <c r="J2151">
        <v>47</v>
      </c>
      <c r="K2151" t="s">
        <v>3070</v>
      </c>
      <c r="L2151" t="s">
        <v>7050</v>
      </c>
      <c r="M2151">
        <v>7</v>
      </c>
      <c r="N2151">
        <v>1</v>
      </c>
      <c r="O2151" t="s">
        <v>1036</v>
      </c>
      <c r="P2151" s="17"/>
      <c r="Q2151" s="17" t="str">
        <f>_xlfn.XLOOKUP(Table2[[#This Row],[buyFromVendorNo]],'Next Day Scheduled'!A:A,'Pending Returns'!O:O,"NOT_FOUND")</f>
        <v>NOT_FOUND</v>
      </c>
    </row>
    <row r="2152" spans="1:17" x14ac:dyDescent="0.3">
      <c r="A2152" s="1">
        <v>46212</v>
      </c>
      <c r="B2152" t="s">
        <v>4898</v>
      </c>
      <c r="C2152" t="s">
        <v>177</v>
      </c>
      <c r="D2152" t="s">
        <v>178</v>
      </c>
      <c r="E2152" t="s">
        <v>8</v>
      </c>
      <c r="F2152" t="s">
        <v>10</v>
      </c>
      <c r="G2152" s="16">
        <v>436.12799999999999</v>
      </c>
      <c r="H2152" s="16">
        <v>501.54719999999998</v>
      </c>
      <c r="I2152" s="1">
        <v>46207</v>
      </c>
      <c r="J2152">
        <v>47</v>
      </c>
      <c r="K2152" t="s">
        <v>4868</v>
      </c>
      <c r="L2152" t="s">
        <v>7109</v>
      </c>
      <c r="M2152">
        <v>14</v>
      </c>
      <c r="N2152">
        <v>2</v>
      </c>
      <c r="O2152" t="s">
        <v>1036</v>
      </c>
      <c r="P2152" s="17"/>
      <c r="Q2152" s="17" t="str">
        <f>_xlfn.XLOOKUP(Table2[[#This Row],[buyFromVendorNo]],'Next Day Scheduled'!A:A,'Pending Returns'!O:O,"NOT_FOUND")</f>
        <v>Posted Credit Note</v>
      </c>
    </row>
    <row r="2153" spans="1:17" x14ac:dyDescent="0.3">
      <c r="A2153" s="1">
        <v>46212</v>
      </c>
      <c r="B2153" t="s">
        <v>3468</v>
      </c>
      <c r="C2153" t="s">
        <v>4575</v>
      </c>
      <c r="D2153" t="s">
        <v>4576</v>
      </c>
      <c r="E2153" t="s">
        <v>8</v>
      </c>
      <c r="F2153" t="s">
        <v>10</v>
      </c>
      <c r="G2153" s="16">
        <v>967.8261</v>
      </c>
      <c r="H2153" s="16">
        <v>1113</v>
      </c>
      <c r="J2153">
        <v>47</v>
      </c>
      <c r="K2153" t="s">
        <v>7155</v>
      </c>
      <c r="M2153">
        <v>0</v>
      </c>
      <c r="N2153">
        <v>174</v>
      </c>
      <c r="O2153" t="s">
        <v>216</v>
      </c>
      <c r="P2153" s="17"/>
      <c r="Q2153" s="17" t="str">
        <f>_xlfn.XLOOKUP(Table2[[#This Row],[buyFromVendorNo]],'Next Day Scheduled'!A:A,'Pending Returns'!O:O,"NOT_FOUND")</f>
        <v>NOT_FOUND</v>
      </c>
    </row>
    <row r="2154" spans="1:17" x14ac:dyDescent="0.3">
      <c r="A2154" s="1">
        <v>46212</v>
      </c>
      <c r="B2154" t="s">
        <v>2966</v>
      </c>
      <c r="C2154" t="s">
        <v>987</v>
      </c>
      <c r="D2154" t="s">
        <v>988</v>
      </c>
      <c r="E2154" t="s">
        <v>8</v>
      </c>
      <c r="F2154" t="s">
        <v>10</v>
      </c>
      <c r="G2154" s="16">
        <v>244.6</v>
      </c>
      <c r="H2154" s="16">
        <v>281.29000000000002</v>
      </c>
      <c r="J2154">
        <v>47</v>
      </c>
      <c r="K2154" t="s">
        <v>7028</v>
      </c>
      <c r="M2154">
        <v>0</v>
      </c>
      <c r="N2154">
        <v>240</v>
      </c>
      <c r="O2154" t="s">
        <v>216</v>
      </c>
      <c r="P2154" s="17"/>
      <c r="Q2154" s="17" t="str">
        <f>_xlfn.XLOOKUP(Table2[[#This Row],[buyFromVendorNo]],'Next Day Scheduled'!A:A,'Pending Returns'!O:O,"NOT_FOUND")</f>
        <v>NOT_FOUND</v>
      </c>
    </row>
    <row r="2155" spans="1:17" x14ac:dyDescent="0.3">
      <c r="A2155" s="1">
        <v>46212</v>
      </c>
      <c r="B2155" t="s">
        <v>3385</v>
      </c>
      <c r="C2155" t="s">
        <v>177</v>
      </c>
      <c r="D2155" t="s">
        <v>178</v>
      </c>
      <c r="E2155" t="s">
        <v>8</v>
      </c>
      <c r="F2155" t="s">
        <v>10</v>
      </c>
      <c r="G2155" s="16">
        <v>240</v>
      </c>
      <c r="H2155" s="16">
        <v>276</v>
      </c>
      <c r="I2155" s="1">
        <v>46207</v>
      </c>
      <c r="J2155">
        <v>47</v>
      </c>
      <c r="K2155" t="s">
        <v>4401</v>
      </c>
      <c r="L2155" t="s">
        <v>7051</v>
      </c>
      <c r="M2155">
        <v>14</v>
      </c>
      <c r="N2155">
        <v>2</v>
      </c>
      <c r="O2155" t="s">
        <v>1036</v>
      </c>
      <c r="P2155" s="17"/>
      <c r="Q2155" s="17" t="str">
        <f>_xlfn.XLOOKUP(Table2[[#This Row],[buyFromVendorNo]],'Next Day Scheduled'!A:A,'Pending Returns'!O:O,"NOT_FOUND")</f>
        <v>Posted Credit Note</v>
      </c>
    </row>
    <row r="2156" spans="1:17" x14ac:dyDescent="0.3">
      <c r="A2156" s="1">
        <v>46212</v>
      </c>
      <c r="B2156" t="s">
        <v>4032</v>
      </c>
      <c r="C2156" t="s">
        <v>188</v>
      </c>
      <c r="D2156" t="s">
        <v>189</v>
      </c>
      <c r="E2156" t="s">
        <v>8</v>
      </c>
      <c r="F2156" t="s">
        <v>10</v>
      </c>
      <c r="G2156" s="16">
        <v>1229.623</v>
      </c>
      <c r="H2156" s="16">
        <v>1414.0664999999999</v>
      </c>
      <c r="I2156" s="1">
        <v>46196</v>
      </c>
      <c r="J2156">
        <v>47</v>
      </c>
      <c r="K2156" t="s">
        <v>5286</v>
      </c>
      <c r="L2156" t="s">
        <v>7030</v>
      </c>
      <c r="M2156">
        <v>0</v>
      </c>
      <c r="N2156">
        <v>607</v>
      </c>
      <c r="O2156" t="s">
        <v>1036</v>
      </c>
      <c r="P2156" s="17"/>
      <c r="Q2156" s="17" t="str">
        <f>_xlfn.XLOOKUP(Table2[[#This Row],[buyFromVendorNo]],'Next Day Scheduled'!A:A,'Pending Returns'!O:O,"NOT_FOUND")</f>
        <v>NOT_FOUND</v>
      </c>
    </row>
    <row r="2157" spans="1:17" x14ac:dyDescent="0.3">
      <c r="A2157" s="1">
        <v>46212</v>
      </c>
      <c r="B2157" t="s">
        <v>6390</v>
      </c>
      <c r="C2157" t="s">
        <v>1124</v>
      </c>
      <c r="D2157" t="s">
        <v>1125</v>
      </c>
      <c r="E2157" t="s">
        <v>8</v>
      </c>
      <c r="F2157" t="s">
        <v>10</v>
      </c>
      <c r="G2157" s="16">
        <v>3910</v>
      </c>
      <c r="H2157" s="16">
        <v>4496.5</v>
      </c>
      <c r="I2157" s="1">
        <v>46205</v>
      </c>
      <c r="J2157">
        <v>47</v>
      </c>
      <c r="K2157" t="s">
        <v>4376</v>
      </c>
      <c r="L2157" t="s">
        <v>7053</v>
      </c>
      <c r="M2157">
        <v>0</v>
      </c>
      <c r="N2157">
        <v>246</v>
      </c>
      <c r="O2157" t="s">
        <v>1036</v>
      </c>
      <c r="P2157" s="17"/>
      <c r="Q2157" s="17" t="str">
        <f>_xlfn.XLOOKUP(Table2[[#This Row],[buyFromVendorNo]],'Next Day Scheduled'!A:A,'Pending Returns'!O:O,"NOT_FOUND")</f>
        <v>NOT_FOUND</v>
      </c>
    </row>
    <row r="2158" spans="1:17" x14ac:dyDescent="0.3">
      <c r="A2158" s="1">
        <v>46212</v>
      </c>
      <c r="B2158" t="s">
        <v>234</v>
      </c>
      <c r="C2158" t="s">
        <v>323</v>
      </c>
      <c r="D2158" t="s">
        <v>324</v>
      </c>
      <c r="E2158" t="s">
        <v>8</v>
      </c>
      <c r="F2158" t="s">
        <v>10</v>
      </c>
      <c r="G2158" s="16">
        <v>1660.5</v>
      </c>
      <c r="H2158" s="16">
        <v>1909.575</v>
      </c>
      <c r="J2158">
        <v>47</v>
      </c>
      <c r="K2158" t="s">
        <v>7120</v>
      </c>
      <c r="M2158">
        <v>2</v>
      </c>
      <c r="N2158">
        <v>31</v>
      </c>
      <c r="O2158" t="s">
        <v>216</v>
      </c>
      <c r="P2158" s="17"/>
      <c r="Q2158" s="17" t="str">
        <f>_xlfn.XLOOKUP(Table2[[#This Row],[buyFromVendorNo]],'Next Day Scheduled'!A:A,'Pending Returns'!O:O,"NOT_FOUND")</f>
        <v>NOT_FOUND</v>
      </c>
    </row>
    <row r="2159" spans="1:17" x14ac:dyDescent="0.3">
      <c r="A2159" s="1">
        <v>46212</v>
      </c>
      <c r="B2159" t="s">
        <v>1730</v>
      </c>
      <c r="C2159" t="s">
        <v>580</v>
      </c>
      <c r="D2159" t="s">
        <v>581</v>
      </c>
      <c r="E2159" t="s">
        <v>8</v>
      </c>
      <c r="F2159" t="s">
        <v>10</v>
      </c>
      <c r="G2159" s="16">
        <v>110</v>
      </c>
      <c r="H2159" s="16">
        <v>126.5</v>
      </c>
      <c r="J2159">
        <v>47</v>
      </c>
      <c r="K2159" t="s">
        <v>7032</v>
      </c>
      <c r="M2159">
        <v>4</v>
      </c>
      <c r="N2159">
        <v>3</v>
      </c>
      <c r="O2159" t="s">
        <v>216</v>
      </c>
      <c r="P2159" s="17"/>
      <c r="Q2159" s="17" t="str">
        <f>_xlfn.XLOOKUP(Table2[[#This Row],[buyFromVendorNo]],'Next Day Scheduled'!A:A,'Pending Returns'!O:O,"NOT_FOUND")</f>
        <v>NOT_FOUND</v>
      </c>
    </row>
    <row r="2160" spans="1:17" x14ac:dyDescent="0.3">
      <c r="A2160" s="1">
        <v>46212</v>
      </c>
      <c r="B2160" t="s">
        <v>662</v>
      </c>
      <c r="C2160" t="s">
        <v>39</v>
      </c>
      <c r="D2160" t="s">
        <v>40</v>
      </c>
      <c r="E2160" t="s">
        <v>8</v>
      </c>
      <c r="F2160" t="s">
        <v>10</v>
      </c>
      <c r="G2160" s="16">
        <v>1583.9253000000001</v>
      </c>
      <c r="H2160" s="16">
        <v>1821.5139999999999</v>
      </c>
      <c r="J2160">
        <v>47</v>
      </c>
      <c r="K2160" t="s">
        <v>7106</v>
      </c>
      <c r="M2160">
        <v>10</v>
      </c>
      <c r="N2160">
        <v>1</v>
      </c>
      <c r="O2160" t="s">
        <v>216</v>
      </c>
      <c r="P2160" s="17"/>
      <c r="Q2160" s="17" t="str">
        <f>_xlfn.XLOOKUP(Table2[[#This Row],[buyFromVendorNo]],'Next Day Scheduled'!A:A,'Pending Returns'!O:O,"NOT_FOUND")</f>
        <v>Posted Credit Note</v>
      </c>
    </row>
    <row r="2161" spans="1:17" x14ac:dyDescent="0.3">
      <c r="A2161" s="1">
        <v>46212</v>
      </c>
      <c r="B2161" t="s">
        <v>1098</v>
      </c>
      <c r="C2161" t="s">
        <v>43</v>
      </c>
      <c r="D2161" t="s">
        <v>44</v>
      </c>
      <c r="E2161" t="s">
        <v>8</v>
      </c>
      <c r="F2161" t="s">
        <v>38</v>
      </c>
      <c r="G2161" s="16">
        <v>5010.5600000000004</v>
      </c>
      <c r="H2161" s="16">
        <v>5762.1440000000002</v>
      </c>
      <c r="I2161" s="1">
        <v>46211</v>
      </c>
      <c r="J2161">
        <v>47</v>
      </c>
      <c r="K2161" t="s">
        <v>6873</v>
      </c>
      <c r="L2161" t="s">
        <v>7033</v>
      </c>
      <c r="M2161">
        <v>44</v>
      </c>
      <c r="N2161">
        <v>1</v>
      </c>
      <c r="O2161" t="s">
        <v>1036</v>
      </c>
      <c r="P2161" s="17"/>
      <c r="Q2161" s="17" t="str">
        <f>_xlfn.XLOOKUP(Table2[[#This Row],[buyFromVendorNo]],'Next Day Scheduled'!A:A,'Pending Returns'!O:O,"NOT_FOUND")</f>
        <v>Posted Credit Note</v>
      </c>
    </row>
    <row r="2162" spans="1:17" x14ac:dyDescent="0.3">
      <c r="A2162" s="1">
        <v>46212</v>
      </c>
      <c r="B2162" t="s">
        <v>761</v>
      </c>
      <c r="C2162" t="s">
        <v>693</v>
      </c>
      <c r="D2162" t="s">
        <v>694</v>
      </c>
      <c r="E2162" t="s">
        <v>8</v>
      </c>
      <c r="F2162" t="s">
        <v>10</v>
      </c>
      <c r="G2162" s="16">
        <v>5964.0874000000003</v>
      </c>
      <c r="H2162" s="16">
        <v>6858.7</v>
      </c>
      <c r="I2162" s="1">
        <v>46196</v>
      </c>
      <c r="J2162">
        <v>47</v>
      </c>
      <c r="K2162" t="s">
        <v>725</v>
      </c>
      <c r="L2162" t="s">
        <v>7081</v>
      </c>
      <c r="M2162">
        <v>0</v>
      </c>
      <c r="N2162">
        <v>278</v>
      </c>
      <c r="O2162" t="s">
        <v>1036</v>
      </c>
      <c r="P2162" s="17"/>
      <c r="Q2162" s="17" t="str">
        <f>_xlfn.XLOOKUP(Table2[[#This Row],[buyFromVendorNo]],'Next Day Scheduled'!A:A,'Pending Returns'!O:O,"NOT_FOUND")</f>
        <v>NOT_FOUND</v>
      </c>
    </row>
    <row r="2163" spans="1:17" x14ac:dyDescent="0.3">
      <c r="A2163" s="1">
        <v>46212</v>
      </c>
      <c r="B2163" t="s">
        <v>2942</v>
      </c>
      <c r="C2163" t="s">
        <v>2943</v>
      </c>
      <c r="D2163" t="s">
        <v>2944</v>
      </c>
      <c r="E2163" t="s">
        <v>8</v>
      </c>
      <c r="F2163" t="s">
        <v>10</v>
      </c>
      <c r="G2163" s="16">
        <v>3508.65</v>
      </c>
      <c r="H2163" s="16">
        <v>4034.9475000000002</v>
      </c>
      <c r="I2163" s="1">
        <v>46202</v>
      </c>
      <c r="J2163">
        <v>47</v>
      </c>
      <c r="K2163" t="s">
        <v>2945</v>
      </c>
      <c r="L2163" t="s">
        <v>7057</v>
      </c>
      <c r="M2163">
        <v>1</v>
      </c>
      <c r="N2163">
        <v>9</v>
      </c>
      <c r="O2163" t="s">
        <v>1036</v>
      </c>
      <c r="P2163" s="17"/>
      <c r="Q2163" s="17" t="str">
        <f>_xlfn.XLOOKUP(Table2[[#This Row],[buyFromVendorNo]],'Next Day Scheduled'!A:A,'Pending Returns'!O:O,"NOT_FOUND")</f>
        <v>NOT_FOUND</v>
      </c>
    </row>
    <row r="2164" spans="1:17" x14ac:dyDescent="0.3">
      <c r="A2164" s="1">
        <v>46212</v>
      </c>
      <c r="B2164" t="s">
        <v>703</v>
      </c>
      <c r="C2164" t="s">
        <v>1216</v>
      </c>
      <c r="D2164" t="s">
        <v>1217</v>
      </c>
      <c r="E2164" t="s">
        <v>8</v>
      </c>
      <c r="F2164" t="s">
        <v>10</v>
      </c>
      <c r="G2164" s="16">
        <v>383</v>
      </c>
      <c r="H2164" s="16">
        <v>440.45</v>
      </c>
      <c r="I2164" s="1">
        <v>46197</v>
      </c>
      <c r="J2164">
        <v>47</v>
      </c>
      <c r="K2164" t="s">
        <v>4405</v>
      </c>
      <c r="L2164" t="s">
        <v>7036</v>
      </c>
      <c r="M2164">
        <v>0</v>
      </c>
      <c r="N2164">
        <v>224</v>
      </c>
      <c r="O2164" t="s">
        <v>1036</v>
      </c>
      <c r="P2164" s="17"/>
      <c r="Q2164" s="17" t="str">
        <f>_xlfn.XLOOKUP(Table2[[#This Row],[buyFromVendorNo]],'Next Day Scheduled'!A:A,'Pending Returns'!O:O,"NOT_FOUND")</f>
        <v>NOT_FOUND</v>
      </c>
    </row>
    <row r="2165" spans="1:17" x14ac:dyDescent="0.3">
      <c r="A2165" s="1">
        <v>46213</v>
      </c>
      <c r="B2165" t="s">
        <v>3306</v>
      </c>
      <c r="C2165" t="s">
        <v>53</v>
      </c>
      <c r="D2165" t="s">
        <v>54</v>
      </c>
      <c r="E2165" t="s">
        <v>8</v>
      </c>
      <c r="F2165" t="s">
        <v>10</v>
      </c>
      <c r="G2165" s="16">
        <v>924.65</v>
      </c>
      <c r="H2165" s="16">
        <v>1063.3475000000001</v>
      </c>
      <c r="J2165">
        <v>46</v>
      </c>
      <c r="K2165" t="s">
        <v>7197</v>
      </c>
      <c r="M2165">
        <v>24</v>
      </c>
      <c r="N2165">
        <v>1</v>
      </c>
      <c r="O2165" t="s">
        <v>216</v>
      </c>
      <c r="P2165" s="17"/>
      <c r="Q2165" s="17" t="str">
        <f>_xlfn.XLOOKUP(Table2[[#This Row],[buyFromVendorNo]],'Next Day Scheduled'!A:A,'Pending Returns'!O:O,"NOT_FOUND")</f>
        <v>Posted Credit Note</v>
      </c>
    </row>
    <row r="2166" spans="1:17" x14ac:dyDescent="0.3">
      <c r="A2166" s="1">
        <v>46213</v>
      </c>
      <c r="B2166" t="s">
        <v>3379</v>
      </c>
      <c r="C2166" t="s">
        <v>821</v>
      </c>
      <c r="D2166" t="s">
        <v>2040</v>
      </c>
      <c r="E2166" t="s">
        <v>8</v>
      </c>
      <c r="F2166" t="s">
        <v>10</v>
      </c>
      <c r="G2166" s="16">
        <v>104.1</v>
      </c>
      <c r="H2166" s="16">
        <v>119.715</v>
      </c>
      <c r="J2166">
        <v>46</v>
      </c>
      <c r="K2166" t="s">
        <v>7196</v>
      </c>
      <c r="M2166">
        <v>6</v>
      </c>
      <c r="N2166">
        <v>8</v>
      </c>
      <c r="O2166" t="s">
        <v>216</v>
      </c>
      <c r="P2166" s="17"/>
      <c r="Q2166" s="17" t="str">
        <f>_xlfn.XLOOKUP(Table2[[#This Row],[buyFromVendorNo]],'Next Day Scheduled'!A:A,'Pending Returns'!O:O,"NOT_FOUND")</f>
        <v>Posted Credit Note</v>
      </c>
    </row>
    <row r="2167" spans="1:17" x14ac:dyDescent="0.3">
      <c r="A2167" s="1">
        <v>46213</v>
      </c>
      <c r="B2167" t="s">
        <v>7191</v>
      </c>
      <c r="C2167" t="s">
        <v>7131</v>
      </c>
      <c r="D2167" t="s">
        <v>7132</v>
      </c>
      <c r="E2167" t="s">
        <v>8</v>
      </c>
      <c r="F2167" t="s">
        <v>10</v>
      </c>
      <c r="G2167" s="16">
        <v>199</v>
      </c>
      <c r="H2167" s="16">
        <v>228.85</v>
      </c>
      <c r="J2167">
        <v>46</v>
      </c>
      <c r="K2167" t="s">
        <v>7192</v>
      </c>
      <c r="M2167">
        <v>0</v>
      </c>
      <c r="N2167">
        <v>50</v>
      </c>
      <c r="O2167" t="s">
        <v>216</v>
      </c>
      <c r="P2167" s="17"/>
      <c r="Q2167" s="17" t="str">
        <f>_xlfn.XLOOKUP(Table2[[#This Row],[buyFromVendorNo]],'Next Day Scheduled'!A:A,'Pending Returns'!O:O,"NOT_FOUND")</f>
        <v>NOT_FOUND</v>
      </c>
    </row>
    <row r="2168" spans="1:17" x14ac:dyDescent="0.3">
      <c r="A2168" s="1">
        <v>46213</v>
      </c>
      <c r="B2168" t="s">
        <v>2518</v>
      </c>
      <c r="C2168" t="s">
        <v>305</v>
      </c>
      <c r="D2168" t="s">
        <v>306</v>
      </c>
      <c r="E2168" t="s">
        <v>8</v>
      </c>
      <c r="F2168" t="s">
        <v>38</v>
      </c>
      <c r="G2168" s="16">
        <v>133.06</v>
      </c>
      <c r="H2168" s="16">
        <v>153.01900000000001</v>
      </c>
      <c r="I2168" s="1">
        <v>46214</v>
      </c>
      <c r="J2168">
        <v>46</v>
      </c>
      <c r="K2168" t="s">
        <v>6299</v>
      </c>
      <c r="L2168" t="s">
        <v>7127</v>
      </c>
      <c r="M2168">
        <v>0</v>
      </c>
      <c r="N2168">
        <v>195</v>
      </c>
      <c r="O2168" t="s">
        <v>223</v>
      </c>
      <c r="P2168" s="17"/>
      <c r="Q2168" s="17" t="str">
        <f>_xlfn.XLOOKUP(Table2[[#This Row],[buyFromVendorNo]],'Next Day Scheduled'!A:A,'Pending Returns'!O:O,"NOT_FOUND")</f>
        <v>NOT_FOUND</v>
      </c>
    </row>
    <row r="2169" spans="1:17" x14ac:dyDescent="0.3">
      <c r="A2169" s="1">
        <v>46214</v>
      </c>
      <c r="B2169" t="s">
        <v>7205</v>
      </c>
      <c r="C2169" t="s">
        <v>899</v>
      </c>
      <c r="D2169" t="s">
        <v>900</v>
      </c>
      <c r="E2169" t="s">
        <v>8</v>
      </c>
      <c r="F2169" t="s">
        <v>10</v>
      </c>
      <c r="G2169" s="16">
        <v>384</v>
      </c>
      <c r="H2169" s="16">
        <v>441.6</v>
      </c>
      <c r="J2169">
        <v>45</v>
      </c>
      <c r="K2169" t="s">
        <v>7206</v>
      </c>
      <c r="M2169">
        <v>0</v>
      </c>
      <c r="N2169">
        <v>643</v>
      </c>
      <c r="O2169" t="s">
        <v>216</v>
      </c>
      <c r="P2169" s="17"/>
      <c r="Q2169" s="17" t="str">
        <f>_xlfn.XLOOKUP(Table2[[#This Row],[buyFromVendorNo]],'Next Day Scheduled'!A:A,'Pending Returns'!O:O,"NOT_FOUND")</f>
        <v>NOT_FOUND</v>
      </c>
    </row>
    <row r="2170" spans="1:17" x14ac:dyDescent="0.3">
      <c r="A2170" s="1">
        <v>46214</v>
      </c>
      <c r="B2170" t="s">
        <v>1493</v>
      </c>
      <c r="C2170" t="s">
        <v>566</v>
      </c>
      <c r="D2170" t="s">
        <v>590</v>
      </c>
      <c r="E2170" t="s">
        <v>8</v>
      </c>
      <c r="F2170" t="s">
        <v>10</v>
      </c>
      <c r="G2170" s="16">
        <v>786.42</v>
      </c>
      <c r="H2170" s="16">
        <v>904.38300000000004</v>
      </c>
      <c r="I2170" s="1">
        <v>46212</v>
      </c>
      <c r="J2170">
        <v>45</v>
      </c>
      <c r="K2170" t="s">
        <v>6559</v>
      </c>
      <c r="L2170" t="s">
        <v>7238</v>
      </c>
      <c r="M2170">
        <v>7</v>
      </c>
      <c r="N2170">
        <v>1</v>
      </c>
      <c r="O2170" t="s">
        <v>1036</v>
      </c>
      <c r="P2170" s="17"/>
      <c r="Q2170" s="17" t="str">
        <f>_xlfn.XLOOKUP(Table2[[#This Row],[buyFromVendorNo]],'Next Day Scheduled'!A:A,'Pending Returns'!O:O,"NOT_FOUND")</f>
        <v>NOT_FOUND</v>
      </c>
    </row>
    <row r="2171" spans="1:17" x14ac:dyDescent="0.3">
      <c r="A2171" s="1">
        <v>46214</v>
      </c>
      <c r="B2171" t="s">
        <v>4675</v>
      </c>
      <c r="C2171" t="s">
        <v>4662</v>
      </c>
      <c r="D2171" t="s">
        <v>4663</v>
      </c>
      <c r="E2171" t="s">
        <v>8</v>
      </c>
      <c r="F2171" t="s">
        <v>169</v>
      </c>
      <c r="G2171" s="16">
        <v>330</v>
      </c>
      <c r="H2171" s="16">
        <v>379.5</v>
      </c>
      <c r="I2171" s="1">
        <v>46188</v>
      </c>
      <c r="J2171">
        <v>45</v>
      </c>
      <c r="K2171" t="s">
        <v>4661</v>
      </c>
      <c r="L2171" t="s">
        <v>7239</v>
      </c>
      <c r="M2171">
        <v>4</v>
      </c>
      <c r="N2171">
        <v>12</v>
      </c>
      <c r="O2171" t="s">
        <v>1036</v>
      </c>
      <c r="P2171" s="17"/>
      <c r="Q2171" s="17" t="str">
        <f>_xlfn.XLOOKUP(Table2[[#This Row],[buyFromVendorNo]],'Next Day Scheduled'!A:A,'Pending Returns'!O:O,"NOT_FOUND")</f>
        <v>NOT_FOUND</v>
      </c>
    </row>
    <row r="2172" spans="1:17" x14ac:dyDescent="0.3">
      <c r="A2172" s="1">
        <v>46214</v>
      </c>
      <c r="B2172" t="s">
        <v>317</v>
      </c>
      <c r="C2172" t="s">
        <v>1031</v>
      </c>
      <c r="D2172" t="s">
        <v>1032</v>
      </c>
      <c r="E2172" t="s">
        <v>8</v>
      </c>
      <c r="F2172" t="s">
        <v>38</v>
      </c>
      <c r="G2172" s="16">
        <v>205.74</v>
      </c>
      <c r="H2172" s="16">
        <v>236.601</v>
      </c>
      <c r="I2172" s="1">
        <v>46214</v>
      </c>
      <c r="J2172">
        <v>45</v>
      </c>
      <c r="K2172" t="s">
        <v>6754</v>
      </c>
      <c r="L2172" t="s">
        <v>7213</v>
      </c>
      <c r="M2172">
        <v>6</v>
      </c>
      <c r="N2172">
        <v>7</v>
      </c>
      <c r="O2172" t="s">
        <v>1036</v>
      </c>
      <c r="P2172" s="17"/>
      <c r="Q2172" s="17" t="str">
        <f>_xlfn.XLOOKUP(Table2[[#This Row],[buyFromVendorNo]],'Next Day Scheduled'!A:A,'Pending Returns'!O:O,"NOT_FOUND")</f>
        <v>Pending for Collection</v>
      </c>
    </row>
    <row r="2173" spans="1:17" x14ac:dyDescent="0.3">
      <c r="A2173" s="1">
        <v>46214</v>
      </c>
      <c r="B2173" t="s">
        <v>3282</v>
      </c>
      <c r="C2173" t="s">
        <v>919</v>
      </c>
      <c r="D2173" t="s">
        <v>920</v>
      </c>
      <c r="E2173" t="s">
        <v>8</v>
      </c>
      <c r="F2173" t="s">
        <v>10</v>
      </c>
      <c r="G2173" s="16">
        <v>211.40136999999999</v>
      </c>
      <c r="H2173" s="16">
        <v>243.11156</v>
      </c>
      <c r="J2173">
        <v>45</v>
      </c>
      <c r="K2173" t="s">
        <v>7272</v>
      </c>
      <c r="M2173">
        <v>0</v>
      </c>
      <c r="N2173">
        <v>56</v>
      </c>
      <c r="O2173" t="s">
        <v>216</v>
      </c>
      <c r="P2173" s="17"/>
      <c r="Q2173" s="17" t="str">
        <f>_xlfn.XLOOKUP(Table2[[#This Row],[buyFromVendorNo]],'Next Day Scheduled'!A:A,'Pending Returns'!O:O,"NOT_FOUND")</f>
        <v>NOT_FOUND</v>
      </c>
    </row>
    <row r="2174" spans="1:17" x14ac:dyDescent="0.3">
      <c r="A2174" s="1">
        <v>46214</v>
      </c>
      <c r="B2174" t="s">
        <v>2204</v>
      </c>
      <c r="C2174" t="s">
        <v>2376</v>
      </c>
      <c r="D2174" t="s">
        <v>2377</v>
      </c>
      <c r="E2174" t="s">
        <v>8</v>
      </c>
      <c r="F2174" t="s">
        <v>10</v>
      </c>
      <c r="G2174" s="16">
        <v>149.82</v>
      </c>
      <c r="H2174" s="16">
        <v>172.29300000000001</v>
      </c>
      <c r="I2174" s="1">
        <v>46214</v>
      </c>
      <c r="J2174">
        <v>45</v>
      </c>
      <c r="K2174" t="s">
        <v>6471</v>
      </c>
      <c r="L2174" t="s">
        <v>7233</v>
      </c>
      <c r="M2174">
        <v>0</v>
      </c>
      <c r="O2174" t="s">
        <v>1036</v>
      </c>
      <c r="P2174" s="17"/>
      <c r="Q2174" s="17" t="str">
        <f>_xlfn.XLOOKUP(Table2[[#This Row],[buyFromVendorNo]],'Next Day Scheduled'!A:A,'Pending Returns'!O:O,"NOT_FOUND")</f>
        <v>NOT_FOUND</v>
      </c>
    </row>
    <row r="2175" spans="1:17" x14ac:dyDescent="0.3">
      <c r="A2175" s="1">
        <v>46214</v>
      </c>
      <c r="B2175" t="s">
        <v>1098</v>
      </c>
      <c r="C2175" t="s">
        <v>43</v>
      </c>
      <c r="D2175" t="s">
        <v>44</v>
      </c>
      <c r="E2175" t="s">
        <v>8</v>
      </c>
      <c r="F2175" t="s">
        <v>38</v>
      </c>
      <c r="G2175" s="16">
        <v>7925.76</v>
      </c>
      <c r="H2175" s="16">
        <v>9114.6239999999998</v>
      </c>
      <c r="I2175" s="1">
        <v>46212</v>
      </c>
      <c r="J2175">
        <v>45</v>
      </c>
      <c r="K2175" t="s">
        <v>7105</v>
      </c>
      <c r="L2175" t="s">
        <v>7240</v>
      </c>
      <c r="M2175">
        <v>42</v>
      </c>
      <c r="N2175">
        <v>1</v>
      </c>
      <c r="O2175" t="s">
        <v>1036</v>
      </c>
      <c r="P2175" s="17"/>
      <c r="Q2175" s="17" t="str">
        <f>_xlfn.XLOOKUP(Table2[[#This Row],[buyFromVendorNo]],'Next Day Scheduled'!A:A,'Pending Returns'!O:O,"NOT_FOUND")</f>
        <v>Posted Credit Note</v>
      </c>
    </row>
    <row r="2176" spans="1:17" x14ac:dyDescent="0.3">
      <c r="A2176" s="1">
        <v>46214</v>
      </c>
      <c r="B2176" t="s">
        <v>5518</v>
      </c>
      <c r="C2176" t="s">
        <v>2166</v>
      </c>
      <c r="D2176" t="s">
        <v>2167</v>
      </c>
      <c r="E2176" t="s">
        <v>8</v>
      </c>
      <c r="F2176" t="s">
        <v>10</v>
      </c>
      <c r="G2176" s="16">
        <v>662.20209999999997</v>
      </c>
      <c r="H2176" s="16">
        <v>761.53240000000005</v>
      </c>
      <c r="J2176">
        <v>45</v>
      </c>
      <c r="K2176" t="s">
        <v>7218</v>
      </c>
      <c r="M2176">
        <v>3</v>
      </c>
      <c r="N2176">
        <v>8</v>
      </c>
      <c r="O2176" t="s">
        <v>216</v>
      </c>
      <c r="P2176" s="17"/>
      <c r="Q2176" s="17" t="str">
        <f>_xlfn.XLOOKUP(Table2[[#This Row],[buyFromVendorNo]],'Next Day Scheduled'!A:A,'Pending Returns'!O:O,"NOT_FOUND")</f>
        <v>NOT_FOUND</v>
      </c>
    </row>
    <row r="2177" spans="1:17" x14ac:dyDescent="0.3">
      <c r="A2177" s="1">
        <v>46214</v>
      </c>
      <c r="B2177" t="s">
        <v>5247</v>
      </c>
      <c r="C2177" t="s">
        <v>937</v>
      </c>
      <c r="D2177" t="s">
        <v>938</v>
      </c>
      <c r="E2177" t="s">
        <v>8</v>
      </c>
      <c r="F2177" t="s">
        <v>10</v>
      </c>
      <c r="G2177" s="16">
        <v>152.13624999999999</v>
      </c>
      <c r="H2177" s="16">
        <v>174.95668000000001</v>
      </c>
      <c r="J2177">
        <v>45</v>
      </c>
      <c r="K2177" t="s">
        <v>7203</v>
      </c>
      <c r="M2177">
        <v>5</v>
      </c>
      <c r="N2177">
        <v>12</v>
      </c>
      <c r="O2177" t="s">
        <v>216</v>
      </c>
      <c r="P2177" s="17"/>
      <c r="Q2177" s="17" t="str">
        <f>_xlfn.XLOOKUP(Table2[[#This Row],[buyFromVendorNo]],'Next Day Scheduled'!A:A,'Pending Returns'!O:O,"NOT_FOUND")</f>
        <v>NOT_FOUND</v>
      </c>
    </row>
    <row r="2178" spans="1:17" x14ac:dyDescent="0.3">
      <c r="A2178" s="1">
        <v>46214</v>
      </c>
      <c r="B2178" t="s">
        <v>6263</v>
      </c>
      <c r="C2178" t="s">
        <v>1031</v>
      </c>
      <c r="D2178" t="s">
        <v>1032</v>
      </c>
      <c r="E2178" t="s">
        <v>8</v>
      </c>
      <c r="F2178" t="s">
        <v>38</v>
      </c>
      <c r="G2178" s="16">
        <v>788.79</v>
      </c>
      <c r="H2178" s="16">
        <v>907.10850000000005</v>
      </c>
      <c r="I2178" s="1">
        <v>46214</v>
      </c>
      <c r="J2178">
        <v>45</v>
      </c>
      <c r="K2178" t="s">
        <v>6968</v>
      </c>
      <c r="L2178" t="s">
        <v>7221</v>
      </c>
      <c r="M2178">
        <v>6</v>
      </c>
      <c r="N2178">
        <v>7</v>
      </c>
      <c r="O2178" t="s">
        <v>1036</v>
      </c>
      <c r="P2178" s="17"/>
      <c r="Q2178" s="17" t="str">
        <f>_xlfn.XLOOKUP(Table2[[#This Row],[buyFromVendorNo]],'Next Day Scheduled'!A:A,'Pending Returns'!O:O,"NOT_FOUND")</f>
        <v>Pending for Collection</v>
      </c>
    </row>
    <row r="2179" spans="1:17" x14ac:dyDescent="0.3">
      <c r="A2179" s="1">
        <v>46214</v>
      </c>
      <c r="B2179" t="s">
        <v>7244</v>
      </c>
      <c r="C2179" t="s">
        <v>7245</v>
      </c>
      <c r="D2179" t="s">
        <v>7246</v>
      </c>
      <c r="E2179" t="s">
        <v>8</v>
      </c>
      <c r="F2179" t="s">
        <v>10</v>
      </c>
      <c r="G2179" s="16">
        <v>228.36</v>
      </c>
      <c r="H2179" s="16">
        <v>262.61399999999998</v>
      </c>
      <c r="J2179">
        <v>45</v>
      </c>
      <c r="K2179" t="s">
        <v>7247</v>
      </c>
      <c r="M2179">
        <v>0</v>
      </c>
      <c r="N2179">
        <v>164</v>
      </c>
      <c r="O2179" t="s">
        <v>216</v>
      </c>
      <c r="P2179" s="17"/>
      <c r="Q2179" s="17" t="str">
        <f>_xlfn.XLOOKUP(Table2[[#This Row],[buyFromVendorNo]],'Next Day Scheduled'!A:A,'Pending Returns'!O:O,"NOT_FOUND")</f>
        <v>NOT_FOUND</v>
      </c>
    </row>
    <row r="2180" spans="1:17" x14ac:dyDescent="0.3">
      <c r="A2180" s="1">
        <v>46214</v>
      </c>
      <c r="B2180" t="s">
        <v>6390</v>
      </c>
      <c r="C2180" t="s">
        <v>2330</v>
      </c>
      <c r="D2180" t="s">
        <v>320</v>
      </c>
      <c r="E2180" t="s">
        <v>8</v>
      </c>
      <c r="F2180" t="s">
        <v>10</v>
      </c>
      <c r="G2180" s="16">
        <v>152</v>
      </c>
      <c r="H2180" s="16">
        <v>174.8</v>
      </c>
      <c r="I2180" s="1">
        <v>46212</v>
      </c>
      <c r="J2180">
        <v>45</v>
      </c>
      <c r="K2180" t="s">
        <v>6487</v>
      </c>
      <c r="L2180" t="s">
        <v>7227</v>
      </c>
      <c r="M2180">
        <v>7</v>
      </c>
      <c r="N2180">
        <v>2</v>
      </c>
      <c r="O2180" t="s">
        <v>1036</v>
      </c>
      <c r="P2180" s="17"/>
      <c r="Q2180" s="17" t="str">
        <f>_xlfn.XLOOKUP(Table2[[#This Row],[buyFromVendorNo]],'Next Day Scheduled'!A:A,'Pending Returns'!O:O,"NOT_FOUND")</f>
        <v>NOT_FOUND</v>
      </c>
    </row>
    <row r="2181" spans="1:17" x14ac:dyDescent="0.3">
      <c r="A2181" s="1">
        <v>46214</v>
      </c>
      <c r="B2181" t="s">
        <v>4397</v>
      </c>
      <c r="C2181" t="s">
        <v>25</v>
      </c>
      <c r="D2181" t="s">
        <v>26</v>
      </c>
      <c r="E2181" t="s">
        <v>8</v>
      </c>
      <c r="F2181" t="s">
        <v>10</v>
      </c>
      <c r="G2181" s="16">
        <v>200.84</v>
      </c>
      <c r="H2181" s="16">
        <v>230.96600000000001</v>
      </c>
      <c r="J2181">
        <v>45</v>
      </c>
      <c r="K2181" t="s">
        <v>7242</v>
      </c>
      <c r="M2181">
        <v>6</v>
      </c>
      <c r="N2181">
        <v>7</v>
      </c>
      <c r="O2181" t="s">
        <v>216</v>
      </c>
      <c r="P2181" s="17"/>
      <c r="Q2181" s="17" t="str">
        <f>_xlfn.XLOOKUP(Table2[[#This Row],[buyFromVendorNo]],'Next Day Scheduled'!A:A,'Pending Returns'!O:O,"NOT_FOUND")</f>
        <v>NOT_FOUND</v>
      </c>
    </row>
    <row r="2182" spans="1:17" x14ac:dyDescent="0.3">
      <c r="A2182" s="1">
        <v>46214</v>
      </c>
      <c r="B2182" t="s">
        <v>4675</v>
      </c>
      <c r="C2182" t="s">
        <v>861</v>
      </c>
      <c r="D2182" t="s">
        <v>862</v>
      </c>
      <c r="E2182" t="s">
        <v>8</v>
      </c>
      <c r="F2182" t="s">
        <v>169</v>
      </c>
      <c r="G2182" s="16">
        <v>123.4</v>
      </c>
      <c r="H2182" s="16">
        <v>141.91</v>
      </c>
      <c r="I2182" s="1">
        <v>46191</v>
      </c>
      <c r="J2182">
        <v>45</v>
      </c>
      <c r="K2182" t="s">
        <v>4664</v>
      </c>
      <c r="L2182" t="s">
        <v>7212</v>
      </c>
      <c r="M2182">
        <v>4</v>
      </c>
      <c r="N2182">
        <v>12</v>
      </c>
      <c r="O2182" t="s">
        <v>1036</v>
      </c>
      <c r="P2182" s="17"/>
      <c r="Q2182" s="17" t="str">
        <f>_xlfn.XLOOKUP(Table2[[#This Row],[buyFromVendorNo]],'Next Day Scheduled'!A:A,'Pending Returns'!O:O,"NOT_FOUND")</f>
        <v>NOT_FOUND</v>
      </c>
    </row>
    <row r="2183" spans="1:17" x14ac:dyDescent="0.3">
      <c r="A2183" s="1">
        <v>46214</v>
      </c>
      <c r="B2183" t="s">
        <v>719</v>
      </c>
      <c r="C2183" t="s">
        <v>295</v>
      </c>
      <c r="D2183" t="s">
        <v>345</v>
      </c>
      <c r="E2183" t="s">
        <v>8</v>
      </c>
      <c r="F2183" t="s">
        <v>10</v>
      </c>
      <c r="G2183" s="16">
        <v>169</v>
      </c>
      <c r="H2183" s="16">
        <v>194.35</v>
      </c>
      <c r="I2183" s="1">
        <v>46214</v>
      </c>
      <c r="J2183">
        <v>45</v>
      </c>
      <c r="K2183" t="s">
        <v>6162</v>
      </c>
      <c r="L2183" t="s">
        <v>7259</v>
      </c>
      <c r="M2183">
        <v>19</v>
      </c>
      <c r="N2183">
        <v>1</v>
      </c>
      <c r="O2183" t="s">
        <v>1036</v>
      </c>
      <c r="P2183" s="17"/>
      <c r="Q2183" s="17" t="str">
        <f>_xlfn.XLOOKUP(Table2[[#This Row],[buyFromVendorNo]],'Next Day Scheduled'!A:A,'Pending Returns'!O:O,"NOT_FOUND")</f>
        <v>NOT_FOUND</v>
      </c>
    </row>
    <row r="2184" spans="1:17" x14ac:dyDescent="0.3">
      <c r="A2184" s="1">
        <v>46215</v>
      </c>
      <c r="B2184" t="s">
        <v>7473</v>
      </c>
      <c r="C2184" t="s">
        <v>854</v>
      </c>
      <c r="D2184" t="s">
        <v>855</v>
      </c>
      <c r="E2184" t="s">
        <v>8</v>
      </c>
      <c r="F2184" t="s">
        <v>10</v>
      </c>
      <c r="G2184" s="16">
        <v>75.338800000000006</v>
      </c>
      <c r="H2184" s="16">
        <v>86.639619999999994</v>
      </c>
      <c r="J2184">
        <v>44</v>
      </c>
      <c r="K2184" t="s">
        <v>7283</v>
      </c>
      <c r="M2184">
        <v>11</v>
      </c>
      <c r="N2184">
        <v>6</v>
      </c>
      <c r="O2184" t="s">
        <v>216</v>
      </c>
      <c r="P2184" s="17"/>
      <c r="Q2184" s="17" t="str">
        <f>_xlfn.XLOOKUP(Table2[[#This Row],[buyFromVendorNo]],'Next Day Scheduled'!A:A,'Pending Returns'!O:O,"NOT_FOUND")</f>
        <v>Posted Credit Note</v>
      </c>
    </row>
    <row r="2185" spans="1:17" x14ac:dyDescent="0.3">
      <c r="A2185" s="1">
        <v>46215</v>
      </c>
      <c r="B2185" t="s">
        <v>2972</v>
      </c>
      <c r="C2185" t="s">
        <v>304</v>
      </c>
      <c r="D2185" t="s">
        <v>307</v>
      </c>
      <c r="E2185" t="s">
        <v>8</v>
      </c>
      <c r="F2185" t="s">
        <v>10</v>
      </c>
      <c r="G2185" s="16">
        <v>2868.2469999999998</v>
      </c>
      <c r="H2185" s="16">
        <v>3298.4841000000001</v>
      </c>
      <c r="I2185" s="1">
        <v>46214</v>
      </c>
      <c r="J2185">
        <v>44</v>
      </c>
      <c r="K2185" t="s">
        <v>6728</v>
      </c>
      <c r="L2185" t="s">
        <v>7264</v>
      </c>
      <c r="M2185">
        <v>7</v>
      </c>
      <c r="N2185">
        <v>6</v>
      </c>
      <c r="O2185" t="s">
        <v>1036</v>
      </c>
      <c r="P2185" s="17"/>
      <c r="Q2185" s="17" t="str">
        <f>_xlfn.XLOOKUP(Table2[[#This Row],[buyFromVendorNo]],'Next Day Scheduled'!A:A,'Pending Returns'!O:O,"NOT_FOUND")</f>
        <v>NOT_FOUND</v>
      </c>
    </row>
    <row r="2186" spans="1:17" x14ac:dyDescent="0.3">
      <c r="A2186" s="1">
        <v>46215</v>
      </c>
      <c r="B2186" t="s">
        <v>2882</v>
      </c>
      <c r="C2186" t="s">
        <v>633</v>
      </c>
      <c r="D2186" t="s">
        <v>690</v>
      </c>
      <c r="E2186" t="s">
        <v>8</v>
      </c>
      <c r="F2186" t="s">
        <v>10</v>
      </c>
      <c r="G2186" s="16">
        <v>163.4</v>
      </c>
      <c r="H2186" s="16">
        <v>187.91</v>
      </c>
      <c r="I2186" s="1">
        <v>46207</v>
      </c>
      <c r="J2186">
        <v>44</v>
      </c>
      <c r="K2186" t="s">
        <v>5366</v>
      </c>
      <c r="L2186" t="s">
        <v>7326</v>
      </c>
      <c r="M2186">
        <v>6</v>
      </c>
      <c r="N2186">
        <v>6</v>
      </c>
      <c r="O2186" t="s">
        <v>1036</v>
      </c>
      <c r="P2186" s="17"/>
      <c r="Q2186" s="17" t="str">
        <f>_xlfn.XLOOKUP(Table2[[#This Row],[buyFromVendorNo]],'Next Day Scheduled'!A:A,'Pending Returns'!O:O,"NOT_FOUND")</f>
        <v>NOT_FOUND</v>
      </c>
    </row>
    <row r="2187" spans="1:17" x14ac:dyDescent="0.3">
      <c r="A2187" s="1">
        <v>46215</v>
      </c>
      <c r="B2187" t="s">
        <v>2895</v>
      </c>
      <c r="C2187" t="s">
        <v>2273</v>
      </c>
      <c r="D2187" t="s">
        <v>2274</v>
      </c>
      <c r="E2187" t="s">
        <v>8</v>
      </c>
      <c r="F2187" t="s">
        <v>10</v>
      </c>
      <c r="G2187" s="16">
        <v>782.36</v>
      </c>
      <c r="H2187" s="16">
        <v>899.71400000000006</v>
      </c>
      <c r="J2187">
        <v>44</v>
      </c>
      <c r="K2187" t="s">
        <v>7311</v>
      </c>
      <c r="M2187">
        <v>0</v>
      </c>
      <c r="N2187">
        <v>92</v>
      </c>
      <c r="O2187" t="s">
        <v>216</v>
      </c>
      <c r="P2187" s="17"/>
      <c r="Q2187" s="17" t="str">
        <f>_xlfn.XLOOKUP(Table2[[#This Row],[buyFromVendorNo]],'Next Day Scheduled'!A:A,'Pending Returns'!O:O,"NOT_FOUND")</f>
        <v>NOT_FOUND</v>
      </c>
    </row>
    <row r="2188" spans="1:17" x14ac:dyDescent="0.3">
      <c r="A2188" s="1">
        <v>46215</v>
      </c>
      <c r="B2188" t="s">
        <v>2682</v>
      </c>
      <c r="C2188" t="s">
        <v>65</v>
      </c>
      <c r="D2188" t="s">
        <v>66</v>
      </c>
      <c r="E2188" t="s">
        <v>8</v>
      </c>
      <c r="F2188" t="s">
        <v>10</v>
      </c>
      <c r="G2188" s="16">
        <v>785.04920000000004</v>
      </c>
      <c r="H2188" s="16">
        <v>902.8066</v>
      </c>
      <c r="J2188">
        <v>44</v>
      </c>
      <c r="K2188" t="s">
        <v>7317</v>
      </c>
      <c r="M2188">
        <v>16</v>
      </c>
      <c r="N2188">
        <v>5</v>
      </c>
      <c r="O2188" t="s">
        <v>216</v>
      </c>
      <c r="P2188" s="17"/>
      <c r="Q2188" s="17" t="str">
        <f>_xlfn.XLOOKUP(Table2[[#This Row],[buyFromVendorNo]],'Next Day Scheduled'!A:A,'Pending Returns'!O:O,"NOT_FOUND")</f>
        <v>Posted Credit Note</v>
      </c>
    </row>
    <row r="2189" spans="1:17" x14ac:dyDescent="0.3">
      <c r="A2189" s="1">
        <v>46215</v>
      </c>
      <c r="B2189" t="s">
        <v>5264</v>
      </c>
      <c r="C2189" t="s">
        <v>67</v>
      </c>
      <c r="D2189" t="s">
        <v>68</v>
      </c>
      <c r="E2189" t="s">
        <v>8</v>
      </c>
      <c r="F2189" t="s">
        <v>10</v>
      </c>
      <c r="G2189" s="16">
        <v>2307.5680000000002</v>
      </c>
      <c r="H2189" s="16">
        <v>2653.7033999999999</v>
      </c>
      <c r="I2189" s="1">
        <v>46208</v>
      </c>
      <c r="J2189">
        <v>44</v>
      </c>
      <c r="K2189" t="s">
        <v>2690</v>
      </c>
      <c r="L2189" t="s">
        <v>7318</v>
      </c>
      <c r="M2189">
        <v>5</v>
      </c>
      <c r="N2189">
        <v>1</v>
      </c>
      <c r="O2189" t="s">
        <v>1036</v>
      </c>
      <c r="P2189" s="17"/>
      <c r="Q2189" s="17" t="str">
        <f>_xlfn.XLOOKUP(Table2[[#This Row],[buyFromVendorNo]],'Next Day Scheduled'!A:A,'Pending Returns'!O:O,"NOT_FOUND")</f>
        <v>NOT_FOUND</v>
      </c>
    </row>
    <row r="2190" spans="1:17" x14ac:dyDescent="0.3">
      <c r="A2190" s="1">
        <v>46215</v>
      </c>
      <c r="B2190" t="s">
        <v>3504</v>
      </c>
      <c r="C2190" t="s">
        <v>253</v>
      </c>
      <c r="D2190" t="s">
        <v>254</v>
      </c>
      <c r="E2190" t="s">
        <v>8</v>
      </c>
      <c r="F2190" t="s">
        <v>10</v>
      </c>
      <c r="G2190" s="16">
        <v>100</v>
      </c>
      <c r="H2190" s="16">
        <v>115</v>
      </c>
      <c r="J2190">
        <v>44</v>
      </c>
      <c r="K2190" t="s">
        <v>7304</v>
      </c>
      <c r="M2190">
        <v>0</v>
      </c>
      <c r="N2190">
        <v>260</v>
      </c>
      <c r="O2190" t="s">
        <v>216</v>
      </c>
      <c r="P2190" s="17"/>
      <c r="Q2190" s="17" t="str">
        <f>_xlfn.XLOOKUP(Table2[[#This Row],[buyFromVendorNo]],'Next Day Scheduled'!A:A,'Pending Returns'!O:O,"NOT_FOUND")</f>
        <v>NOT_FOUND</v>
      </c>
    </row>
    <row r="2191" spans="1:17" x14ac:dyDescent="0.3">
      <c r="A2191" s="1">
        <v>46215</v>
      </c>
      <c r="B2191" t="s">
        <v>315</v>
      </c>
      <c r="C2191" t="s">
        <v>5484</v>
      </c>
      <c r="D2191" t="s">
        <v>5485</v>
      </c>
      <c r="E2191" t="s">
        <v>8</v>
      </c>
      <c r="F2191" t="s">
        <v>10</v>
      </c>
      <c r="G2191" s="16">
        <v>112</v>
      </c>
      <c r="H2191" s="16">
        <v>128.80000000000001</v>
      </c>
      <c r="I2191" s="1">
        <v>46215</v>
      </c>
      <c r="J2191">
        <v>44</v>
      </c>
      <c r="K2191" t="s">
        <v>6629</v>
      </c>
      <c r="L2191" t="s">
        <v>7266</v>
      </c>
      <c r="M2191">
        <v>0</v>
      </c>
      <c r="N2191">
        <v>258</v>
      </c>
      <c r="O2191" t="s">
        <v>1036</v>
      </c>
      <c r="P2191" s="17"/>
      <c r="Q2191" s="17" t="str">
        <f>_xlfn.XLOOKUP(Table2[[#This Row],[buyFromVendorNo]],'Next Day Scheduled'!A:A,'Pending Returns'!O:O,"NOT_FOUND")</f>
        <v>NOT_FOUND</v>
      </c>
    </row>
    <row r="2192" spans="1:17" x14ac:dyDescent="0.3">
      <c r="A2192" s="1">
        <v>46215</v>
      </c>
      <c r="B2192" t="s">
        <v>1493</v>
      </c>
      <c r="C2192" t="s">
        <v>67</v>
      </c>
      <c r="D2192" t="s">
        <v>68</v>
      </c>
      <c r="E2192" t="s">
        <v>8</v>
      </c>
      <c r="F2192" t="s">
        <v>10</v>
      </c>
      <c r="G2192" s="16">
        <v>761.64919999999995</v>
      </c>
      <c r="H2192" s="16">
        <v>875.89660000000003</v>
      </c>
      <c r="I2192" s="1">
        <v>46208</v>
      </c>
      <c r="J2192">
        <v>44</v>
      </c>
      <c r="K2192" t="s">
        <v>4917</v>
      </c>
      <c r="L2192" t="s">
        <v>7291</v>
      </c>
      <c r="M2192">
        <v>5</v>
      </c>
      <c r="N2192">
        <v>1</v>
      </c>
      <c r="O2192" t="s">
        <v>1036</v>
      </c>
      <c r="P2192" s="17"/>
      <c r="Q2192" s="17" t="str">
        <f>_xlfn.XLOOKUP(Table2[[#This Row],[buyFromVendorNo]],'Next Day Scheduled'!A:A,'Pending Returns'!O:O,"NOT_FOUND")</f>
        <v>NOT_FOUND</v>
      </c>
    </row>
    <row r="2193" spans="1:17" x14ac:dyDescent="0.3">
      <c r="A2193" s="1">
        <v>46215</v>
      </c>
      <c r="B2193" t="s">
        <v>555</v>
      </c>
      <c r="C2193" t="s">
        <v>60</v>
      </c>
      <c r="D2193" t="s">
        <v>61</v>
      </c>
      <c r="E2193" t="s">
        <v>8</v>
      </c>
      <c r="F2193" t="s">
        <v>38</v>
      </c>
      <c r="G2193" s="16">
        <v>3340.79</v>
      </c>
      <c r="H2193" s="16">
        <v>3841.9083999999998</v>
      </c>
      <c r="I2193" s="1">
        <v>46197</v>
      </c>
      <c r="J2193">
        <v>44</v>
      </c>
      <c r="K2193" t="s">
        <v>6007</v>
      </c>
      <c r="L2193" t="s">
        <v>7320</v>
      </c>
      <c r="M2193">
        <v>5</v>
      </c>
      <c r="N2193">
        <v>7</v>
      </c>
      <c r="O2193" t="s">
        <v>1036</v>
      </c>
      <c r="P2193" s="17"/>
      <c r="Q2193" s="17" t="str">
        <f>_xlfn.XLOOKUP(Table2[[#This Row],[buyFromVendorNo]],'Next Day Scheduled'!A:A,'Pending Returns'!O:O,"NOT_FOUND")</f>
        <v>NOT_FOUND</v>
      </c>
    </row>
    <row r="2194" spans="1:17" x14ac:dyDescent="0.3">
      <c r="A2194" s="1">
        <v>46215</v>
      </c>
      <c r="B2194" t="s">
        <v>1828</v>
      </c>
      <c r="C2194" t="s">
        <v>67</v>
      </c>
      <c r="D2194" t="s">
        <v>68</v>
      </c>
      <c r="E2194" t="s">
        <v>8</v>
      </c>
      <c r="F2194" t="s">
        <v>10</v>
      </c>
      <c r="G2194" s="16">
        <v>674.51800000000003</v>
      </c>
      <c r="H2194" s="16">
        <v>775.69569999999999</v>
      </c>
      <c r="I2194" s="1">
        <v>46208</v>
      </c>
      <c r="J2194">
        <v>44</v>
      </c>
      <c r="K2194" t="s">
        <v>5401</v>
      </c>
      <c r="L2194" t="s">
        <v>7321</v>
      </c>
      <c r="M2194">
        <v>5</v>
      </c>
      <c r="N2194">
        <v>1</v>
      </c>
      <c r="O2194" t="s">
        <v>1036</v>
      </c>
      <c r="P2194" s="17"/>
      <c r="Q2194" s="17" t="str">
        <f>_xlfn.XLOOKUP(Table2[[#This Row],[buyFromVendorNo]],'Next Day Scheduled'!A:A,'Pending Returns'!O:O,"NOT_FOUND")</f>
        <v>NOT_FOUND</v>
      </c>
    </row>
    <row r="2195" spans="1:17" x14ac:dyDescent="0.3">
      <c r="A2195" s="1">
        <v>46215</v>
      </c>
      <c r="B2195" t="s">
        <v>2757</v>
      </c>
      <c r="C2195" t="s">
        <v>310</v>
      </c>
      <c r="D2195" t="s">
        <v>311</v>
      </c>
      <c r="E2195" t="s">
        <v>8</v>
      </c>
      <c r="F2195" t="s">
        <v>10</v>
      </c>
      <c r="G2195" s="16">
        <v>710.25336000000004</v>
      </c>
      <c r="H2195" s="16">
        <v>816.79129999999998</v>
      </c>
      <c r="I2195" s="1">
        <v>46209</v>
      </c>
      <c r="J2195">
        <v>44</v>
      </c>
      <c r="K2195" t="s">
        <v>5455</v>
      </c>
      <c r="L2195" t="s">
        <v>7312</v>
      </c>
      <c r="M2195">
        <v>6</v>
      </c>
      <c r="N2195">
        <v>2</v>
      </c>
      <c r="O2195" t="s">
        <v>1036</v>
      </c>
      <c r="P2195" s="17"/>
      <c r="Q2195" s="17" t="str">
        <f>_xlfn.XLOOKUP(Table2[[#This Row],[buyFromVendorNo]],'Next Day Scheduled'!A:A,'Pending Returns'!O:O,"NOT_FOUND")</f>
        <v>NOT_FOUND</v>
      </c>
    </row>
    <row r="2196" spans="1:17" x14ac:dyDescent="0.3">
      <c r="A2196" s="1">
        <v>46215</v>
      </c>
      <c r="B2196" t="s">
        <v>1325</v>
      </c>
      <c r="C2196" t="s">
        <v>310</v>
      </c>
      <c r="D2196" t="s">
        <v>311</v>
      </c>
      <c r="E2196" t="s">
        <v>8</v>
      </c>
      <c r="F2196" t="s">
        <v>10</v>
      </c>
      <c r="G2196" s="16">
        <v>367.15</v>
      </c>
      <c r="H2196" s="16">
        <v>422.22250000000003</v>
      </c>
      <c r="I2196" s="1">
        <v>46209</v>
      </c>
      <c r="J2196">
        <v>44</v>
      </c>
      <c r="K2196" t="s">
        <v>4976</v>
      </c>
      <c r="L2196" t="s">
        <v>7295</v>
      </c>
      <c r="M2196">
        <v>6</v>
      </c>
      <c r="N2196">
        <v>2</v>
      </c>
      <c r="O2196" t="s">
        <v>1036</v>
      </c>
      <c r="P2196" s="17"/>
      <c r="Q2196" s="17" t="str">
        <f>_xlfn.XLOOKUP(Table2[[#This Row],[buyFromVendorNo]],'Next Day Scheduled'!A:A,'Pending Returns'!O:O,"NOT_FOUND")</f>
        <v>NOT_FOUND</v>
      </c>
    </row>
    <row r="2197" spans="1:17" x14ac:dyDescent="0.3">
      <c r="A2197" s="1">
        <v>46215</v>
      </c>
      <c r="B2197" t="s">
        <v>2916</v>
      </c>
      <c r="C2197" t="s">
        <v>67</v>
      </c>
      <c r="D2197" t="s">
        <v>68</v>
      </c>
      <c r="E2197" t="s">
        <v>8</v>
      </c>
      <c r="F2197" t="s">
        <v>10</v>
      </c>
      <c r="G2197" s="16">
        <v>981.46749999999997</v>
      </c>
      <c r="H2197" s="16">
        <v>1128.6876</v>
      </c>
      <c r="I2197" s="1">
        <v>46208</v>
      </c>
      <c r="J2197">
        <v>44</v>
      </c>
      <c r="K2197" t="s">
        <v>4850</v>
      </c>
      <c r="L2197" t="s">
        <v>7302</v>
      </c>
      <c r="M2197">
        <v>5</v>
      </c>
      <c r="N2197">
        <v>1</v>
      </c>
      <c r="O2197" t="s">
        <v>1036</v>
      </c>
      <c r="P2197" s="17"/>
      <c r="Q2197" s="17" t="str">
        <f>_xlfn.XLOOKUP(Table2[[#This Row],[buyFromVendorNo]],'Next Day Scheduled'!A:A,'Pending Returns'!O:O,"NOT_FOUND")</f>
        <v>NOT_FOUND</v>
      </c>
    </row>
    <row r="2198" spans="1:17" x14ac:dyDescent="0.3">
      <c r="A2198" s="1">
        <v>46215</v>
      </c>
      <c r="B2198" t="s">
        <v>2583</v>
      </c>
      <c r="C2198" t="s">
        <v>67</v>
      </c>
      <c r="D2198" t="s">
        <v>68</v>
      </c>
      <c r="E2198" t="s">
        <v>8</v>
      </c>
      <c r="F2198" t="s">
        <v>10</v>
      </c>
      <c r="G2198" s="16">
        <v>1845.7842000000001</v>
      </c>
      <c r="H2198" s="16">
        <v>2122.6518999999998</v>
      </c>
      <c r="I2198" s="1">
        <v>46208</v>
      </c>
      <c r="J2198">
        <v>44</v>
      </c>
      <c r="K2198" t="s">
        <v>4515</v>
      </c>
      <c r="L2198" t="s">
        <v>7288</v>
      </c>
      <c r="M2198">
        <v>5</v>
      </c>
      <c r="N2198">
        <v>1</v>
      </c>
      <c r="O2198" t="s">
        <v>1036</v>
      </c>
      <c r="P2198" s="17"/>
      <c r="Q2198" s="17" t="str">
        <f>_xlfn.XLOOKUP(Table2[[#This Row],[buyFromVendorNo]],'Next Day Scheduled'!A:A,'Pending Returns'!O:O,"NOT_FOUND")</f>
        <v>NOT_FOUND</v>
      </c>
    </row>
    <row r="2199" spans="1:17" x14ac:dyDescent="0.3">
      <c r="A2199" s="1">
        <v>46215</v>
      </c>
      <c r="B2199" t="s">
        <v>1098</v>
      </c>
      <c r="C2199" t="s">
        <v>43</v>
      </c>
      <c r="D2199" t="s">
        <v>44</v>
      </c>
      <c r="E2199" t="s">
        <v>8</v>
      </c>
      <c r="F2199" t="s">
        <v>38</v>
      </c>
      <c r="G2199" s="16">
        <v>5652.0609999999997</v>
      </c>
      <c r="H2199" s="16">
        <v>6499.8706000000002</v>
      </c>
      <c r="I2199" s="1">
        <v>46214</v>
      </c>
      <c r="J2199">
        <v>44</v>
      </c>
      <c r="K2199" t="s">
        <v>7066</v>
      </c>
      <c r="L2199" t="s">
        <v>7289</v>
      </c>
      <c r="M2199">
        <v>41</v>
      </c>
      <c r="N2199">
        <v>1</v>
      </c>
      <c r="O2199" t="s">
        <v>1036</v>
      </c>
      <c r="P2199" s="17"/>
      <c r="Q2199" s="17" t="str">
        <f>_xlfn.XLOOKUP(Table2[[#This Row],[buyFromVendorNo]],'Next Day Scheduled'!A:A,'Pending Returns'!O:O,"NOT_FOUND")</f>
        <v>Posted Credit Note</v>
      </c>
    </row>
    <row r="2200" spans="1:17" x14ac:dyDescent="0.3">
      <c r="A2200" s="1">
        <v>46215</v>
      </c>
      <c r="B2200" t="s">
        <v>2984</v>
      </c>
      <c r="C2200" t="s">
        <v>880</v>
      </c>
      <c r="D2200" t="s">
        <v>881</v>
      </c>
      <c r="E2200" t="s">
        <v>8</v>
      </c>
      <c r="F2200" t="s">
        <v>10</v>
      </c>
      <c r="G2200" s="16">
        <v>535.74</v>
      </c>
      <c r="H2200" s="16">
        <v>616.101</v>
      </c>
      <c r="I2200" s="1">
        <v>46215</v>
      </c>
      <c r="J2200">
        <v>44</v>
      </c>
      <c r="K2200" t="s">
        <v>6699</v>
      </c>
      <c r="L2200" t="s">
        <v>7305</v>
      </c>
      <c r="M2200">
        <v>3</v>
      </c>
      <c r="N2200">
        <v>13</v>
      </c>
      <c r="O2200" t="s">
        <v>1036</v>
      </c>
      <c r="P2200" s="17"/>
      <c r="Q2200" s="17" t="str">
        <f>_xlfn.XLOOKUP(Table2[[#This Row],[buyFromVendorNo]],'Next Day Scheduled'!A:A,'Pending Returns'!O:O,"NOT_FOUND")</f>
        <v>NOT_FOUND</v>
      </c>
    </row>
    <row r="2201" spans="1:17" x14ac:dyDescent="0.3">
      <c r="A2201" s="1">
        <v>46215</v>
      </c>
      <c r="B2201" t="s">
        <v>2849</v>
      </c>
      <c r="C2201" t="s">
        <v>310</v>
      </c>
      <c r="D2201" t="s">
        <v>311</v>
      </c>
      <c r="E2201" t="s">
        <v>8</v>
      </c>
      <c r="F2201" t="s">
        <v>10</v>
      </c>
      <c r="G2201" s="16">
        <v>1202.7617</v>
      </c>
      <c r="H2201" s="16">
        <v>1383.1759</v>
      </c>
      <c r="I2201" s="1">
        <v>46209</v>
      </c>
      <c r="J2201">
        <v>44</v>
      </c>
      <c r="K2201" t="s">
        <v>3940</v>
      </c>
      <c r="L2201" t="s">
        <v>7333</v>
      </c>
      <c r="M2201">
        <v>6</v>
      </c>
      <c r="N2201">
        <v>2</v>
      </c>
      <c r="O2201" t="s">
        <v>1036</v>
      </c>
      <c r="P2201" s="17"/>
      <c r="Q2201" s="17" t="str">
        <f>_xlfn.XLOOKUP(Table2[[#This Row],[buyFromVendorNo]],'Next Day Scheduled'!A:A,'Pending Returns'!O:O,"NOT_FOUND")</f>
        <v>NOT_FOUND</v>
      </c>
    </row>
    <row r="2202" spans="1:17" x14ac:dyDescent="0.3">
      <c r="A2202" s="1">
        <v>46215</v>
      </c>
      <c r="B2202" t="s">
        <v>3003</v>
      </c>
      <c r="C2202" t="s">
        <v>464</v>
      </c>
      <c r="D2202" t="s">
        <v>465</v>
      </c>
      <c r="E2202" t="s">
        <v>8</v>
      </c>
      <c r="F2202" t="s">
        <v>10</v>
      </c>
      <c r="G2202" s="16">
        <v>291.8605</v>
      </c>
      <c r="H2202" s="16">
        <v>335.63959999999997</v>
      </c>
      <c r="I2202" s="1">
        <v>46205</v>
      </c>
      <c r="J2202">
        <v>44</v>
      </c>
      <c r="K2202" t="s">
        <v>4411</v>
      </c>
      <c r="L2202" t="s">
        <v>7323</v>
      </c>
      <c r="M2202">
        <v>6</v>
      </c>
      <c r="N2202">
        <v>6</v>
      </c>
      <c r="O2202" t="s">
        <v>1036</v>
      </c>
      <c r="P2202" s="17"/>
      <c r="Q2202" s="17" t="str">
        <f>_xlfn.XLOOKUP(Table2[[#This Row],[buyFromVendorNo]],'Next Day Scheduled'!A:A,'Pending Returns'!O:O,"NOT_FOUND")</f>
        <v>NOT_FOUND</v>
      </c>
    </row>
    <row r="2203" spans="1:17" x14ac:dyDescent="0.3">
      <c r="A2203" s="1">
        <v>46215</v>
      </c>
      <c r="B2203" t="s">
        <v>6387</v>
      </c>
      <c r="C2203" t="s">
        <v>67</v>
      </c>
      <c r="D2203" t="s">
        <v>68</v>
      </c>
      <c r="E2203" t="s">
        <v>8</v>
      </c>
      <c r="F2203" t="s">
        <v>10</v>
      </c>
      <c r="G2203" s="16">
        <v>98.24</v>
      </c>
      <c r="H2203" s="16">
        <v>112.976</v>
      </c>
      <c r="I2203" s="1">
        <v>46208</v>
      </c>
      <c r="J2203">
        <v>44</v>
      </c>
      <c r="K2203" t="s">
        <v>3822</v>
      </c>
      <c r="L2203" t="s">
        <v>7292</v>
      </c>
      <c r="M2203">
        <v>5</v>
      </c>
      <c r="N2203">
        <v>1</v>
      </c>
      <c r="O2203" t="s">
        <v>1036</v>
      </c>
      <c r="P2203" s="17"/>
      <c r="Q2203" s="17" t="str">
        <f>_xlfn.XLOOKUP(Table2[[#This Row],[buyFromVendorNo]],'Next Day Scheduled'!A:A,'Pending Returns'!O:O,"NOT_FOUND")</f>
        <v>NOT_FOUND</v>
      </c>
    </row>
    <row r="2204" spans="1:17" x14ac:dyDescent="0.3">
      <c r="A2204" s="1">
        <v>46215</v>
      </c>
      <c r="B2204" t="s">
        <v>7154</v>
      </c>
      <c r="C2204" t="s">
        <v>2273</v>
      </c>
      <c r="D2204" t="s">
        <v>2274</v>
      </c>
      <c r="E2204" t="s">
        <v>8</v>
      </c>
      <c r="F2204" t="s">
        <v>10</v>
      </c>
      <c r="G2204" s="16">
        <v>257.39999999999998</v>
      </c>
      <c r="H2204" s="16">
        <v>296.01</v>
      </c>
      <c r="J2204">
        <v>44</v>
      </c>
      <c r="K2204" t="s">
        <v>7324</v>
      </c>
      <c r="M2204">
        <v>0</v>
      </c>
      <c r="N2204">
        <v>92</v>
      </c>
      <c r="O2204" t="s">
        <v>216</v>
      </c>
      <c r="P2204" s="17"/>
      <c r="Q2204" s="17" t="str">
        <f>_xlfn.XLOOKUP(Table2[[#This Row],[buyFromVendorNo]],'Next Day Scheduled'!A:A,'Pending Returns'!O:O,"NOT_FOUND")</f>
        <v>NOT_FOUND</v>
      </c>
    </row>
    <row r="2205" spans="1:17" x14ac:dyDescent="0.3">
      <c r="A2205" s="1">
        <v>46215</v>
      </c>
      <c r="B2205" t="s">
        <v>642</v>
      </c>
      <c r="C2205" t="s">
        <v>39</v>
      </c>
      <c r="D2205" t="s">
        <v>40</v>
      </c>
      <c r="E2205" t="s">
        <v>8</v>
      </c>
      <c r="F2205" t="s">
        <v>38</v>
      </c>
      <c r="G2205" s="16">
        <v>1530.6782000000001</v>
      </c>
      <c r="H2205" s="16">
        <v>1760.2799</v>
      </c>
      <c r="J2205">
        <v>44</v>
      </c>
      <c r="K2205" t="s">
        <v>7310</v>
      </c>
      <c r="M2205">
        <v>11</v>
      </c>
      <c r="N2205">
        <v>22</v>
      </c>
      <c r="O2205" t="s">
        <v>216</v>
      </c>
      <c r="P2205" s="17"/>
      <c r="Q2205" s="17" t="str">
        <f>_xlfn.XLOOKUP(Table2[[#This Row],[buyFromVendorNo]],'Next Day Scheduled'!A:A,'Pending Returns'!O:O,"NOT_FOUND")</f>
        <v>Posted Credit Note</v>
      </c>
    </row>
    <row r="2206" spans="1:17" x14ac:dyDescent="0.3">
      <c r="A2206" s="1">
        <v>46215</v>
      </c>
      <c r="B2206" t="s">
        <v>2542</v>
      </c>
      <c r="C2206" t="s">
        <v>776</v>
      </c>
      <c r="D2206" t="s">
        <v>777</v>
      </c>
      <c r="E2206" t="s">
        <v>8</v>
      </c>
      <c r="F2206" t="s">
        <v>38</v>
      </c>
      <c r="G2206" s="16">
        <v>374.98</v>
      </c>
      <c r="H2206" s="16">
        <v>431.22699999999998</v>
      </c>
      <c r="I2206" s="1">
        <v>46212</v>
      </c>
      <c r="J2206">
        <v>44</v>
      </c>
      <c r="K2206" t="s">
        <v>6543</v>
      </c>
      <c r="L2206" t="s">
        <v>7327</v>
      </c>
      <c r="M2206">
        <v>7</v>
      </c>
      <c r="N2206">
        <v>2</v>
      </c>
      <c r="O2206" t="s">
        <v>1036</v>
      </c>
      <c r="P2206" s="17"/>
      <c r="Q2206" s="17" t="str">
        <f>_xlfn.XLOOKUP(Table2[[#This Row],[buyFromVendorNo]],'Next Day Scheduled'!A:A,'Pending Returns'!O:O,"NOT_FOUND")</f>
        <v>Posted Credit Note</v>
      </c>
    </row>
    <row r="2207" spans="1:17" x14ac:dyDescent="0.3">
      <c r="A2207" s="1">
        <v>46215</v>
      </c>
      <c r="B2207" t="s">
        <v>6263</v>
      </c>
      <c r="C2207" t="s">
        <v>776</v>
      </c>
      <c r="D2207" t="s">
        <v>777</v>
      </c>
      <c r="E2207" t="s">
        <v>8</v>
      </c>
      <c r="F2207" t="s">
        <v>38</v>
      </c>
      <c r="G2207" s="16">
        <v>811.37</v>
      </c>
      <c r="H2207" s="16">
        <v>933.07550000000003</v>
      </c>
      <c r="I2207" s="1">
        <v>46212</v>
      </c>
      <c r="J2207">
        <v>44</v>
      </c>
      <c r="K2207" t="s">
        <v>6251</v>
      </c>
      <c r="L2207" t="s">
        <v>7294</v>
      </c>
      <c r="M2207">
        <v>7</v>
      </c>
      <c r="N2207">
        <v>2</v>
      </c>
      <c r="O2207" t="s">
        <v>1036</v>
      </c>
      <c r="P2207" s="17"/>
      <c r="Q2207" s="17" t="str">
        <f>_xlfn.XLOOKUP(Table2[[#This Row],[buyFromVendorNo]],'Next Day Scheduled'!A:A,'Pending Returns'!O:O,"NOT_FOUND")</f>
        <v>Posted Credit Note</v>
      </c>
    </row>
    <row r="2208" spans="1:17" x14ac:dyDescent="0.3">
      <c r="A2208" s="1">
        <v>46215</v>
      </c>
      <c r="B2208" t="s">
        <v>5208</v>
      </c>
      <c r="C2208" t="s">
        <v>656</v>
      </c>
      <c r="D2208" t="s">
        <v>657</v>
      </c>
      <c r="E2208" t="s">
        <v>8</v>
      </c>
      <c r="F2208" t="s">
        <v>38</v>
      </c>
      <c r="G2208" s="16">
        <v>90</v>
      </c>
      <c r="H2208" s="16">
        <v>103.5</v>
      </c>
      <c r="I2208" s="1">
        <v>46184</v>
      </c>
      <c r="J2208">
        <v>44</v>
      </c>
      <c r="K2208" t="s">
        <v>3075</v>
      </c>
      <c r="L2208" t="s">
        <v>7261</v>
      </c>
      <c r="M2208">
        <v>0</v>
      </c>
      <c r="N2208">
        <v>198</v>
      </c>
      <c r="O2208" t="s">
        <v>1036</v>
      </c>
      <c r="P2208" s="17"/>
      <c r="Q2208" s="17" t="str">
        <f>_xlfn.XLOOKUP(Table2[[#This Row],[buyFromVendorNo]],'Next Day Scheduled'!A:A,'Pending Returns'!O:O,"NOT_FOUND")</f>
        <v>NOT_FOUND</v>
      </c>
    </row>
    <row r="2209" spans="1:17" x14ac:dyDescent="0.3">
      <c r="A2209" s="1">
        <v>46215</v>
      </c>
      <c r="B2209" t="s">
        <v>3007</v>
      </c>
      <c r="C2209" t="s">
        <v>776</v>
      </c>
      <c r="D2209" t="s">
        <v>777</v>
      </c>
      <c r="E2209" t="s">
        <v>8</v>
      </c>
      <c r="F2209" t="s">
        <v>10</v>
      </c>
      <c r="G2209" s="16">
        <v>866.09</v>
      </c>
      <c r="H2209" s="16">
        <v>996.00350000000003</v>
      </c>
      <c r="I2209" s="1">
        <v>46212</v>
      </c>
      <c r="J2209">
        <v>44</v>
      </c>
      <c r="K2209" t="s">
        <v>6584</v>
      </c>
      <c r="L2209" t="s">
        <v>7314</v>
      </c>
      <c r="M2209">
        <v>17</v>
      </c>
      <c r="N2209">
        <v>2</v>
      </c>
      <c r="O2209" t="s">
        <v>1036</v>
      </c>
      <c r="P2209" s="17"/>
      <c r="Q2209" s="17" t="str">
        <f>_xlfn.XLOOKUP(Table2[[#This Row],[buyFromVendorNo]],'Next Day Scheduled'!A:A,'Pending Returns'!O:O,"NOT_FOUND")</f>
        <v>Posted Credit Note</v>
      </c>
    </row>
    <row r="2210" spans="1:17" x14ac:dyDescent="0.3">
      <c r="A2210" s="1">
        <v>46215</v>
      </c>
      <c r="B2210" t="s">
        <v>638</v>
      </c>
      <c r="C2210" t="s">
        <v>34</v>
      </c>
      <c r="D2210" t="s">
        <v>35</v>
      </c>
      <c r="E2210" t="s">
        <v>8</v>
      </c>
      <c r="F2210" t="s">
        <v>10</v>
      </c>
      <c r="G2210" s="16">
        <v>2173.7402000000002</v>
      </c>
      <c r="H2210" s="16">
        <v>2499.8009999999999</v>
      </c>
      <c r="I2210" s="1">
        <v>46205</v>
      </c>
      <c r="J2210">
        <v>44</v>
      </c>
      <c r="K2210" t="s">
        <v>5772</v>
      </c>
      <c r="L2210" t="s">
        <v>7315</v>
      </c>
      <c r="M2210">
        <v>8</v>
      </c>
      <c r="N2210">
        <v>8</v>
      </c>
      <c r="O2210" t="s">
        <v>1036</v>
      </c>
      <c r="P2210" s="17"/>
      <c r="Q2210" s="17" t="str">
        <f>_xlfn.XLOOKUP(Table2[[#This Row],[buyFromVendorNo]],'Next Day Scheduled'!A:A,'Pending Returns'!O:O,"NOT_FOUND")</f>
        <v>Posted Credit Note</v>
      </c>
    </row>
    <row r="2211" spans="1:17" x14ac:dyDescent="0.3">
      <c r="A2211" s="1">
        <v>46215</v>
      </c>
      <c r="B2211" t="s">
        <v>5264</v>
      </c>
      <c r="C2211" t="s">
        <v>880</v>
      </c>
      <c r="D2211" t="s">
        <v>881</v>
      </c>
      <c r="E2211" t="s">
        <v>8</v>
      </c>
      <c r="F2211" t="s">
        <v>10</v>
      </c>
      <c r="G2211" s="16">
        <v>708.84</v>
      </c>
      <c r="H2211" s="16">
        <v>815.16600000000005</v>
      </c>
      <c r="I2211" s="1">
        <v>46215</v>
      </c>
      <c r="J2211">
        <v>44</v>
      </c>
      <c r="K2211" t="s">
        <v>7224</v>
      </c>
      <c r="L2211" t="s">
        <v>7316</v>
      </c>
      <c r="M2211">
        <v>3</v>
      </c>
      <c r="N2211">
        <v>13</v>
      </c>
      <c r="O2211" t="s">
        <v>1036</v>
      </c>
      <c r="P2211" s="17"/>
      <c r="Q2211" s="17" t="str">
        <f>_xlfn.XLOOKUP(Table2[[#This Row],[buyFromVendorNo]],'Next Day Scheduled'!A:A,'Pending Returns'!O:O,"NOT_FOUND")</f>
        <v>NOT_FOUND</v>
      </c>
    </row>
    <row r="2212" spans="1:17" x14ac:dyDescent="0.3">
      <c r="A2212" s="1">
        <v>46215</v>
      </c>
      <c r="B2212" t="s">
        <v>2117</v>
      </c>
      <c r="C2212" t="s">
        <v>310</v>
      </c>
      <c r="D2212" t="s">
        <v>311</v>
      </c>
      <c r="E2212" t="s">
        <v>8</v>
      </c>
      <c r="F2212" t="s">
        <v>10</v>
      </c>
      <c r="G2212" s="16">
        <v>480.49</v>
      </c>
      <c r="H2212" s="16">
        <v>552.56349999999998</v>
      </c>
      <c r="I2212" s="1">
        <v>46209</v>
      </c>
      <c r="J2212">
        <v>44</v>
      </c>
      <c r="K2212" t="s">
        <v>5009</v>
      </c>
      <c r="L2212" t="s">
        <v>7296</v>
      </c>
      <c r="M2212">
        <v>6</v>
      </c>
      <c r="N2212">
        <v>2</v>
      </c>
      <c r="O2212" t="s">
        <v>1036</v>
      </c>
      <c r="P2212" s="17"/>
      <c r="Q2212" s="17" t="str">
        <f>_xlfn.XLOOKUP(Table2[[#This Row],[buyFromVendorNo]],'Next Day Scheduled'!A:A,'Pending Returns'!O:O,"NOT_FOUND")</f>
        <v>NOT_FOUND</v>
      </c>
    </row>
    <row r="2213" spans="1:17" x14ac:dyDescent="0.3">
      <c r="A2213" s="1">
        <v>46215</v>
      </c>
      <c r="B2213" t="s">
        <v>1772</v>
      </c>
      <c r="C2213" t="s">
        <v>304</v>
      </c>
      <c r="D2213" t="s">
        <v>307</v>
      </c>
      <c r="E2213" t="s">
        <v>8</v>
      </c>
      <c r="F2213" t="s">
        <v>10</v>
      </c>
      <c r="G2213" s="16">
        <v>2710.2719999999999</v>
      </c>
      <c r="H2213" s="16">
        <v>3116.8126999999999</v>
      </c>
      <c r="I2213" s="1">
        <v>46214</v>
      </c>
      <c r="J2213">
        <v>44</v>
      </c>
      <c r="K2213" t="s">
        <v>7085</v>
      </c>
      <c r="L2213" t="s">
        <v>7265</v>
      </c>
      <c r="M2213">
        <v>7</v>
      </c>
      <c r="N2213">
        <v>6</v>
      </c>
      <c r="O2213" t="s">
        <v>1036</v>
      </c>
      <c r="P2213" s="17"/>
      <c r="Q2213" s="17" t="str">
        <f>_xlfn.XLOOKUP(Table2[[#This Row],[buyFromVendorNo]],'Next Day Scheduled'!A:A,'Pending Returns'!O:O,"NOT_FOUND")</f>
        <v>NOT_FOUND</v>
      </c>
    </row>
    <row r="2214" spans="1:17" x14ac:dyDescent="0.3">
      <c r="A2214" s="1">
        <v>46215</v>
      </c>
      <c r="B2214" t="s">
        <v>2615</v>
      </c>
      <c r="C2214" t="s">
        <v>39</v>
      </c>
      <c r="D2214" t="s">
        <v>40</v>
      </c>
      <c r="E2214" t="s">
        <v>8</v>
      </c>
      <c r="F2214" t="s">
        <v>10</v>
      </c>
      <c r="G2214" s="16">
        <v>761.81133999999997</v>
      </c>
      <c r="H2214" s="16">
        <v>876.08299999999997</v>
      </c>
      <c r="I2214" s="1">
        <v>46209</v>
      </c>
      <c r="J2214">
        <v>44</v>
      </c>
      <c r="K2214" t="s">
        <v>4863</v>
      </c>
      <c r="L2214" t="s">
        <v>7353</v>
      </c>
      <c r="M2214">
        <v>10</v>
      </c>
      <c r="N2214">
        <v>1</v>
      </c>
      <c r="O2214" t="s">
        <v>1036</v>
      </c>
      <c r="P2214" s="17"/>
      <c r="Q2214" s="17" t="str">
        <f>_xlfn.XLOOKUP(Table2[[#This Row],[buyFromVendorNo]],'Next Day Scheduled'!A:A,'Pending Returns'!O:O,"NOT_FOUND")</f>
        <v>Posted Credit Note</v>
      </c>
    </row>
    <row r="2215" spans="1:17" x14ac:dyDescent="0.3">
      <c r="A2215" s="1">
        <v>46215</v>
      </c>
      <c r="B2215" t="s">
        <v>5902</v>
      </c>
      <c r="C2215" t="s">
        <v>310</v>
      </c>
      <c r="D2215" t="s">
        <v>311</v>
      </c>
      <c r="E2215" t="s">
        <v>8</v>
      </c>
      <c r="F2215" t="s">
        <v>10</v>
      </c>
      <c r="G2215" s="16">
        <v>1280.4817</v>
      </c>
      <c r="H2215" s="16">
        <v>1472.5540000000001</v>
      </c>
      <c r="I2215" s="1">
        <v>46209</v>
      </c>
      <c r="J2215">
        <v>44</v>
      </c>
      <c r="K2215" t="s">
        <v>4654</v>
      </c>
      <c r="L2215" t="s">
        <v>7313</v>
      </c>
      <c r="M2215">
        <v>6</v>
      </c>
      <c r="N2215">
        <v>2</v>
      </c>
      <c r="O2215" t="s">
        <v>1036</v>
      </c>
      <c r="P2215" s="17"/>
      <c r="Q2215" s="17" t="str">
        <f>_xlfn.XLOOKUP(Table2[[#This Row],[buyFromVendorNo]],'Next Day Scheduled'!A:A,'Pending Returns'!O:O,"NOT_FOUND")</f>
        <v>NOT_FOUND</v>
      </c>
    </row>
    <row r="2216" spans="1:17" x14ac:dyDescent="0.3">
      <c r="A2216" s="1">
        <v>46215</v>
      </c>
      <c r="B2216" t="s">
        <v>5247</v>
      </c>
      <c r="C2216" t="s">
        <v>304</v>
      </c>
      <c r="D2216" t="s">
        <v>307</v>
      </c>
      <c r="E2216" t="s">
        <v>8</v>
      </c>
      <c r="F2216" t="s">
        <v>10</v>
      </c>
      <c r="G2216" s="16">
        <v>2986.9958000000001</v>
      </c>
      <c r="H2216" s="16">
        <v>3435.0452</v>
      </c>
      <c r="I2216" s="1">
        <v>46205</v>
      </c>
      <c r="J2216">
        <v>44</v>
      </c>
      <c r="K2216" t="s">
        <v>6298</v>
      </c>
      <c r="L2216" t="s">
        <v>7262</v>
      </c>
      <c r="M2216">
        <v>7</v>
      </c>
      <c r="N2216">
        <v>6</v>
      </c>
      <c r="O2216" t="s">
        <v>1036</v>
      </c>
      <c r="P2216" s="17"/>
      <c r="Q2216" s="17" t="str">
        <f>_xlfn.XLOOKUP(Table2[[#This Row],[buyFromVendorNo]],'Next Day Scheduled'!A:A,'Pending Returns'!O:O,"NOT_FOUND")</f>
        <v>NOT_FOUND</v>
      </c>
    </row>
    <row r="2217" spans="1:17" x14ac:dyDescent="0.3">
      <c r="A2217" s="1">
        <v>46215</v>
      </c>
      <c r="B2217" t="s">
        <v>7339</v>
      </c>
      <c r="C2217" t="s">
        <v>111</v>
      </c>
      <c r="D2217" t="s">
        <v>112</v>
      </c>
      <c r="E2217" t="s">
        <v>8</v>
      </c>
      <c r="F2217" t="s">
        <v>10</v>
      </c>
      <c r="G2217" s="16">
        <v>690.06335000000001</v>
      </c>
      <c r="H2217" s="16">
        <v>793.57280000000003</v>
      </c>
      <c r="J2217">
        <v>44</v>
      </c>
      <c r="K2217" t="s">
        <v>7340</v>
      </c>
      <c r="M2217">
        <v>4</v>
      </c>
      <c r="N2217">
        <v>15</v>
      </c>
      <c r="O2217" t="s">
        <v>216</v>
      </c>
      <c r="P2217" s="17"/>
      <c r="Q2217" s="17" t="str">
        <f>_xlfn.XLOOKUP(Table2[[#This Row],[buyFromVendorNo]],'Next Day Scheduled'!A:A,'Pending Returns'!O:O,"NOT_FOUND")</f>
        <v>Posted Credit Note</v>
      </c>
    </row>
    <row r="2218" spans="1:17" x14ac:dyDescent="0.3">
      <c r="A2218" s="1">
        <v>46215</v>
      </c>
      <c r="B2218" t="s">
        <v>5330</v>
      </c>
      <c r="C2218" t="s">
        <v>34</v>
      </c>
      <c r="D2218" t="s">
        <v>35</v>
      </c>
      <c r="E2218" t="s">
        <v>8</v>
      </c>
      <c r="F2218" t="s">
        <v>10</v>
      </c>
      <c r="G2218" s="16">
        <v>3984.67</v>
      </c>
      <c r="H2218" s="16">
        <v>4582.3706000000002</v>
      </c>
      <c r="I2218" s="1">
        <v>46205</v>
      </c>
      <c r="J2218">
        <v>44</v>
      </c>
      <c r="K2218" t="s">
        <v>6191</v>
      </c>
      <c r="L2218" t="s">
        <v>7319</v>
      </c>
      <c r="M2218">
        <v>8</v>
      </c>
      <c r="N2218">
        <v>8</v>
      </c>
      <c r="O2218" t="s">
        <v>1036</v>
      </c>
      <c r="P2218" s="17"/>
      <c r="Q2218" s="17" t="str">
        <f>_xlfn.XLOOKUP(Table2[[#This Row],[buyFromVendorNo]],'Next Day Scheduled'!A:A,'Pending Returns'!O:O,"NOT_FOUND")</f>
        <v>Posted Credit Note</v>
      </c>
    </row>
    <row r="2219" spans="1:17" x14ac:dyDescent="0.3">
      <c r="A2219" s="1">
        <v>46215</v>
      </c>
      <c r="B2219" t="s">
        <v>677</v>
      </c>
      <c r="C2219" t="s">
        <v>2834</v>
      </c>
      <c r="D2219" t="s">
        <v>2835</v>
      </c>
      <c r="E2219" t="s">
        <v>8</v>
      </c>
      <c r="F2219" t="s">
        <v>10</v>
      </c>
      <c r="G2219" s="16">
        <v>26.41</v>
      </c>
      <c r="H2219" s="16">
        <v>30.371500000000001</v>
      </c>
      <c r="I2219" s="1">
        <v>46215</v>
      </c>
      <c r="J2219">
        <v>44</v>
      </c>
      <c r="K2219" t="s">
        <v>7126</v>
      </c>
      <c r="L2219" t="s">
        <v>7306</v>
      </c>
      <c r="M2219">
        <v>5</v>
      </c>
      <c r="N2219">
        <v>5</v>
      </c>
      <c r="O2219" t="s">
        <v>1036</v>
      </c>
      <c r="P2219" s="17"/>
      <c r="Q2219" s="17" t="str">
        <f>_xlfn.XLOOKUP(Table2[[#This Row],[buyFromVendorNo]],'Next Day Scheduled'!A:A,'Pending Returns'!O:O,"NOT_FOUND")</f>
        <v>NOT_FOUND</v>
      </c>
    </row>
    <row r="2220" spans="1:17" x14ac:dyDescent="0.3">
      <c r="A2220" s="1">
        <v>46216</v>
      </c>
      <c r="B2220" t="s">
        <v>1995</v>
      </c>
      <c r="C2220" t="s">
        <v>2955</v>
      </c>
      <c r="D2220" t="s">
        <v>2956</v>
      </c>
      <c r="E2220" t="s">
        <v>8</v>
      </c>
      <c r="F2220" t="s">
        <v>10</v>
      </c>
      <c r="G2220" s="16">
        <v>4013.1</v>
      </c>
      <c r="H2220" s="16">
        <v>4615.0649999999996</v>
      </c>
      <c r="I2220" s="1">
        <v>46215</v>
      </c>
      <c r="J2220">
        <v>43</v>
      </c>
      <c r="K2220" t="s">
        <v>6894</v>
      </c>
      <c r="L2220" t="s">
        <v>7390</v>
      </c>
      <c r="M2220">
        <v>5</v>
      </c>
      <c r="N2220">
        <v>1</v>
      </c>
      <c r="O2220" t="s">
        <v>1036</v>
      </c>
      <c r="P2220" s="17"/>
      <c r="Q2220" s="17" t="str">
        <f>_xlfn.XLOOKUP(Table2[[#This Row],[buyFromVendorNo]],'Next Day Scheduled'!A:A,'Pending Returns'!O:O,"NOT_FOUND")</f>
        <v>NOT_FOUND</v>
      </c>
    </row>
    <row r="2221" spans="1:17" x14ac:dyDescent="0.3">
      <c r="A2221" s="1">
        <v>46216</v>
      </c>
      <c r="B2221" t="s">
        <v>3240</v>
      </c>
      <c r="C2221" t="s">
        <v>302</v>
      </c>
      <c r="D2221" t="s">
        <v>303</v>
      </c>
      <c r="E2221" t="s">
        <v>8</v>
      </c>
      <c r="F2221" t="s">
        <v>10</v>
      </c>
      <c r="G2221" s="16">
        <v>247.22407999999999</v>
      </c>
      <c r="H2221" s="16">
        <v>284.30768</v>
      </c>
      <c r="I2221" s="1">
        <v>46204</v>
      </c>
      <c r="J2221">
        <v>43</v>
      </c>
      <c r="K2221" t="s">
        <v>4733</v>
      </c>
      <c r="L2221" t="s">
        <v>7371</v>
      </c>
      <c r="M2221">
        <v>5</v>
      </c>
      <c r="N2221">
        <v>1</v>
      </c>
      <c r="O2221" t="s">
        <v>1036</v>
      </c>
      <c r="P2221" s="17"/>
      <c r="Q2221" s="17" t="str">
        <f>_xlfn.XLOOKUP(Table2[[#This Row],[buyFromVendorNo]],'Next Day Scheduled'!A:A,'Pending Returns'!O:O,"NOT_FOUND")</f>
        <v>NOT_FOUND</v>
      </c>
    </row>
    <row r="2222" spans="1:17" x14ac:dyDescent="0.3">
      <c r="A2222" s="1">
        <v>46216</v>
      </c>
      <c r="B2222" t="s">
        <v>1527</v>
      </c>
      <c r="C2222" t="s">
        <v>1536</v>
      </c>
      <c r="D2222" t="s">
        <v>1537</v>
      </c>
      <c r="E2222" t="s">
        <v>8</v>
      </c>
      <c r="F2222" t="s">
        <v>38</v>
      </c>
      <c r="G2222" s="16">
        <v>56</v>
      </c>
      <c r="H2222" s="16">
        <v>64.400000000000006</v>
      </c>
      <c r="I2222" s="1">
        <v>46211</v>
      </c>
      <c r="J2222">
        <v>43</v>
      </c>
      <c r="K2222" t="s">
        <v>5546</v>
      </c>
      <c r="L2222" t="s">
        <v>7396</v>
      </c>
      <c r="M2222">
        <v>1</v>
      </c>
      <c r="N2222">
        <v>33</v>
      </c>
      <c r="O2222" t="s">
        <v>1036</v>
      </c>
      <c r="P2222" s="17"/>
      <c r="Q2222" s="17" t="str">
        <f>_xlfn.XLOOKUP(Table2[[#This Row],[buyFromVendorNo]],'Next Day Scheduled'!A:A,'Pending Returns'!O:O,"NOT_FOUND")</f>
        <v>Posted Credit Note</v>
      </c>
    </row>
    <row r="2223" spans="1:17" x14ac:dyDescent="0.3">
      <c r="A2223" s="1">
        <v>46216</v>
      </c>
      <c r="B2223" t="s">
        <v>6775</v>
      </c>
      <c r="C2223" t="s">
        <v>6373</v>
      </c>
      <c r="D2223" t="s">
        <v>6374</v>
      </c>
      <c r="E2223" t="s">
        <v>8</v>
      </c>
      <c r="F2223" t="s">
        <v>169</v>
      </c>
      <c r="G2223" s="16">
        <v>2136</v>
      </c>
      <c r="H2223" s="16">
        <v>2456.4</v>
      </c>
      <c r="I2223" s="1">
        <v>46214</v>
      </c>
      <c r="J2223">
        <v>43</v>
      </c>
      <c r="K2223" t="s">
        <v>6833</v>
      </c>
      <c r="L2223" t="s">
        <v>7397</v>
      </c>
      <c r="M2223">
        <v>9</v>
      </c>
      <c r="N2223">
        <v>3</v>
      </c>
      <c r="O2223" t="s">
        <v>1036</v>
      </c>
      <c r="P2223" s="17"/>
      <c r="Q2223" s="17" t="str">
        <f>_xlfn.XLOOKUP(Table2[[#This Row],[buyFromVendorNo]],'Next Day Scheduled'!A:A,'Pending Returns'!O:O,"NOT_FOUND")</f>
        <v>NOT_FOUND</v>
      </c>
    </row>
    <row r="2224" spans="1:17" x14ac:dyDescent="0.3">
      <c r="A2224" s="1">
        <v>46216</v>
      </c>
      <c r="B2224" t="s">
        <v>4035</v>
      </c>
      <c r="C2224" t="s">
        <v>57</v>
      </c>
      <c r="D2224" t="s">
        <v>58</v>
      </c>
      <c r="E2224" t="s">
        <v>8</v>
      </c>
      <c r="F2224" t="s">
        <v>38</v>
      </c>
      <c r="G2224" s="16">
        <v>7.5</v>
      </c>
      <c r="H2224" s="16">
        <v>8.625</v>
      </c>
      <c r="I2224" s="1">
        <v>46210</v>
      </c>
      <c r="J2224">
        <v>43</v>
      </c>
      <c r="K2224" t="s">
        <v>6642</v>
      </c>
      <c r="L2224" t="s">
        <v>7365</v>
      </c>
      <c r="M2224">
        <v>0</v>
      </c>
      <c r="N2224">
        <v>191</v>
      </c>
      <c r="O2224" t="s">
        <v>1036</v>
      </c>
      <c r="P2224" s="17"/>
      <c r="Q2224" s="17" t="str">
        <f>_xlfn.XLOOKUP(Table2[[#This Row],[buyFromVendorNo]],'Next Day Scheduled'!A:A,'Pending Returns'!O:O,"NOT_FOUND")</f>
        <v>Posted Credit Note</v>
      </c>
    </row>
    <row r="2225" spans="1:17" x14ac:dyDescent="0.3">
      <c r="A2225" s="1">
        <v>46216</v>
      </c>
      <c r="B2225" t="s">
        <v>5264</v>
      </c>
      <c r="C2225" t="s">
        <v>1768</v>
      </c>
      <c r="D2225" t="s">
        <v>1769</v>
      </c>
      <c r="E2225" t="s">
        <v>8</v>
      </c>
      <c r="F2225" t="s">
        <v>10</v>
      </c>
      <c r="G2225" s="16">
        <v>216.43365</v>
      </c>
      <c r="H2225" s="16">
        <v>248.89870999999999</v>
      </c>
      <c r="I2225" s="1">
        <v>46215</v>
      </c>
      <c r="J2225">
        <v>43</v>
      </c>
      <c r="K2225" t="s">
        <v>6605</v>
      </c>
      <c r="L2225" t="s">
        <v>7366</v>
      </c>
      <c r="M2225">
        <v>6</v>
      </c>
      <c r="N2225">
        <v>5</v>
      </c>
      <c r="O2225" t="s">
        <v>1036</v>
      </c>
      <c r="P2225" s="17"/>
      <c r="Q2225" s="17" t="str">
        <f>_xlfn.XLOOKUP(Table2[[#This Row],[buyFromVendorNo]],'Next Day Scheduled'!A:A,'Pending Returns'!O:O,"NOT_FOUND")</f>
        <v>NOT_FOUND</v>
      </c>
    </row>
    <row r="2226" spans="1:17" x14ac:dyDescent="0.3">
      <c r="A2226" s="1">
        <v>46216</v>
      </c>
      <c r="B2226" t="s">
        <v>3292</v>
      </c>
      <c r="C2226" t="s">
        <v>2339</v>
      </c>
      <c r="D2226" t="s">
        <v>2340</v>
      </c>
      <c r="E2226" t="s">
        <v>8</v>
      </c>
      <c r="F2226" t="s">
        <v>10</v>
      </c>
      <c r="G2226" s="16">
        <v>388.25</v>
      </c>
      <c r="H2226" s="16">
        <v>446.48750000000001</v>
      </c>
      <c r="I2226" s="1">
        <v>46216</v>
      </c>
      <c r="J2226">
        <v>43</v>
      </c>
      <c r="K2226" t="s">
        <v>6890</v>
      </c>
      <c r="L2226" t="s">
        <v>7406</v>
      </c>
      <c r="M2226">
        <v>0</v>
      </c>
      <c r="N2226">
        <v>607</v>
      </c>
      <c r="O2226" t="s">
        <v>1036</v>
      </c>
      <c r="P2226" s="17"/>
      <c r="Q2226" s="17" t="str">
        <f>_xlfn.XLOOKUP(Table2[[#This Row],[buyFromVendorNo]],'Next Day Scheduled'!A:A,'Pending Returns'!O:O,"NOT_FOUND")</f>
        <v>NOT_FOUND</v>
      </c>
    </row>
    <row r="2227" spans="1:17" x14ac:dyDescent="0.3">
      <c r="A2227" s="1">
        <v>46216</v>
      </c>
      <c r="B2227" t="s">
        <v>642</v>
      </c>
      <c r="C2227" t="s">
        <v>398</v>
      </c>
      <c r="D2227" t="s">
        <v>399</v>
      </c>
      <c r="E2227" t="s">
        <v>8</v>
      </c>
      <c r="F2227" t="s">
        <v>38</v>
      </c>
      <c r="G2227" s="16">
        <v>73.010000000000005</v>
      </c>
      <c r="H2227" s="16">
        <v>83.961500000000001</v>
      </c>
      <c r="I2227" s="1">
        <v>46215</v>
      </c>
      <c r="J2227">
        <v>43</v>
      </c>
      <c r="K2227" t="s">
        <v>6032</v>
      </c>
      <c r="L2227" t="s">
        <v>7407</v>
      </c>
      <c r="M2227">
        <v>4</v>
      </c>
      <c r="N2227">
        <v>12</v>
      </c>
      <c r="O2227" t="s">
        <v>1036</v>
      </c>
      <c r="P2227" s="17"/>
      <c r="Q2227" s="17" t="str">
        <f>_xlfn.XLOOKUP(Table2[[#This Row],[buyFromVendorNo]],'Next Day Scheduled'!A:A,'Pending Returns'!O:O,"NOT_FOUND")</f>
        <v>Posted Credit Note</v>
      </c>
    </row>
    <row r="2228" spans="1:17" x14ac:dyDescent="0.3">
      <c r="A2228" s="1">
        <v>46216</v>
      </c>
      <c r="B2228" t="s">
        <v>706</v>
      </c>
      <c r="C2228" t="s">
        <v>373</v>
      </c>
      <c r="D2228" t="s">
        <v>374</v>
      </c>
      <c r="E2228" t="s">
        <v>8</v>
      </c>
      <c r="F2228" t="s">
        <v>10</v>
      </c>
      <c r="G2228" s="16">
        <v>936.54143999999997</v>
      </c>
      <c r="H2228" s="16">
        <v>1077.0227</v>
      </c>
      <c r="I2228" s="1">
        <v>46208</v>
      </c>
      <c r="J2228">
        <v>43</v>
      </c>
      <c r="K2228" t="s">
        <v>5001</v>
      </c>
      <c r="L2228" t="s">
        <v>7363</v>
      </c>
      <c r="M2228">
        <v>3</v>
      </c>
      <c r="N2228">
        <v>12</v>
      </c>
      <c r="O2228" t="s">
        <v>1036</v>
      </c>
      <c r="P2228" s="17"/>
      <c r="Q2228" s="17" t="str">
        <f>_xlfn.XLOOKUP(Table2[[#This Row],[buyFromVendorNo]],'Next Day Scheduled'!A:A,'Pending Returns'!O:O,"NOT_FOUND")</f>
        <v>NOT_FOUND</v>
      </c>
    </row>
    <row r="2229" spans="1:17" x14ac:dyDescent="0.3">
      <c r="A2229" s="1">
        <v>46216</v>
      </c>
      <c r="B2229" t="s">
        <v>1567</v>
      </c>
      <c r="C2229" t="s">
        <v>3773</v>
      </c>
      <c r="D2229" t="s">
        <v>3774</v>
      </c>
      <c r="E2229" t="s">
        <v>8</v>
      </c>
      <c r="F2229" t="s">
        <v>10</v>
      </c>
      <c r="G2229" s="16">
        <v>3269.8434999999999</v>
      </c>
      <c r="H2229" s="16">
        <v>3760.32</v>
      </c>
      <c r="I2229" s="1">
        <v>46208</v>
      </c>
      <c r="J2229">
        <v>43</v>
      </c>
      <c r="K2229" t="s">
        <v>6582</v>
      </c>
      <c r="L2229" t="s">
        <v>7360</v>
      </c>
      <c r="M2229">
        <v>7</v>
      </c>
      <c r="N2229">
        <v>2</v>
      </c>
      <c r="O2229" t="s">
        <v>1036</v>
      </c>
      <c r="P2229" s="17"/>
      <c r="Q2229" s="17" t="str">
        <f>_xlfn.XLOOKUP(Table2[[#This Row],[buyFromVendorNo]],'Next Day Scheduled'!A:A,'Pending Returns'!O:O,"NOT_FOUND")</f>
        <v>NOT_FOUND</v>
      </c>
    </row>
    <row r="2230" spans="1:17" x14ac:dyDescent="0.3">
      <c r="A2230" s="1">
        <v>46216</v>
      </c>
      <c r="B2230" t="s">
        <v>3298</v>
      </c>
      <c r="C2230" t="s">
        <v>57</v>
      </c>
      <c r="D2230" t="s">
        <v>58</v>
      </c>
      <c r="E2230" t="s">
        <v>8</v>
      </c>
      <c r="F2230" t="s">
        <v>10</v>
      </c>
      <c r="G2230" s="16">
        <v>1950.52</v>
      </c>
      <c r="H2230" s="16">
        <v>2243.098</v>
      </c>
      <c r="I2230" s="1">
        <v>46210</v>
      </c>
      <c r="J2230">
        <v>43</v>
      </c>
      <c r="K2230" t="s">
        <v>6000</v>
      </c>
      <c r="L2230" t="s">
        <v>7375</v>
      </c>
      <c r="M2230">
        <v>5</v>
      </c>
      <c r="N2230">
        <v>8</v>
      </c>
      <c r="O2230" t="s">
        <v>1036</v>
      </c>
      <c r="P2230" s="17"/>
      <c r="Q2230" s="17" t="str">
        <f>_xlfn.XLOOKUP(Table2[[#This Row],[buyFromVendorNo]],'Next Day Scheduled'!A:A,'Pending Returns'!O:O,"NOT_FOUND")</f>
        <v>Posted Credit Note</v>
      </c>
    </row>
    <row r="2231" spans="1:17" x14ac:dyDescent="0.3">
      <c r="A2231" s="1">
        <v>46216</v>
      </c>
      <c r="B2231" t="s">
        <v>3368</v>
      </c>
      <c r="C2231" t="s">
        <v>679</v>
      </c>
      <c r="D2231" t="s">
        <v>680</v>
      </c>
      <c r="E2231" t="s">
        <v>8</v>
      </c>
      <c r="F2231" t="s">
        <v>10</v>
      </c>
      <c r="G2231" s="16">
        <v>680</v>
      </c>
      <c r="H2231" s="16">
        <v>782</v>
      </c>
      <c r="I2231" s="1">
        <v>46212</v>
      </c>
      <c r="J2231">
        <v>43</v>
      </c>
      <c r="K2231" t="s">
        <v>6604</v>
      </c>
      <c r="L2231" t="s">
        <v>7367</v>
      </c>
      <c r="M2231">
        <v>3</v>
      </c>
      <c r="N2231">
        <v>12</v>
      </c>
      <c r="O2231" t="s">
        <v>1036</v>
      </c>
      <c r="P2231" s="17"/>
      <c r="Q2231" s="17" t="str">
        <f>_xlfn.XLOOKUP(Table2[[#This Row],[buyFromVendorNo]],'Next Day Scheduled'!A:A,'Pending Returns'!O:O,"NOT_FOUND")</f>
        <v>NOT_FOUND</v>
      </c>
    </row>
    <row r="2232" spans="1:17" x14ac:dyDescent="0.3">
      <c r="A2232" s="1">
        <v>46216</v>
      </c>
      <c r="B2232" t="s">
        <v>5481</v>
      </c>
      <c r="C2232" t="s">
        <v>1639</v>
      </c>
      <c r="D2232" t="s">
        <v>1640</v>
      </c>
      <c r="E2232" t="s">
        <v>8</v>
      </c>
      <c r="F2232" t="s">
        <v>10</v>
      </c>
      <c r="G2232" s="16">
        <v>283.75</v>
      </c>
      <c r="H2232" s="16">
        <v>326.3125</v>
      </c>
      <c r="I2232" s="1">
        <v>46208</v>
      </c>
      <c r="J2232">
        <v>43</v>
      </c>
      <c r="K2232" t="s">
        <v>5482</v>
      </c>
      <c r="L2232" t="s">
        <v>7368</v>
      </c>
      <c r="M2232">
        <v>7</v>
      </c>
      <c r="N2232">
        <v>7</v>
      </c>
      <c r="O2232" t="s">
        <v>1036</v>
      </c>
      <c r="P2232" s="17"/>
      <c r="Q2232" s="17" t="str">
        <f>_xlfn.XLOOKUP(Table2[[#This Row],[buyFromVendorNo]],'Next Day Scheduled'!A:A,'Pending Returns'!O:O,"NOT_FOUND")</f>
        <v>Posted Credit Note</v>
      </c>
    </row>
    <row r="2233" spans="1:17" x14ac:dyDescent="0.3">
      <c r="A2233" s="1">
        <v>46216</v>
      </c>
      <c r="B2233" t="s">
        <v>2979</v>
      </c>
      <c r="C2233" t="s">
        <v>373</v>
      </c>
      <c r="D2233" t="s">
        <v>374</v>
      </c>
      <c r="E2233" t="s">
        <v>8</v>
      </c>
      <c r="F2233" t="s">
        <v>10</v>
      </c>
      <c r="G2233" s="16">
        <v>2342.3627999999999</v>
      </c>
      <c r="H2233" s="16">
        <v>2693.7172999999998</v>
      </c>
      <c r="I2233" s="1">
        <v>46208</v>
      </c>
      <c r="J2233">
        <v>43</v>
      </c>
      <c r="K2233" t="s">
        <v>4510</v>
      </c>
      <c r="L2233" t="s">
        <v>7372</v>
      </c>
      <c r="M2233">
        <v>3</v>
      </c>
      <c r="N2233">
        <v>12</v>
      </c>
      <c r="O2233" t="s">
        <v>1036</v>
      </c>
      <c r="P2233" s="17"/>
      <c r="Q2233" s="17" t="str">
        <f>_xlfn.XLOOKUP(Table2[[#This Row],[buyFromVendorNo]],'Next Day Scheduled'!A:A,'Pending Returns'!O:O,"NOT_FOUND")</f>
        <v>NOT_FOUND</v>
      </c>
    </row>
    <row r="2234" spans="1:17" x14ac:dyDescent="0.3">
      <c r="A2234" s="1">
        <v>46216</v>
      </c>
      <c r="B2234" t="s">
        <v>642</v>
      </c>
      <c r="C2234" t="s">
        <v>1161</v>
      </c>
      <c r="D2234" t="s">
        <v>1162</v>
      </c>
      <c r="E2234" t="s">
        <v>8</v>
      </c>
      <c r="F2234" t="s">
        <v>38</v>
      </c>
      <c r="G2234" s="16">
        <v>396.61</v>
      </c>
      <c r="H2234" s="16">
        <v>456.10149999999999</v>
      </c>
      <c r="I2234" s="1">
        <v>46212</v>
      </c>
      <c r="J2234">
        <v>43</v>
      </c>
      <c r="K2234" t="s">
        <v>6761</v>
      </c>
      <c r="L2234" t="s">
        <v>7382</v>
      </c>
      <c r="M2234">
        <v>5</v>
      </c>
      <c r="N2234">
        <v>7</v>
      </c>
      <c r="O2234" t="s">
        <v>1036</v>
      </c>
      <c r="P2234" s="17"/>
      <c r="Q2234" s="17" t="str">
        <f>_xlfn.XLOOKUP(Table2[[#This Row],[buyFromVendorNo]],'Next Day Scheduled'!A:A,'Pending Returns'!O:O,"NOT_FOUND")</f>
        <v>NOT_FOUND</v>
      </c>
    </row>
    <row r="2235" spans="1:17" x14ac:dyDescent="0.3">
      <c r="A2235" s="1">
        <v>46216</v>
      </c>
      <c r="B2235" t="s">
        <v>1661</v>
      </c>
      <c r="C2235" t="s">
        <v>57</v>
      </c>
      <c r="D2235" t="s">
        <v>58</v>
      </c>
      <c r="E2235" t="s">
        <v>8</v>
      </c>
      <c r="F2235" t="s">
        <v>10</v>
      </c>
      <c r="G2235" s="16">
        <v>1126.8</v>
      </c>
      <c r="H2235" s="16">
        <v>1295.82</v>
      </c>
      <c r="I2235" s="1">
        <v>46210</v>
      </c>
      <c r="J2235">
        <v>43</v>
      </c>
      <c r="K2235" t="s">
        <v>6436</v>
      </c>
      <c r="L2235" t="s">
        <v>7357</v>
      </c>
      <c r="M2235">
        <v>5</v>
      </c>
      <c r="N2235">
        <v>8</v>
      </c>
      <c r="O2235" t="s">
        <v>1036</v>
      </c>
      <c r="P2235" s="17"/>
      <c r="Q2235" s="17" t="str">
        <f>_xlfn.XLOOKUP(Table2[[#This Row],[buyFromVendorNo]],'Next Day Scheduled'!A:A,'Pending Returns'!O:O,"NOT_FOUND")</f>
        <v>Posted Credit Note</v>
      </c>
    </row>
    <row r="2236" spans="1:17" x14ac:dyDescent="0.3">
      <c r="A2236" s="1">
        <v>46216</v>
      </c>
      <c r="B2236" t="s">
        <v>642</v>
      </c>
      <c r="C2236" t="s">
        <v>562</v>
      </c>
      <c r="D2236" t="s">
        <v>563</v>
      </c>
      <c r="E2236" t="s">
        <v>8</v>
      </c>
      <c r="F2236" t="s">
        <v>38</v>
      </c>
      <c r="G2236" s="16">
        <v>1641.3653999999999</v>
      </c>
      <c r="H2236" s="16">
        <v>1887.5700999999999</v>
      </c>
      <c r="I2236" s="1">
        <v>46215</v>
      </c>
      <c r="J2236">
        <v>43</v>
      </c>
      <c r="K2236" t="s">
        <v>7058</v>
      </c>
      <c r="L2236" t="s">
        <v>7373</v>
      </c>
      <c r="M2236">
        <v>12</v>
      </c>
      <c r="N2236">
        <v>23</v>
      </c>
      <c r="O2236" t="s">
        <v>1036</v>
      </c>
      <c r="P2236" s="17"/>
      <c r="Q2236" s="17" t="str">
        <f>_xlfn.XLOOKUP(Table2[[#This Row],[buyFromVendorNo]],'Next Day Scheduled'!A:A,'Pending Returns'!O:O,"NOT_FOUND")</f>
        <v>NOT_FOUND</v>
      </c>
    </row>
    <row r="2237" spans="1:17" x14ac:dyDescent="0.3">
      <c r="A2237" s="1">
        <v>46216</v>
      </c>
      <c r="B2237" t="s">
        <v>550</v>
      </c>
      <c r="C2237" t="s">
        <v>177</v>
      </c>
      <c r="D2237" t="s">
        <v>178</v>
      </c>
      <c r="E2237" t="s">
        <v>8</v>
      </c>
      <c r="F2237" t="s">
        <v>10</v>
      </c>
      <c r="G2237" s="16">
        <v>2520</v>
      </c>
      <c r="H2237" s="16">
        <v>2898</v>
      </c>
      <c r="I2237" s="1">
        <v>46207</v>
      </c>
      <c r="J2237">
        <v>43</v>
      </c>
      <c r="K2237" t="s">
        <v>1800</v>
      </c>
      <c r="L2237" t="s">
        <v>7358</v>
      </c>
      <c r="M2237">
        <v>13</v>
      </c>
      <c r="N2237">
        <v>2</v>
      </c>
      <c r="O2237" t="s">
        <v>1036</v>
      </c>
      <c r="P2237" s="17"/>
      <c r="Q2237" s="17" t="str">
        <f>_xlfn.XLOOKUP(Table2[[#This Row],[buyFromVendorNo]],'Next Day Scheduled'!A:A,'Pending Returns'!O:O,"NOT_FOUND")</f>
        <v>Posted Credit Note</v>
      </c>
    </row>
    <row r="2238" spans="1:17" x14ac:dyDescent="0.3">
      <c r="A2238" s="1">
        <v>46216</v>
      </c>
      <c r="B2238" t="s">
        <v>2839</v>
      </c>
      <c r="C2238" t="s">
        <v>7392</v>
      </c>
      <c r="D2238" t="s">
        <v>7393</v>
      </c>
      <c r="E2238" t="s">
        <v>8</v>
      </c>
      <c r="F2238" t="s">
        <v>10</v>
      </c>
      <c r="G2238" s="16">
        <v>56</v>
      </c>
      <c r="H2238" s="16">
        <v>64.400000000000006</v>
      </c>
      <c r="J2238">
        <v>43</v>
      </c>
      <c r="K2238" t="s">
        <v>7394</v>
      </c>
      <c r="M2238">
        <v>0</v>
      </c>
      <c r="N2238">
        <v>254</v>
      </c>
      <c r="O2238" t="s">
        <v>216</v>
      </c>
      <c r="P2238" s="17"/>
      <c r="Q2238" s="17" t="str">
        <f>_xlfn.XLOOKUP(Table2[[#This Row],[buyFromVendorNo]],'Next Day Scheduled'!A:A,'Pending Returns'!O:O,"NOT_FOUND")</f>
        <v>NOT_FOUND</v>
      </c>
    </row>
    <row r="2239" spans="1:17" x14ac:dyDescent="0.3">
      <c r="A2239" s="1">
        <v>46216</v>
      </c>
      <c r="B2239" t="s">
        <v>4031</v>
      </c>
      <c r="C2239" t="s">
        <v>327</v>
      </c>
      <c r="D2239" t="s">
        <v>328</v>
      </c>
      <c r="E2239" t="s">
        <v>8</v>
      </c>
      <c r="F2239" t="s">
        <v>169</v>
      </c>
      <c r="G2239" s="16">
        <v>773.23</v>
      </c>
      <c r="H2239" s="16">
        <v>889.21450000000004</v>
      </c>
      <c r="I2239" s="1">
        <v>46216</v>
      </c>
      <c r="J2239">
        <v>43</v>
      </c>
      <c r="K2239" t="s">
        <v>7097</v>
      </c>
      <c r="L2239" t="s">
        <v>7361</v>
      </c>
      <c r="M2239">
        <v>5</v>
      </c>
      <c r="N2239">
        <v>5</v>
      </c>
      <c r="O2239" t="s">
        <v>1036</v>
      </c>
      <c r="P2239" s="17"/>
      <c r="Q2239" s="17" t="str">
        <f>_xlfn.XLOOKUP(Table2[[#This Row],[buyFromVendorNo]],'Next Day Scheduled'!A:A,'Pending Returns'!O:O,"NOT_FOUND")</f>
        <v>NOT_FOUND</v>
      </c>
    </row>
    <row r="2240" spans="1:17" x14ac:dyDescent="0.3">
      <c r="A2240" s="1">
        <v>46216</v>
      </c>
      <c r="B2240" t="s">
        <v>2546</v>
      </c>
      <c r="C2240" t="s">
        <v>1536</v>
      </c>
      <c r="D2240" t="s">
        <v>1537</v>
      </c>
      <c r="E2240" t="s">
        <v>8</v>
      </c>
      <c r="F2240" t="s">
        <v>38</v>
      </c>
      <c r="G2240" s="16">
        <v>348.5</v>
      </c>
      <c r="H2240" s="16">
        <v>400.77499999999998</v>
      </c>
      <c r="I2240" s="1">
        <v>46211</v>
      </c>
      <c r="J2240">
        <v>43</v>
      </c>
      <c r="K2240" t="s">
        <v>2538</v>
      </c>
      <c r="L2240" t="s">
        <v>7402</v>
      </c>
      <c r="M2240">
        <v>1</v>
      </c>
      <c r="N2240">
        <v>33</v>
      </c>
      <c r="O2240" t="s">
        <v>1036</v>
      </c>
      <c r="P2240" s="17"/>
      <c r="Q2240" s="17" t="str">
        <f>_xlfn.XLOOKUP(Table2[[#This Row],[buyFromVendorNo]],'Next Day Scheduled'!A:A,'Pending Returns'!O:O,"NOT_FOUND")</f>
        <v>Posted Credit Note</v>
      </c>
    </row>
    <row r="2241" spans="1:17" x14ac:dyDescent="0.3">
      <c r="A2241" s="1">
        <v>46216</v>
      </c>
      <c r="B2241" t="s">
        <v>7376</v>
      </c>
      <c r="C2241" t="s">
        <v>7245</v>
      </c>
      <c r="D2241" t="s">
        <v>7246</v>
      </c>
      <c r="E2241" t="s">
        <v>8</v>
      </c>
      <c r="F2241" t="s">
        <v>10</v>
      </c>
      <c r="G2241" s="16">
        <v>145.32</v>
      </c>
      <c r="H2241" s="16">
        <v>167.11799999999999</v>
      </c>
      <c r="J2241">
        <v>43</v>
      </c>
      <c r="K2241" t="s">
        <v>7377</v>
      </c>
      <c r="M2241">
        <v>0</v>
      </c>
      <c r="N2241">
        <v>164</v>
      </c>
      <c r="O2241" t="s">
        <v>216</v>
      </c>
      <c r="P2241" s="17"/>
      <c r="Q2241" s="17" t="str">
        <f>_xlfn.XLOOKUP(Table2[[#This Row],[buyFromVendorNo]],'Next Day Scheduled'!A:A,'Pending Returns'!O:O,"NOT_FOUND")</f>
        <v>NOT_FOUND</v>
      </c>
    </row>
    <row r="2242" spans="1:17" x14ac:dyDescent="0.3">
      <c r="A2242" s="1">
        <v>46216</v>
      </c>
      <c r="B2242" t="s">
        <v>1828</v>
      </c>
      <c r="C2242" t="s">
        <v>146</v>
      </c>
      <c r="D2242" t="s">
        <v>147</v>
      </c>
      <c r="E2242" t="s">
        <v>8</v>
      </c>
      <c r="F2242" t="s">
        <v>10</v>
      </c>
      <c r="G2242" s="16">
        <v>1108.3</v>
      </c>
      <c r="H2242" s="16">
        <v>1274.5450000000001</v>
      </c>
      <c r="I2242" s="1">
        <v>46216</v>
      </c>
      <c r="J2242">
        <v>43</v>
      </c>
      <c r="K2242" t="s">
        <v>6621</v>
      </c>
      <c r="L2242" t="s">
        <v>7404</v>
      </c>
      <c r="M2242">
        <v>6</v>
      </c>
      <c r="N2242">
        <v>2</v>
      </c>
      <c r="O2242" t="s">
        <v>1036</v>
      </c>
      <c r="P2242" s="17"/>
      <c r="Q2242" s="17" t="str">
        <f>_xlfn.XLOOKUP(Table2[[#This Row],[buyFromVendorNo]],'Next Day Scheduled'!A:A,'Pending Returns'!O:O,"NOT_FOUND")</f>
        <v>NOT_FOUND</v>
      </c>
    </row>
    <row r="2243" spans="1:17" x14ac:dyDescent="0.3">
      <c r="A2243" s="1">
        <v>46216</v>
      </c>
      <c r="B2243" t="s">
        <v>5362</v>
      </c>
      <c r="C2243" t="s">
        <v>373</v>
      </c>
      <c r="D2243" t="s">
        <v>374</v>
      </c>
      <c r="E2243" t="s">
        <v>8</v>
      </c>
      <c r="F2243" t="s">
        <v>10</v>
      </c>
      <c r="G2243" s="16">
        <v>858.96669999999995</v>
      </c>
      <c r="H2243" s="16">
        <v>987.81164999999999</v>
      </c>
      <c r="I2243" s="1">
        <v>46208</v>
      </c>
      <c r="J2243">
        <v>43</v>
      </c>
      <c r="K2243" t="s">
        <v>5363</v>
      </c>
      <c r="L2243" t="s">
        <v>7370</v>
      </c>
      <c r="M2243">
        <v>3</v>
      </c>
      <c r="N2243">
        <v>12</v>
      </c>
      <c r="O2243" t="s">
        <v>1036</v>
      </c>
      <c r="P2243" s="17"/>
      <c r="Q2243" s="17" t="str">
        <f>_xlfn.XLOOKUP(Table2[[#This Row],[buyFromVendorNo]],'Next Day Scheduled'!A:A,'Pending Returns'!O:O,"NOT_FOUND")</f>
        <v>NOT_FOUND</v>
      </c>
    </row>
    <row r="2244" spans="1:17" x14ac:dyDescent="0.3">
      <c r="A2244" s="1">
        <v>46216</v>
      </c>
      <c r="B2244" t="s">
        <v>3254</v>
      </c>
      <c r="C2244" t="s">
        <v>177</v>
      </c>
      <c r="D2244" t="s">
        <v>178</v>
      </c>
      <c r="E2244" t="s">
        <v>8</v>
      </c>
      <c r="F2244" t="s">
        <v>10</v>
      </c>
      <c r="G2244" s="16">
        <v>74.39</v>
      </c>
      <c r="H2244" s="16">
        <v>85.548500000000004</v>
      </c>
      <c r="I2244" s="1">
        <v>46207</v>
      </c>
      <c r="J2244">
        <v>43</v>
      </c>
      <c r="K2244" t="s">
        <v>4552</v>
      </c>
      <c r="L2244" t="s">
        <v>7374</v>
      </c>
      <c r="M2244">
        <v>13</v>
      </c>
      <c r="N2244">
        <v>2</v>
      </c>
      <c r="O2244" t="s">
        <v>1036</v>
      </c>
      <c r="P2244" s="17"/>
      <c r="Q2244" s="17" t="str">
        <f>_xlfn.XLOOKUP(Table2[[#This Row],[buyFromVendorNo]],'Next Day Scheduled'!A:A,'Pending Returns'!O:O,"NOT_FOUND")</f>
        <v>Posted Credit Note</v>
      </c>
    </row>
    <row r="2245" spans="1:17" x14ac:dyDescent="0.3">
      <c r="A2245" s="1">
        <v>46216</v>
      </c>
      <c r="B2245" t="s">
        <v>5410</v>
      </c>
      <c r="C2245" t="s">
        <v>3777</v>
      </c>
      <c r="D2245" t="s">
        <v>3778</v>
      </c>
      <c r="E2245" t="s">
        <v>8</v>
      </c>
      <c r="F2245" t="s">
        <v>10</v>
      </c>
      <c r="G2245" s="16">
        <v>4579.01</v>
      </c>
      <c r="H2245" s="16">
        <v>5265.8612999999996</v>
      </c>
      <c r="I2245" s="1">
        <v>46216</v>
      </c>
      <c r="J2245">
        <v>43</v>
      </c>
      <c r="K2245" t="s">
        <v>6633</v>
      </c>
      <c r="L2245" t="s">
        <v>7410</v>
      </c>
      <c r="M2245">
        <v>6</v>
      </c>
      <c r="N2245">
        <v>3</v>
      </c>
      <c r="O2245" t="s">
        <v>1036</v>
      </c>
      <c r="P2245" s="17"/>
      <c r="Q2245" s="17" t="str">
        <f>_xlfn.XLOOKUP(Table2[[#This Row],[buyFromVendorNo]],'Next Day Scheduled'!A:A,'Pending Returns'!O:O,"NOT_FOUND")</f>
        <v>NOT_FOUND</v>
      </c>
    </row>
    <row r="2246" spans="1:17" x14ac:dyDescent="0.3">
      <c r="A2246" s="1">
        <v>46216</v>
      </c>
      <c r="B2246" t="s">
        <v>2113</v>
      </c>
      <c r="C2246" t="s">
        <v>373</v>
      </c>
      <c r="D2246" t="s">
        <v>374</v>
      </c>
      <c r="E2246" t="s">
        <v>8</v>
      </c>
      <c r="F2246" t="s">
        <v>10</v>
      </c>
      <c r="G2246" s="16">
        <v>1121.3583000000001</v>
      </c>
      <c r="H2246" s="16">
        <v>1289.5621000000001</v>
      </c>
      <c r="I2246" s="1">
        <v>46208</v>
      </c>
      <c r="J2246">
        <v>43</v>
      </c>
      <c r="K2246" t="s">
        <v>6272</v>
      </c>
      <c r="L2246" t="s">
        <v>7359</v>
      </c>
      <c r="M2246">
        <v>3</v>
      </c>
      <c r="N2246">
        <v>12</v>
      </c>
      <c r="O2246" t="s">
        <v>1036</v>
      </c>
      <c r="P2246" s="17"/>
      <c r="Q2246" s="17" t="str">
        <f>_xlfn.XLOOKUP(Table2[[#This Row],[buyFromVendorNo]],'Next Day Scheduled'!A:A,'Pending Returns'!O:O,"NOT_FOUND")</f>
        <v>NOT_FOUND</v>
      </c>
    </row>
    <row r="2247" spans="1:17" x14ac:dyDescent="0.3">
      <c r="A2247" s="1">
        <v>46216</v>
      </c>
      <c r="B2247" t="s">
        <v>283</v>
      </c>
      <c r="C2247" t="s">
        <v>295</v>
      </c>
      <c r="D2247" t="s">
        <v>345</v>
      </c>
      <c r="E2247" t="s">
        <v>8</v>
      </c>
      <c r="F2247" t="s">
        <v>10</v>
      </c>
      <c r="G2247" s="16">
        <v>396.75</v>
      </c>
      <c r="H2247" s="16">
        <v>456.26249999999999</v>
      </c>
      <c r="I2247" s="1">
        <v>46216</v>
      </c>
      <c r="J2247">
        <v>43</v>
      </c>
      <c r="K2247" t="s">
        <v>5028</v>
      </c>
      <c r="L2247" t="s">
        <v>7395</v>
      </c>
      <c r="M2247">
        <v>18</v>
      </c>
      <c r="N2247">
        <v>1</v>
      </c>
      <c r="O2247" t="s">
        <v>1036</v>
      </c>
      <c r="P2247" s="17"/>
      <c r="Q2247" s="17" t="str">
        <f>_xlfn.XLOOKUP(Table2[[#This Row],[buyFromVendorNo]],'Next Day Scheduled'!A:A,'Pending Returns'!O:O,"NOT_FOUND")</f>
        <v>NOT_FOUND</v>
      </c>
    </row>
    <row r="2248" spans="1:17" x14ac:dyDescent="0.3">
      <c r="A2248" s="1">
        <v>46216</v>
      </c>
      <c r="B2248" t="s">
        <v>3715</v>
      </c>
      <c r="C2248" t="s">
        <v>327</v>
      </c>
      <c r="D2248" t="s">
        <v>328</v>
      </c>
      <c r="E2248" t="s">
        <v>8</v>
      </c>
      <c r="F2248" t="s">
        <v>169</v>
      </c>
      <c r="G2248" s="16">
        <v>681.6</v>
      </c>
      <c r="H2248" s="16">
        <v>783.84</v>
      </c>
      <c r="I2248" s="1">
        <v>46216</v>
      </c>
      <c r="J2248">
        <v>43</v>
      </c>
      <c r="K2248" t="s">
        <v>7226</v>
      </c>
      <c r="L2248" t="s">
        <v>7385</v>
      </c>
      <c r="M2248">
        <v>5</v>
      </c>
      <c r="N2248">
        <v>5</v>
      </c>
      <c r="O2248" t="s">
        <v>1036</v>
      </c>
      <c r="P2248" s="17"/>
      <c r="Q2248" s="17" t="str">
        <f>_xlfn.XLOOKUP(Table2[[#This Row],[buyFromVendorNo]],'Next Day Scheduled'!A:A,'Pending Returns'!O:O,"NOT_FOUND")</f>
        <v>NOT_FOUND</v>
      </c>
    </row>
    <row r="2249" spans="1:17" x14ac:dyDescent="0.3">
      <c r="A2249" s="1">
        <v>46216</v>
      </c>
      <c r="B2249" t="s">
        <v>3489</v>
      </c>
      <c r="C2249" t="s">
        <v>3083</v>
      </c>
      <c r="D2249" t="s">
        <v>3084</v>
      </c>
      <c r="E2249" t="s">
        <v>8</v>
      </c>
      <c r="F2249" t="s">
        <v>10</v>
      </c>
      <c r="G2249" s="16">
        <v>9193.6</v>
      </c>
      <c r="H2249" s="16">
        <v>10572.64</v>
      </c>
      <c r="J2249">
        <v>43</v>
      </c>
      <c r="K2249" t="s">
        <v>7362</v>
      </c>
      <c r="M2249">
        <v>0</v>
      </c>
      <c r="N2249">
        <v>377</v>
      </c>
      <c r="O2249" t="s">
        <v>216</v>
      </c>
      <c r="P2249" s="17"/>
      <c r="Q2249" s="17" t="str">
        <f>_xlfn.XLOOKUP(Table2[[#This Row],[buyFromVendorNo]],'Next Day Scheduled'!A:A,'Pending Returns'!O:O,"NOT_FOUND")</f>
        <v>NOT_FOUND</v>
      </c>
    </row>
    <row r="2250" spans="1:17" x14ac:dyDescent="0.3">
      <c r="A2250" s="1">
        <v>46216</v>
      </c>
      <c r="B2250" t="s">
        <v>226</v>
      </c>
      <c r="C2250" t="s">
        <v>373</v>
      </c>
      <c r="D2250" t="s">
        <v>374</v>
      </c>
      <c r="E2250" t="s">
        <v>8</v>
      </c>
      <c r="F2250" t="s">
        <v>10</v>
      </c>
      <c r="G2250" s="16">
        <v>883.8329</v>
      </c>
      <c r="H2250" s="16">
        <v>1016.40784</v>
      </c>
      <c r="I2250" s="1">
        <v>46208</v>
      </c>
      <c r="J2250">
        <v>43</v>
      </c>
      <c r="K2250" t="s">
        <v>4578</v>
      </c>
      <c r="L2250" t="s">
        <v>7364</v>
      </c>
      <c r="M2250">
        <v>3</v>
      </c>
      <c r="N2250">
        <v>12</v>
      </c>
      <c r="O2250" t="s">
        <v>1036</v>
      </c>
      <c r="P2250" s="17"/>
      <c r="Q2250" s="17" t="str">
        <f>_xlfn.XLOOKUP(Table2[[#This Row],[buyFromVendorNo]],'Next Day Scheduled'!A:A,'Pending Returns'!O:O,"NOT_FOUND")</f>
        <v>NOT_FOUND</v>
      </c>
    </row>
    <row r="2251" spans="1:17" x14ac:dyDescent="0.3">
      <c r="A2251" s="1">
        <v>46216</v>
      </c>
      <c r="B2251" t="s">
        <v>780</v>
      </c>
      <c r="C2251" t="s">
        <v>854</v>
      </c>
      <c r="D2251" t="s">
        <v>855</v>
      </c>
      <c r="E2251" t="s">
        <v>8</v>
      </c>
      <c r="F2251" t="s">
        <v>10</v>
      </c>
      <c r="G2251" s="16">
        <v>58.85</v>
      </c>
      <c r="H2251" s="16">
        <v>67.677499999999995</v>
      </c>
      <c r="J2251">
        <v>43</v>
      </c>
      <c r="K2251" t="s">
        <v>7401</v>
      </c>
      <c r="M2251">
        <v>11</v>
      </c>
      <c r="N2251">
        <v>6</v>
      </c>
      <c r="O2251" t="s">
        <v>216</v>
      </c>
      <c r="P2251" s="17"/>
      <c r="Q2251" s="17" t="str">
        <f>_xlfn.XLOOKUP(Table2[[#This Row],[buyFromVendorNo]],'Next Day Scheduled'!A:A,'Pending Returns'!O:O,"NOT_FOUND")</f>
        <v>Posted Credit Note</v>
      </c>
    </row>
    <row r="2252" spans="1:17" x14ac:dyDescent="0.3">
      <c r="A2252" s="1">
        <v>46217</v>
      </c>
      <c r="B2252" t="s">
        <v>2556</v>
      </c>
      <c r="C2252" t="s">
        <v>204</v>
      </c>
      <c r="D2252" t="s">
        <v>205</v>
      </c>
      <c r="E2252" t="s">
        <v>8</v>
      </c>
      <c r="F2252" t="s">
        <v>38</v>
      </c>
      <c r="G2252" s="16">
        <v>3491.1469999999999</v>
      </c>
      <c r="H2252" s="16">
        <v>4014.819</v>
      </c>
      <c r="I2252" s="1">
        <v>46212</v>
      </c>
      <c r="J2252">
        <v>42</v>
      </c>
      <c r="K2252" t="s">
        <v>6238</v>
      </c>
      <c r="L2252" t="s">
        <v>7480</v>
      </c>
      <c r="M2252">
        <v>6</v>
      </c>
      <c r="N2252">
        <v>5</v>
      </c>
      <c r="O2252" t="s">
        <v>1036</v>
      </c>
      <c r="P2252" s="17"/>
      <c r="Q2252" s="17" t="str">
        <f>_xlfn.XLOOKUP(Table2[[#This Row],[buyFromVendorNo]],'Next Day Scheduled'!A:A,'Pending Returns'!O:O,"NOT_FOUND")</f>
        <v>NOT_FOUND</v>
      </c>
    </row>
    <row r="2253" spans="1:17" x14ac:dyDescent="0.3">
      <c r="A2253" s="1">
        <v>46217</v>
      </c>
      <c r="B2253" t="s">
        <v>3316</v>
      </c>
      <c r="C2253" t="s">
        <v>567</v>
      </c>
      <c r="D2253" t="s">
        <v>568</v>
      </c>
      <c r="E2253" t="s">
        <v>8</v>
      </c>
      <c r="F2253" t="s">
        <v>10</v>
      </c>
      <c r="G2253" s="16">
        <v>984.49009999999998</v>
      </c>
      <c r="H2253" s="16">
        <v>1132.1636000000001</v>
      </c>
      <c r="I2253" s="1">
        <v>46217</v>
      </c>
      <c r="J2253">
        <v>42</v>
      </c>
      <c r="K2253" t="s">
        <v>7140</v>
      </c>
      <c r="L2253" t="s">
        <v>7493</v>
      </c>
      <c r="M2253">
        <v>6</v>
      </c>
      <c r="N2253">
        <v>1</v>
      </c>
      <c r="O2253" t="s">
        <v>1036</v>
      </c>
      <c r="P2253" s="17"/>
      <c r="Q2253" s="17" t="str">
        <f>_xlfn.XLOOKUP(Table2[[#This Row],[buyFromVendorNo]],'Next Day Scheduled'!A:A,'Pending Returns'!O:O,"NOT_FOUND")</f>
        <v>NOT_FOUND</v>
      </c>
    </row>
    <row r="2254" spans="1:17" x14ac:dyDescent="0.3">
      <c r="A2254" s="1">
        <v>46217</v>
      </c>
      <c r="B2254" t="s">
        <v>551</v>
      </c>
      <c r="C2254" t="s">
        <v>941</v>
      </c>
      <c r="D2254" t="s">
        <v>942</v>
      </c>
      <c r="E2254" t="s">
        <v>8</v>
      </c>
      <c r="F2254" t="s">
        <v>38</v>
      </c>
      <c r="G2254" s="16">
        <v>398.59</v>
      </c>
      <c r="H2254" s="16">
        <v>458.37849999999997</v>
      </c>
      <c r="I2254" s="1">
        <v>46215</v>
      </c>
      <c r="J2254">
        <v>42</v>
      </c>
      <c r="K2254" t="s">
        <v>7263</v>
      </c>
      <c r="L2254" t="s">
        <v>7528</v>
      </c>
      <c r="M2254">
        <v>6</v>
      </c>
      <c r="N2254">
        <v>1</v>
      </c>
      <c r="O2254" t="s">
        <v>1036</v>
      </c>
      <c r="P2254" s="17"/>
      <c r="Q2254" s="17" t="str">
        <f>_xlfn.XLOOKUP(Table2[[#This Row],[buyFromVendorNo]],'Next Day Scheduled'!A:A,'Pending Returns'!O:O,"NOT_FOUND")</f>
        <v>NOT_FOUND</v>
      </c>
    </row>
    <row r="2255" spans="1:17" x14ac:dyDescent="0.3">
      <c r="A2255" s="1">
        <v>46217</v>
      </c>
      <c r="B2255" t="s">
        <v>1656</v>
      </c>
      <c r="C2255" t="s">
        <v>329</v>
      </c>
      <c r="D2255" t="s">
        <v>320</v>
      </c>
      <c r="E2255" t="s">
        <v>8</v>
      </c>
      <c r="F2255" t="s">
        <v>38</v>
      </c>
      <c r="G2255" s="16">
        <v>205</v>
      </c>
      <c r="H2255" s="16">
        <v>235.75</v>
      </c>
      <c r="I2255" s="1">
        <v>46212</v>
      </c>
      <c r="J2255">
        <v>42</v>
      </c>
      <c r="K2255" t="s">
        <v>6519</v>
      </c>
      <c r="L2255" t="s">
        <v>7485</v>
      </c>
      <c r="M2255">
        <v>5</v>
      </c>
      <c r="N2255">
        <v>2</v>
      </c>
      <c r="O2255" t="s">
        <v>1036</v>
      </c>
      <c r="P2255" s="17"/>
      <c r="Q2255" s="17" t="str">
        <f>_xlfn.XLOOKUP(Table2[[#This Row],[buyFromVendorNo]],'Next Day Scheduled'!A:A,'Pending Returns'!O:O,"NOT_FOUND")</f>
        <v>NOT_FOUND</v>
      </c>
    </row>
    <row r="2256" spans="1:17" x14ac:dyDescent="0.3">
      <c r="A2256" s="1">
        <v>46217</v>
      </c>
      <c r="B2256" t="s">
        <v>2537</v>
      </c>
      <c r="C2256" t="s">
        <v>204</v>
      </c>
      <c r="D2256" t="s">
        <v>205</v>
      </c>
      <c r="E2256" t="s">
        <v>8</v>
      </c>
      <c r="F2256" t="s">
        <v>38</v>
      </c>
      <c r="G2256" s="16">
        <v>1109.6677999999999</v>
      </c>
      <c r="H2256" s="16">
        <v>1276.1179999999999</v>
      </c>
      <c r="I2256" s="1">
        <v>46212</v>
      </c>
      <c r="J2256">
        <v>42</v>
      </c>
      <c r="K2256" t="s">
        <v>6527</v>
      </c>
      <c r="L2256" t="s">
        <v>7487</v>
      </c>
      <c r="M2256">
        <v>6</v>
      </c>
      <c r="N2256">
        <v>5</v>
      </c>
      <c r="O2256" t="s">
        <v>1036</v>
      </c>
      <c r="P2256" s="17"/>
      <c r="Q2256" s="17" t="str">
        <f>_xlfn.XLOOKUP(Table2[[#This Row],[buyFromVendorNo]],'Next Day Scheduled'!A:A,'Pending Returns'!O:O,"NOT_FOUND")</f>
        <v>NOT_FOUND</v>
      </c>
    </row>
    <row r="2257" spans="1:17" x14ac:dyDescent="0.3">
      <c r="A2257" s="1">
        <v>46217</v>
      </c>
      <c r="B2257" t="s">
        <v>3374</v>
      </c>
      <c r="C2257" t="s">
        <v>53</v>
      </c>
      <c r="D2257" t="s">
        <v>54</v>
      </c>
      <c r="E2257" t="s">
        <v>8</v>
      </c>
      <c r="F2257" t="s">
        <v>10</v>
      </c>
      <c r="G2257" s="16">
        <v>228</v>
      </c>
      <c r="H2257" s="16">
        <v>262.2</v>
      </c>
      <c r="J2257">
        <v>42</v>
      </c>
      <c r="K2257" t="s">
        <v>7523</v>
      </c>
      <c r="M2257">
        <v>21</v>
      </c>
      <c r="N2257">
        <v>1</v>
      </c>
      <c r="O2257" t="s">
        <v>216</v>
      </c>
      <c r="P2257" s="17"/>
      <c r="Q2257" s="17" t="str">
        <f>_xlfn.XLOOKUP(Table2[[#This Row],[buyFromVendorNo]],'Next Day Scheduled'!A:A,'Pending Returns'!O:O,"NOT_FOUND")</f>
        <v>Posted Credit Note</v>
      </c>
    </row>
    <row r="2258" spans="1:17" x14ac:dyDescent="0.3">
      <c r="A2258" s="1">
        <v>46217</v>
      </c>
      <c r="B2258" t="s">
        <v>2782</v>
      </c>
      <c r="C2258" t="s">
        <v>156</v>
      </c>
      <c r="D2258" t="s">
        <v>157</v>
      </c>
      <c r="E2258" t="s">
        <v>8</v>
      </c>
      <c r="F2258" t="s">
        <v>10</v>
      </c>
      <c r="G2258" s="16">
        <v>238</v>
      </c>
      <c r="H2258" s="16">
        <v>273.7</v>
      </c>
      <c r="I2258" s="1">
        <v>46207</v>
      </c>
      <c r="J2258">
        <v>42</v>
      </c>
      <c r="K2258" t="s">
        <v>5520</v>
      </c>
      <c r="L2258" t="s">
        <v>7492</v>
      </c>
      <c r="M2258">
        <v>2</v>
      </c>
      <c r="N2258">
        <v>12</v>
      </c>
      <c r="O2258" t="s">
        <v>1036</v>
      </c>
      <c r="P2258" s="17"/>
      <c r="Q2258" s="17" t="str">
        <f>_xlfn.XLOOKUP(Table2[[#This Row],[buyFromVendorNo]],'Next Day Scheduled'!A:A,'Pending Returns'!O:O,"NOT_FOUND")</f>
        <v>NOT_FOUND</v>
      </c>
    </row>
    <row r="2259" spans="1:17" x14ac:dyDescent="0.3">
      <c r="A2259" s="1">
        <v>46217</v>
      </c>
      <c r="B2259" t="s">
        <v>2921</v>
      </c>
      <c r="C2259" t="s">
        <v>1643</v>
      </c>
      <c r="D2259" t="s">
        <v>1644</v>
      </c>
      <c r="E2259" t="s">
        <v>8</v>
      </c>
      <c r="F2259" t="s">
        <v>38</v>
      </c>
      <c r="G2259" s="16">
        <v>113.88</v>
      </c>
      <c r="H2259" s="16">
        <v>130.96199999999999</v>
      </c>
      <c r="I2259" s="1">
        <v>46217</v>
      </c>
      <c r="J2259">
        <v>42</v>
      </c>
      <c r="K2259" t="s">
        <v>6963</v>
      </c>
      <c r="L2259" t="s">
        <v>7474</v>
      </c>
      <c r="M2259">
        <v>6</v>
      </c>
      <c r="N2259">
        <v>2</v>
      </c>
      <c r="O2259" t="s">
        <v>1036</v>
      </c>
      <c r="P2259" s="17"/>
      <c r="Q2259" s="17" t="str">
        <f>_xlfn.XLOOKUP(Table2[[#This Row],[buyFromVendorNo]],'Next Day Scheduled'!A:A,'Pending Returns'!O:O,"NOT_FOUND")</f>
        <v>NOT_FOUND</v>
      </c>
    </row>
    <row r="2260" spans="1:17" x14ac:dyDescent="0.3">
      <c r="A2260" s="1">
        <v>46217</v>
      </c>
      <c r="B2260" t="s">
        <v>1772</v>
      </c>
      <c r="C2260" t="s">
        <v>7386</v>
      </c>
      <c r="D2260" t="s">
        <v>7387</v>
      </c>
      <c r="E2260" t="s">
        <v>8</v>
      </c>
      <c r="F2260" t="s">
        <v>10</v>
      </c>
      <c r="G2260" s="16">
        <v>5587.826</v>
      </c>
      <c r="H2260" s="16">
        <v>6426</v>
      </c>
      <c r="J2260">
        <v>42</v>
      </c>
      <c r="K2260" t="s">
        <v>7445</v>
      </c>
      <c r="M2260">
        <v>0</v>
      </c>
      <c r="N2260">
        <v>415</v>
      </c>
      <c r="O2260" t="s">
        <v>216</v>
      </c>
      <c r="P2260" s="17"/>
      <c r="Q2260" s="17" t="str">
        <f>_xlfn.XLOOKUP(Table2[[#This Row],[buyFromVendorNo]],'Next Day Scheduled'!A:A,'Pending Returns'!O:O,"NOT_FOUND")</f>
        <v>NOT_FOUND</v>
      </c>
    </row>
    <row r="2261" spans="1:17" x14ac:dyDescent="0.3">
      <c r="A2261" s="1">
        <v>46217</v>
      </c>
      <c r="B2261" t="s">
        <v>5190</v>
      </c>
      <c r="C2261" t="s">
        <v>329</v>
      </c>
      <c r="D2261" t="s">
        <v>320</v>
      </c>
      <c r="E2261" t="s">
        <v>8</v>
      </c>
      <c r="F2261" t="s">
        <v>38</v>
      </c>
      <c r="G2261" s="16">
        <v>102</v>
      </c>
      <c r="H2261" s="16">
        <v>117.3</v>
      </c>
      <c r="I2261" s="1">
        <v>46212</v>
      </c>
      <c r="J2261">
        <v>42</v>
      </c>
      <c r="K2261" t="s">
        <v>6751</v>
      </c>
      <c r="L2261" t="s">
        <v>7481</v>
      </c>
      <c r="M2261">
        <v>5</v>
      </c>
      <c r="N2261">
        <v>2</v>
      </c>
      <c r="O2261" t="s">
        <v>1036</v>
      </c>
      <c r="P2261" s="17"/>
      <c r="Q2261" s="17" t="str">
        <f>_xlfn.XLOOKUP(Table2[[#This Row],[buyFromVendorNo]],'Next Day Scheduled'!A:A,'Pending Returns'!O:O,"NOT_FOUND")</f>
        <v>NOT_FOUND</v>
      </c>
    </row>
    <row r="2262" spans="1:17" x14ac:dyDescent="0.3">
      <c r="A2262" s="1">
        <v>46217</v>
      </c>
      <c r="B2262" t="s">
        <v>5686</v>
      </c>
      <c r="C2262" t="s">
        <v>837</v>
      </c>
      <c r="D2262" t="s">
        <v>838</v>
      </c>
      <c r="E2262" t="s">
        <v>8</v>
      </c>
      <c r="F2262" t="s">
        <v>10</v>
      </c>
      <c r="G2262" s="16">
        <v>1296.529</v>
      </c>
      <c r="H2262" s="16">
        <v>1491.0083999999999</v>
      </c>
      <c r="I2262" s="1">
        <v>46207</v>
      </c>
      <c r="J2262">
        <v>42</v>
      </c>
      <c r="K2262" t="s">
        <v>4997</v>
      </c>
      <c r="L2262" t="s">
        <v>7475</v>
      </c>
      <c r="M2262">
        <v>3</v>
      </c>
      <c r="N2262">
        <v>2</v>
      </c>
      <c r="O2262" t="s">
        <v>1036</v>
      </c>
      <c r="P2262" s="17"/>
      <c r="Q2262" s="17" t="str">
        <f>_xlfn.XLOOKUP(Table2[[#This Row],[buyFromVendorNo]],'Next Day Scheduled'!A:A,'Pending Returns'!O:O,"NOT_FOUND")</f>
        <v>NOT_FOUND</v>
      </c>
    </row>
    <row r="2263" spans="1:17" x14ac:dyDescent="0.3">
      <c r="A2263" s="1">
        <v>46217</v>
      </c>
      <c r="B2263" t="s">
        <v>1697</v>
      </c>
      <c r="C2263" t="s">
        <v>156</v>
      </c>
      <c r="D2263" t="s">
        <v>157</v>
      </c>
      <c r="E2263" t="s">
        <v>8</v>
      </c>
      <c r="F2263" t="s">
        <v>10</v>
      </c>
      <c r="G2263" s="16">
        <v>10655.71</v>
      </c>
      <c r="H2263" s="16">
        <v>12254.066000000001</v>
      </c>
      <c r="I2263" s="1">
        <v>46207</v>
      </c>
      <c r="J2263">
        <v>42</v>
      </c>
      <c r="K2263" t="s">
        <v>4451</v>
      </c>
      <c r="L2263" t="s">
        <v>7489</v>
      </c>
      <c r="M2263">
        <v>2</v>
      </c>
      <c r="N2263">
        <v>12</v>
      </c>
      <c r="O2263" t="s">
        <v>1036</v>
      </c>
      <c r="P2263" s="17"/>
      <c r="Q2263" s="17" t="str">
        <f>_xlfn.XLOOKUP(Table2[[#This Row],[buyFromVendorNo]],'Next Day Scheduled'!A:A,'Pending Returns'!O:O,"NOT_FOUND")</f>
        <v>NOT_FOUND</v>
      </c>
    </row>
    <row r="2264" spans="1:17" x14ac:dyDescent="0.3">
      <c r="A2264" s="1">
        <v>46217</v>
      </c>
      <c r="B2264" t="s">
        <v>642</v>
      </c>
      <c r="C2264" t="s">
        <v>2383</v>
      </c>
      <c r="D2264" t="s">
        <v>2384</v>
      </c>
      <c r="E2264" t="s">
        <v>8</v>
      </c>
      <c r="F2264" t="s">
        <v>38</v>
      </c>
      <c r="G2264" s="16">
        <v>264</v>
      </c>
      <c r="H2264" s="16">
        <v>303.60000000000002</v>
      </c>
      <c r="J2264">
        <v>42</v>
      </c>
      <c r="K2264" t="s">
        <v>7515</v>
      </c>
      <c r="M2264">
        <v>3</v>
      </c>
      <c r="N2264">
        <v>21</v>
      </c>
      <c r="O2264" t="s">
        <v>216</v>
      </c>
      <c r="P2264" s="17"/>
      <c r="Q2264" s="17" t="str">
        <f>_xlfn.XLOOKUP(Table2[[#This Row],[buyFromVendorNo]],'Next Day Scheduled'!A:A,'Pending Returns'!O:O,"NOT_FOUND")</f>
        <v>NOT_FOUND</v>
      </c>
    </row>
    <row r="2265" spans="1:17" x14ac:dyDescent="0.3">
      <c r="A2265" s="1">
        <v>46217</v>
      </c>
      <c r="B2265" t="s">
        <v>2527</v>
      </c>
      <c r="C2265" t="s">
        <v>349</v>
      </c>
      <c r="D2265" t="s">
        <v>350</v>
      </c>
      <c r="E2265" t="s">
        <v>8</v>
      </c>
      <c r="F2265" t="s">
        <v>38</v>
      </c>
      <c r="G2265" s="16">
        <v>129.78</v>
      </c>
      <c r="H2265" s="16">
        <v>149.24700000000001</v>
      </c>
      <c r="J2265">
        <v>42</v>
      </c>
      <c r="K2265" t="s">
        <v>8420</v>
      </c>
      <c r="M2265">
        <v>0</v>
      </c>
      <c r="N2265">
        <v>133</v>
      </c>
      <c r="O2265" t="s">
        <v>216</v>
      </c>
      <c r="P2265" s="17"/>
      <c r="Q2265" s="17" t="str">
        <f>_xlfn.XLOOKUP(Table2[[#This Row],[buyFromVendorNo]],'Next Day Scheduled'!A:A,'Pending Returns'!O:O,"NOT_FOUND")</f>
        <v>NOT_FOUND</v>
      </c>
    </row>
    <row r="2266" spans="1:17" x14ac:dyDescent="0.3">
      <c r="A2266" s="1">
        <v>46217</v>
      </c>
      <c r="B2266" t="s">
        <v>1991</v>
      </c>
      <c r="C2266" t="s">
        <v>156</v>
      </c>
      <c r="D2266" t="s">
        <v>157</v>
      </c>
      <c r="E2266" t="s">
        <v>8</v>
      </c>
      <c r="F2266" t="s">
        <v>10</v>
      </c>
      <c r="G2266" s="16">
        <v>4462.2782999999999</v>
      </c>
      <c r="H2266" s="16">
        <v>5131.62</v>
      </c>
      <c r="I2266" s="1">
        <v>46207</v>
      </c>
      <c r="J2266">
        <v>42</v>
      </c>
      <c r="K2266" t="s">
        <v>6197</v>
      </c>
      <c r="L2266" t="s">
        <v>7476</v>
      </c>
      <c r="M2266">
        <v>2</v>
      </c>
      <c r="N2266">
        <v>12</v>
      </c>
      <c r="O2266" t="s">
        <v>1036</v>
      </c>
      <c r="P2266" s="17"/>
      <c r="Q2266" s="17" t="str">
        <f>_xlfn.XLOOKUP(Table2[[#This Row],[buyFromVendorNo]],'Next Day Scheduled'!A:A,'Pending Returns'!O:O,"NOT_FOUND")</f>
        <v>NOT_FOUND</v>
      </c>
    </row>
    <row r="2267" spans="1:17" x14ac:dyDescent="0.3">
      <c r="A2267" s="1">
        <v>46217</v>
      </c>
      <c r="B2267" t="s">
        <v>3372</v>
      </c>
      <c r="C2267" t="s">
        <v>2438</v>
      </c>
      <c r="D2267" t="s">
        <v>2439</v>
      </c>
      <c r="E2267" t="s">
        <v>8</v>
      </c>
      <c r="F2267" t="s">
        <v>10</v>
      </c>
      <c r="G2267" s="16">
        <v>58.354349999999997</v>
      </c>
      <c r="H2267" s="16">
        <v>67.107500000000002</v>
      </c>
      <c r="I2267" s="1">
        <v>46217</v>
      </c>
      <c r="J2267">
        <v>42</v>
      </c>
      <c r="K2267" t="s">
        <v>6731</v>
      </c>
      <c r="L2267" t="s">
        <v>7478</v>
      </c>
      <c r="M2267">
        <v>3</v>
      </c>
      <c r="N2267">
        <v>5</v>
      </c>
      <c r="O2267" t="s">
        <v>1036</v>
      </c>
      <c r="P2267" s="17"/>
      <c r="Q2267" s="17" t="str">
        <f>_xlfn.XLOOKUP(Table2[[#This Row],[buyFromVendorNo]],'Next Day Scheduled'!A:A,'Pending Returns'!O:O,"NOT_FOUND")</f>
        <v>NOT_FOUND</v>
      </c>
    </row>
    <row r="2268" spans="1:17" x14ac:dyDescent="0.3">
      <c r="A2268" s="1">
        <v>46217</v>
      </c>
      <c r="B2268" t="s">
        <v>2119</v>
      </c>
      <c r="C2268" t="s">
        <v>358</v>
      </c>
      <c r="D2268" t="s">
        <v>359</v>
      </c>
      <c r="E2268" t="s">
        <v>8</v>
      </c>
      <c r="F2268" t="s">
        <v>10</v>
      </c>
      <c r="G2268" s="16">
        <v>191.8</v>
      </c>
      <c r="H2268" s="16">
        <v>220.57</v>
      </c>
      <c r="J2268">
        <v>42</v>
      </c>
      <c r="K2268" t="s">
        <v>7433</v>
      </c>
      <c r="M2268">
        <v>4</v>
      </c>
      <c r="N2268">
        <v>1</v>
      </c>
      <c r="O2268" t="s">
        <v>216</v>
      </c>
      <c r="P2268" s="17"/>
      <c r="Q2268" s="17" t="str">
        <f>_xlfn.XLOOKUP(Table2[[#This Row],[buyFromVendorNo]],'Next Day Scheduled'!A:A,'Pending Returns'!O:O,"NOT_FOUND")</f>
        <v>NOT_FOUND</v>
      </c>
    </row>
    <row r="2269" spans="1:17" x14ac:dyDescent="0.3">
      <c r="A2269" s="1">
        <v>46217</v>
      </c>
      <c r="B2269" t="s">
        <v>2536</v>
      </c>
      <c r="C2269" t="s">
        <v>156</v>
      </c>
      <c r="D2269" t="s">
        <v>157</v>
      </c>
      <c r="E2269" t="s">
        <v>8</v>
      </c>
      <c r="F2269" t="s">
        <v>10</v>
      </c>
      <c r="G2269" s="16">
        <v>1589.0934999999999</v>
      </c>
      <c r="H2269" s="16">
        <v>1827.4575</v>
      </c>
      <c r="I2269" s="1">
        <v>46207</v>
      </c>
      <c r="J2269">
        <v>42</v>
      </c>
      <c r="K2269" t="s">
        <v>5377</v>
      </c>
      <c r="L2269" t="s">
        <v>7482</v>
      </c>
      <c r="M2269">
        <v>2</v>
      </c>
      <c r="N2269">
        <v>12</v>
      </c>
      <c r="O2269" t="s">
        <v>1036</v>
      </c>
      <c r="P2269" s="17"/>
      <c r="Q2269" s="17" t="str">
        <f>_xlfn.XLOOKUP(Table2[[#This Row],[buyFromVendorNo]],'Next Day Scheduled'!A:A,'Pending Returns'!O:O,"NOT_FOUND")</f>
        <v>NOT_FOUND</v>
      </c>
    </row>
    <row r="2270" spans="1:17" x14ac:dyDescent="0.3">
      <c r="A2270" s="1">
        <v>46217</v>
      </c>
      <c r="B2270" t="s">
        <v>2542</v>
      </c>
      <c r="C2270" t="s">
        <v>444</v>
      </c>
      <c r="D2270" t="s">
        <v>445</v>
      </c>
      <c r="E2270" t="s">
        <v>8</v>
      </c>
      <c r="F2270" t="s">
        <v>38</v>
      </c>
      <c r="G2270" s="16">
        <v>46.87</v>
      </c>
      <c r="H2270" s="16">
        <v>53.900500000000001</v>
      </c>
      <c r="J2270">
        <v>42</v>
      </c>
      <c r="K2270" t="s">
        <v>7435</v>
      </c>
      <c r="M2270">
        <v>1</v>
      </c>
      <c r="N2270">
        <v>9</v>
      </c>
      <c r="O2270" t="s">
        <v>216</v>
      </c>
      <c r="P2270" s="17"/>
      <c r="Q2270" s="17" t="str">
        <f>_xlfn.XLOOKUP(Table2[[#This Row],[buyFromVendorNo]],'Next Day Scheduled'!A:A,'Pending Returns'!O:O,"NOT_FOUND")</f>
        <v>NOT_FOUND</v>
      </c>
    </row>
    <row r="2271" spans="1:17" x14ac:dyDescent="0.3">
      <c r="A2271" s="1">
        <v>46217</v>
      </c>
      <c r="B2271" t="s">
        <v>2730</v>
      </c>
      <c r="C2271" t="s">
        <v>107</v>
      </c>
      <c r="D2271" t="s">
        <v>3864</v>
      </c>
      <c r="E2271" t="s">
        <v>8</v>
      </c>
      <c r="F2271" t="s">
        <v>10</v>
      </c>
      <c r="G2271" s="16">
        <v>544.95983999999999</v>
      </c>
      <c r="H2271" s="16">
        <v>626.7038</v>
      </c>
      <c r="I2271" s="1">
        <v>46217</v>
      </c>
      <c r="J2271">
        <v>42</v>
      </c>
      <c r="K2271" t="s">
        <v>7483</v>
      </c>
      <c r="L2271" t="s">
        <v>7484</v>
      </c>
      <c r="M2271">
        <v>6</v>
      </c>
      <c r="N2271">
        <v>5</v>
      </c>
      <c r="O2271" t="s">
        <v>1036</v>
      </c>
      <c r="P2271" s="17"/>
      <c r="Q2271" s="17" t="str">
        <f>_xlfn.XLOOKUP(Table2[[#This Row],[buyFromVendorNo]],'Next Day Scheduled'!A:A,'Pending Returns'!O:O,"NOT_FOUND")</f>
        <v>NOT_FOUND</v>
      </c>
    </row>
    <row r="2272" spans="1:17" x14ac:dyDescent="0.3">
      <c r="A2272" s="1">
        <v>46217</v>
      </c>
      <c r="B2272" t="s">
        <v>3337</v>
      </c>
      <c r="C2272" t="s">
        <v>504</v>
      </c>
      <c r="D2272" t="s">
        <v>505</v>
      </c>
      <c r="E2272" t="s">
        <v>8</v>
      </c>
      <c r="F2272" t="s">
        <v>10</v>
      </c>
      <c r="G2272" s="16">
        <v>25</v>
      </c>
      <c r="H2272" s="16">
        <v>28.75</v>
      </c>
      <c r="I2272" s="1">
        <v>46217</v>
      </c>
      <c r="J2272">
        <v>42</v>
      </c>
      <c r="K2272" t="s">
        <v>6923</v>
      </c>
      <c r="L2272" t="s">
        <v>7414</v>
      </c>
      <c r="M2272">
        <v>3</v>
      </c>
      <c r="N2272">
        <v>13</v>
      </c>
      <c r="O2272" t="s">
        <v>1036</v>
      </c>
      <c r="P2272" s="17"/>
      <c r="Q2272" s="17" t="str">
        <f>_xlfn.XLOOKUP(Table2[[#This Row],[buyFromVendorNo]],'Next Day Scheduled'!A:A,'Pending Returns'!O:O,"NOT_FOUND")</f>
        <v>NOT_FOUND</v>
      </c>
    </row>
    <row r="2273" spans="1:17" x14ac:dyDescent="0.3">
      <c r="A2273" s="1">
        <v>46217</v>
      </c>
      <c r="B2273" t="s">
        <v>2757</v>
      </c>
      <c r="C2273" t="s">
        <v>2256</v>
      </c>
      <c r="D2273" t="s">
        <v>2257</v>
      </c>
      <c r="E2273" t="s">
        <v>8</v>
      </c>
      <c r="F2273" t="s">
        <v>10</v>
      </c>
      <c r="G2273" s="16">
        <v>9.8000000000000007</v>
      </c>
      <c r="H2273" s="16">
        <v>11.27</v>
      </c>
      <c r="I2273" s="1">
        <v>46217</v>
      </c>
      <c r="J2273">
        <v>42</v>
      </c>
      <c r="K2273" t="s">
        <v>7347</v>
      </c>
      <c r="L2273" t="s">
        <v>7413</v>
      </c>
      <c r="M2273">
        <v>4</v>
      </c>
      <c r="N2273">
        <v>2</v>
      </c>
      <c r="O2273" t="s">
        <v>1036</v>
      </c>
      <c r="P2273" s="17"/>
      <c r="Q2273" s="17" t="str">
        <f>_xlfn.XLOOKUP(Table2[[#This Row],[buyFromVendorNo]],'Next Day Scheduled'!A:A,'Pending Returns'!O:O,"NOT_FOUND")</f>
        <v>NOT_FOUND</v>
      </c>
    </row>
    <row r="2274" spans="1:17" x14ac:dyDescent="0.3">
      <c r="A2274" s="1">
        <v>46217</v>
      </c>
      <c r="B2274" t="s">
        <v>7144</v>
      </c>
      <c r="C2274" t="s">
        <v>5154</v>
      </c>
      <c r="D2274" t="s">
        <v>5155</v>
      </c>
      <c r="E2274" t="s">
        <v>8</v>
      </c>
      <c r="F2274" t="s">
        <v>10</v>
      </c>
      <c r="G2274" s="16">
        <v>60</v>
      </c>
      <c r="H2274" s="16">
        <v>69</v>
      </c>
      <c r="I2274" s="1">
        <v>46217</v>
      </c>
      <c r="J2274">
        <v>42</v>
      </c>
      <c r="K2274" t="s">
        <v>7145</v>
      </c>
      <c r="L2274" t="s">
        <v>7522</v>
      </c>
      <c r="M2274">
        <v>3</v>
      </c>
      <c r="N2274">
        <v>10</v>
      </c>
      <c r="O2274" t="s">
        <v>1036</v>
      </c>
      <c r="P2274" s="17"/>
      <c r="Q2274" s="17" t="str">
        <f>_xlfn.XLOOKUP(Table2[[#This Row],[buyFromVendorNo]],'Next Day Scheduled'!A:A,'Pending Returns'!O:O,"NOT_FOUND")</f>
        <v>Posted Credit Note</v>
      </c>
    </row>
    <row r="2275" spans="1:17" x14ac:dyDescent="0.3">
      <c r="A2275" s="1">
        <v>46217</v>
      </c>
      <c r="B2275" t="s">
        <v>3246</v>
      </c>
      <c r="C2275" t="s">
        <v>921</v>
      </c>
      <c r="D2275" t="s">
        <v>922</v>
      </c>
      <c r="E2275" t="s">
        <v>8</v>
      </c>
      <c r="F2275" t="s">
        <v>10</v>
      </c>
      <c r="G2275" s="16">
        <v>355.05599999999998</v>
      </c>
      <c r="H2275" s="16">
        <v>408.31441999999998</v>
      </c>
      <c r="I2275" s="1">
        <v>46217</v>
      </c>
      <c r="J2275">
        <v>42</v>
      </c>
      <c r="K2275" t="s">
        <v>7177</v>
      </c>
      <c r="L2275" t="s">
        <v>7415</v>
      </c>
      <c r="M2275">
        <v>7</v>
      </c>
      <c r="N2275">
        <v>1</v>
      </c>
      <c r="O2275" t="s">
        <v>1036</v>
      </c>
      <c r="P2275" s="17"/>
      <c r="Q2275" s="17" t="str">
        <f>_xlfn.XLOOKUP(Table2[[#This Row],[buyFromVendorNo]],'Next Day Scheduled'!A:A,'Pending Returns'!O:O,"NOT_FOUND")</f>
        <v>Posted Credit Note</v>
      </c>
    </row>
    <row r="2276" spans="1:17" x14ac:dyDescent="0.3">
      <c r="A2276" s="1">
        <v>46217</v>
      </c>
      <c r="B2276" t="s">
        <v>2090</v>
      </c>
      <c r="C2276" t="s">
        <v>448</v>
      </c>
      <c r="D2276" t="s">
        <v>449</v>
      </c>
      <c r="E2276" t="s">
        <v>8</v>
      </c>
      <c r="F2276" t="s">
        <v>38</v>
      </c>
      <c r="G2276" s="16">
        <v>221.4</v>
      </c>
      <c r="H2276" s="16">
        <v>254.61</v>
      </c>
      <c r="I2276" s="1">
        <v>46209</v>
      </c>
      <c r="J2276">
        <v>42</v>
      </c>
      <c r="K2276" t="s">
        <v>6250</v>
      </c>
      <c r="L2276" t="s">
        <v>7488</v>
      </c>
      <c r="M2276">
        <v>7</v>
      </c>
      <c r="N2276">
        <v>1</v>
      </c>
      <c r="O2276" t="s">
        <v>1036</v>
      </c>
      <c r="P2276" s="17"/>
      <c r="Q2276" s="17" t="str">
        <f>_xlfn.XLOOKUP(Table2[[#This Row],[buyFromVendorNo]],'Next Day Scheduled'!A:A,'Pending Returns'!O:O,"NOT_FOUND")</f>
        <v>NOT_FOUND</v>
      </c>
    </row>
    <row r="2277" spans="1:17" x14ac:dyDescent="0.3">
      <c r="A2277" s="1">
        <v>46217</v>
      </c>
      <c r="B2277" t="s">
        <v>441</v>
      </c>
      <c r="C2277" t="s">
        <v>204</v>
      </c>
      <c r="D2277" t="s">
        <v>205</v>
      </c>
      <c r="E2277" t="s">
        <v>8</v>
      </c>
      <c r="F2277" t="s">
        <v>38</v>
      </c>
      <c r="G2277" s="16">
        <v>282.19913000000003</v>
      </c>
      <c r="H2277" s="16">
        <v>324.52902</v>
      </c>
      <c r="I2277" s="1">
        <v>46212</v>
      </c>
      <c r="J2277">
        <v>42</v>
      </c>
      <c r="K2277" t="s">
        <v>6755</v>
      </c>
      <c r="L2277" t="s">
        <v>7479</v>
      </c>
      <c r="M2277">
        <v>6</v>
      </c>
      <c r="N2277">
        <v>5</v>
      </c>
      <c r="O2277" t="s">
        <v>1036</v>
      </c>
      <c r="P2277" s="17"/>
      <c r="Q2277" s="17" t="str">
        <f>_xlfn.XLOOKUP(Table2[[#This Row],[buyFromVendorNo]],'Next Day Scheduled'!A:A,'Pending Returns'!O:O,"NOT_FOUND")</f>
        <v>NOT_FOUND</v>
      </c>
    </row>
    <row r="2278" spans="1:17" x14ac:dyDescent="0.3">
      <c r="A2278" s="1">
        <v>46217</v>
      </c>
      <c r="B2278" t="s">
        <v>2857</v>
      </c>
      <c r="C2278" t="s">
        <v>566</v>
      </c>
      <c r="D2278" t="s">
        <v>590</v>
      </c>
      <c r="E2278" t="s">
        <v>8</v>
      </c>
      <c r="F2278" t="s">
        <v>10</v>
      </c>
      <c r="G2278" s="16">
        <v>639.43335000000002</v>
      </c>
      <c r="H2278" s="16">
        <v>735.34829999999999</v>
      </c>
      <c r="I2278" s="1">
        <v>46207</v>
      </c>
      <c r="J2278">
        <v>42</v>
      </c>
      <c r="K2278" t="s">
        <v>5052</v>
      </c>
      <c r="L2278" t="s">
        <v>7486</v>
      </c>
      <c r="M2278">
        <v>6</v>
      </c>
      <c r="N2278">
        <v>1</v>
      </c>
      <c r="O2278" t="s">
        <v>1036</v>
      </c>
      <c r="P2278" s="17"/>
      <c r="Q2278" s="17" t="str">
        <f>_xlfn.XLOOKUP(Table2[[#This Row],[buyFromVendorNo]],'Next Day Scheduled'!A:A,'Pending Returns'!O:O,"NOT_FOUND")</f>
        <v>NOT_FOUND</v>
      </c>
    </row>
    <row r="2279" spans="1:17" x14ac:dyDescent="0.3">
      <c r="A2279" s="1">
        <v>46217</v>
      </c>
      <c r="B2279" t="s">
        <v>7490</v>
      </c>
      <c r="C2279" t="s">
        <v>39</v>
      </c>
      <c r="D2279" t="s">
        <v>40</v>
      </c>
      <c r="E2279" t="s">
        <v>8</v>
      </c>
      <c r="F2279" t="s">
        <v>10</v>
      </c>
      <c r="G2279" s="16">
        <v>2672.5005000000001</v>
      </c>
      <c r="H2279" s="16">
        <v>3073.3757000000001</v>
      </c>
      <c r="J2279">
        <v>42</v>
      </c>
      <c r="K2279" t="s">
        <v>7444</v>
      </c>
      <c r="M2279">
        <v>10</v>
      </c>
      <c r="N2279">
        <v>1</v>
      </c>
      <c r="O2279" t="s">
        <v>216</v>
      </c>
      <c r="P2279" s="17"/>
      <c r="Q2279" s="17" t="str">
        <f>_xlfn.XLOOKUP(Table2[[#This Row],[buyFromVendorNo]],'Next Day Scheduled'!A:A,'Pending Returns'!O:O,"NOT_FOUND")</f>
        <v>Posted Credit Note</v>
      </c>
    </row>
    <row r="2280" spans="1:17" x14ac:dyDescent="0.3">
      <c r="A2280" s="1">
        <v>46217</v>
      </c>
      <c r="B2280" t="s">
        <v>1415</v>
      </c>
      <c r="C2280" t="s">
        <v>156</v>
      </c>
      <c r="D2280" t="s">
        <v>157</v>
      </c>
      <c r="E2280" t="s">
        <v>8</v>
      </c>
      <c r="F2280" t="s">
        <v>10</v>
      </c>
      <c r="G2280" s="16">
        <v>3203.4355</v>
      </c>
      <c r="H2280" s="16">
        <v>3683.951</v>
      </c>
      <c r="I2280" s="1">
        <v>46207</v>
      </c>
      <c r="J2280">
        <v>42</v>
      </c>
      <c r="K2280" t="s">
        <v>5000</v>
      </c>
      <c r="L2280" t="s">
        <v>7491</v>
      </c>
      <c r="M2280">
        <v>2</v>
      </c>
      <c r="N2280">
        <v>12</v>
      </c>
      <c r="O2280" t="s">
        <v>1036</v>
      </c>
      <c r="P2280" s="17"/>
      <c r="Q2280" s="17" t="str">
        <f>_xlfn.XLOOKUP(Table2[[#This Row],[buyFromVendorNo]],'Next Day Scheduled'!A:A,'Pending Returns'!O:O,"NOT_FOUND")</f>
        <v>NOT_FOUND</v>
      </c>
    </row>
    <row r="2281" spans="1:17" x14ac:dyDescent="0.3">
      <c r="A2281" s="1">
        <v>46217</v>
      </c>
      <c r="B2281" t="s">
        <v>1521</v>
      </c>
      <c r="C2281" t="s">
        <v>1018</v>
      </c>
      <c r="D2281" t="s">
        <v>1019</v>
      </c>
      <c r="E2281" t="s">
        <v>8</v>
      </c>
      <c r="F2281" t="s">
        <v>10</v>
      </c>
      <c r="G2281" s="16">
        <v>3413.1466999999998</v>
      </c>
      <c r="H2281" s="16">
        <v>3925.1190000000001</v>
      </c>
      <c r="I2281" s="1">
        <v>46216</v>
      </c>
      <c r="J2281">
        <v>42</v>
      </c>
      <c r="K2281" t="s">
        <v>7124</v>
      </c>
      <c r="L2281" t="s">
        <v>7506</v>
      </c>
      <c r="M2281">
        <v>6</v>
      </c>
      <c r="N2281">
        <v>3</v>
      </c>
      <c r="O2281" t="s">
        <v>1036</v>
      </c>
      <c r="P2281" s="17"/>
      <c r="Q2281" s="17" t="str">
        <f>_xlfn.XLOOKUP(Table2[[#This Row],[buyFromVendorNo]],'Next Day Scheduled'!A:A,'Pending Returns'!O:O,"NOT_FOUND")</f>
        <v>NOT_FOUND</v>
      </c>
    </row>
    <row r="2282" spans="1:17" x14ac:dyDescent="0.3">
      <c r="A2282" s="1">
        <v>46217</v>
      </c>
      <c r="B2282" t="s">
        <v>2855</v>
      </c>
      <c r="C2282" t="s">
        <v>173</v>
      </c>
      <c r="D2282" t="s">
        <v>174</v>
      </c>
      <c r="E2282" t="s">
        <v>8</v>
      </c>
      <c r="F2282" t="s">
        <v>10</v>
      </c>
      <c r="G2282" s="16">
        <v>347.94</v>
      </c>
      <c r="H2282" s="16">
        <v>400.13099999999997</v>
      </c>
      <c r="J2282">
        <v>42</v>
      </c>
      <c r="K2282" t="s">
        <v>7454</v>
      </c>
      <c r="M2282">
        <v>12</v>
      </c>
      <c r="N2282">
        <v>1</v>
      </c>
      <c r="O2282" t="s">
        <v>216</v>
      </c>
      <c r="P2282" s="17"/>
      <c r="Q2282" s="17" t="str">
        <f>_xlfn.XLOOKUP(Table2[[#This Row],[buyFromVendorNo]],'Next Day Scheduled'!A:A,'Pending Returns'!O:O,"NOT_FOUND")</f>
        <v>NOT_FOUND</v>
      </c>
    </row>
    <row r="2283" spans="1:17" x14ac:dyDescent="0.3">
      <c r="A2283" s="1">
        <v>46217</v>
      </c>
      <c r="B2283" t="s">
        <v>2893</v>
      </c>
      <c r="C2283" t="s">
        <v>204</v>
      </c>
      <c r="D2283" t="s">
        <v>205</v>
      </c>
      <c r="E2283" t="s">
        <v>8</v>
      </c>
      <c r="F2283" t="s">
        <v>38</v>
      </c>
      <c r="G2283" s="16">
        <v>4857.5339999999997</v>
      </c>
      <c r="H2283" s="16">
        <v>5586.1639999999998</v>
      </c>
      <c r="I2283" s="1">
        <v>46212</v>
      </c>
      <c r="J2283">
        <v>42</v>
      </c>
      <c r="K2283" t="s">
        <v>5550</v>
      </c>
      <c r="L2283" t="s">
        <v>7477</v>
      </c>
      <c r="M2283">
        <v>6</v>
      </c>
      <c r="N2283">
        <v>5</v>
      </c>
      <c r="O2283" t="s">
        <v>1036</v>
      </c>
      <c r="P2283" s="17"/>
      <c r="Q2283" s="17" t="str">
        <f>_xlfn.XLOOKUP(Table2[[#This Row],[buyFromVendorNo]],'Next Day Scheduled'!A:A,'Pending Returns'!O:O,"NOT_FOUND")</f>
        <v>NOT_FOUND</v>
      </c>
    </row>
    <row r="2284" spans="1:17" x14ac:dyDescent="0.3">
      <c r="A2284" s="1">
        <v>46217</v>
      </c>
      <c r="B2284" t="s">
        <v>2948</v>
      </c>
      <c r="C2284" t="s">
        <v>109</v>
      </c>
      <c r="D2284" t="s">
        <v>110</v>
      </c>
      <c r="E2284" t="s">
        <v>8</v>
      </c>
      <c r="F2284" t="s">
        <v>10</v>
      </c>
      <c r="G2284" s="16">
        <v>118.05</v>
      </c>
      <c r="H2284" s="16">
        <v>135.75749999999999</v>
      </c>
      <c r="I2284" s="1">
        <v>46212</v>
      </c>
      <c r="J2284">
        <v>42</v>
      </c>
      <c r="K2284" t="s">
        <v>6573</v>
      </c>
      <c r="L2284" t="s">
        <v>7521</v>
      </c>
      <c r="M2284">
        <v>5</v>
      </c>
      <c r="N2284">
        <v>7</v>
      </c>
      <c r="O2284" t="s">
        <v>1036</v>
      </c>
      <c r="P2284" s="17"/>
      <c r="Q2284" s="17" t="str">
        <f>_xlfn.XLOOKUP(Table2[[#This Row],[buyFromVendorNo]],'Next Day Scheduled'!A:A,'Pending Returns'!O:O,"NOT_FOUND")</f>
        <v>NOT_FOUND</v>
      </c>
    </row>
    <row r="2285" spans="1:17" x14ac:dyDescent="0.3">
      <c r="A2285" s="1">
        <v>46218</v>
      </c>
      <c r="B2285" t="s">
        <v>3060</v>
      </c>
      <c r="C2285" t="s">
        <v>710</v>
      </c>
      <c r="D2285" t="s">
        <v>711</v>
      </c>
      <c r="E2285" t="s">
        <v>8</v>
      </c>
      <c r="F2285" t="s">
        <v>10</v>
      </c>
      <c r="G2285" s="16">
        <v>172.5</v>
      </c>
      <c r="H2285" s="16">
        <v>198.375</v>
      </c>
      <c r="I2285" s="1">
        <v>46216</v>
      </c>
      <c r="J2285">
        <v>41</v>
      </c>
      <c r="K2285" t="s">
        <v>6575</v>
      </c>
      <c r="L2285" t="s">
        <v>7557</v>
      </c>
      <c r="M2285">
        <v>5</v>
      </c>
      <c r="N2285">
        <v>1</v>
      </c>
      <c r="O2285" t="s">
        <v>1036</v>
      </c>
      <c r="P2285" s="17"/>
      <c r="Q2285" s="17" t="str">
        <f>_xlfn.XLOOKUP(Table2[[#This Row],[buyFromVendorNo]],'Next Day Scheduled'!A:A,'Pending Returns'!O:O,"NOT_FOUND")</f>
        <v>NOT_FOUND</v>
      </c>
    </row>
    <row r="2286" spans="1:17" x14ac:dyDescent="0.3">
      <c r="A2286" s="1">
        <v>46218</v>
      </c>
      <c r="B2286" t="s">
        <v>7600</v>
      </c>
      <c r="C2286" t="s">
        <v>53</v>
      </c>
      <c r="D2286" t="s">
        <v>54</v>
      </c>
      <c r="E2286" t="s">
        <v>8</v>
      </c>
      <c r="F2286" t="s">
        <v>10</v>
      </c>
      <c r="G2286" s="16">
        <v>146.47999999999999</v>
      </c>
      <c r="H2286" s="16">
        <v>168.452</v>
      </c>
      <c r="J2286">
        <v>41</v>
      </c>
      <c r="K2286" t="s">
        <v>7601</v>
      </c>
      <c r="M2286">
        <v>21</v>
      </c>
      <c r="N2286">
        <v>1</v>
      </c>
      <c r="O2286" t="s">
        <v>216</v>
      </c>
      <c r="P2286" s="17"/>
      <c r="Q2286" s="17" t="str">
        <f>_xlfn.XLOOKUP(Table2[[#This Row],[buyFromVendorNo]],'Next Day Scheduled'!A:A,'Pending Returns'!O:O,"NOT_FOUND")</f>
        <v>Posted Credit Note</v>
      </c>
    </row>
    <row r="2287" spans="1:17" x14ac:dyDescent="0.3">
      <c r="A2287" s="1">
        <v>46218</v>
      </c>
      <c r="B2287" t="s">
        <v>3012</v>
      </c>
      <c r="C2287" t="s">
        <v>329</v>
      </c>
      <c r="D2287" t="s">
        <v>320</v>
      </c>
      <c r="E2287" t="s">
        <v>8</v>
      </c>
      <c r="F2287" t="s">
        <v>38</v>
      </c>
      <c r="G2287" s="16">
        <v>472</v>
      </c>
      <c r="H2287" s="16">
        <v>542.79999999999995</v>
      </c>
      <c r="I2287" s="1">
        <v>46212</v>
      </c>
      <c r="J2287">
        <v>41</v>
      </c>
      <c r="K2287" t="s">
        <v>6253</v>
      </c>
      <c r="L2287" t="s">
        <v>7558</v>
      </c>
      <c r="M2287">
        <v>5</v>
      </c>
      <c r="N2287">
        <v>2</v>
      </c>
      <c r="O2287" t="s">
        <v>1036</v>
      </c>
      <c r="P2287" s="17"/>
      <c r="Q2287" s="17" t="str">
        <f>_xlfn.XLOOKUP(Table2[[#This Row],[buyFromVendorNo]],'Next Day Scheduled'!A:A,'Pending Returns'!O:O,"NOT_FOUND")</f>
        <v>NOT_FOUND</v>
      </c>
    </row>
    <row r="2288" spans="1:17" x14ac:dyDescent="0.3">
      <c r="A2288" s="1">
        <v>46218</v>
      </c>
      <c r="B2288" t="s">
        <v>236</v>
      </c>
      <c r="C2288" t="s">
        <v>75</v>
      </c>
      <c r="D2288" t="s">
        <v>76</v>
      </c>
      <c r="E2288" t="s">
        <v>8</v>
      </c>
      <c r="F2288" t="s">
        <v>10</v>
      </c>
      <c r="G2288" s="16">
        <v>767.26666</v>
      </c>
      <c r="H2288" s="16">
        <v>882.35670000000005</v>
      </c>
      <c r="I2288" s="1">
        <v>46205</v>
      </c>
      <c r="J2288">
        <v>41</v>
      </c>
      <c r="K2288" t="s">
        <v>6383</v>
      </c>
      <c r="L2288" t="s">
        <v>7559</v>
      </c>
      <c r="M2288">
        <v>3</v>
      </c>
      <c r="N2288">
        <v>5</v>
      </c>
      <c r="O2288" t="s">
        <v>1036</v>
      </c>
      <c r="P2288" s="17"/>
      <c r="Q2288" s="17" t="str">
        <f>_xlfn.XLOOKUP(Table2[[#This Row],[buyFromVendorNo]],'Next Day Scheduled'!A:A,'Pending Returns'!O:O,"NOT_FOUND")</f>
        <v>Posted Credit Note</v>
      </c>
    </row>
    <row r="2289" spans="1:17" x14ac:dyDescent="0.3">
      <c r="A2289" s="1">
        <v>46218</v>
      </c>
      <c r="B2289" t="s">
        <v>2567</v>
      </c>
      <c r="C2289" t="s">
        <v>60</v>
      </c>
      <c r="D2289" t="s">
        <v>61</v>
      </c>
      <c r="E2289" t="s">
        <v>8</v>
      </c>
      <c r="F2289" t="s">
        <v>38</v>
      </c>
      <c r="G2289" s="16">
        <v>961.1</v>
      </c>
      <c r="H2289" s="16">
        <v>1105.2650000000001</v>
      </c>
      <c r="I2289" s="1">
        <v>46218</v>
      </c>
      <c r="J2289">
        <v>41</v>
      </c>
      <c r="K2289" t="s">
        <v>6525</v>
      </c>
      <c r="L2289" t="s">
        <v>7542</v>
      </c>
      <c r="M2289">
        <v>5</v>
      </c>
      <c r="N2289">
        <v>7</v>
      </c>
      <c r="O2289" t="s">
        <v>1036</v>
      </c>
      <c r="P2289" s="17"/>
      <c r="Q2289" s="17" t="str">
        <f>_xlfn.XLOOKUP(Table2[[#This Row],[buyFromVendorNo]],'Next Day Scheduled'!A:A,'Pending Returns'!O:O,"NOT_FOUND")</f>
        <v>NOT_FOUND</v>
      </c>
    </row>
    <row r="2290" spans="1:17" x14ac:dyDescent="0.3">
      <c r="A2290" s="1">
        <v>46218</v>
      </c>
      <c r="B2290" t="s">
        <v>3420</v>
      </c>
      <c r="C2290" t="s">
        <v>2166</v>
      </c>
      <c r="D2290" t="s">
        <v>2167</v>
      </c>
      <c r="E2290" t="s">
        <v>8</v>
      </c>
      <c r="F2290" t="s">
        <v>10</v>
      </c>
      <c r="G2290" s="16">
        <v>774.9</v>
      </c>
      <c r="H2290" s="16">
        <v>891.13499999999999</v>
      </c>
      <c r="J2290">
        <v>41</v>
      </c>
      <c r="K2290" t="s">
        <v>7631</v>
      </c>
      <c r="M2290">
        <v>2</v>
      </c>
      <c r="N2290">
        <v>8</v>
      </c>
      <c r="O2290" t="s">
        <v>216</v>
      </c>
      <c r="P2290" s="17"/>
      <c r="Q2290" s="17" t="str">
        <f>_xlfn.XLOOKUP(Table2[[#This Row],[buyFromVendorNo]],'Next Day Scheduled'!A:A,'Pending Returns'!O:O,"NOT_FOUND")</f>
        <v>NOT_FOUND</v>
      </c>
    </row>
    <row r="2291" spans="1:17" x14ac:dyDescent="0.3">
      <c r="A2291" s="1">
        <v>46218</v>
      </c>
      <c r="B2291" t="s">
        <v>1685</v>
      </c>
      <c r="C2291" t="s">
        <v>987</v>
      </c>
      <c r="D2291" t="s">
        <v>988</v>
      </c>
      <c r="E2291" t="s">
        <v>8</v>
      </c>
      <c r="F2291" t="s">
        <v>10</v>
      </c>
      <c r="G2291" s="16">
        <v>9</v>
      </c>
      <c r="H2291" s="16">
        <v>10.35</v>
      </c>
      <c r="J2291">
        <v>41</v>
      </c>
      <c r="K2291" t="s">
        <v>7588</v>
      </c>
      <c r="M2291">
        <v>0</v>
      </c>
      <c r="N2291">
        <v>240</v>
      </c>
      <c r="O2291" t="s">
        <v>216</v>
      </c>
      <c r="P2291" s="17"/>
      <c r="Q2291" s="17" t="str">
        <f>_xlfn.XLOOKUP(Table2[[#This Row],[buyFromVendorNo]],'Next Day Scheduled'!A:A,'Pending Returns'!O:O,"NOT_FOUND")</f>
        <v>NOT_FOUND</v>
      </c>
    </row>
    <row r="2292" spans="1:17" x14ac:dyDescent="0.3">
      <c r="A2292" s="1">
        <v>46218</v>
      </c>
      <c r="B2292" t="s">
        <v>642</v>
      </c>
      <c r="C2292" t="s">
        <v>75</v>
      </c>
      <c r="D2292" t="s">
        <v>76</v>
      </c>
      <c r="E2292" t="s">
        <v>8</v>
      </c>
      <c r="F2292" t="s">
        <v>38</v>
      </c>
      <c r="G2292" s="16">
        <v>6107.1943000000001</v>
      </c>
      <c r="H2292" s="16">
        <v>7023.2734</v>
      </c>
      <c r="I2292" s="1">
        <v>46205</v>
      </c>
      <c r="J2292">
        <v>41</v>
      </c>
      <c r="K2292" t="s">
        <v>4517</v>
      </c>
      <c r="L2292" t="s">
        <v>7589</v>
      </c>
      <c r="M2292">
        <v>4</v>
      </c>
      <c r="N2292">
        <v>5</v>
      </c>
      <c r="O2292" t="s">
        <v>1036</v>
      </c>
      <c r="P2292" s="17"/>
      <c r="Q2292" s="17" t="str">
        <f>_xlfn.XLOOKUP(Table2[[#This Row],[buyFromVendorNo]],'Next Day Scheduled'!A:A,'Pending Returns'!O:O,"NOT_FOUND")</f>
        <v>Posted Credit Note</v>
      </c>
    </row>
    <row r="2293" spans="1:17" x14ac:dyDescent="0.3">
      <c r="A2293" s="1">
        <v>46218</v>
      </c>
      <c r="B2293" t="s">
        <v>555</v>
      </c>
      <c r="C2293" t="s">
        <v>875</v>
      </c>
      <c r="D2293" t="s">
        <v>876</v>
      </c>
      <c r="E2293" t="s">
        <v>8</v>
      </c>
      <c r="F2293" t="s">
        <v>38</v>
      </c>
      <c r="G2293" s="16">
        <v>49.078000000000003</v>
      </c>
      <c r="H2293" s="16">
        <v>56.439700000000002</v>
      </c>
      <c r="I2293" s="1">
        <v>46217</v>
      </c>
      <c r="J2293">
        <v>41</v>
      </c>
      <c r="K2293" t="s">
        <v>6964</v>
      </c>
      <c r="L2293" t="s">
        <v>7560</v>
      </c>
      <c r="M2293">
        <v>3</v>
      </c>
      <c r="N2293">
        <v>14</v>
      </c>
      <c r="O2293" t="s">
        <v>1036</v>
      </c>
      <c r="P2293" s="17"/>
      <c r="Q2293" s="17" t="str">
        <f>_xlfn.XLOOKUP(Table2[[#This Row],[buyFromVendorNo]],'Next Day Scheduled'!A:A,'Pending Returns'!O:O,"NOT_FOUND")</f>
        <v>NOT_FOUND</v>
      </c>
    </row>
    <row r="2294" spans="1:17" x14ac:dyDescent="0.3">
      <c r="A2294" s="1">
        <v>46218</v>
      </c>
      <c r="B2294" t="s">
        <v>642</v>
      </c>
      <c r="C2294" t="s">
        <v>618</v>
      </c>
      <c r="D2294" t="s">
        <v>6379</v>
      </c>
      <c r="E2294" t="s">
        <v>8</v>
      </c>
      <c r="F2294" t="s">
        <v>38</v>
      </c>
      <c r="G2294" s="16">
        <v>473.88979999999998</v>
      </c>
      <c r="H2294" s="16">
        <v>473.88979999999998</v>
      </c>
      <c r="I2294" s="1">
        <v>46216</v>
      </c>
      <c r="J2294">
        <v>41</v>
      </c>
      <c r="K2294" t="s">
        <v>7383</v>
      </c>
      <c r="L2294" t="s">
        <v>7561</v>
      </c>
      <c r="M2294">
        <v>42</v>
      </c>
      <c r="N2294">
        <v>0</v>
      </c>
      <c r="O2294" t="s">
        <v>1036</v>
      </c>
      <c r="P2294" s="17"/>
      <c r="Q2294" s="17" t="str">
        <f>_xlfn.XLOOKUP(Table2[[#This Row],[buyFromVendorNo]],'Next Day Scheduled'!A:A,'Pending Returns'!O:O,"NOT_FOUND")</f>
        <v>NOT_FOUND</v>
      </c>
    </row>
    <row r="2295" spans="1:17" x14ac:dyDescent="0.3">
      <c r="A2295" s="1">
        <v>46218</v>
      </c>
      <c r="B2295" t="s">
        <v>642</v>
      </c>
      <c r="C2295" t="s">
        <v>75</v>
      </c>
      <c r="D2295" t="s">
        <v>76</v>
      </c>
      <c r="E2295" t="s">
        <v>8</v>
      </c>
      <c r="F2295" t="s">
        <v>38</v>
      </c>
      <c r="G2295" s="16">
        <v>6272.57</v>
      </c>
      <c r="H2295" s="16">
        <v>7213.4556000000002</v>
      </c>
      <c r="I2295" s="1">
        <v>46205</v>
      </c>
      <c r="J2295">
        <v>41</v>
      </c>
      <c r="K2295" t="s">
        <v>2067</v>
      </c>
      <c r="L2295" t="s">
        <v>7564</v>
      </c>
      <c r="M2295">
        <v>4</v>
      </c>
      <c r="N2295">
        <v>5</v>
      </c>
      <c r="O2295" t="s">
        <v>1036</v>
      </c>
      <c r="P2295" s="17"/>
      <c r="Q2295" s="17" t="str">
        <f>_xlfn.XLOOKUP(Table2[[#This Row],[buyFromVendorNo]],'Next Day Scheduled'!A:A,'Pending Returns'!O:O,"NOT_FOUND")</f>
        <v>Posted Credit Note</v>
      </c>
    </row>
    <row r="2296" spans="1:17" x14ac:dyDescent="0.3">
      <c r="A2296" s="1">
        <v>46218</v>
      </c>
      <c r="B2296" t="s">
        <v>3407</v>
      </c>
      <c r="C2296" t="s">
        <v>1020</v>
      </c>
      <c r="D2296" t="s">
        <v>1021</v>
      </c>
      <c r="E2296" t="s">
        <v>8</v>
      </c>
      <c r="F2296" t="s">
        <v>10</v>
      </c>
      <c r="G2296" s="16">
        <v>111.24002</v>
      </c>
      <c r="H2296" s="16">
        <v>127.92601999999999</v>
      </c>
      <c r="I2296" s="1">
        <v>46215</v>
      </c>
      <c r="J2296">
        <v>41</v>
      </c>
      <c r="K2296" t="s">
        <v>6598</v>
      </c>
      <c r="L2296" t="s">
        <v>7595</v>
      </c>
      <c r="M2296">
        <v>6</v>
      </c>
      <c r="N2296">
        <v>2</v>
      </c>
      <c r="O2296" t="s">
        <v>1036</v>
      </c>
      <c r="P2296" s="17"/>
      <c r="Q2296" s="17" t="str">
        <f>_xlfn.XLOOKUP(Table2[[#This Row],[buyFromVendorNo]],'Next Day Scheduled'!A:A,'Pending Returns'!O:O,"NOT_FOUND")</f>
        <v>NOT_FOUND</v>
      </c>
    </row>
    <row r="2297" spans="1:17" x14ac:dyDescent="0.3">
      <c r="A2297" s="1">
        <v>46218</v>
      </c>
      <c r="B2297" t="s">
        <v>1814</v>
      </c>
      <c r="C2297" t="s">
        <v>1222</v>
      </c>
      <c r="D2297" t="s">
        <v>1223</v>
      </c>
      <c r="E2297" t="s">
        <v>8</v>
      </c>
      <c r="F2297" t="s">
        <v>10</v>
      </c>
      <c r="G2297" s="16">
        <v>144</v>
      </c>
      <c r="H2297" s="16">
        <v>165.6</v>
      </c>
      <c r="I2297" s="1">
        <v>46218</v>
      </c>
      <c r="J2297">
        <v>41</v>
      </c>
      <c r="K2297" t="s">
        <v>7163</v>
      </c>
      <c r="L2297" t="s">
        <v>7552</v>
      </c>
      <c r="M2297">
        <v>6</v>
      </c>
      <c r="N2297">
        <v>3</v>
      </c>
      <c r="O2297" t="s">
        <v>1036</v>
      </c>
      <c r="P2297" s="17"/>
      <c r="Q2297" s="17" t="str">
        <f>_xlfn.XLOOKUP(Table2[[#This Row],[buyFromVendorNo]],'Next Day Scheduled'!A:A,'Pending Returns'!O:O,"NOT_FOUND")</f>
        <v>NOT_FOUND</v>
      </c>
    </row>
    <row r="2298" spans="1:17" x14ac:dyDescent="0.3">
      <c r="A2298" s="1">
        <v>46218</v>
      </c>
      <c r="B2298" t="s">
        <v>6565</v>
      </c>
      <c r="C2298" t="s">
        <v>318</v>
      </c>
      <c r="D2298" t="s">
        <v>319</v>
      </c>
      <c r="E2298" t="s">
        <v>8</v>
      </c>
      <c r="F2298" t="s">
        <v>10</v>
      </c>
      <c r="G2298" s="16">
        <v>1253.01</v>
      </c>
      <c r="H2298" s="16">
        <v>1440.9613999999999</v>
      </c>
      <c r="I2298" s="1">
        <v>46211</v>
      </c>
      <c r="J2298">
        <v>41</v>
      </c>
      <c r="K2298" t="s">
        <v>6566</v>
      </c>
      <c r="L2298" t="s">
        <v>7534</v>
      </c>
      <c r="M2298">
        <v>7</v>
      </c>
      <c r="N2298">
        <v>2</v>
      </c>
      <c r="O2298" t="s">
        <v>1036</v>
      </c>
      <c r="P2298" s="17"/>
      <c r="Q2298" s="17" t="str">
        <f>_xlfn.XLOOKUP(Table2[[#This Row],[buyFromVendorNo]],'Next Day Scheduled'!A:A,'Pending Returns'!O:O,"NOT_FOUND")</f>
        <v>NOT_FOUND</v>
      </c>
    </row>
    <row r="2299" spans="1:17" x14ac:dyDescent="0.3">
      <c r="A2299" s="1">
        <v>46218</v>
      </c>
      <c r="B2299" t="s">
        <v>7215</v>
      </c>
      <c r="C2299" t="s">
        <v>39</v>
      </c>
      <c r="D2299" t="s">
        <v>40</v>
      </c>
      <c r="E2299" t="s">
        <v>8</v>
      </c>
      <c r="F2299" t="s">
        <v>10</v>
      </c>
      <c r="G2299" s="16">
        <v>1401.0995</v>
      </c>
      <c r="H2299" s="16">
        <v>1611.2644</v>
      </c>
      <c r="I2299" s="1">
        <v>46218</v>
      </c>
      <c r="J2299">
        <v>41</v>
      </c>
      <c r="K2299" t="s">
        <v>7216</v>
      </c>
      <c r="L2299" t="s">
        <v>7584</v>
      </c>
      <c r="M2299">
        <v>9</v>
      </c>
      <c r="N2299">
        <v>1</v>
      </c>
      <c r="O2299" t="s">
        <v>1036</v>
      </c>
      <c r="P2299" s="17"/>
      <c r="Q2299" s="17" t="str">
        <f>_xlfn.XLOOKUP(Table2[[#This Row],[buyFromVendorNo]],'Next Day Scheduled'!A:A,'Pending Returns'!O:O,"NOT_FOUND")</f>
        <v>Posted Credit Note</v>
      </c>
    </row>
    <row r="2300" spans="1:17" x14ac:dyDescent="0.3">
      <c r="A2300" s="1">
        <v>46218</v>
      </c>
      <c r="B2300" t="s">
        <v>1996</v>
      </c>
      <c r="C2300" t="s">
        <v>937</v>
      </c>
      <c r="D2300" t="s">
        <v>938</v>
      </c>
      <c r="E2300" t="s">
        <v>8</v>
      </c>
      <c r="F2300" t="s">
        <v>10</v>
      </c>
      <c r="G2300" s="16">
        <v>69.2</v>
      </c>
      <c r="H2300" s="16">
        <v>79.58</v>
      </c>
      <c r="J2300">
        <v>41</v>
      </c>
      <c r="K2300" t="s">
        <v>7555</v>
      </c>
      <c r="M2300">
        <v>5</v>
      </c>
      <c r="N2300">
        <v>12</v>
      </c>
      <c r="O2300" t="s">
        <v>216</v>
      </c>
      <c r="P2300" s="17"/>
      <c r="Q2300" s="17" t="str">
        <f>_xlfn.XLOOKUP(Table2[[#This Row],[buyFromVendorNo]],'Next Day Scheduled'!A:A,'Pending Returns'!O:O,"NOT_FOUND")</f>
        <v>NOT_FOUND</v>
      </c>
    </row>
    <row r="2301" spans="1:17" x14ac:dyDescent="0.3">
      <c r="A2301" s="1">
        <v>46218</v>
      </c>
      <c r="B2301" t="s">
        <v>6536</v>
      </c>
      <c r="C2301" t="s">
        <v>562</v>
      </c>
      <c r="D2301" t="s">
        <v>563</v>
      </c>
      <c r="E2301" t="s">
        <v>8</v>
      </c>
      <c r="F2301" t="s">
        <v>38</v>
      </c>
      <c r="G2301" s="16">
        <v>105.30001</v>
      </c>
      <c r="H2301" s="16">
        <v>121.09502000000001</v>
      </c>
      <c r="I2301" s="1">
        <v>46218</v>
      </c>
      <c r="J2301">
        <v>41</v>
      </c>
      <c r="K2301" t="s">
        <v>7459</v>
      </c>
      <c r="L2301" t="s">
        <v>7618</v>
      </c>
      <c r="M2301">
        <v>11</v>
      </c>
      <c r="N2301">
        <v>23</v>
      </c>
      <c r="O2301" t="s">
        <v>1036</v>
      </c>
      <c r="P2301" s="17"/>
      <c r="Q2301" s="17" t="str">
        <f>_xlfn.XLOOKUP(Table2[[#This Row],[buyFromVendorNo]],'Next Day Scheduled'!A:A,'Pending Returns'!O:O,"NOT_FOUND")</f>
        <v>NOT_FOUND</v>
      </c>
    </row>
    <row r="2302" spans="1:17" x14ac:dyDescent="0.3">
      <c r="A2302" s="1">
        <v>46218</v>
      </c>
      <c r="B2302" t="s">
        <v>1599</v>
      </c>
      <c r="C2302" t="s">
        <v>60</v>
      </c>
      <c r="D2302" t="s">
        <v>61</v>
      </c>
      <c r="E2302" t="s">
        <v>8</v>
      </c>
      <c r="F2302" t="s">
        <v>38</v>
      </c>
      <c r="G2302" s="16">
        <v>1448.92</v>
      </c>
      <c r="H2302" s="16">
        <v>1666.258</v>
      </c>
      <c r="I2302" s="1">
        <v>46218</v>
      </c>
      <c r="J2302">
        <v>41</v>
      </c>
      <c r="K2302" t="s">
        <v>6245</v>
      </c>
      <c r="L2302" t="s">
        <v>7590</v>
      </c>
      <c r="M2302">
        <v>5</v>
      </c>
      <c r="N2302">
        <v>7</v>
      </c>
      <c r="O2302" t="s">
        <v>1036</v>
      </c>
      <c r="P2302" s="17"/>
      <c r="Q2302" s="17" t="str">
        <f>_xlfn.XLOOKUP(Table2[[#This Row],[buyFromVendorNo]],'Next Day Scheduled'!A:A,'Pending Returns'!O:O,"NOT_FOUND")</f>
        <v>NOT_FOUND</v>
      </c>
    </row>
    <row r="2303" spans="1:17" x14ac:dyDescent="0.3">
      <c r="A2303" s="1">
        <v>46218</v>
      </c>
      <c r="B2303" t="s">
        <v>5380</v>
      </c>
      <c r="C2303" t="s">
        <v>358</v>
      </c>
      <c r="D2303" t="s">
        <v>359</v>
      </c>
      <c r="E2303" t="s">
        <v>8</v>
      </c>
      <c r="F2303" t="s">
        <v>10</v>
      </c>
      <c r="G2303" s="16">
        <v>100.65</v>
      </c>
      <c r="H2303" s="16">
        <v>115.7475</v>
      </c>
      <c r="J2303">
        <v>41</v>
      </c>
      <c r="K2303" t="s">
        <v>7547</v>
      </c>
      <c r="M2303">
        <v>4</v>
      </c>
      <c r="N2303">
        <v>1</v>
      </c>
      <c r="O2303" t="s">
        <v>216</v>
      </c>
      <c r="P2303" s="17"/>
      <c r="Q2303" s="17" t="str">
        <f>_xlfn.XLOOKUP(Table2[[#This Row],[buyFromVendorNo]],'Next Day Scheduled'!A:A,'Pending Returns'!O:O,"NOT_FOUND")</f>
        <v>NOT_FOUND</v>
      </c>
    </row>
    <row r="2304" spans="1:17" x14ac:dyDescent="0.3">
      <c r="A2304" s="1">
        <v>46218</v>
      </c>
      <c r="B2304" t="s">
        <v>642</v>
      </c>
      <c r="C2304" t="s">
        <v>75</v>
      </c>
      <c r="D2304" t="s">
        <v>76</v>
      </c>
      <c r="E2304" t="s">
        <v>8</v>
      </c>
      <c r="F2304" t="s">
        <v>38</v>
      </c>
      <c r="G2304" s="16">
        <v>5500.0010000000002</v>
      </c>
      <c r="H2304" s="16">
        <v>6325.0010000000002</v>
      </c>
      <c r="I2304" s="1">
        <v>46205</v>
      </c>
      <c r="J2304">
        <v>41</v>
      </c>
      <c r="K2304" t="s">
        <v>2654</v>
      </c>
      <c r="L2304" t="s">
        <v>7593</v>
      </c>
      <c r="M2304">
        <v>4</v>
      </c>
      <c r="N2304">
        <v>5</v>
      </c>
      <c r="O2304" t="s">
        <v>1036</v>
      </c>
      <c r="P2304" s="17"/>
      <c r="Q2304" s="17" t="str">
        <f>_xlfn.XLOOKUP(Table2[[#This Row],[buyFromVendorNo]],'Next Day Scheduled'!A:A,'Pending Returns'!O:O,"NOT_FOUND")</f>
        <v>Posted Credit Note</v>
      </c>
    </row>
    <row r="2305" spans="1:17" x14ac:dyDescent="0.3">
      <c r="A2305" s="1">
        <v>46218</v>
      </c>
      <c r="B2305" t="s">
        <v>3463</v>
      </c>
      <c r="C2305" t="s">
        <v>821</v>
      </c>
      <c r="D2305" t="s">
        <v>2040</v>
      </c>
      <c r="E2305" t="s">
        <v>8</v>
      </c>
      <c r="F2305" t="s">
        <v>10</v>
      </c>
      <c r="G2305" s="16">
        <v>57.6</v>
      </c>
      <c r="H2305" s="16">
        <v>66.239999999999995</v>
      </c>
      <c r="J2305">
        <v>41</v>
      </c>
      <c r="K2305" t="s">
        <v>7612</v>
      </c>
      <c r="M2305">
        <v>5</v>
      </c>
      <c r="N2305">
        <v>8</v>
      </c>
      <c r="O2305" t="s">
        <v>216</v>
      </c>
      <c r="P2305" s="17"/>
      <c r="Q2305" s="17" t="str">
        <f>_xlfn.XLOOKUP(Table2[[#This Row],[buyFromVendorNo]],'Next Day Scheduled'!A:A,'Pending Returns'!O:O,"NOT_FOUND")</f>
        <v>Posted Credit Note</v>
      </c>
    </row>
    <row r="2306" spans="1:17" x14ac:dyDescent="0.3">
      <c r="A2306" s="1">
        <v>46218</v>
      </c>
      <c r="B2306" t="s">
        <v>2163</v>
      </c>
      <c r="C2306" t="s">
        <v>4877</v>
      </c>
      <c r="D2306" t="s">
        <v>5340</v>
      </c>
      <c r="E2306" t="s">
        <v>8</v>
      </c>
      <c r="F2306" t="s">
        <v>10</v>
      </c>
      <c r="G2306" s="16">
        <v>4.4950000000000001</v>
      </c>
      <c r="H2306" s="16">
        <v>5.1692499999999999</v>
      </c>
      <c r="J2306">
        <v>41</v>
      </c>
      <c r="K2306" t="s">
        <v>7653</v>
      </c>
      <c r="M2306">
        <v>23</v>
      </c>
      <c r="N2306">
        <v>3</v>
      </c>
      <c r="O2306" t="s">
        <v>216</v>
      </c>
      <c r="P2306" s="17"/>
      <c r="Q2306" s="17" t="str">
        <f>_xlfn.XLOOKUP(Table2[[#This Row],[buyFromVendorNo]],'Next Day Scheduled'!A:A,'Pending Returns'!O:O,"NOT_FOUND")</f>
        <v>Posted Credit Note</v>
      </c>
    </row>
    <row r="2307" spans="1:17" x14ac:dyDescent="0.3">
      <c r="A2307" s="1">
        <v>46218</v>
      </c>
      <c r="B2307" t="s">
        <v>2890</v>
      </c>
      <c r="C2307" t="s">
        <v>60</v>
      </c>
      <c r="D2307" t="s">
        <v>61</v>
      </c>
      <c r="E2307" t="s">
        <v>8</v>
      </c>
      <c r="F2307" t="s">
        <v>38</v>
      </c>
      <c r="G2307" s="16">
        <v>723.14</v>
      </c>
      <c r="H2307" s="16">
        <v>831.61099999999999</v>
      </c>
      <c r="I2307" s="1">
        <v>46218</v>
      </c>
      <c r="J2307">
        <v>41</v>
      </c>
      <c r="K2307" t="s">
        <v>6958</v>
      </c>
      <c r="L2307" t="s">
        <v>7596</v>
      </c>
      <c r="M2307">
        <v>5</v>
      </c>
      <c r="N2307">
        <v>7</v>
      </c>
      <c r="O2307" t="s">
        <v>1036</v>
      </c>
      <c r="P2307" s="17"/>
      <c r="Q2307" s="17" t="str">
        <f>_xlfn.XLOOKUP(Table2[[#This Row],[buyFromVendorNo]],'Next Day Scheduled'!A:A,'Pending Returns'!O:O,"NOT_FOUND")</f>
        <v>NOT_FOUND</v>
      </c>
    </row>
    <row r="2308" spans="1:17" x14ac:dyDescent="0.3">
      <c r="A2308" s="1">
        <v>46218</v>
      </c>
      <c r="B2308" t="s">
        <v>6536</v>
      </c>
      <c r="C2308" t="s">
        <v>875</v>
      </c>
      <c r="D2308" t="s">
        <v>876</v>
      </c>
      <c r="E2308" t="s">
        <v>8</v>
      </c>
      <c r="F2308" t="s">
        <v>38</v>
      </c>
      <c r="G2308" s="16">
        <v>43.76</v>
      </c>
      <c r="H2308" s="16">
        <v>50.323999999999998</v>
      </c>
      <c r="I2308" s="1">
        <v>46217</v>
      </c>
      <c r="J2308">
        <v>41</v>
      </c>
      <c r="K2308" t="s">
        <v>6537</v>
      </c>
      <c r="L2308" t="s">
        <v>7578</v>
      </c>
      <c r="M2308">
        <v>3</v>
      </c>
      <c r="N2308">
        <v>14</v>
      </c>
      <c r="O2308" t="s">
        <v>1036</v>
      </c>
      <c r="P2308" s="17"/>
      <c r="Q2308" s="17" t="str">
        <f>_xlfn.XLOOKUP(Table2[[#This Row],[buyFromVendorNo]],'Next Day Scheduled'!A:A,'Pending Returns'!O:O,"NOT_FOUND")</f>
        <v>NOT_FOUND</v>
      </c>
    </row>
    <row r="2309" spans="1:17" x14ac:dyDescent="0.3">
      <c r="A2309" s="1">
        <v>46218</v>
      </c>
      <c r="B2309" t="s">
        <v>1697</v>
      </c>
      <c r="C2309" t="s">
        <v>75</v>
      </c>
      <c r="D2309" t="s">
        <v>76</v>
      </c>
      <c r="E2309" t="s">
        <v>8</v>
      </c>
      <c r="F2309" t="s">
        <v>10</v>
      </c>
      <c r="G2309" s="16">
        <v>192.25734</v>
      </c>
      <c r="H2309" s="16">
        <v>221.09594999999999</v>
      </c>
      <c r="I2309" s="1">
        <v>46209</v>
      </c>
      <c r="J2309">
        <v>41</v>
      </c>
      <c r="K2309" t="s">
        <v>6474</v>
      </c>
      <c r="L2309" t="s">
        <v>7598</v>
      </c>
      <c r="M2309">
        <v>3</v>
      </c>
      <c r="N2309">
        <v>5</v>
      </c>
      <c r="O2309" t="s">
        <v>1036</v>
      </c>
      <c r="P2309" s="17"/>
      <c r="Q2309" s="17" t="str">
        <f>_xlfn.XLOOKUP(Table2[[#This Row],[buyFromVendorNo]],'Next Day Scheduled'!A:A,'Pending Returns'!O:O,"NOT_FOUND")</f>
        <v>Posted Credit Note</v>
      </c>
    </row>
    <row r="2310" spans="1:17" x14ac:dyDescent="0.3">
      <c r="A2310" s="1">
        <v>46218</v>
      </c>
      <c r="B2310" t="s">
        <v>5609</v>
      </c>
      <c r="C2310" t="s">
        <v>65</v>
      </c>
      <c r="D2310" t="s">
        <v>66</v>
      </c>
      <c r="E2310" t="s">
        <v>8</v>
      </c>
      <c r="F2310" t="s">
        <v>169</v>
      </c>
      <c r="G2310" s="16">
        <v>1955.5650000000001</v>
      </c>
      <c r="H2310" s="16">
        <v>2248.8996999999999</v>
      </c>
      <c r="I2310" s="1">
        <v>46211</v>
      </c>
      <c r="J2310">
        <v>41</v>
      </c>
      <c r="K2310" t="s">
        <v>7004</v>
      </c>
      <c r="L2310" t="s">
        <v>7549</v>
      </c>
      <c r="M2310">
        <v>12</v>
      </c>
      <c r="N2310">
        <v>5</v>
      </c>
      <c r="O2310" t="s">
        <v>1036</v>
      </c>
      <c r="P2310" s="17"/>
      <c r="Q2310" s="17" t="str">
        <f>_xlfn.XLOOKUP(Table2[[#This Row],[buyFromVendorNo]],'Next Day Scheduled'!A:A,'Pending Returns'!O:O,"NOT_FOUND")</f>
        <v>Posted Credit Note</v>
      </c>
    </row>
    <row r="2311" spans="1:17" x14ac:dyDescent="0.3">
      <c r="A2311" s="1">
        <v>46218</v>
      </c>
      <c r="B2311" t="s">
        <v>285</v>
      </c>
      <c r="C2311" t="s">
        <v>2359</v>
      </c>
      <c r="D2311" t="s">
        <v>2360</v>
      </c>
      <c r="E2311" t="s">
        <v>8</v>
      </c>
      <c r="F2311" t="s">
        <v>10</v>
      </c>
      <c r="G2311" s="16">
        <v>225</v>
      </c>
      <c r="H2311" s="16">
        <v>258.75</v>
      </c>
      <c r="I2311" s="1">
        <v>46216</v>
      </c>
      <c r="J2311">
        <v>41</v>
      </c>
      <c r="K2311" t="s">
        <v>7322</v>
      </c>
      <c r="L2311" t="s">
        <v>7572</v>
      </c>
      <c r="M2311">
        <v>1</v>
      </c>
      <c r="N2311">
        <v>22</v>
      </c>
      <c r="O2311" t="s">
        <v>1036</v>
      </c>
      <c r="P2311" s="17"/>
      <c r="Q2311" s="17" t="str">
        <f>_xlfn.XLOOKUP(Table2[[#This Row],[buyFromVendorNo]],'Next Day Scheduled'!A:A,'Pending Returns'!O:O,"NOT_FOUND")</f>
        <v>NOT_FOUND</v>
      </c>
    </row>
    <row r="2312" spans="1:17" x14ac:dyDescent="0.3">
      <c r="A2312" s="1">
        <v>46218</v>
      </c>
      <c r="B2312" t="s">
        <v>2802</v>
      </c>
      <c r="C2312" t="s">
        <v>2311</v>
      </c>
      <c r="D2312" t="s">
        <v>2312</v>
      </c>
      <c r="E2312" t="s">
        <v>8</v>
      </c>
      <c r="F2312" t="s">
        <v>10</v>
      </c>
      <c r="G2312" s="16">
        <v>4519.57</v>
      </c>
      <c r="H2312" s="16">
        <v>5197.5050000000001</v>
      </c>
      <c r="I2312" s="1">
        <v>46218</v>
      </c>
      <c r="J2312">
        <v>41</v>
      </c>
      <c r="K2312" t="s">
        <v>2803</v>
      </c>
      <c r="L2312" t="s">
        <v>7539</v>
      </c>
      <c r="M2312">
        <v>2</v>
      </c>
      <c r="N2312">
        <v>22</v>
      </c>
      <c r="O2312" t="s">
        <v>1036</v>
      </c>
      <c r="P2312" s="17"/>
      <c r="Q2312" s="17" t="str">
        <f>_xlfn.XLOOKUP(Table2[[#This Row],[buyFromVendorNo]],'Next Day Scheduled'!A:A,'Pending Returns'!O:O,"NOT_FOUND")</f>
        <v>NOT_FOUND</v>
      </c>
    </row>
    <row r="2313" spans="1:17" x14ac:dyDescent="0.3">
      <c r="A2313" s="1">
        <v>46218</v>
      </c>
      <c r="B2313" t="s">
        <v>642</v>
      </c>
      <c r="C2313" t="s">
        <v>75</v>
      </c>
      <c r="D2313" t="s">
        <v>76</v>
      </c>
      <c r="E2313" t="s">
        <v>8</v>
      </c>
      <c r="F2313" t="s">
        <v>38</v>
      </c>
      <c r="G2313" s="16">
        <v>3529.1671999999999</v>
      </c>
      <c r="H2313" s="16">
        <v>4058.5421999999999</v>
      </c>
      <c r="I2313" s="1">
        <v>46208</v>
      </c>
      <c r="J2313">
        <v>41</v>
      </c>
      <c r="K2313" t="s">
        <v>3754</v>
      </c>
      <c r="L2313" t="s">
        <v>7556</v>
      </c>
      <c r="M2313">
        <v>4</v>
      </c>
      <c r="N2313">
        <v>5</v>
      </c>
      <c r="O2313" t="s">
        <v>1036</v>
      </c>
      <c r="P2313" s="17"/>
      <c r="Q2313" s="17" t="str">
        <f>_xlfn.XLOOKUP(Table2[[#This Row],[buyFromVendorNo]],'Next Day Scheduled'!A:A,'Pending Returns'!O:O,"NOT_FOUND")</f>
        <v>Posted Credit Note</v>
      </c>
    </row>
    <row r="2314" spans="1:17" x14ac:dyDescent="0.3">
      <c r="A2314" s="1">
        <v>46218</v>
      </c>
      <c r="B2314" t="s">
        <v>2770</v>
      </c>
      <c r="C2314" t="s">
        <v>144</v>
      </c>
      <c r="D2314" t="s">
        <v>145</v>
      </c>
      <c r="E2314" t="s">
        <v>8</v>
      </c>
      <c r="F2314" t="s">
        <v>10</v>
      </c>
      <c r="G2314" s="16">
        <v>231.68</v>
      </c>
      <c r="H2314" s="16">
        <v>266.43200000000002</v>
      </c>
      <c r="J2314">
        <v>41</v>
      </c>
      <c r="K2314" t="s">
        <v>7540</v>
      </c>
      <c r="M2314">
        <v>0</v>
      </c>
      <c r="N2314">
        <v>411</v>
      </c>
      <c r="O2314" t="s">
        <v>216</v>
      </c>
      <c r="P2314" s="17"/>
      <c r="Q2314" s="17" t="str">
        <f>_xlfn.XLOOKUP(Table2[[#This Row],[buyFromVendorNo]],'Next Day Scheduled'!A:A,'Pending Returns'!O:O,"NOT_FOUND")</f>
        <v>NOT_FOUND</v>
      </c>
    </row>
    <row r="2315" spans="1:17" x14ac:dyDescent="0.3">
      <c r="A2315" s="1">
        <v>46218</v>
      </c>
      <c r="B2315" t="s">
        <v>3266</v>
      </c>
      <c r="C2315" t="s">
        <v>1022</v>
      </c>
      <c r="D2315" t="s">
        <v>1023</v>
      </c>
      <c r="E2315" t="s">
        <v>8</v>
      </c>
      <c r="F2315" t="s">
        <v>10</v>
      </c>
      <c r="G2315" s="16">
        <v>4094</v>
      </c>
      <c r="H2315" s="16">
        <v>4708.1000000000004</v>
      </c>
      <c r="I2315" s="1">
        <v>46212</v>
      </c>
      <c r="J2315">
        <v>41</v>
      </c>
      <c r="K2315" t="s">
        <v>6733</v>
      </c>
      <c r="L2315" t="s">
        <v>7541</v>
      </c>
      <c r="M2315">
        <v>6</v>
      </c>
      <c r="N2315">
        <v>5</v>
      </c>
      <c r="O2315" t="s">
        <v>1036</v>
      </c>
      <c r="P2315" s="17"/>
      <c r="Q2315" s="17" t="str">
        <f>_xlfn.XLOOKUP(Table2[[#This Row],[buyFromVendorNo]],'Next Day Scheduled'!A:A,'Pending Returns'!O:O,"NOT_FOUND")</f>
        <v>Posted Credit Note</v>
      </c>
    </row>
    <row r="2316" spans="1:17" x14ac:dyDescent="0.3">
      <c r="A2316" s="1">
        <v>46218</v>
      </c>
      <c r="B2316" t="s">
        <v>642</v>
      </c>
      <c r="C2316" t="s">
        <v>69</v>
      </c>
      <c r="D2316" t="s">
        <v>70</v>
      </c>
      <c r="E2316" t="s">
        <v>8</v>
      </c>
      <c r="F2316" t="s">
        <v>38</v>
      </c>
      <c r="G2316" s="16">
        <v>2653.71</v>
      </c>
      <c r="H2316" s="16">
        <v>3051.7665999999999</v>
      </c>
      <c r="J2316">
        <v>41</v>
      </c>
      <c r="K2316" t="s">
        <v>7620</v>
      </c>
      <c r="M2316">
        <v>22</v>
      </c>
      <c r="N2316">
        <v>2</v>
      </c>
      <c r="O2316" t="s">
        <v>216</v>
      </c>
      <c r="P2316" s="17"/>
      <c r="Q2316" s="17" t="str">
        <f>_xlfn.XLOOKUP(Table2[[#This Row],[buyFromVendorNo]],'Next Day Scheduled'!A:A,'Pending Returns'!O:O,"NOT_FOUND")</f>
        <v>Posted Credit Note</v>
      </c>
    </row>
    <row r="2317" spans="1:17" x14ac:dyDescent="0.3">
      <c r="A2317" s="1">
        <v>46218</v>
      </c>
      <c r="B2317" t="s">
        <v>7219</v>
      </c>
      <c r="C2317" t="s">
        <v>1424</v>
      </c>
      <c r="D2317" t="s">
        <v>1425</v>
      </c>
      <c r="E2317" t="s">
        <v>8</v>
      </c>
      <c r="F2317" t="s">
        <v>10</v>
      </c>
      <c r="G2317" s="16">
        <v>1381.5</v>
      </c>
      <c r="H2317" s="16">
        <v>1588.7249999999999</v>
      </c>
      <c r="I2317" s="1">
        <v>46218</v>
      </c>
      <c r="J2317">
        <v>41</v>
      </c>
      <c r="K2317" t="s">
        <v>7220</v>
      </c>
      <c r="L2317" t="s">
        <v>7543</v>
      </c>
      <c r="M2317">
        <v>0</v>
      </c>
      <c r="N2317">
        <v>50</v>
      </c>
      <c r="O2317" t="s">
        <v>1036</v>
      </c>
      <c r="P2317" s="17"/>
      <c r="Q2317" s="17" t="str">
        <f>_xlfn.XLOOKUP(Table2[[#This Row],[buyFromVendorNo]],'Next Day Scheduled'!A:A,'Pending Returns'!O:O,"NOT_FOUND")</f>
        <v>Posted Credit Note</v>
      </c>
    </row>
    <row r="2318" spans="1:17" x14ac:dyDescent="0.3">
      <c r="A2318" s="1">
        <v>46218</v>
      </c>
      <c r="B2318" t="s">
        <v>3753</v>
      </c>
      <c r="C2318" t="s">
        <v>1424</v>
      </c>
      <c r="D2318" t="s">
        <v>1425</v>
      </c>
      <c r="E2318" t="s">
        <v>8</v>
      </c>
      <c r="F2318" t="s">
        <v>10</v>
      </c>
      <c r="G2318" s="16">
        <v>138</v>
      </c>
      <c r="H2318" s="16">
        <v>158.69999999999999</v>
      </c>
      <c r="I2318" s="1">
        <v>46218</v>
      </c>
      <c r="J2318">
        <v>41</v>
      </c>
      <c r="K2318" t="s">
        <v>7214</v>
      </c>
      <c r="L2318" t="s">
        <v>7544</v>
      </c>
      <c r="M2318">
        <v>0</v>
      </c>
      <c r="N2318">
        <v>50</v>
      </c>
      <c r="O2318" t="s">
        <v>1036</v>
      </c>
      <c r="P2318" s="17"/>
      <c r="Q2318" s="17" t="str">
        <f>_xlfn.XLOOKUP(Table2[[#This Row],[buyFromVendorNo]],'Next Day Scheduled'!A:A,'Pending Returns'!O:O,"NOT_FOUND")</f>
        <v>Posted Credit Note</v>
      </c>
    </row>
    <row r="2319" spans="1:17" x14ac:dyDescent="0.3">
      <c r="A2319" s="1">
        <v>46218</v>
      </c>
      <c r="B2319" t="s">
        <v>5278</v>
      </c>
      <c r="C2319" t="s">
        <v>710</v>
      </c>
      <c r="D2319" t="s">
        <v>711</v>
      </c>
      <c r="E2319" t="s">
        <v>8</v>
      </c>
      <c r="F2319" t="s">
        <v>10</v>
      </c>
      <c r="G2319" s="16">
        <v>914.27</v>
      </c>
      <c r="H2319" s="16">
        <v>1051.4105</v>
      </c>
      <c r="I2319" s="1">
        <v>46216</v>
      </c>
      <c r="J2319">
        <v>41</v>
      </c>
      <c r="K2319" t="s">
        <v>5279</v>
      </c>
      <c r="L2319" t="s">
        <v>7592</v>
      </c>
      <c r="M2319">
        <v>5</v>
      </c>
      <c r="N2319">
        <v>1</v>
      </c>
      <c r="O2319" t="s">
        <v>1036</v>
      </c>
      <c r="P2319" s="17"/>
      <c r="Q2319" s="17" t="str">
        <f>_xlfn.XLOOKUP(Table2[[#This Row],[buyFromVendorNo]],'Next Day Scheduled'!A:A,'Pending Returns'!O:O,"NOT_FOUND")</f>
        <v>NOT_FOUND</v>
      </c>
    </row>
    <row r="2320" spans="1:17" x14ac:dyDescent="0.3">
      <c r="A2320" s="1">
        <v>46218</v>
      </c>
      <c r="B2320" t="s">
        <v>4063</v>
      </c>
      <c r="C2320" t="s">
        <v>60</v>
      </c>
      <c r="D2320" t="s">
        <v>61</v>
      </c>
      <c r="E2320" t="s">
        <v>8</v>
      </c>
      <c r="F2320" t="s">
        <v>38</v>
      </c>
      <c r="G2320" s="16">
        <v>104.42</v>
      </c>
      <c r="H2320" s="16">
        <v>120.083</v>
      </c>
      <c r="I2320" s="1">
        <v>46218</v>
      </c>
      <c r="J2320">
        <v>41</v>
      </c>
      <c r="K2320" t="s">
        <v>6757</v>
      </c>
      <c r="L2320" t="s">
        <v>7563</v>
      </c>
      <c r="M2320">
        <v>5</v>
      </c>
      <c r="N2320">
        <v>7</v>
      </c>
      <c r="O2320" t="s">
        <v>1036</v>
      </c>
      <c r="P2320" s="17"/>
      <c r="Q2320" s="17" t="str">
        <f>_xlfn.XLOOKUP(Table2[[#This Row],[buyFromVendorNo]],'Next Day Scheduled'!A:A,'Pending Returns'!O:O,"NOT_FOUND")</f>
        <v>NOT_FOUND</v>
      </c>
    </row>
    <row r="2321" spans="1:17" x14ac:dyDescent="0.3">
      <c r="A2321" s="1">
        <v>46218</v>
      </c>
      <c r="B2321" t="s">
        <v>1535</v>
      </c>
      <c r="C2321" t="s">
        <v>1643</v>
      </c>
      <c r="D2321" t="s">
        <v>1644</v>
      </c>
      <c r="E2321" t="s">
        <v>8</v>
      </c>
      <c r="F2321" t="s">
        <v>38</v>
      </c>
      <c r="G2321" s="16">
        <v>674.35500000000002</v>
      </c>
      <c r="H2321" s="16">
        <v>775.50824</v>
      </c>
      <c r="I2321" s="1">
        <v>46216</v>
      </c>
      <c r="J2321">
        <v>41</v>
      </c>
      <c r="K2321" t="s">
        <v>7403</v>
      </c>
      <c r="L2321" t="s">
        <v>7577</v>
      </c>
      <c r="M2321">
        <v>6</v>
      </c>
      <c r="N2321">
        <v>2</v>
      </c>
      <c r="O2321" t="s">
        <v>1036</v>
      </c>
      <c r="P2321" s="17"/>
      <c r="Q2321" s="17" t="str">
        <f>_xlfn.XLOOKUP(Table2[[#This Row],[buyFromVendorNo]],'Next Day Scheduled'!A:A,'Pending Returns'!O:O,"NOT_FOUND")</f>
        <v>NOT_FOUND</v>
      </c>
    </row>
    <row r="2322" spans="1:17" x14ac:dyDescent="0.3">
      <c r="A2322" s="1">
        <v>46218</v>
      </c>
      <c r="B2322" t="s">
        <v>1797</v>
      </c>
      <c r="C2322" t="s">
        <v>146</v>
      </c>
      <c r="D2322" t="s">
        <v>147</v>
      </c>
      <c r="E2322" t="s">
        <v>8</v>
      </c>
      <c r="F2322" t="s">
        <v>10</v>
      </c>
      <c r="G2322" s="16">
        <v>34.86</v>
      </c>
      <c r="H2322" s="16">
        <v>40.088999999999999</v>
      </c>
      <c r="I2322" s="1">
        <v>46216</v>
      </c>
      <c r="J2322">
        <v>41</v>
      </c>
      <c r="K2322" t="s">
        <v>7015</v>
      </c>
      <c r="L2322" t="s">
        <v>7568</v>
      </c>
      <c r="M2322">
        <v>6</v>
      </c>
      <c r="N2322">
        <v>2</v>
      </c>
      <c r="O2322" t="s">
        <v>1036</v>
      </c>
      <c r="P2322" s="17"/>
      <c r="Q2322" s="17" t="str">
        <f>_xlfn.XLOOKUP(Table2[[#This Row],[buyFromVendorNo]],'Next Day Scheduled'!A:A,'Pending Returns'!O:O,"NOT_FOUND")</f>
        <v>NOT_FOUND</v>
      </c>
    </row>
    <row r="2323" spans="1:17" x14ac:dyDescent="0.3">
      <c r="A2323" s="1">
        <v>46218</v>
      </c>
      <c r="B2323" t="s">
        <v>642</v>
      </c>
      <c r="C2323" t="s">
        <v>75</v>
      </c>
      <c r="D2323" t="s">
        <v>76</v>
      </c>
      <c r="E2323" t="s">
        <v>8</v>
      </c>
      <c r="F2323" t="s">
        <v>38</v>
      </c>
      <c r="G2323" s="16">
        <v>3517.4904999999999</v>
      </c>
      <c r="H2323" s="16">
        <v>4045.114</v>
      </c>
      <c r="I2323" s="1">
        <v>46205</v>
      </c>
      <c r="J2323">
        <v>41</v>
      </c>
      <c r="K2323" t="s">
        <v>6099</v>
      </c>
      <c r="L2323" t="s">
        <v>7597</v>
      </c>
      <c r="M2323">
        <v>4</v>
      </c>
      <c r="N2323">
        <v>5</v>
      </c>
      <c r="O2323" t="s">
        <v>1036</v>
      </c>
      <c r="P2323" s="17"/>
      <c r="Q2323" s="17" t="str">
        <f>_xlfn.XLOOKUP(Table2[[#This Row],[buyFromVendorNo]],'Next Day Scheduled'!A:A,'Pending Returns'!O:O,"NOT_FOUND")</f>
        <v>Posted Credit Note</v>
      </c>
    </row>
    <row r="2324" spans="1:17" x14ac:dyDescent="0.3">
      <c r="A2324" s="1">
        <v>46218</v>
      </c>
      <c r="B2324" t="s">
        <v>3313</v>
      </c>
      <c r="C2324" t="s">
        <v>491</v>
      </c>
      <c r="D2324" t="s">
        <v>492</v>
      </c>
      <c r="E2324" t="s">
        <v>8</v>
      </c>
      <c r="F2324" t="s">
        <v>10</v>
      </c>
      <c r="G2324" s="16">
        <v>318.75</v>
      </c>
      <c r="H2324" s="16">
        <v>366.5625</v>
      </c>
      <c r="I2324" s="1">
        <v>46216</v>
      </c>
      <c r="J2324">
        <v>41</v>
      </c>
      <c r="K2324" t="s">
        <v>6610</v>
      </c>
      <c r="L2324" t="s">
        <v>7585</v>
      </c>
      <c r="M2324">
        <v>6</v>
      </c>
      <c r="N2324">
        <v>2</v>
      </c>
      <c r="O2324" t="s">
        <v>1036</v>
      </c>
      <c r="P2324" s="17"/>
      <c r="Q2324" s="17" t="str">
        <f>_xlfn.XLOOKUP(Table2[[#This Row],[buyFromVendorNo]],'Next Day Scheduled'!A:A,'Pending Returns'!O:O,"NOT_FOUND")</f>
        <v>NOT_FOUND</v>
      </c>
    </row>
    <row r="2325" spans="1:17" x14ac:dyDescent="0.3">
      <c r="A2325" s="1">
        <v>46218</v>
      </c>
      <c r="B2325" t="s">
        <v>642</v>
      </c>
      <c r="C2325" t="s">
        <v>69</v>
      </c>
      <c r="D2325" t="s">
        <v>70</v>
      </c>
      <c r="E2325" t="s">
        <v>8</v>
      </c>
      <c r="F2325" t="s">
        <v>38</v>
      </c>
      <c r="G2325" s="16">
        <v>3844.7</v>
      </c>
      <c r="H2325" s="16">
        <v>4421.4049999999997</v>
      </c>
      <c r="J2325">
        <v>41</v>
      </c>
      <c r="K2325" t="s">
        <v>7599</v>
      </c>
      <c r="M2325">
        <v>22</v>
      </c>
      <c r="N2325">
        <v>2</v>
      </c>
      <c r="O2325" t="s">
        <v>216</v>
      </c>
      <c r="P2325" s="17"/>
      <c r="Q2325" s="17" t="str">
        <f>_xlfn.XLOOKUP(Table2[[#This Row],[buyFromVendorNo]],'Next Day Scheduled'!A:A,'Pending Returns'!O:O,"NOT_FOUND")</f>
        <v>Posted Credit Note</v>
      </c>
    </row>
    <row r="2326" spans="1:17" x14ac:dyDescent="0.3">
      <c r="A2326" s="1">
        <v>46218</v>
      </c>
      <c r="B2326" t="s">
        <v>3586</v>
      </c>
      <c r="C2326" t="s">
        <v>3773</v>
      </c>
      <c r="D2326" t="s">
        <v>3774</v>
      </c>
      <c r="E2326" t="s">
        <v>8</v>
      </c>
      <c r="F2326" t="s">
        <v>10</v>
      </c>
      <c r="G2326" s="16">
        <v>244.8</v>
      </c>
      <c r="H2326" s="16">
        <v>281.52</v>
      </c>
      <c r="I2326" s="1">
        <v>46208</v>
      </c>
      <c r="J2326">
        <v>41</v>
      </c>
      <c r="K2326" t="s">
        <v>4968</v>
      </c>
      <c r="L2326" t="s">
        <v>7587</v>
      </c>
      <c r="M2326">
        <v>6</v>
      </c>
      <c r="N2326">
        <v>2</v>
      </c>
      <c r="O2326" t="s">
        <v>1036</v>
      </c>
      <c r="P2326" s="17"/>
      <c r="Q2326" s="17" t="str">
        <f>_xlfn.XLOOKUP(Table2[[#This Row],[buyFromVendorNo]],'Next Day Scheduled'!A:A,'Pending Returns'!O:O,"NOT_FOUND")</f>
        <v>NOT_FOUND</v>
      </c>
    </row>
    <row r="2327" spans="1:17" x14ac:dyDescent="0.3">
      <c r="A2327" s="1">
        <v>46218</v>
      </c>
      <c r="B2327" t="s">
        <v>555</v>
      </c>
      <c r="C2327" t="s">
        <v>204</v>
      </c>
      <c r="D2327" t="s">
        <v>205</v>
      </c>
      <c r="E2327" t="s">
        <v>8</v>
      </c>
      <c r="F2327" t="s">
        <v>38</v>
      </c>
      <c r="G2327" s="16">
        <v>1337.2979</v>
      </c>
      <c r="H2327" s="16">
        <v>1537.8925999999999</v>
      </c>
      <c r="I2327" s="1">
        <v>46216</v>
      </c>
      <c r="J2327">
        <v>41</v>
      </c>
      <c r="K2327" t="s">
        <v>7338</v>
      </c>
      <c r="L2327" t="s">
        <v>7545</v>
      </c>
      <c r="M2327">
        <v>6</v>
      </c>
      <c r="N2327">
        <v>5</v>
      </c>
      <c r="O2327" t="s">
        <v>1036</v>
      </c>
      <c r="P2327" s="17"/>
      <c r="Q2327" s="17" t="str">
        <f>_xlfn.XLOOKUP(Table2[[#This Row],[buyFromVendorNo]],'Next Day Scheduled'!A:A,'Pending Returns'!O:O,"NOT_FOUND")</f>
        <v>NOT_FOUND</v>
      </c>
    </row>
    <row r="2328" spans="1:17" x14ac:dyDescent="0.3">
      <c r="A2328" s="1">
        <v>46218</v>
      </c>
      <c r="B2328" t="s">
        <v>3044</v>
      </c>
      <c r="C2328" t="s">
        <v>2317</v>
      </c>
      <c r="D2328" t="s">
        <v>2318</v>
      </c>
      <c r="E2328" t="s">
        <v>8</v>
      </c>
      <c r="F2328" t="s">
        <v>10</v>
      </c>
      <c r="G2328" s="16">
        <v>23.74</v>
      </c>
      <c r="H2328" s="16">
        <v>27.300999999999998</v>
      </c>
      <c r="I2328" s="1">
        <v>46204</v>
      </c>
      <c r="J2328">
        <v>41</v>
      </c>
      <c r="K2328" t="s">
        <v>5525</v>
      </c>
      <c r="L2328" t="s">
        <v>7575</v>
      </c>
      <c r="M2328">
        <v>3</v>
      </c>
      <c r="N2328">
        <v>7</v>
      </c>
      <c r="O2328" t="s">
        <v>1036</v>
      </c>
      <c r="P2328" s="17"/>
      <c r="Q2328" s="17" t="str">
        <f>_xlfn.XLOOKUP(Table2[[#This Row],[buyFromVendorNo]],'Next Day Scheduled'!A:A,'Pending Returns'!O:O,"NOT_FOUND")</f>
        <v>NOT_FOUND</v>
      </c>
    </row>
    <row r="2329" spans="1:17" x14ac:dyDescent="0.3">
      <c r="A2329" s="1">
        <v>46218</v>
      </c>
      <c r="B2329" t="s">
        <v>642</v>
      </c>
      <c r="C2329" t="s">
        <v>39</v>
      </c>
      <c r="D2329" t="s">
        <v>40</v>
      </c>
      <c r="E2329" t="s">
        <v>8</v>
      </c>
      <c r="F2329" t="s">
        <v>38</v>
      </c>
      <c r="G2329" s="16">
        <v>5157.9440000000004</v>
      </c>
      <c r="H2329" s="16">
        <v>5931.6356999999998</v>
      </c>
      <c r="J2329">
        <v>41</v>
      </c>
      <c r="K2329" t="s">
        <v>7633</v>
      </c>
      <c r="M2329">
        <v>9</v>
      </c>
      <c r="N2329">
        <v>22</v>
      </c>
      <c r="O2329" t="s">
        <v>216</v>
      </c>
      <c r="P2329" s="17"/>
      <c r="Q2329" s="17" t="str">
        <f>_xlfn.XLOOKUP(Table2[[#This Row],[buyFromVendorNo]],'Next Day Scheduled'!A:A,'Pending Returns'!O:O,"NOT_FOUND")</f>
        <v>Posted Credit Note</v>
      </c>
    </row>
    <row r="2330" spans="1:17" x14ac:dyDescent="0.3">
      <c r="A2330" s="1">
        <v>46218</v>
      </c>
      <c r="B2330" t="s">
        <v>2757</v>
      </c>
      <c r="C2330" t="s">
        <v>3946</v>
      </c>
      <c r="D2330" t="s">
        <v>4628</v>
      </c>
      <c r="E2330" t="s">
        <v>8</v>
      </c>
      <c r="F2330" t="s">
        <v>10</v>
      </c>
      <c r="G2330" s="16">
        <v>110.86956000000001</v>
      </c>
      <c r="H2330" s="16">
        <v>127.5</v>
      </c>
      <c r="I2330" s="1">
        <v>46212</v>
      </c>
      <c r="J2330">
        <v>41</v>
      </c>
      <c r="K2330" t="s">
        <v>6700</v>
      </c>
      <c r="L2330" t="s">
        <v>7594</v>
      </c>
      <c r="M2330">
        <v>7</v>
      </c>
      <c r="N2330">
        <v>1</v>
      </c>
      <c r="O2330" t="s">
        <v>1036</v>
      </c>
      <c r="P2330" s="17"/>
      <c r="Q2330" s="17" t="str">
        <f>_xlfn.XLOOKUP(Table2[[#This Row],[buyFromVendorNo]],'Next Day Scheduled'!A:A,'Pending Returns'!O:O,"NOT_FOUND")</f>
        <v>NOT_FOUND</v>
      </c>
    </row>
    <row r="2331" spans="1:17" x14ac:dyDescent="0.3">
      <c r="A2331" s="1">
        <v>46218</v>
      </c>
      <c r="B2331" t="s">
        <v>1098</v>
      </c>
      <c r="C2331" t="s">
        <v>886</v>
      </c>
      <c r="D2331" t="s">
        <v>887</v>
      </c>
      <c r="E2331" t="s">
        <v>8</v>
      </c>
      <c r="F2331" t="s">
        <v>38</v>
      </c>
      <c r="G2331" s="16">
        <v>1167.07</v>
      </c>
      <c r="H2331" s="16">
        <v>1342.1305</v>
      </c>
      <c r="I2331" s="1">
        <v>46211</v>
      </c>
      <c r="J2331">
        <v>41</v>
      </c>
      <c r="K2331" t="s">
        <v>7003</v>
      </c>
      <c r="L2331" t="s">
        <v>7605</v>
      </c>
      <c r="M2331">
        <v>6</v>
      </c>
      <c r="N2331">
        <v>6</v>
      </c>
      <c r="O2331" t="s">
        <v>1036</v>
      </c>
      <c r="P2331" s="17"/>
      <c r="Q2331" s="17" t="str">
        <f>_xlfn.XLOOKUP(Table2[[#This Row],[buyFromVendorNo]],'Next Day Scheduled'!A:A,'Pending Returns'!O:O,"NOT_FOUND")</f>
        <v>NOT_FOUND</v>
      </c>
    </row>
    <row r="2332" spans="1:17" x14ac:dyDescent="0.3">
      <c r="A2332" s="1">
        <v>46218</v>
      </c>
      <c r="B2332" t="s">
        <v>5394</v>
      </c>
      <c r="C2332" t="s">
        <v>2363</v>
      </c>
      <c r="D2332" t="s">
        <v>2364</v>
      </c>
      <c r="E2332" t="s">
        <v>8</v>
      </c>
      <c r="F2332" t="s">
        <v>10</v>
      </c>
      <c r="G2332" s="16">
        <v>109.58</v>
      </c>
      <c r="H2332" s="16">
        <v>126.017</v>
      </c>
      <c r="I2332" s="1">
        <v>46211</v>
      </c>
      <c r="J2332">
        <v>41</v>
      </c>
      <c r="K2332" t="s">
        <v>6583</v>
      </c>
      <c r="L2332" t="s">
        <v>7581</v>
      </c>
      <c r="M2332">
        <v>6</v>
      </c>
      <c r="N2332">
        <v>6</v>
      </c>
      <c r="O2332" t="s">
        <v>1036</v>
      </c>
      <c r="P2332" s="17"/>
      <c r="Q2332" s="17" t="str">
        <f>_xlfn.XLOOKUP(Table2[[#This Row],[buyFromVendorNo]],'Next Day Scheduled'!A:A,'Pending Returns'!O:O,"NOT_FOUND")</f>
        <v>NOT_FOUND</v>
      </c>
    </row>
    <row r="2333" spans="1:17" x14ac:dyDescent="0.3">
      <c r="A2333" s="1">
        <v>46219</v>
      </c>
      <c r="B2333" t="s">
        <v>6130</v>
      </c>
      <c r="C2333" t="s">
        <v>201</v>
      </c>
      <c r="D2333" t="s">
        <v>202</v>
      </c>
      <c r="E2333" t="s">
        <v>8</v>
      </c>
      <c r="F2333" t="s">
        <v>169</v>
      </c>
      <c r="G2333" s="16">
        <v>880.63007000000005</v>
      </c>
      <c r="H2333" s="16">
        <v>1012.7246</v>
      </c>
      <c r="I2333" s="1">
        <v>46205</v>
      </c>
      <c r="J2333">
        <v>40</v>
      </c>
      <c r="K2333" t="s">
        <v>6136</v>
      </c>
      <c r="L2333" t="s">
        <v>7654</v>
      </c>
      <c r="M2333">
        <v>5</v>
      </c>
      <c r="N2333">
        <v>7</v>
      </c>
      <c r="O2333" t="s">
        <v>1036</v>
      </c>
      <c r="P2333" s="17"/>
      <c r="Q2333" s="17" t="str">
        <f>_xlfn.XLOOKUP(Table2[[#This Row],[buyFromVendorNo]],'Next Day Scheduled'!A:A,'Pending Returns'!O:O,"NOT_FOUND")</f>
        <v>Pending for Collection</v>
      </c>
    </row>
    <row r="2334" spans="1:17" x14ac:dyDescent="0.3">
      <c r="A2334" s="1">
        <v>46219</v>
      </c>
      <c r="B2334" t="s">
        <v>3753</v>
      </c>
      <c r="C2334" t="s">
        <v>1743</v>
      </c>
      <c r="D2334" t="s">
        <v>1744</v>
      </c>
      <c r="E2334" t="s">
        <v>8</v>
      </c>
      <c r="F2334" t="s">
        <v>10</v>
      </c>
      <c r="G2334" s="16">
        <v>16848</v>
      </c>
      <c r="H2334" s="16">
        <v>19375.2</v>
      </c>
      <c r="I2334" s="1">
        <v>46219</v>
      </c>
      <c r="J2334">
        <v>40</v>
      </c>
      <c r="K2334" t="s">
        <v>7431</v>
      </c>
      <c r="L2334" t="s">
        <v>7702</v>
      </c>
      <c r="M2334">
        <v>3</v>
      </c>
      <c r="N2334">
        <v>19</v>
      </c>
      <c r="O2334" t="s">
        <v>1036</v>
      </c>
      <c r="P2334" s="17"/>
      <c r="Q2334" s="17" t="str">
        <f>_xlfn.XLOOKUP(Table2[[#This Row],[buyFromVendorNo]],'Next Day Scheduled'!A:A,'Pending Returns'!O:O,"NOT_FOUND")</f>
        <v>NOT_FOUND</v>
      </c>
    </row>
    <row r="2335" spans="1:17" x14ac:dyDescent="0.3">
      <c r="A2335" s="1">
        <v>46219</v>
      </c>
      <c r="B2335" t="s">
        <v>560</v>
      </c>
      <c r="C2335" t="s">
        <v>65</v>
      </c>
      <c r="D2335" t="s">
        <v>66</v>
      </c>
      <c r="E2335" t="s">
        <v>8</v>
      </c>
      <c r="F2335" t="s">
        <v>10</v>
      </c>
      <c r="G2335" s="16">
        <v>5929.9174999999996</v>
      </c>
      <c r="H2335" s="16">
        <v>6819.4049999999997</v>
      </c>
      <c r="I2335" s="1">
        <v>46211</v>
      </c>
      <c r="J2335">
        <v>40</v>
      </c>
      <c r="K2335" t="s">
        <v>6311</v>
      </c>
      <c r="L2335" t="s">
        <v>7703</v>
      </c>
      <c r="M2335">
        <v>14</v>
      </c>
      <c r="N2335">
        <v>5</v>
      </c>
      <c r="O2335" t="s">
        <v>1036</v>
      </c>
      <c r="P2335" s="17"/>
      <c r="Q2335" s="17" t="str">
        <f>_xlfn.XLOOKUP(Table2[[#This Row],[buyFromVendorNo]],'Next Day Scheduled'!A:A,'Pending Returns'!O:O,"NOT_FOUND")</f>
        <v>Posted Credit Note</v>
      </c>
    </row>
    <row r="2336" spans="1:17" x14ac:dyDescent="0.3">
      <c r="A2336" s="1">
        <v>46219</v>
      </c>
      <c r="B2336" t="s">
        <v>642</v>
      </c>
      <c r="C2336" t="s">
        <v>358</v>
      </c>
      <c r="D2336" t="s">
        <v>359</v>
      </c>
      <c r="E2336" t="s">
        <v>8</v>
      </c>
      <c r="F2336" t="s">
        <v>38</v>
      </c>
      <c r="G2336" s="16">
        <v>26.25</v>
      </c>
      <c r="H2336" s="16">
        <v>30.1875</v>
      </c>
      <c r="J2336">
        <v>40</v>
      </c>
      <c r="K2336" t="s">
        <v>7689</v>
      </c>
      <c r="M2336">
        <v>3</v>
      </c>
      <c r="N2336">
        <v>1</v>
      </c>
      <c r="O2336" t="s">
        <v>216</v>
      </c>
      <c r="P2336" s="17"/>
      <c r="Q2336" s="17" t="str">
        <f>_xlfn.XLOOKUP(Table2[[#This Row],[buyFromVendorNo]],'Next Day Scheduled'!A:A,'Pending Returns'!O:O,"NOT_FOUND")</f>
        <v>NOT_FOUND</v>
      </c>
    </row>
    <row r="2337" spans="1:17" x14ac:dyDescent="0.3">
      <c r="A2337" s="1">
        <v>46219</v>
      </c>
      <c r="B2337" t="s">
        <v>1780</v>
      </c>
      <c r="C2337" t="s">
        <v>95</v>
      </c>
      <c r="D2337" t="s">
        <v>96</v>
      </c>
      <c r="E2337" t="s">
        <v>8</v>
      </c>
      <c r="F2337" t="s">
        <v>10</v>
      </c>
      <c r="G2337" s="16">
        <v>4535.3114999999998</v>
      </c>
      <c r="H2337" s="16">
        <v>5215.6080000000002</v>
      </c>
      <c r="I2337" s="1">
        <v>46217</v>
      </c>
      <c r="J2337">
        <v>40</v>
      </c>
      <c r="K2337" t="s">
        <v>6600</v>
      </c>
      <c r="L2337" t="s">
        <v>7705</v>
      </c>
      <c r="M2337">
        <v>6</v>
      </c>
      <c r="N2337">
        <v>1</v>
      </c>
      <c r="O2337" t="s">
        <v>1036</v>
      </c>
      <c r="P2337" s="17"/>
      <c r="Q2337" s="17" t="str">
        <f>_xlfn.XLOOKUP(Table2[[#This Row],[buyFromVendorNo]],'Next Day Scheduled'!A:A,'Pending Returns'!O:O,"NOT_FOUND")</f>
        <v>NOT_FOUND</v>
      </c>
    </row>
    <row r="2338" spans="1:17" x14ac:dyDescent="0.3">
      <c r="A2338" s="1">
        <v>46219</v>
      </c>
      <c r="B2338" t="s">
        <v>2627</v>
      </c>
      <c r="C2338" t="s">
        <v>51</v>
      </c>
      <c r="D2338" t="s">
        <v>52</v>
      </c>
      <c r="E2338" t="s">
        <v>8</v>
      </c>
      <c r="F2338" t="s">
        <v>10</v>
      </c>
      <c r="G2338" s="16">
        <v>28.99</v>
      </c>
      <c r="H2338" s="16">
        <v>33.338500000000003</v>
      </c>
      <c r="J2338">
        <v>40</v>
      </c>
      <c r="K2338" t="s">
        <v>7706</v>
      </c>
      <c r="M2338">
        <v>2</v>
      </c>
      <c r="N2338">
        <v>1</v>
      </c>
      <c r="O2338" t="s">
        <v>216</v>
      </c>
      <c r="P2338" s="17"/>
      <c r="Q2338" s="17" t="str">
        <f>_xlfn.XLOOKUP(Table2[[#This Row],[buyFromVendorNo]],'Next Day Scheduled'!A:A,'Pending Returns'!O:O,"NOT_FOUND")</f>
        <v>NOT_FOUND</v>
      </c>
    </row>
    <row r="2339" spans="1:17" x14ac:dyDescent="0.3">
      <c r="A2339" s="1">
        <v>46219</v>
      </c>
      <c r="B2339" t="s">
        <v>5209</v>
      </c>
      <c r="C2339" t="s">
        <v>562</v>
      </c>
      <c r="D2339" t="s">
        <v>563</v>
      </c>
      <c r="E2339" t="s">
        <v>8</v>
      </c>
      <c r="F2339" t="s">
        <v>38</v>
      </c>
      <c r="G2339" s="16">
        <v>312.76960000000003</v>
      </c>
      <c r="H2339" s="16">
        <v>359.68502999999998</v>
      </c>
      <c r="I2339" s="1">
        <v>46219</v>
      </c>
      <c r="J2339">
        <v>40</v>
      </c>
      <c r="K2339" t="s">
        <v>7546</v>
      </c>
      <c r="L2339" t="s">
        <v>7658</v>
      </c>
      <c r="M2339">
        <v>11</v>
      </c>
      <c r="N2339">
        <v>23</v>
      </c>
      <c r="O2339" t="s">
        <v>1036</v>
      </c>
      <c r="P2339" s="17"/>
      <c r="Q2339" s="17" t="str">
        <f>_xlfn.XLOOKUP(Table2[[#This Row],[buyFromVendorNo]],'Next Day Scheduled'!A:A,'Pending Returns'!O:O,"NOT_FOUND")</f>
        <v>NOT_FOUND</v>
      </c>
    </row>
    <row r="2340" spans="1:17" x14ac:dyDescent="0.3">
      <c r="A2340" s="1">
        <v>46219</v>
      </c>
      <c r="B2340" t="s">
        <v>251</v>
      </c>
      <c r="C2340" t="s">
        <v>65</v>
      </c>
      <c r="D2340" t="s">
        <v>66</v>
      </c>
      <c r="E2340" t="s">
        <v>8</v>
      </c>
      <c r="F2340" t="s">
        <v>10</v>
      </c>
      <c r="G2340" s="16">
        <v>4400.5339999999997</v>
      </c>
      <c r="H2340" s="16">
        <v>5060.6143000000002</v>
      </c>
      <c r="I2340" s="1">
        <v>46215</v>
      </c>
      <c r="J2340">
        <v>40</v>
      </c>
      <c r="K2340" t="s">
        <v>6524</v>
      </c>
      <c r="L2340" t="s">
        <v>7685</v>
      </c>
      <c r="M2340">
        <v>14</v>
      </c>
      <c r="N2340">
        <v>5</v>
      </c>
      <c r="O2340" t="s">
        <v>1036</v>
      </c>
      <c r="P2340" s="17"/>
      <c r="Q2340" s="17" t="str">
        <f>_xlfn.XLOOKUP(Table2[[#This Row],[buyFromVendorNo]],'Next Day Scheduled'!A:A,'Pending Returns'!O:O,"NOT_FOUND")</f>
        <v>Posted Credit Note</v>
      </c>
    </row>
    <row r="2341" spans="1:17" x14ac:dyDescent="0.3">
      <c r="A2341" s="1">
        <v>46219</v>
      </c>
      <c r="B2341" t="s">
        <v>269</v>
      </c>
      <c r="C2341" t="s">
        <v>57</v>
      </c>
      <c r="D2341" t="s">
        <v>58</v>
      </c>
      <c r="E2341" t="s">
        <v>8</v>
      </c>
      <c r="F2341" t="s">
        <v>10</v>
      </c>
      <c r="G2341" s="16">
        <v>1615.41</v>
      </c>
      <c r="H2341" s="16">
        <v>1857.7216000000001</v>
      </c>
      <c r="I2341" s="1">
        <v>46210</v>
      </c>
      <c r="J2341">
        <v>40</v>
      </c>
      <c r="K2341" t="s">
        <v>6750</v>
      </c>
      <c r="L2341" t="s">
        <v>7709</v>
      </c>
      <c r="M2341">
        <v>4</v>
      </c>
      <c r="N2341">
        <v>8</v>
      </c>
      <c r="O2341" t="s">
        <v>1036</v>
      </c>
      <c r="P2341" s="17"/>
      <c r="Q2341" s="17" t="str">
        <f>_xlfn.XLOOKUP(Table2[[#This Row],[buyFromVendorNo]],'Next Day Scheduled'!A:A,'Pending Returns'!O:O,"NOT_FOUND")</f>
        <v>Posted Credit Note</v>
      </c>
    </row>
    <row r="2342" spans="1:17" x14ac:dyDescent="0.3">
      <c r="A2342" s="1">
        <v>46219</v>
      </c>
      <c r="B2342" t="s">
        <v>5228</v>
      </c>
      <c r="C2342" t="s">
        <v>7440</v>
      </c>
      <c r="D2342" t="s">
        <v>7441</v>
      </c>
      <c r="E2342" t="s">
        <v>8</v>
      </c>
      <c r="F2342" t="s">
        <v>38</v>
      </c>
      <c r="G2342" s="16">
        <v>111.23188</v>
      </c>
      <c r="H2342" s="16">
        <v>127.91665999999999</v>
      </c>
      <c r="I2342" s="1">
        <v>46218</v>
      </c>
      <c r="J2342">
        <v>40</v>
      </c>
      <c r="K2342" t="s">
        <v>7439</v>
      </c>
      <c r="L2342" t="s">
        <v>7656</v>
      </c>
      <c r="M2342">
        <v>14</v>
      </c>
      <c r="N2342">
        <v>1</v>
      </c>
      <c r="O2342" t="s">
        <v>1036</v>
      </c>
      <c r="P2342" s="17"/>
      <c r="Q2342" s="17" t="str">
        <f>_xlfn.XLOOKUP(Table2[[#This Row],[buyFromVendorNo]],'Next Day Scheduled'!A:A,'Pending Returns'!O:O,"NOT_FOUND")</f>
        <v>NOT_FOUND</v>
      </c>
    </row>
    <row r="2343" spans="1:17" x14ac:dyDescent="0.3">
      <c r="A2343" s="1">
        <v>46219</v>
      </c>
      <c r="B2343" t="s">
        <v>5064</v>
      </c>
      <c r="C2343" t="s">
        <v>67</v>
      </c>
      <c r="D2343" t="s">
        <v>68</v>
      </c>
      <c r="E2343" t="s">
        <v>8</v>
      </c>
      <c r="F2343" t="s">
        <v>10</v>
      </c>
      <c r="G2343" s="16">
        <v>4338.634</v>
      </c>
      <c r="H2343" s="16">
        <v>4989.4290000000001</v>
      </c>
      <c r="I2343" s="1">
        <v>46208</v>
      </c>
      <c r="J2343">
        <v>40</v>
      </c>
      <c r="K2343" t="s">
        <v>1829</v>
      </c>
      <c r="L2343" t="s">
        <v>7701</v>
      </c>
      <c r="M2343">
        <v>5</v>
      </c>
      <c r="N2343">
        <v>1</v>
      </c>
      <c r="O2343" t="s">
        <v>1036</v>
      </c>
      <c r="P2343" s="17"/>
      <c r="Q2343" s="17" t="str">
        <f>_xlfn.XLOOKUP(Table2[[#This Row],[buyFromVendorNo]],'Next Day Scheduled'!A:A,'Pending Returns'!O:O,"NOT_FOUND")</f>
        <v>NOT_FOUND</v>
      </c>
    </row>
    <row r="2344" spans="1:17" x14ac:dyDescent="0.3">
      <c r="A2344" s="1">
        <v>46219</v>
      </c>
      <c r="B2344" t="s">
        <v>238</v>
      </c>
      <c r="C2344" t="s">
        <v>65</v>
      </c>
      <c r="D2344" t="s">
        <v>66</v>
      </c>
      <c r="E2344" t="s">
        <v>8</v>
      </c>
      <c r="F2344" t="s">
        <v>10</v>
      </c>
      <c r="G2344" s="16">
        <v>4521.6589999999997</v>
      </c>
      <c r="H2344" s="16">
        <v>5199.9080000000004</v>
      </c>
      <c r="I2344" s="1">
        <v>46215</v>
      </c>
      <c r="J2344">
        <v>40</v>
      </c>
      <c r="K2344" t="s">
        <v>6563</v>
      </c>
      <c r="L2344" t="s">
        <v>7675</v>
      </c>
      <c r="M2344">
        <v>14</v>
      </c>
      <c r="N2344">
        <v>5</v>
      </c>
      <c r="O2344" t="s">
        <v>1036</v>
      </c>
      <c r="P2344" s="17"/>
      <c r="Q2344" s="17" t="str">
        <f>_xlfn.XLOOKUP(Table2[[#This Row],[buyFromVendorNo]],'Next Day Scheduled'!A:A,'Pending Returns'!O:O,"NOT_FOUND")</f>
        <v>Posted Credit Note</v>
      </c>
    </row>
    <row r="2345" spans="1:17" x14ac:dyDescent="0.3">
      <c r="A2345" s="1">
        <v>46219</v>
      </c>
      <c r="B2345" t="s">
        <v>1772</v>
      </c>
      <c r="C2345" t="s">
        <v>95</v>
      </c>
      <c r="D2345" t="s">
        <v>96</v>
      </c>
      <c r="E2345" t="s">
        <v>8</v>
      </c>
      <c r="F2345" t="s">
        <v>10</v>
      </c>
      <c r="G2345" s="16">
        <v>882.04819999999995</v>
      </c>
      <c r="H2345" s="16">
        <v>1014.35547</v>
      </c>
      <c r="I2345" s="1">
        <v>46217</v>
      </c>
      <c r="J2345">
        <v>40</v>
      </c>
      <c r="K2345" t="s">
        <v>7043</v>
      </c>
      <c r="L2345" t="s">
        <v>7691</v>
      </c>
      <c r="M2345">
        <v>6</v>
      </c>
      <c r="N2345">
        <v>1</v>
      </c>
      <c r="O2345" t="s">
        <v>1036</v>
      </c>
      <c r="P2345" s="17"/>
      <c r="Q2345" s="17" t="str">
        <f>_xlfn.XLOOKUP(Table2[[#This Row],[buyFromVendorNo]],'Next Day Scheduled'!A:A,'Pending Returns'!O:O,"NOT_FOUND")</f>
        <v>NOT_FOUND</v>
      </c>
    </row>
    <row r="2346" spans="1:17" x14ac:dyDescent="0.3">
      <c r="A2346" s="1">
        <v>46219</v>
      </c>
      <c r="B2346" t="s">
        <v>235</v>
      </c>
      <c r="C2346" t="s">
        <v>65</v>
      </c>
      <c r="D2346" t="s">
        <v>66</v>
      </c>
      <c r="E2346" t="s">
        <v>8</v>
      </c>
      <c r="F2346" t="s">
        <v>10</v>
      </c>
      <c r="G2346" s="16">
        <v>3826.0192999999999</v>
      </c>
      <c r="H2346" s="16">
        <v>4399.9224000000004</v>
      </c>
      <c r="I2346" s="1">
        <v>46215</v>
      </c>
      <c r="J2346">
        <v>40</v>
      </c>
      <c r="K2346" t="s">
        <v>6526</v>
      </c>
      <c r="L2346" t="s">
        <v>7659</v>
      </c>
      <c r="M2346">
        <v>14</v>
      </c>
      <c r="N2346">
        <v>5</v>
      </c>
      <c r="O2346" t="s">
        <v>1036</v>
      </c>
      <c r="P2346" s="17"/>
      <c r="Q2346" s="17" t="str">
        <f>_xlfn.XLOOKUP(Table2[[#This Row],[buyFromVendorNo]],'Next Day Scheduled'!A:A,'Pending Returns'!O:O,"NOT_FOUND")</f>
        <v>Posted Credit Note</v>
      </c>
    </row>
    <row r="2347" spans="1:17" x14ac:dyDescent="0.3">
      <c r="A2347" s="1">
        <v>46219</v>
      </c>
      <c r="B2347" t="s">
        <v>2786</v>
      </c>
      <c r="C2347" t="s">
        <v>98</v>
      </c>
      <c r="D2347" t="s">
        <v>99</v>
      </c>
      <c r="E2347" t="s">
        <v>8</v>
      </c>
      <c r="F2347" t="s">
        <v>10</v>
      </c>
      <c r="G2347" s="16">
        <v>1647.96</v>
      </c>
      <c r="H2347" s="16">
        <v>1895.154</v>
      </c>
      <c r="I2347" s="1">
        <v>46216</v>
      </c>
      <c r="J2347">
        <v>40</v>
      </c>
      <c r="K2347" t="s">
        <v>7021</v>
      </c>
      <c r="L2347" t="s">
        <v>7694</v>
      </c>
      <c r="M2347">
        <v>5</v>
      </c>
      <c r="N2347">
        <v>6</v>
      </c>
      <c r="O2347" t="s">
        <v>1036</v>
      </c>
      <c r="P2347" s="17"/>
      <c r="Q2347" s="17" t="str">
        <f>_xlfn.XLOOKUP(Table2[[#This Row],[buyFromVendorNo]],'Next Day Scheduled'!A:A,'Pending Returns'!O:O,"NOT_FOUND")</f>
        <v>NOT_FOUND</v>
      </c>
    </row>
    <row r="2348" spans="1:17" x14ac:dyDescent="0.3">
      <c r="A2348" s="1">
        <v>46219</v>
      </c>
      <c r="B2348" t="s">
        <v>2770</v>
      </c>
      <c r="C2348" t="s">
        <v>602</v>
      </c>
      <c r="D2348" t="s">
        <v>603</v>
      </c>
      <c r="E2348" t="s">
        <v>8</v>
      </c>
      <c r="F2348" t="s">
        <v>10</v>
      </c>
      <c r="G2348" s="16">
        <v>611.95000000000005</v>
      </c>
      <c r="H2348" s="16">
        <v>703.74249999999995</v>
      </c>
      <c r="I2348" s="1">
        <v>46214</v>
      </c>
      <c r="J2348">
        <v>40</v>
      </c>
      <c r="K2348" t="s">
        <v>6727</v>
      </c>
      <c r="L2348" t="s">
        <v>7682</v>
      </c>
      <c r="M2348">
        <v>4</v>
      </c>
      <c r="N2348">
        <v>6</v>
      </c>
      <c r="O2348" t="s">
        <v>1036</v>
      </c>
      <c r="P2348" s="17"/>
      <c r="Q2348" s="17" t="str">
        <f>_xlfn.XLOOKUP(Table2[[#This Row],[buyFromVendorNo]],'Next Day Scheduled'!A:A,'Pending Returns'!O:O,"NOT_FOUND")</f>
        <v>NOT_FOUND</v>
      </c>
    </row>
    <row r="2349" spans="1:17" x14ac:dyDescent="0.3">
      <c r="A2349" s="1">
        <v>46219</v>
      </c>
      <c r="B2349" t="s">
        <v>706</v>
      </c>
      <c r="C2349" t="s">
        <v>65</v>
      </c>
      <c r="D2349" t="s">
        <v>66</v>
      </c>
      <c r="E2349" t="s">
        <v>8</v>
      </c>
      <c r="F2349" t="s">
        <v>10</v>
      </c>
      <c r="G2349" s="16">
        <v>3362.2595000000001</v>
      </c>
      <c r="H2349" s="16">
        <v>3866.5983999999999</v>
      </c>
      <c r="I2349" s="1">
        <v>46215</v>
      </c>
      <c r="J2349">
        <v>40</v>
      </c>
      <c r="K2349" t="s">
        <v>6549</v>
      </c>
      <c r="L2349" t="s">
        <v>7665</v>
      </c>
      <c r="M2349">
        <v>14</v>
      </c>
      <c r="N2349">
        <v>5</v>
      </c>
      <c r="O2349" t="s">
        <v>1036</v>
      </c>
      <c r="P2349" s="17"/>
      <c r="Q2349" s="17" t="str">
        <f>_xlfn.XLOOKUP(Table2[[#This Row],[buyFromVendorNo]],'Next Day Scheduled'!A:A,'Pending Returns'!O:O,"NOT_FOUND")</f>
        <v>Posted Credit Note</v>
      </c>
    </row>
    <row r="2350" spans="1:17" x14ac:dyDescent="0.3">
      <c r="A2350" s="1">
        <v>46219</v>
      </c>
      <c r="B2350" t="s">
        <v>2882</v>
      </c>
      <c r="C2350" t="s">
        <v>67</v>
      </c>
      <c r="D2350" t="s">
        <v>68</v>
      </c>
      <c r="E2350" t="s">
        <v>8</v>
      </c>
      <c r="F2350" t="s">
        <v>10</v>
      </c>
      <c r="G2350" s="16">
        <v>1704.5597</v>
      </c>
      <c r="H2350" s="16">
        <v>1960.2437</v>
      </c>
      <c r="I2350" s="1">
        <v>46208</v>
      </c>
      <c r="J2350">
        <v>40</v>
      </c>
      <c r="K2350" t="s">
        <v>4499</v>
      </c>
      <c r="L2350" t="s">
        <v>7686</v>
      </c>
      <c r="M2350">
        <v>5</v>
      </c>
      <c r="N2350">
        <v>1</v>
      </c>
      <c r="O2350" t="s">
        <v>1036</v>
      </c>
      <c r="P2350" s="17"/>
      <c r="Q2350" s="17" t="str">
        <f>_xlfn.XLOOKUP(Table2[[#This Row],[buyFromVendorNo]],'Next Day Scheduled'!A:A,'Pending Returns'!O:O,"NOT_FOUND")</f>
        <v>NOT_FOUND</v>
      </c>
    </row>
    <row r="2351" spans="1:17" x14ac:dyDescent="0.3">
      <c r="A2351" s="1">
        <v>46219</v>
      </c>
      <c r="B2351" t="s">
        <v>2737</v>
      </c>
      <c r="C2351" t="s">
        <v>34</v>
      </c>
      <c r="D2351" t="s">
        <v>35</v>
      </c>
      <c r="E2351" t="s">
        <v>8</v>
      </c>
      <c r="F2351" t="s">
        <v>10</v>
      </c>
      <c r="G2351" s="16">
        <v>5508.92</v>
      </c>
      <c r="H2351" s="16">
        <v>6335.2579999999998</v>
      </c>
      <c r="I2351" s="1">
        <v>46205</v>
      </c>
      <c r="J2351">
        <v>40</v>
      </c>
      <c r="K2351" t="s">
        <v>4712</v>
      </c>
      <c r="L2351" t="s">
        <v>7644</v>
      </c>
      <c r="M2351">
        <v>7</v>
      </c>
      <c r="N2351">
        <v>8</v>
      </c>
      <c r="O2351" t="s">
        <v>1036</v>
      </c>
      <c r="P2351" s="17"/>
      <c r="Q2351" s="17" t="str">
        <f>_xlfn.XLOOKUP(Table2[[#This Row],[buyFromVendorNo]],'Next Day Scheduled'!A:A,'Pending Returns'!O:O,"NOT_FOUND")</f>
        <v>Posted Credit Note</v>
      </c>
    </row>
    <row r="2352" spans="1:17" x14ac:dyDescent="0.3">
      <c r="A2352" s="1">
        <v>46219</v>
      </c>
      <c r="B2352" t="s">
        <v>2589</v>
      </c>
      <c r="C2352" t="s">
        <v>51</v>
      </c>
      <c r="D2352" t="s">
        <v>52</v>
      </c>
      <c r="E2352" t="s">
        <v>8</v>
      </c>
      <c r="F2352" t="s">
        <v>10</v>
      </c>
      <c r="G2352" s="16">
        <v>3764.15</v>
      </c>
      <c r="H2352" s="16">
        <v>4328.7725</v>
      </c>
      <c r="J2352">
        <v>40</v>
      </c>
      <c r="K2352" t="s">
        <v>7668</v>
      </c>
      <c r="M2352">
        <v>2</v>
      </c>
      <c r="N2352">
        <v>1</v>
      </c>
      <c r="O2352" t="s">
        <v>216</v>
      </c>
      <c r="P2352" s="17"/>
      <c r="Q2352" s="17" t="str">
        <f>_xlfn.XLOOKUP(Table2[[#This Row],[buyFromVendorNo]],'Next Day Scheduled'!A:A,'Pending Returns'!O:O,"NOT_FOUND")</f>
        <v>NOT_FOUND</v>
      </c>
    </row>
    <row r="2353" spans="1:17" x14ac:dyDescent="0.3">
      <c r="A2353" s="1">
        <v>46219</v>
      </c>
      <c r="B2353" t="s">
        <v>1098</v>
      </c>
      <c r="C2353" t="s">
        <v>43</v>
      </c>
      <c r="D2353" t="s">
        <v>44</v>
      </c>
      <c r="E2353" t="s">
        <v>8</v>
      </c>
      <c r="F2353" t="s">
        <v>38</v>
      </c>
      <c r="G2353" s="16">
        <v>8864.67</v>
      </c>
      <c r="H2353" s="16">
        <v>10194.370000000001</v>
      </c>
      <c r="I2353" s="1">
        <v>46217</v>
      </c>
      <c r="J2353">
        <v>40</v>
      </c>
      <c r="K2353" t="s">
        <v>7452</v>
      </c>
      <c r="L2353" t="s">
        <v>7699</v>
      </c>
      <c r="M2353">
        <v>37</v>
      </c>
      <c r="N2353">
        <v>1</v>
      </c>
      <c r="O2353" t="s">
        <v>1036</v>
      </c>
      <c r="P2353" s="17"/>
      <c r="Q2353" s="17" t="str">
        <f>_xlfn.XLOOKUP(Table2[[#This Row],[buyFromVendorNo]],'Next Day Scheduled'!A:A,'Pending Returns'!O:O,"NOT_FOUND")</f>
        <v>Posted Credit Note</v>
      </c>
    </row>
    <row r="2354" spans="1:17" x14ac:dyDescent="0.3">
      <c r="A2354" s="1">
        <v>46219</v>
      </c>
      <c r="B2354" t="s">
        <v>3734</v>
      </c>
      <c r="C2354" t="s">
        <v>7279</v>
      </c>
      <c r="D2354" t="s">
        <v>7280</v>
      </c>
      <c r="E2354" t="s">
        <v>8</v>
      </c>
      <c r="F2354" t="s">
        <v>10</v>
      </c>
      <c r="G2354" s="16">
        <v>14.28</v>
      </c>
      <c r="H2354" s="16">
        <v>16.422000000000001</v>
      </c>
      <c r="I2354" s="1">
        <v>46217</v>
      </c>
      <c r="J2354">
        <v>40</v>
      </c>
      <c r="K2354" t="s">
        <v>7281</v>
      </c>
      <c r="L2354" t="s">
        <v>7698</v>
      </c>
      <c r="M2354">
        <v>4</v>
      </c>
      <c r="N2354">
        <v>17</v>
      </c>
      <c r="O2354" t="s">
        <v>1036</v>
      </c>
      <c r="P2354" s="17"/>
      <c r="Q2354" s="17" t="str">
        <f>_xlfn.XLOOKUP(Table2[[#This Row],[buyFromVendorNo]],'Next Day Scheduled'!A:A,'Pending Returns'!O:O,"NOT_FOUND")</f>
        <v>NOT_FOUND</v>
      </c>
    </row>
    <row r="2355" spans="1:17" x14ac:dyDescent="0.3">
      <c r="A2355" s="1">
        <v>46219</v>
      </c>
      <c r="B2355" t="s">
        <v>2911</v>
      </c>
      <c r="C2355" t="s">
        <v>839</v>
      </c>
      <c r="D2355" t="s">
        <v>840</v>
      </c>
      <c r="E2355" t="s">
        <v>8</v>
      </c>
      <c r="F2355" t="s">
        <v>10</v>
      </c>
      <c r="G2355" s="16">
        <v>886.95</v>
      </c>
      <c r="H2355" s="16">
        <v>1019.9924999999999</v>
      </c>
      <c r="I2355" s="1">
        <v>46208</v>
      </c>
      <c r="J2355">
        <v>40</v>
      </c>
      <c r="K2355" t="s">
        <v>5348</v>
      </c>
      <c r="L2355" t="s">
        <v>7670</v>
      </c>
      <c r="M2355">
        <v>6</v>
      </c>
      <c r="N2355">
        <v>2</v>
      </c>
      <c r="O2355" t="s">
        <v>1036</v>
      </c>
      <c r="P2355" s="17"/>
      <c r="Q2355" s="17" t="str">
        <f>_xlfn.XLOOKUP(Table2[[#This Row],[buyFromVendorNo]],'Next Day Scheduled'!A:A,'Pending Returns'!O:O,"NOT_FOUND")</f>
        <v>NOT_FOUND</v>
      </c>
    </row>
    <row r="2356" spans="1:17" x14ac:dyDescent="0.3">
      <c r="A2356" s="1">
        <v>46219</v>
      </c>
      <c r="B2356" t="s">
        <v>3391</v>
      </c>
      <c r="C2356" t="s">
        <v>826</v>
      </c>
      <c r="D2356" t="s">
        <v>827</v>
      </c>
      <c r="E2356" t="s">
        <v>8</v>
      </c>
      <c r="F2356" t="s">
        <v>10</v>
      </c>
      <c r="G2356" s="16">
        <v>94.6</v>
      </c>
      <c r="H2356" s="16">
        <v>94.6</v>
      </c>
      <c r="I2356" s="1">
        <v>46211</v>
      </c>
      <c r="J2356">
        <v>40</v>
      </c>
      <c r="K2356" t="s">
        <v>5671</v>
      </c>
      <c r="L2356" t="s">
        <v>7672</v>
      </c>
      <c r="M2356">
        <v>6</v>
      </c>
      <c r="N2356">
        <v>5</v>
      </c>
      <c r="O2356" t="s">
        <v>1036</v>
      </c>
      <c r="P2356" s="17"/>
      <c r="Q2356" s="17" t="str">
        <f>_xlfn.XLOOKUP(Table2[[#This Row],[buyFromVendorNo]],'Next Day Scheduled'!A:A,'Pending Returns'!O:O,"NOT_FOUND")</f>
        <v>NOT_FOUND</v>
      </c>
    </row>
    <row r="2357" spans="1:17" x14ac:dyDescent="0.3">
      <c r="A2357" s="1">
        <v>46219</v>
      </c>
      <c r="B2357" t="s">
        <v>5681</v>
      </c>
      <c r="C2357" t="s">
        <v>423</v>
      </c>
      <c r="D2357" t="s">
        <v>424</v>
      </c>
      <c r="E2357" t="s">
        <v>8</v>
      </c>
      <c r="F2357" t="s">
        <v>10</v>
      </c>
      <c r="G2357" s="16">
        <v>1006.2565</v>
      </c>
      <c r="H2357" s="16">
        <v>1157.1949999999999</v>
      </c>
      <c r="I2357" s="1">
        <v>46212</v>
      </c>
      <c r="J2357">
        <v>40</v>
      </c>
      <c r="K2357" t="s">
        <v>6570</v>
      </c>
      <c r="L2357" t="s">
        <v>7657</v>
      </c>
      <c r="M2357">
        <v>6</v>
      </c>
      <c r="N2357">
        <v>3</v>
      </c>
      <c r="O2357" t="s">
        <v>1036</v>
      </c>
      <c r="P2357" s="17"/>
      <c r="Q2357" s="17" t="str">
        <f>_xlfn.XLOOKUP(Table2[[#This Row],[buyFromVendorNo]],'Next Day Scheduled'!A:A,'Pending Returns'!O:O,"NOT_FOUND")</f>
        <v>NOT_FOUND</v>
      </c>
    </row>
    <row r="2358" spans="1:17" x14ac:dyDescent="0.3">
      <c r="A2358" s="1">
        <v>46219</v>
      </c>
      <c r="B2358" t="s">
        <v>3243</v>
      </c>
      <c r="C2358" t="s">
        <v>871</v>
      </c>
      <c r="D2358" t="s">
        <v>3551</v>
      </c>
      <c r="E2358" t="s">
        <v>8</v>
      </c>
      <c r="F2358" t="s">
        <v>10</v>
      </c>
      <c r="G2358" s="16">
        <v>43.5</v>
      </c>
      <c r="H2358" s="16">
        <v>50.024999999999999</v>
      </c>
      <c r="I2358" s="1">
        <v>46218</v>
      </c>
      <c r="J2358">
        <v>40</v>
      </c>
      <c r="K2358" t="s">
        <v>5561</v>
      </c>
      <c r="L2358" t="s">
        <v>7704</v>
      </c>
      <c r="M2358">
        <v>6</v>
      </c>
      <c r="N2358">
        <v>6</v>
      </c>
      <c r="O2358" t="s">
        <v>1036</v>
      </c>
      <c r="P2358" s="17"/>
      <c r="Q2358" s="17" t="str">
        <f>_xlfn.XLOOKUP(Table2[[#This Row],[buyFromVendorNo]],'Next Day Scheduled'!A:A,'Pending Returns'!O:O,"NOT_FOUND")</f>
        <v>Posted Credit Note</v>
      </c>
    </row>
    <row r="2359" spans="1:17" x14ac:dyDescent="0.3">
      <c r="A2359" s="1">
        <v>46219</v>
      </c>
      <c r="B2359" t="s">
        <v>5903</v>
      </c>
      <c r="C2359" t="s">
        <v>1001</v>
      </c>
      <c r="D2359" t="s">
        <v>1002</v>
      </c>
      <c r="E2359" t="s">
        <v>8</v>
      </c>
      <c r="F2359" t="s">
        <v>10</v>
      </c>
      <c r="G2359" s="16">
        <v>55</v>
      </c>
      <c r="H2359" s="16">
        <v>63.25</v>
      </c>
      <c r="I2359" s="1">
        <v>46210</v>
      </c>
      <c r="J2359">
        <v>40</v>
      </c>
      <c r="K2359" t="s">
        <v>4926</v>
      </c>
      <c r="L2359" t="s">
        <v>7676</v>
      </c>
      <c r="M2359">
        <v>2</v>
      </c>
      <c r="N2359">
        <v>30</v>
      </c>
      <c r="O2359" t="s">
        <v>1036</v>
      </c>
      <c r="P2359" s="17"/>
      <c r="Q2359" s="17" t="str">
        <f>_xlfn.XLOOKUP(Table2[[#This Row],[buyFromVendorNo]],'Next Day Scheduled'!A:A,'Pending Returns'!O:O,"NOT_FOUND")</f>
        <v>NOT_FOUND</v>
      </c>
    </row>
    <row r="2360" spans="1:17" x14ac:dyDescent="0.3">
      <c r="A2360" s="1">
        <v>46219</v>
      </c>
      <c r="B2360" t="s">
        <v>612</v>
      </c>
      <c r="C2360" t="s">
        <v>502</v>
      </c>
      <c r="D2360" t="s">
        <v>503</v>
      </c>
      <c r="E2360" t="s">
        <v>8</v>
      </c>
      <c r="F2360" t="s">
        <v>10</v>
      </c>
      <c r="G2360" s="16">
        <v>1553.74</v>
      </c>
      <c r="H2360" s="16">
        <v>1786.8009999999999</v>
      </c>
      <c r="I2360" s="1">
        <v>46218</v>
      </c>
      <c r="J2360">
        <v>40</v>
      </c>
      <c r="K2360" t="s">
        <v>7122</v>
      </c>
      <c r="L2360" t="s">
        <v>7677</v>
      </c>
      <c r="M2360">
        <v>2</v>
      </c>
      <c r="N2360">
        <v>1</v>
      </c>
      <c r="O2360" t="s">
        <v>1036</v>
      </c>
      <c r="P2360" s="17"/>
      <c r="Q2360" s="17" t="str">
        <f>_xlfn.XLOOKUP(Table2[[#This Row],[buyFromVendorNo]],'Next Day Scheduled'!A:A,'Pending Returns'!O:O,"NOT_FOUND")</f>
        <v>NOT_FOUND</v>
      </c>
    </row>
    <row r="2361" spans="1:17" x14ac:dyDescent="0.3">
      <c r="A2361" s="1">
        <v>46219</v>
      </c>
      <c r="B2361" t="s">
        <v>262</v>
      </c>
      <c r="C2361" t="s">
        <v>65</v>
      </c>
      <c r="D2361" t="s">
        <v>66</v>
      </c>
      <c r="E2361" t="s">
        <v>8</v>
      </c>
      <c r="F2361" t="s">
        <v>10</v>
      </c>
      <c r="G2361" s="16">
        <v>4715.8760000000002</v>
      </c>
      <c r="H2361" s="16">
        <v>5423.2573000000002</v>
      </c>
      <c r="I2361" s="1">
        <v>46215</v>
      </c>
      <c r="J2361">
        <v>40</v>
      </c>
      <c r="K2361" t="s">
        <v>6518</v>
      </c>
      <c r="L2361" t="s">
        <v>7684</v>
      </c>
      <c r="M2361">
        <v>14</v>
      </c>
      <c r="N2361">
        <v>5</v>
      </c>
      <c r="O2361" t="s">
        <v>1036</v>
      </c>
      <c r="P2361" s="17"/>
      <c r="Q2361" s="17" t="str">
        <f>_xlfn.XLOOKUP(Table2[[#This Row],[buyFromVendorNo]],'Next Day Scheduled'!A:A,'Pending Returns'!O:O,"NOT_FOUND")</f>
        <v>Posted Credit Note</v>
      </c>
    </row>
    <row r="2362" spans="1:17" x14ac:dyDescent="0.3">
      <c r="A2362" s="1">
        <v>46219</v>
      </c>
      <c r="B2362" t="s">
        <v>2178</v>
      </c>
      <c r="C2362" t="s">
        <v>573</v>
      </c>
      <c r="D2362" t="s">
        <v>574</v>
      </c>
      <c r="E2362" t="s">
        <v>8</v>
      </c>
      <c r="F2362" t="s">
        <v>10</v>
      </c>
      <c r="G2362" s="16">
        <v>963.39655000000005</v>
      </c>
      <c r="H2362" s="16">
        <v>1107.9059999999999</v>
      </c>
      <c r="I2362" s="1">
        <v>46210</v>
      </c>
      <c r="J2362">
        <v>40</v>
      </c>
      <c r="K2362" t="s">
        <v>4651</v>
      </c>
      <c r="L2362" t="s">
        <v>7661</v>
      </c>
      <c r="M2362">
        <v>5</v>
      </c>
      <c r="N2362">
        <v>2</v>
      </c>
      <c r="O2362" t="s">
        <v>1036</v>
      </c>
      <c r="P2362" s="17"/>
      <c r="Q2362" s="17" t="str">
        <f>_xlfn.XLOOKUP(Table2[[#This Row],[buyFromVendorNo]],'Next Day Scheduled'!A:A,'Pending Returns'!O:O,"NOT_FOUND")</f>
        <v>NOT_FOUND</v>
      </c>
    </row>
    <row r="2363" spans="1:17" x14ac:dyDescent="0.3">
      <c r="A2363" s="1">
        <v>46219</v>
      </c>
      <c r="B2363" t="s">
        <v>5119</v>
      </c>
      <c r="C2363" t="s">
        <v>98</v>
      </c>
      <c r="D2363" t="s">
        <v>99</v>
      </c>
      <c r="E2363" t="s">
        <v>8</v>
      </c>
      <c r="F2363" t="s">
        <v>10</v>
      </c>
      <c r="G2363" s="16">
        <v>3217.45</v>
      </c>
      <c r="H2363" s="16">
        <v>3700.0673999999999</v>
      </c>
      <c r="I2363" s="1">
        <v>46216</v>
      </c>
      <c r="J2363">
        <v>40</v>
      </c>
      <c r="K2363" t="s">
        <v>6711</v>
      </c>
      <c r="L2363" t="s">
        <v>7695</v>
      </c>
      <c r="M2363">
        <v>5</v>
      </c>
      <c r="N2363">
        <v>6</v>
      </c>
      <c r="O2363" t="s">
        <v>1036</v>
      </c>
      <c r="P2363" s="17"/>
      <c r="Q2363" s="17" t="str">
        <f>_xlfn.XLOOKUP(Table2[[#This Row],[buyFromVendorNo]],'Next Day Scheduled'!A:A,'Pending Returns'!O:O,"NOT_FOUND")</f>
        <v>NOT_FOUND</v>
      </c>
    </row>
    <row r="2364" spans="1:17" x14ac:dyDescent="0.3">
      <c r="A2364" s="1">
        <v>46219</v>
      </c>
      <c r="B2364" t="s">
        <v>7198</v>
      </c>
      <c r="C2364" t="s">
        <v>1346</v>
      </c>
      <c r="D2364" t="s">
        <v>1347</v>
      </c>
      <c r="E2364" t="s">
        <v>8</v>
      </c>
      <c r="F2364" t="s">
        <v>10</v>
      </c>
      <c r="G2364" s="16">
        <v>983</v>
      </c>
      <c r="H2364" s="16">
        <v>1130.45</v>
      </c>
      <c r="I2364" s="1">
        <v>46217</v>
      </c>
      <c r="J2364">
        <v>40</v>
      </c>
      <c r="K2364" t="s">
        <v>7199</v>
      </c>
      <c r="L2364" t="s">
        <v>7696</v>
      </c>
      <c r="M2364">
        <v>2</v>
      </c>
      <c r="N2364">
        <v>9</v>
      </c>
      <c r="O2364" t="s">
        <v>1036</v>
      </c>
      <c r="P2364" s="17"/>
      <c r="Q2364" s="17" t="str">
        <f>_xlfn.XLOOKUP(Table2[[#This Row],[buyFromVendorNo]],'Next Day Scheduled'!A:A,'Pending Returns'!O:O,"NOT_FOUND")</f>
        <v>NOT_FOUND</v>
      </c>
    </row>
    <row r="2365" spans="1:17" x14ac:dyDescent="0.3">
      <c r="A2365" s="1">
        <v>46219</v>
      </c>
      <c r="B2365" t="s">
        <v>6130</v>
      </c>
      <c r="C2365" t="s">
        <v>861</v>
      </c>
      <c r="D2365" t="s">
        <v>862</v>
      </c>
      <c r="E2365" t="s">
        <v>8</v>
      </c>
      <c r="F2365" t="s">
        <v>169</v>
      </c>
      <c r="G2365" s="16">
        <v>217.24</v>
      </c>
      <c r="H2365" s="16">
        <v>249.82599999999999</v>
      </c>
      <c r="I2365" s="1">
        <v>46204</v>
      </c>
      <c r="J2365">
        <v>40</v>
      </c>
      <c r="K2365" t="s">
        <v>6169</v>
      </c>
      <c r="L2365" t="s">
        <v>7642</v>
      </c>
      <c r="M2365">
        <v>4</v>
      </c>
      <c r="N2365">
        <v>12</v>
      </c>
      <c r="O2365" t="s">
        <v>1036</v>
      </c>
      <c r="P2365" s="17"/>
      <c r="Q2365" s="17" t="str">
        <f>_xlfn.XLOOKUP(Table2[[#This Row],[buyFromVendorNo]],'Next Day Scheduled'!A:A,'Pending Returns'!O:O,"NOT_FOUND")</f>
        <v>NOT_FOUND</v>
      </c>
    </row>
    <row r="2366" spans="1:17" x14ac:dyDescent="0.3">
      <c r="A2366" s="1">
        <v>46219</v>
      </c>
      <c r="B2366" t="s">
        <v>6933</v>
      </c>
      <c r="C2366" t="s">
        <v>318</v>
      </c>
      <c r="D2366" t="s">
        <v>319</v>
      </c>
      <c r="E2366" t="s">
        <v>8</v>
      </c>
      <c r="F2366" t="s">
        <v>10</v>
      </c>
      <c r="G2366" s="16">
        <v>2622.1176999999998</v>
      </c>
      <c r="H2366" s="16">
        <v>3015.4353000000001</v>
      </c>
      <c r="I2366" s="1">
        <v>46211</v>
      </c>
      <c r="J2366">
        <v>40</v>
      </c>
      <c r="K2366" t="s">
        <v>6934</v>
      </c>
      <c r="L2366" t="s">
        <v>7667</v>
      </c>
      <c r="M2366">
        <v>7</v>
      </c>
      <c r="N2366">
        <v>2</v>
      </c>
      <c r="O2366" t="s">
        <v>1036</v>
      </c>
      <c r="P2366" s="17"/>
      <c r="Q2366" s="17" t="str">
        <f>_xlfn.XLOOKUP(Table2[[#This Row],[buyFromVendorNo]],'Next Day Scheduled'!A:A,'Pending Returns'!O:O,"NOT_FOUND")</f>
        <v>NOT_FOUND</v>
      </c>
    </row>
    <row r="2367" spans="1:17" x14ac:dyDescent="0.3">
      <c r="A2367" s="1">
        <v>46219</v>
      </c>
      <c r="B2367" t="s">
        <v>5119</v>
      </c>
      <c r="C2367" t="s">
        <v>3777</v>
      </c>
      <c r="D2367" t="s">
        <v>3778</v>
      </c>
      <c r="E2367" t="s">
        <v>8</v>
      </c>
      <c r="F2367" t="s">
        <v>10</v>
      </c>
      <c r="G2367" s="16">
        <v>623.29999999999995</v>
      </c>
      <c r="H2367" s="16">
        <v>716.79499999999996</v>
      </c>
      <c r="I2367" s="1">
        <v>46218</v>
      </c>
      <c r="J2367">
        <v>40</v>
      </c>
      <c r="K2367" t="s">
        <v>7428</v>
      </c>
      <c r="L2367" t="s">
        <v>7669</v>
      </c>
      <c r="M2367">
        <v>6</v>
      </c>
      <c r="N2367">
        <v>3</v>
      </c>
      <c r="O2367" t="s">
        <v>1036</v>
      </c>
      <c r="P2367" s="17"/>
      <c r="Q2367" s="17" t="str">
        <f>_xlfn.XLOOKUP(Table2[[#This Row],[buyFromVendorNo]],'Next Day Scheduled'!A:A,'Pending Returns'!O:O,"NOT_FOUND")</f>
        <v>NOT_FOUND</v>
      </c>
    </row>
    <row r="2368" spans="1:17" x14ac:dyDescent="0.3">
      <c r="A2368" s="1">
        <v>46219</v>
      </c>
      <c r="B2368" t="s">
        <v>5112</v>
      </c>
      <c r="C2368" t="s">
        <v>931</v>
      </c>
      <c r="D2368" t="s">
        <v>1767</v>
      </c>
      <c r="E2368" t="s">
        <v>8</v>
      </c>
      <c r="F2368" t="s">
        <v>10</v>
      </c>
      <c r="G2368" s="16">
        <v>688.37</v>
      </c>
      <c r="H2368" s="16">
        <v>791.62549999999999</v>
      </c>
      <c r="I2368" s="1">
        <v>46212</v>
      </c>
      <c r="J2368">
        <v>40</v>
      </c>
      <c r="K2368" t="s">
        <v>6492</v>
      </c>
      <c r="L2368" t="s">
        <v>7643</v>
      </c>
      <c r="M2368">
        <v>6</v>
      </c>
      <c r="N2368">
        <v>3</v>
      </c>
      <c r="O2368" t="s">
        <v>1036</v>
      </c>
      <c r="P2368" s="17"/>
      <c r="Q2368" s="17" t="str">
        <f>_xlfn.XLOOKUP(Table2[[#This Row],[buyFromVendorNo]],'Next Day Scheduled'!A:A,'Pending Returns'!O:O,"NOT_FOUND")</f>
        <v>NOT_FOUND</v>
      </c>
    </row>
    <row r="2369" spans="1:17" x14ac:dyDescent="0.3">
      <c r="A2369" s="1">
        <v>46219</v>
      </c>
      <c r="B2369" t="s">
        <v>5209</v>
      </c>
      <c r="C2369" t="s">
        <v>562</v>
      </c>
      <c r="D2369" t="s">
        <v>563</v>
      </c>
      <c r="E2369" t="s">
        <v>8</v>
      </c>
      <c r="F2369" t="s">
        <v>38</v>
      </c>
      <c r="G2369" s="16">
        <v>649.68273999999997</v>
      </c>
      <c r="H2369" s="16">
        <v>747.13513</v>
      </c>
      <c r="I2369" s="1">
        <v>46219</v>
      </c>
      <c r="J2369">
        <v>40</v>
      </c>
      <c r="K2369" t="s">
        <v>6946</v>
      </c>
      <c r="L2369" t="s">
        <v>7687</v>
      </c>
      <c r="M2369">
        <v>11</v>
      </c>
      <c r="N2369">
        <v>23</v>
      </c>
      <c r="O2369" t="s">
        <v>1036</v>
      </c>
      <c r="P2369" s="17"/>
      <c r="Q2369" s="17" t="str">
        <f>_xlfn.XLOOKUP(Table2[[#This Row],[buyFromVendorNo]],'Next Day Scheduled'!A:A,'Pending Returns'!O:O,"NOT_FOUND")</f>
        <v>NOT_FOUND</v>
      </c>
    </row>
    <row r="2370" spans="1:17" x14ac:dyDescent="0.3">
      <c r="A2370" s="1">
        <v>46219</v>
      </c>
      <c r="B2370" t="s">
        <v>3001</v>
      </c>
      <c r="C2370" t="s">
        <v>1161</v>
      </c>
      <c r="D2370" t="s">
        <v>1162</v>
      </c>
      <c r="E2370" t="s">
        <v>8</v>
      </c>
      <c r="F2370" t="s">
        <v>10</v>
      </c>
      <c r="G2370" s="16">
        <v>1537.86</v>
      </c>
      <c r="H2370" s="16">
        <v>1768.539</v>
      </c>
      <c r="I2370" s="1">
        <v>46218</v>
      </c>
      <c r="J2370">
        <v>40</v>
      </c>
      <c r="K2370" t="s">
        <v>7331</v>
      </c>
      <c r="L2370" t="s">
        <v>7671</v>
      </c>
      <c r="M2370">
        <v>6</v>
      </c>
      <c r="N2370">
        <v>6</v>
      </c>
      <c r="O2370" t="s">
        <v>1036</v>
      </c>
      <c r="P2370" s="17"/>
      <c r="Q2370" s="17" t="str">
        <f>_xlfn.XLOOKUP(Table2[[#This Row],[buyFromVendorNo]],'Next Day Scheduled'!A:A,'Pending Returns'!O:O,"NOT_FOUND")</f>
        <v>NOT_FOUND</v>
      </c>
    </row>
    <row r="2371" spans="1:17" x14ac:dyDescent="0.3">
      <c r="A2371" s="1">
        <v>46219</v>
      </c>
      <c r="B2371" t="s">
        <v>2882</v>
      </c>
      <c r="C2371" t="s">
        <v>621</v>
      </c>
      <c r="D2371" t="s">
        <v>622</v>
      </c>
      <c r="E2371" t="s">
        <v>8</v>
      </c>
      <c r="F2371" t="s">
        <v>10</v>
      </c>
      <c r="G2371" s="16">
        <v>115.78</v>
      </c>
      <c r="H2371" s="16">
        <v>133.14699999999999</v>
      </c>
      <c r="I2371" s="1">
        <v>46209</v>
      </c>
      <c r="J2371">
        <v>40</v>
      </c>
      <c r="K2371" t="s">
        <v>6625</v>
      </c>
      <c r="L2371" t="s">
        <v>7707</v>
      </c>
      <c r="M2371">
        <v>6</v>
      </c>
      <c r="N2371">
        <v>3</v>
      </c>
      <c r="O2371" t="s">
        <v>1036</v>
      </c>
      <c r="P2371" s="17"/>
      <c r="Q2371" s="17" t="str">
        <f>_xlfn.XLOOKUP(Table2[[#This Row],[buyFromVendorNo]],'Next Day Scheduled'!A:A,'Pending Returns'!O:O,"NOT_FOUND")</f>
        <v>NOT_FOUND</v>
      </c>
    </row>
    <row r="2372" spans="1:17" x14ac:dyDescent="0.3">
      <c r="A2372" s="1">
        <v>46219</v>
      </c>
      <c r="B2372" t="s">
        <v>1098</v>
      </c>
      <c r="C2372" t="s">
        <v>43</v>
      </c>
      <c r="D2372" t="s">
        <v>44</v>
      </c>
      <c r="E2372" t="s">
        <v>8</v>
      </c>
      <c r="F2372" t="s">
        <v>38</v>
      </c>
      <c r="G2372" s="16">
        <v>7138.22</v>
      </c>
      <c r="H2372" s="16">
        <v>8208.9529999999995</v>
      </c>
      <c r="I2372" s="1">
        <v>46216</v>
      </c>
      <c r="J2372">
        <v>40</v>
      </c>
      <c r="K2372" t="s">
        <v>7391</v>
      </c>
      <c r="L2372" t="s">
        <v>8399</v>
      </c>
      <c r="M2372">
        <v>37</v>
      </c>
      <c r="N2372">
        <v>1</v>
      </c>
      <c r="O2372" t="s">
        <v>1036</v>
      </c>
      <c r="P2372" s="17"/>
      <c r="Q2372" s="17" t="str">
        <f>_xlfn.XLOOKUP(Table2[[#This Row],[buyFromVendorNo]],'Next Day Scheduled'!A:A,'Pending Returns'!O:O,"NOT_FOUND")</f>
        <v>Posted Credit Note</v>
      </c>
    </row>
    <row r="2373" spans="1:17" x14ac:dyDescent="0.3">
      <c r="A2373" s="1">
        <v>46219</v>
      </c>
      <c r="B2373" t="s">
        <v>3240</v>
      </c>
      <c r="C2373" t="s">
        <v>3777</v>
      </c>
      <c r="D2373" t="s">
        <v>3778</v>
      </c>
      <c r="E2373" t="s">
        <v>8</v>
      </c>
      <c r="F2373" t="s">
        <v>10</v>
      </c>
      <c r="G2373" s="16">
        <v>318.60000000000002</v>
      </c>
      <c r="H2373" s="16">
        <v>366.39</v>
      </c>
      <c r="I2373" s="1">
        <v>46218</v>
      </c>
      <c r="J2373">
        <v>40</v>
      </c>
      <c r="K2373" t="s">
        <v>7300</v>
      </c>
      <c r="L2373" t="s">
        <v>7678</v>
      </c>
      <c r="M2373">
        <v>6</v>
      </c>
      <c r="N2373">
        <v>3</v>
      </c>
      <c r="O2373" t="s">
        <v>1036</v>
      </c>
      <c r="P2373" s="17"/>
      <c r="Q2373" s="17" t="str">
        <f>_xlfn.XLOOKUP(Table2[[#This Row],[buyFromVendorNo]],'Next Day Scheduled'!A:A,'Pending Returns'!O:O,"NOT_FOUND")</f>
        <v>NOT_FOUND</v>
      </c>
    </row>
    <row r="2374" spans="1:17" x14ac:dyDescent="0.3">
      <c r="A2374" s="1">
        <v>46219</v>
      </c>
      <c r="B2374" t="s">
        <v>1098</v>
      </c>
      <c r="C2374" t="s">
        <v>43</v>
      </c>
      <c r="D2374" t="s">
        <v>44</v>
      </c>
      <c r="E2374" t="s">
        <v>8</v>
      </c>
      <c r="F2374" t="s">
        <v>38</v>
      </c>
      <c r="G2374" s="16">
        <v>4404.4709999999995</v>
      </c>
      <c r="H2374" s="16">
        <v>5065.1419999999998</v>
      </c>
      <c r="I2374" s="1">
        <v>46218</v>
      </c>
      <c r="J2374">
        <v>40</v>
      </c>
      <c r="K2374" t="s">
        <v>7409</v>
      </c>
      <c r="L2374" t="s">
        <v>7681</v>
      </c>
      <c r="M2374">
        <v>37</v>
      </c>
      <c r="N2374">
        <v>1</v>
      </c>
      <c r="O2374" t="s">
        <v>1036</v>
      </c>
      <c r="P2374" s="17"/>
      <c r="Q2374" s="17" t="str">
        <f>_xlfn.XLOOKUP(Table2[[#This Row],[buyFromVendorNo]],'Next Day Scheduled'!A:A,'Pending Returns'!O:O,"NOT_FOUND")</f>
        <v>Posted Credit Note</v>
      </c>
    </row>
    <row r="2375" spans="1:17" x14ac:dyDescent="0.3">
      <c r="A2375" s="1">
        <v>46219</v>
      </c>
      <c r="B2375" t="s">
        <v>7148</v>
      </c>
      <c r="C2375" t="s">
        <v>95</v>
      </c>
      <c r="D2375" t="s">
        <v>96</v>
      </c>
      <c r="E2375" t="s">
        <v>8</v>
      </c>
      <c r="F2375" t="s">
        <v>10</v>
      </c>
      <c r="G2375" s="16">
        <v>126.92174</v>
      </c>
      <c r="H2375" s="16">
        <v>145.96</v>
      </c>
      <c r="I2375" s="1">
        <v>46217</v>
      </c>
      <c r="J2375">
        <v>40</v>
      </c>
      <c r="K2375" t="s">
        <v>7149</v>
      </c>
      <c r="L2375" t="s">
        <v>7660</v>
      </c>
      <c r="M2375">
        <v>6</v>
      </c>
      <c r="N2375">
        <v>1</v>
      </c>
      <c r="O2375" t="s">
        <v>1036</v>
      </c>
      <c r="P2375" s="17"/>
      <c r="Q2375" s="17" t="str">
        <f>_xlfn.XLOOKUP(Table2[[#This Row],[buyFromVendorNo]],'Next Day Scheduled'!A:A,'Pending Returns'!O:O,"NOT_FOUND")</f>
        <v>NOT_FOUND</v>
      </c>
    </row>
    <row r="2376" spans="1:17" x14ac:dyDescent="0.3">
      <c r="A2376" s="1">
        <v>46219</v>
      </c>
      <c r="B2376" t="s">
        <v>441</v>
      </c>
      <c r="C2376" t="s">
        <v>562</v>
      </c>
      <c r="D2376" t="s">
        <v>563</v>
      </c>
      <c r="E2376" t="s">
        <v>8</v>
      </c>
      <c r="F2376" t="s">
        <v>38</v>
      </c>
      <c r="G2376" s="16">
        <v>2274.2611999999999</v>
      </c>
      <c r="H2376" s="16">
        <v>2615.4004</v>
      </c>
      <c r="I2376" s="1">
        <v>46219</v>
      </c>
      <c r="J2376">
        <v>40</v>
      </c>
      <c r="K2376" t="s">
        <v>2560</v>
      </c>
      <c r="L2376" t="s">
        <v>7708</v>
      </c>
      <c r="M2376">
        <v>11</v>
      </c>
      <c r="N2376">
        <v>23</v>
      </c>
      <c r="O2376" t="s">
        <v>1036</v>
      </c>
      <c r="P2376" s="17"/>
      <c r="Q2376" s="17" t="str">
        <f>_xlfn.XLOOKUP(Table2[[#This Row],[buyFromVendorNo]],'Next Day Scheduled'!A:A,'Pending Returns'!O:O,"NOT_FOUND")</f>
        <v>NOT_FOUND</v>
      </c>
    </row>
    <row r="2377" spans="1:17" x14ac:dyDescent="0.3">
      <c r="A2377" s="1">
        <v>46219</v>
      </c>
      <c r="B2377" t="s">
        <v>2382</v>
      </c>
      <c r="C2377" t="s">
        <v>880</v>
      </c>
      <c r="D2377" t="s">
        <v>881</v>
      </c>
      <c r="E2377" t="s">
        <v>8</v>
      </c>
      <c r="F2377" t="s">
        <v>10</v>
      </c>
      <c r="G2377" s="16">
        <v>165.4</v>
      </c>
      <c r="H2377" s="16">
        <v>190.21</v>
      </c>
      <c r="I2377" s="1">
        <v>46219</v>
      </c>
      <c r="J2377">
        <v>40</v>
      </c>
      <c r="K2377" t="s">
        <v>7614</v>
      </c>
      <c r="L2377" t="s">
        <v>7662</v>
      </c>
      <c r="M2377">
        <v>3</v>
      </c>
      <c r="N2377">
        <v>13</v>
      </c>
      <c r="O2377" t="s">
        <v>1036</v>
      </c>
      <c r="P2377" s="17"/>
      <c r="Q2377" s="17" t="str">
        <f>_xlfn.XLOOKUP(Table2[[#This Row],[buyFromVendorNo]],'Next Day Scheduled'!A:A,'Pending Returns'!O:O,"NOT_FOUND")</f>
        <v>NOT_FOUND</v>
      </c>
    </row>
    <row r="2378" spans="1:17" x14ac:dyDescent="0.3">
      <c r="A2378" s="1">
        <v>46219</v>
      </c>
      <c r="B2378" t="s">
        <v>5276</v>
      </c>
      <c r="C2378" t="s">
        <v>7180</v>
      </c>
      <c r="D2378" t="s">
        <v>7181</v>
      </c>
      <c r="E2378" t="s">
        <v>8</v>
      </c>
      <c r="F2378" t="s">
        <v>10</v>
      </c>
      <c r="G2378" s="16">
        <v>38.04</v>
      </c>
      <c r="H2378" s="16">
        <v>43.746000000000002</v>
      </c>
      <c r="I2378" s="1">
        <v>46219</v>
      </c>
      <c r="J2378">
        <v>40</v>
      </c>
      <c r="K2378" t="s">
        <v>7182</v>
      </c>
      <c r="L2378" t="s">
        <v>7666</v>
      </c>
      <c r="M2378">
        <v>3</v>
      </c>
      <c r="N2378">
        <v>16</v>
      </c>
      <c r="O2378" t="s">
        <v>1036</v>
      </c>
      <c r="P2378" s="17"/>
      <c r="Q2378" s="17" t="str">
        <f>_xlfn.XLOOKUP(Table2[[#This Row],[buyFromVendorNo]],'Next Day Scheduled'!A:A,'Pending Returns'!O:O,"NOT_FOUND")</f>
        <v>NOT_FOUND</v>
      </c>
    </row>
    <row r="2379" spans="1:17" x14ac:dyDescent="0.3">
      <c r="A2379" s="1">
        <v>46220</v>
      </c>
      <c r="B2379" t="s">
        <v>2657</v>
      </c>
      <c r="C2379" t="s">
        <v>65</v>
      </c>
      <c r="D2379" t="s">
        <v>66</v>
      </c>
      <c r="E2379" t="s">
        <v>8</v>
      </c>
      <c r="F2379" t="s">
        <v>10</v>
      </c>
      <c r="G2379" s="16">
        <v>4852.6120000000001</v>
      </c>
      <c r="H2379" s="16">
        <v>5580.5039999999999</v>
      </c>
      <c r="J2379">
        <v>39</v>
      </c>
      <c r="K2379" t="s">
        <v>7710</v>
      </c>
      <c r="M2379">
        <v>14</v>
      </c>
      <c r="N2379">
        <v>5</v>
      </c>
      <c r="O2379" t="s">
        <v>216</v>
      </c>
      <c r="P2379" s="17"/>
      <c r="Q2379" s="17" t="str">
        <f>_xlfn.XLOOKUP(Table2[[#This Row],[buyFromVendorNo]],'Next Day Scheduled'!A:A,'Pending Returns'!O:O,"NOT_FOUND")</f>
        <v>Posted Credit Note</v>
      </c>
    </row>
    <row r="2380" spans="1:17" x14ac:dyDescent="0.3">
      <c r="A2380" s="1">
        <v>46221</v>
      </c>
      <c r="B2380" t="s">
        <v>4883</v>
      </c>
      <c r="C2380" t="s">
        <v>69</v>
      </c>
      <c r="D2380" t="s">
        <v>70</v>
      </c>
      <c r="E2380" t="s">
        <v>8</v>
      </c>
      <c r="F2380" t="s">
        <v>10</v>
      </c>
      <c r="G2380" s="16">
        <v>654.16</v>
      </c>
      <c r="H2380" s="16">
        <v>752.28399999999999</v>
      </c>
      <c r="J2380">
        <v>38</v>
      </c>
      <c r="K2380" t="s">
        <v>7775</v>
      </c>
      <c r="M2380">
        <v>25</v>
      </c>
      <c r="N2380">
        <v>1</v>
      </c>
      <c r="O2380" t="s">
        <v>216</v>
      </c>
      <c r="P2380" s="17"/>
      <c r="Q2380" s="17" t="str">
        <f>_xlfn.XLOOKUP(Table2[[#This Row],[buyFromVendorNo]],'Next Day Scheduled'!A:A,'Pending Returns'!O:O,"NOT_FOUND")</f>
        <v>Posted Credit Note</v>
      </c>
    </row>
    <row r="2381" spans="1:17" x14ac:dyDescent="0.3">
      <c r="A2381" s="1">
        <v>46221</v>
      </c>
      <c r="B2381" t="s">
        <v>4032</v>
      </c>
      <c r="C2381" t="s">
        <v>899</v>
      </c>
      <c r="D2381" t="s">
        <v>900</v>
      </c>
      <c r="E2381" t="s">
        <v>8</v>
      </c>
      <c r="F2381" t="s">
        <v>10</v>
      </c>
      <c r="G2381" s="16">
        <v>2821.94</v>
      </c>
      <c r="H2381" s="16">
        <v>3245.2310000000002</v>
      </c>
      <c r="I2381" s="1">
        <v>46208</v>
      </c>
      <c r="J2381">
        <v>38</v>
      </c>
      <c r="K2381" t="s">
        <v>3100</v>
      </c>
      <c r="L2381" t="s">
        <v>7712</v>
      </c>
      <c r="M2381">
        <v>0</v>
      </c>
      <c r="N2381">
        <v>643</v>
      </c>
      <c r="O2381" t="s">
        <v>1036</v>
      </c>
      <c r="P2381" s="17"/>
      <c r="Q2381" s="17" t="str">
        <f>_xlfn.XLOOKUP(Table2[[#This Row],[buyFromVendorNo]],'Next Day Scheduled'!A:A,'Pending Returns'!O:O,"NOT_FOUND")</f>
        <v>NOT_FOUND</v>
      </c>
    </row>
    <row r="2382" spans="1:17" x14ac:dyDescent="0.3">
      <c r="A2382" s="1">
        <v>46221</v>
      </c>
      <c r="B2382" t="s">
        <v>642</v>
      </c>
      <c r="C2382" t="s">
        <v>618</v>
      </c>
      <c r="D2382" t="s">
        <v>6379</v>
      </c>
      <c r="E2382" t="s">
        <v>8</v>
      </c>
      <c r="F2382" t="s">
        <v>38</v>
      </c>
      <c r="G2382" s="16">
        <v>49.360750000000003</v>
      </c>
      <c r="H2382" s="16">
        <v>49.360750000000003</v>
      </c>
      <c r="I2382" s="1">
        <v>46219</v>
      </c>
      <c r="J2382">
        <v>38</v>
      </c>
      <c r="K2382" t="s">
        <v>7635</v>
      </c>
      <c r="L2382" t="s">
        <v>7756</v>
      </c>
      <c r="M2382">
        <v>39</v>
      </c>
      <c r="N2382">
        <v>0</v>
      </c>
      <c r="O2382" t="s">
        <v>1036</v>
      </c>
      <c r="P2382" s="17"/>
      <c r="Q2382" s="17" t="str">
        <f>_xlfn.XLOOKUP(Table2[[#This Row],[buyFromVendorNo]],'Next Day Scheduled'!A:A,'Pending Returns'!O:O,"NOT_FOUND")</f>
        <v>NOT_FOUND</v>
      </c>
    </row>
    <row r="2383" spans="1:17" x14ac:dyDescent="0.3">
      <c r="A2383" s="1">
        <v>46221</v>
      </c>
      <c r="B2383" t="s">
        <v>642</v>
      </c>
      <c r="C2383" t="s">
        <v>39</v>
      </c>
      <c r="D2383" t="s">
        <v>40</v>
      </c>
      <c r="E2383" t="s">
        <v>8</v>
      </c>
      <c r="F2383" t="s">
        <v>38</v>
      </c>
      <c r="G2383" s="16">
        <v>2117.4486999999999</v>
      </c>
      <c r="H2383" s="16">
        <v>2435.0662000000002</v>
      </c>
      <c r="I2383" s="1">
        <v>46219</v>
      </c>
      <c r="J2383">
        <v>38</v>
      </c>
      <c r="K2383" t="s">
        <v>6915</v>
      </c>
      <c r="L2383" t="s">
        <v>7735</v>
      </c>
      <c r="M2383">
        <v>8</v>
      </c>
      <c r="N2383">
        <v>22</v>
      </c>
      <c r="O2383" t="s">
        <v>1036</v>
      </c>
      <c r="P2383" s="17"/>
      <c r="Q2383" s="17" t="str">
        <f>_xlfn.XLOOKUP(Table2[[#This Row],[buyFromVendorNo]],'Next Day Scheduled'!A:A,'Pending Returns'!O:O,"NOT_FOUND")</f>
        <v>Posted Credit Note</v>
      </c>
    </row>
    <row r="2384" spans="1:17" x14ac:dyDescent="0.3">
      <c r="A2384" s="1">
        <v>46221</v>
      </c>
      <c r="B2384" t="s">
        <v>7749</v>
      </c>
      <c r="C2384" t="s">
        <v>25</v>
      </c>
      <c r="D2384" t="s">
        <v>26</v>
      </c>
      <c r="E2384" t="s">
        <v>8</v>
      </c>
      <c r="F2384" t="s">
        <v>10</v>
      </c>
      <c r="G2384" s="16">
        <v>134.12</v>
      </c>
      <c r="H2384" s="16">
        <v>154.238</v>
      </c>
      <c r="J2384">
        <v>38</v>
      </c>
      <c r="K2384" t="s">
        <v>7750</v>
      </c>
      <c r="M2384">
        <v>4</v>
      </c>
      <c r="N2384">
        <v>7</v>
      </c>
      <c r="O2384" t="s">
        <v>216</v>
      </c>
      <c r="P2384" s="17"/>
      <c r="Q2384" s="17" t="str">
        <f>_xlfn.XLOOKUP(Table2[[#This Row],[buyFromVendorNo]],'Next Day Scheduled'!A:A,'Pending Returns'!O:O,"NOT_FOUND")</f>
        <v>NOT_FOUND</v>
      </c>
    </row>
    <row r="2385" spans="1:17" x14ac:dyDescent="0.3">
      <c r="A2385" s="1">
        <v>46221</v>
      </c>
      <c r="B2385" t="s">
        <v>1970</v>
      </c>
      <c r="C2385" t="s">
        <v>899</v>
      </c>
      <c r="D2385" t="s">
        <v>900</v>
      </c>
      <c r="E2385" t="s">
        <v>8</v>
      </c>
      <c r="F2385" t="s">
        <v>10</v>
      </c>
      <c r="G2385" s="16">
        <v>16701.419999999998</v>
      </c>
      <c r="H2385" s="16">
        <v>19206.633000000002</v>
      </c>
      <c r="I2385" s="1">
        <v>46208</v>
      </c>
      <c r="J2385">
        <v>38</v>
      </c>
      <c r="K2385" t="s">
        <v>1971</v>
      </c>
      <c r="L2385" t="s">
        <v>7711</v>
      </c>
      <c r="M2385">
        <v>0</v>
      </c>
      <c r="N2385">
        <v>643</v>
      </c>
      <c r="O2385" t="s">
        <v>1036</v>
      </c>
      <c r="P2385" s="17"/>
      <c r="Q2385" s="17" t="str">
        <f>_xlfn.XLOOKUP(Table2[[#This Row],[buyFromVendorNo]],'Next Day Scheduled'!A:A,'Pending Returns'!O:O,"NOT_FOUND")</f>
        <v>NOT_FOUND</v>
      </c>
    </row>
    <row r="2386" spans="1:17" x14ac:dyDescent="0.3">
      <c r="A2386" s="1">
        <v>46221</v>
      </c>
      <c r="B2386" t="s">
        <v>6260</v>
      </c>
      <c r="C2386" t="s">
        <v>1099</v>
      </c>
      <c r="D2386" t="s">
        <v>1100</v>
      </c>
      <c r="E2386" t="s">
        <v>8</v>
      </c>
      <c r="F2386" t="s">
        <v>38</v>
      </c>
      <c r="G2386" s="16">
        <v>373.29</v>
      </c>
      <c r="H2386" s="16">
        <v>429.2835</v>
      </c>
      <c r="I2386" s="1">
        <v>46214</v>
      </c>
      <c r="J2386">
        <v>38</v>
      </c>
      <c r="K2386" t="s">
        <v>6746</v>
      </c>
      <c r="L2386" t="s">
        <v>7758</v>
      </c>
      <c r="M2386">
        <v>4</v>
      </c>
      <c r="N2386">
        <v>5</v>
      </c>
      <c r="O2386" t="s">
        <v>1036</v>
      </c>
      <c r="P2386" s="17"/>
      <c r="Q2386" s="17" t="str">
        <f>_xlfn.XLOOKUP(Table2[[#This Row],[buyFromVendorNo]],'Next Day Scheduled'!A:A,'Pending Returns'!O:O,"NOT_FOUND")</f>
        <v>NOT_FOUND</v>
      </c>
    </row>
    <row r="2387" spans="1:17" x14ac:dyDescent="0.3">
      <c r="A2387" s="1">
        <v>46221</v>
      </c>
      <c r="B2387" t="s">
        <v>230</v>
      </c>
      <c r="C2387" t="s">
        <v>39</v>
      </c>
      <c r="D2387" t="s">
        <v>40</v>
      </c>
      <c r="E2387" t="s">
        <v>8</v>
      </c>
      <c r="F2387" t="s">
        <v>10</v>
      </c>
      <c r="G2387" s="16">
        <v>3899.6309000000001</v>
      </c>
      <c r="H2387" s="16">
        <v>4484.5749999999998</v>
      </c>
      <c r="J2387">
        <v>38</v>
      </c>
      <c r="K2387" t="s">
        <v>7744</v>
      </c>
      <c r="M2387">
        <v>9</v>
      </c>
      <c r="N2387">
        <v>1</v>
      </c>
      <c r="O2387" t="s">
        <v>216</v>
      </c>
      <c r="P2387" s="17"/>
      <c r="Q2387" s="17" t="str">
        <f>_xlfn.XLOOKUP(Table2[[#This Row],[buyFromVendorNo]],'Next Day Scheduled'!A:A,'Pending Returns'!O:O,"NOT_FOUND")</f>
        <v>Posted Credit Note</v>
      </c>
    </row>
    <row r="2388" spans="1:17" x14ac:dyDescent="0.3">
      <c r="A2388" s="1">
        <v>46221</v>
      </c>
      <c r="B2388" t="s">
        <v>2843</v>
      </c>
      <c r="C2388" t="s">
        <v>7386</v>
      </c>
      <c r="D2388" t="s">
        <v>7387</v>
      </c>
      <c r="E2388" t="s">
        <v>8</v>
      </c>
      <c r="F2388" t="s">
        <v>10</v>
      </c>
      <c r="G2388" s="16">
        <v>1951.3041000000001</v>
      </c>
      <c r="H2388" s="16">
        <v>2243.9998000000001</v>
      </c>
      <c r="J2388">
        <v>38</v>
      </c>
      <c r="K2388" t="s">
        <v>7790</v>
      </c>
      <c r="M2388">
        <v>0</v>
      </c>
      <c r="N2388">
        <v>415</v>
      </c>
      <c r="O2388" t="s">
        <v>216</v>
      </c>
      <c r="P2388" s="17"/>
      <c r="Q2388" s="17" t="str">
        <f>_xlfn.XLOOKUP(Table2[[#This Row],[buyFromVendorNo]],'Next Day Scheduled'!A:A,'Pending Returns'!O:O,"NOT_FOUND")</f>
        <v>NOT_FOUND</v>
      </c>
    </row>
    <row r="2389" spans="1:17" x14ac:dyDescent="0.3">
      <c r="A2389" s="1">
        <v>46221</v>
      </c>
      <c r="B2389" t="s">
        <v>7795</v>
      </c>
      <c r="C2389" t="s">
        <v>111</v>
      </c>
      <c r="D2389" t="s">
        <v>112</v>
      </c>
      <c r="E2389" t="s">
        <v>8</v>
      </c>
      <c r="F2389" t="s">
        <v>10</v>
      </c>
      <c r="G2389" s="16">
        <v>470.15</v>
      </c>
      <c r="H2389" s="16">
        <v>540.67250000000001</v>
      </c>
      <c r="J2389">
        <v>38</v>
      </c>
      <c r="K2389" t="s">
        <v>7796</v>
      </c>
      <c r="M2389">
        <v>3</v>
      </c>
      <c r="N2389">
        <v>15</v>
      </c>
      <c r="O2389" t="s">
        <v>216</v>
      </c>
      <c r="P2389" s="17"/>
      <c r="Q2389" s="17" t="str">
        <f>_xlfn.XLOOKUP(Table2[[#This Row],[buyFromVendorNo]],'Next Day Scheduled'!A:A,'Pending Returns'!O:O,"NOT_FOUND")</f>
        <v>Posted Credit Note</v>
      </c>
    </row>
    <row r="2390" spans="1:17" x14ac:dyDescent="0.3">
      <c r="A2390" s="1">
        <v>46221</v>
      </c>
      <c r="B2390" t="s">
        <v>1456</v>
      </c>
      <c r="C2390" t="s">
        <v>899</v>
      </c>
      <c r="D2390" t="s">
        <v>900</v>
      </c>
      <c r="E2390" t="s">
        <v>8</v>
      </c>
      <c r="F2390" t="s">
        <v>10</v>
      </c>
      <c r="G2390" s="16">
        <v>289.22000000000003</v>
      </c>
      <c r="H2390" s="16">
        <v>332.60300000000001</v>
      </c>
      <c r="I2390" s="1">
        <v>46208</v>
      </c>
      <c r="J2390">
        <v>38</v>
      </c>
      <c r="K2390" t="s">
        <v>3004</v>
      </c>
      <c r="L2390" t="s">
        <v>7718</v>
      </c>
      <c r="M2390">
        <v>0</v>
      </c>
      <c r="N2390">
        <v>643</v>
      </c>
      <c r="O2390" t="s">
        <v>1036</v>
      </c>
      <c r="P2390" s="17"/>
      <c r="Q2390" s="17" t="str">
        <f>_xlfn.XLOOKUP(Table2[[#This Row],[buyFromVendorNo]],'Next Day Scheduled'!A:A,'Pending Returns'!O:O,"NOT_FOUND")</f>
        <v>NOT_FOUND</v>
      </c>
    </row>
    <row r="2391" spans="1:17" x14ac:dyDescent="0.3">
      <c r="A2391" s="1">
        <v>46221</v>
      </c>
      <c r="B2391" t="s">
        <v>2757</v>
      </c>
      <c r="C2391" t="s">
        <v>2302</v>
      </c>
      <c r="D2391" t="s">
        <v>2303</v>
      </c>
      <c r="E2391" t="s">
        <v>8</v>
      </c>
      <c r="F2391" t="s">
        <v>10</v>
      </c>
      <c r="G2391" s="16">
        <v>9.36</v>
      </c>
      <c r="H2391" s="16">
        <v>10.763999999999999</v>
      </c>
      <c r="J2391">
        <v>38</v>
      </c>
      <c r="K2391" t="s">
        <v>7782</v>
      </c>
      <c r="M2391">
        <v>4</v>
      </c>
      <c r="N2391">
        <v>16</v>
      </c>
      <c r="O2391" t="s">
        <v>216</v>
      </c>
      <c r="P2391" s="17"/>
      <c r="Q2391" s="17" t="str">
        <f>_xlfn.XLOOKUP(Table2[[#This Row],[buyFromVendorNo]],'Next Day Scheduled'!A:A,'Pending Returns'!O:O,"NOT_FOUND")</f>
        <v>NOT_FOUND</v>
      </c>
    </row>
    <row r="2392" spans="1:17" x14ac:dyDescent="0.3">
      <c r="A2392" s="1">
        <v>46221</v>
      </c>
      <c r="B2392" t="s">
        <v>3402</v>
      </c>
      <c r="C2392" t="s">
        <v>2826</v>
      </c>
      <c r="D2392" t="s">
        <v>2827</v>
      </c>
      <c r="E2392" t="s">
        <v>8</v>
      </c>
      <c r="F2392" t="s">
        <v>10</v>
      </c>
      <c r="G2392" s="16">
        <v>6.66</v>
      </c>
      <c r="H2392" s="16">
        <v>7.6589999999999998</v>
      </c>
      <c r="I2392" s="1">
        <v>46221</v>
      </c>
      <c r="J2392">
        <v>38</v>
      </c>
      <c r="K2392" t="s">
        <v>7171</v>
      </c>
      <c r="L2392" t="s">
        <v>7757</v>
      </c>
      <c r="M2392">
        <v>0</v>
      </c>
      <c r="N2392">
        <v>163</v>
      </c>
      <c r="O2392" t="s">
        <v>1036</v>
      </c>
      <c r="P2392" s="17"/>
      <c r="Q2392" s="17" t="str">
        <f>_xlfn.XLOOKUP(Table2[[#This Row],[buyFromVendorNo]],'Next Day Scheduled'!A:A,'Pending Returns'!O:O,"NOT_FOUND")</f>
        <v>NOT_FOUND</v>
      </c>
    </row>
    <row r="2393" spans="1:17" x14ac:dyDescent="0.3">
      <c r="A2393" s="1">
        <v>46221</v>
      </c>
      <c r="B2393" t="s">
        <v>390</v>
      </c>
      <c r="C2393" t="s">
        <v>1099</v>
      </c>
      <c r="D2393" t="s">
        <v>1100</v>
      </c>
      <c r="E2393" t="s">
        <v>8</v>
      </c>
      <c r="F2393" t="s">
        <v>38</v>
      </c>
      <c r="G2393" s="16">
        <v>3003.95</v>
      </c>
      <c r="H2393" s="16">
        <v>3454.5425</v>
      </c>
      <c r="I2393" s="1">
        <v>46214</v>
      </c>
      <c r="J2393">
        <v>38</v>
      </c>
      <c r="K2393" t="s">
        <v>6235</v>
      </c>
      <c r="L2393" t="s">
        <v>7762</v>
      </c>
      <c r="M2393">
        <v>4</v>
      </c>
      <c r="N2393">
        <v>5</v>
      </c>
      <c r="O2393" t="s">
        <v>1036</v>
      </c>
      <c r="P2393" s="17"/>
      <c r="Q2393" s="17" t="str">
        <f>_xlfn.XLOOKUP(Table2[[#This Row],[buyFromVendorNo]],'Next Day Scheduled'!A:A,'Pending Returns'!O:O,"NOT_FOUND")</f>
        <v>NOT_FOUND</v>
      </c>
    </row>
    <row r="2394" spans="1:17" x14ac:dyDescent="0.3">
      <c r="A2394" s="1">
        <v>46221</v>
      </c>
      <c r="B2394" t="s">
        <v>2113</v>
      </c>
      <c r="C2394" t="s">
        <v>191</v>
      </c>
      <c r="D2394" t="s">
        <v>192</v>
      </c>
      <c r="E2394" t="s">
        <v>8</v>
      </c>
      <c r="F2394" t="s">
        <v>10</v>
      </c>
      <c r="G2394" s="16">
        <v>2547.17</v>
      </c>
      <c r="H2394" s="16">
        <v>2929.2456000000002</v>
      </c>
      <c r="I2394" s="1">
        <v>46214</v>
      </c>
      <c r="J2394">
        <v>38</v>
      </c>
      <c r="K2394" t="s">
        <v>7023</v>
      </c>
      <c r="L2394" t="s">
        <v>7719</v>
      </c>
      <c r="M2394">
        <v>5</v>
      </c>
      <c r="N2394">
        <v>3</v>
      </c>
      <c r="O2394" t="s">
        <v>1036</v>
      </c>
      <c r="P2394" s="17"/>
      <c r="Q2394" s="17" t="str">
        <f>_xlfn.XLOOKUP(Table2[[#This Row],[buyFromVendorNo]],'Next Day Scheduled'!A:A,'Pending Returns'!O:O,"NOT_FOUND")</f>
        <v>NOT_FOUND</v>
      </c>
    </row>
    <row r="2395" spans="1:17" x14ac:dyDescent="0.3">
      <c r="A2395" s="1">
        <v>46221</v>
      </c>
      <c r="B2395" t="s">
        <v>2417</v>
      </c>
      <c r="C2395" t="s">
        <v>2273</v>
      </c>
      <c r="D2395" t="s">
        <v>2274</v>
      </c>
      <c r="E2395" t="s">
        <v>8</v>
      </c>
      <c r="F2395" t="s">
        <v>10</v>
      </c>
      <c r="G2395" s="16">
        <v>566.28</v>
      </c>
      <c r="H2395" s="16">
        <v>651.22199999999998</v>
      </c>
      <c r="J2395">
        <v>38</v>
      </c>
      <c r="K2395" t="s">
        <v>7802</v>
      </c>
      <c r="M2395">
        <v>0</v>
      </c>
      <c r="N2395">
        <v>92</v>
      </c>
      <c r="O2395" t="s">
        <v>216</v>
      </c>
      <c r="P2395" s="17"/>
      <c r="Q2395" s="17" t="str">
        <f>_xlfn.XLOOKUP(Table2[[#This Row],[buyFromVendorNo]],'Next Day Scheduled'!A:A,'Pending Returns'!O:O,"NOT_FOUND")</f>
        <v>NOT_FOUND</v>
      </c>
    </row>
    <row r="2396" spans="1:17" x14ac:dyDescent="0.3">
      <c r="A2396" s="1">
        <v>46221</v>
      </c>
      <c r="B2396" t="s">
        <v>5119</v>
      </c>
      <c r="C2396" t="s">
        <v>1615</v>
      </c>
      <c r="D2396" t="s">
        <v>1616</v>
      </c>
      <c r="E2396" t="s">
        <v>8</v>
      </c>
      <c r="F2396" t="s">
        <v>10</v>
      </c>
      <c r="G2396" s="16">
        <v>75</v>
      </c>
      <c r="H2396" s="16">
        <v>86.25</v>
      </c>
      <c r="I2396" s="1">
        <v>46219</v>
      </c>
      <c r="J2396">
        <v>38</v>
      </c>
      <c r="K2396" t="s">
        <v>7617</v>
      </c>
      <c r="L2396" t="s">
        <v>7716</v>
      </c>
      <c r="M2396">
        <v>5</v>
      </c>
      <c r="N2396">
        <v>5</v>
      </c>
      <c r="O2396" t="s">
        <v>1036</v>
      </c>
      <c r="P2396" s="17"/>
      <c r="Q2396" s="17" t="str">
        <f>_xlfn.XLOOKUP(Table2[[#This Row],[buyFromVendorNo]],'Next Day Scheduled'!A:A,'Pending Returns'!O:O,"NOT_FOUND")</f>
        <v>NOT_FOUND</v>
      </c>
    </row>
    <row r="2397" spans="1:17" x14ac:dyDescent="0.3">
      <c r="A2397" s="1">
        <v>46221</v>
      </c>
      <c r="B2397" t="s">
        <v>2640</v>
      </c>
      <c r="C2397" t="s">
        <v>2826</v>
      </c>
      <c r="D2397" t="s">
        <v>2827</v>
      </c>
      <c r="E2397" t="s">
        <v>8</v>
      </c>
      <c r="F2397" t="s">
        <v>10</v>
      </c>
      <c r="G2397" s="16">
        <v>26.64</v>
      </c>
      <c r="H2397" s="16">
        <v>30.635999999999999</v>
      </c>
      <c r="I2397" s="1">
        <v>46221</v>
      </c>
      <c r="J2397">
        <v>38</v>
      </c>
      <c r="K2397" t="s">
        <v>5506</v>
      </c>
      <c r="L2397" t="s">
        <v>7760</v>
      </c>
      <c r="M2397">
        <v>0</v>
      </c>
      <c r="N2397">
        <v>163</v>
      </c>
      <c r="O2397" t="s">
        <v>1036</v>
      </c>
      <c r="P2397" s="17"/>
      <c r="Q2397" s="17" t="str">
        <f>_xlfn.XLOOKUP(Table2[[#This Row],[buyFromVendorNo]],'Next Day Scheduled'!A:A,'Pending Returns'!O:O,"NOT_FOUND")</f>
        <v>NOT_FOUND</v>
      </c>
    </row>
    <row r="2398" spans="1:17" x14ac:dyDescent="0.3">
      <c r="A2398" s="1">
        <v>46221</v>
      </c>
      <c r="B2398" t="s">
        <v>5415</v>
      </c>
      <c r="C2398" t="s">
        <v>564</v>
      </c>
      <c r="D2398" t="s">
        <v>565</v>
      </c>
      <c r="E2398" t="s">
        <v>8</v>
      </c>
      <c r="F2398" t="s">
        <v>10</v>
      </c>
      <c r="G2398" s="16">
        <v>55.65</v>
      </c>
      <c r="H2398" s="16">
        <v>63.997500000000002</v>
      </c>
      <c r="I2398" s="1">
        <v>46211</v>
      </c>
      <c r="J2398">
        <v>38</v>
      </c>
      <c r="K2398" t="s">
        <v>6681</v>
      </c>
      <c r="L2398" t="s">
        <v>7761</v>
      </c>
      <c r="M2398">
        <v>3</v>
      </c>
      <c r="N2398">
        <v>10</v>
      </c>
      <c r="O2398" t="s">
        <v>1036</v>
      </c>
      <c r="P2398" s="17"/>
      <c r="Q2398" s="17" t="str">
        <f>_xlfn.XLOOKUP(Table2[[#This Row],[buyFromVendorNo]],'Next Day Scheduled'!A:A,'Pending Returns'!O:O,"NOT_FOUND")</f>
        <v>Posted Credit Note</v>
      </c>
    </row>
    <row r="2399" spans="1:17" x14ac:dyDescent="0.3">
      <c r="A2399" s="1">
        <v>46221</v>
      </c>
      <c r="B2399" t="s">
        <v>1784</v>
      </c>
      <c r="C2399" t="s">
        <v>7392</v>
      </c>
      <c r="D2399" t="s">
        <v>7393</v>
      </c>
      <c r="E2399" t="s">
        <v>8</v>
      </c>
      <c r="F2399" t="s">
        <v>10</v>
      </c>
      <c r="G2399" s="16">
        <v>1348.7</v>
      </c>
      <c r="H2399" s="16">
        <v>1551.0050000000001</v>
      </c>
      <c r="J2399">
        <v>38</v>
      </c>
      <c r="K2399" t="s">
        <v>7747</v>
      </c>
      <c r="M2399">
        <v>0</v>
      </c>
      <c r="N2399">
        <v>254</v>
      </c>
      <c r="O2399" t="s">
        <v>216</v>
      </c>
      <c r="P2399" s="17"/>
      <c r="Q2399" s="17" t="str">
        <f>_xlfn.XLOOKUP(Table2[[#This Row],[buyFromVendorNo]],'Next Day Scheduled'!A:A,'Pending Returns'!O:O,"NOT_FOUND")</f>
        <v>NOT_FOUND</v>
      </c>
    </row>
    <row r="2400" spans="1:17" x14ac:dyDescent="0.3">
      <c r="A2400" s="1">
        <v>46221</v>
      </c>
      <c r="B2400" t="s">
        <v>5228</v>
      </c>
      <c r="C2400" t="s">
        <v>875</v>
      </c>
      <c r="D2400" t="s">
        <v>876</v>
      </c>
      <c r="E2400" t="s">
        <v>8</v>
      </c>
      <c r="F2400" t="s">
        <v>38</v>
      </c>
      <c r="G2400" s="16">
        <v>184.5</v>
      </c>
      <c r="H2400" s="16">
        <v>212.17500000000001</v>
      </c>
      <c r="I2400" s="1">
        <v>46221</v>
      </c>
      <c r="J2400">
        <v>38</v>
      </c>
      <c r="K2400" t="s">
        <v>7458</v>
      </c>
      <c r="L2400" t="s">
        <v>7755</v>
      </c>
      <c r="M2400">
        <v>3</v>
      </c>
      <c r="N2400">
        <v>14</v>
      </c>
      <c r="O2400" t="s">
        <v>1036</v>
      </c>
      <c r="P2400" s="17"/>
      <c r="Q2400" s="17" t="str">
        <f>_xlfn.XLOOKUP(Table2[[#This Row],[buyFromVendorNo]],'Next Day Scheduled'!A:A,'Pending Returns'!O:O,"NOT_FOUND")</f>
        <v>NOT_FOUND</v>
      </c>
    </row>
    <row r="2401" spans="1:17" x14ac:dyDescent="0.3">
      <c r="A2401" s="1">
        <v>46221</v>
      </c>
      <c r="B2401" t="s">
        <v>800</v>
      </c>
      <c r="C2401" t="s">
        <v>562</v>
      </c>
      <c r="D2401" t="s">
        <v>563</v>
      </c>
      <c r="E2401" t="s">
        <v>8</v>
      </c>
      <c r="F2401" t="s">
        <v>38</v>
      </c>
      <c r="G2401" s="16">
        <v>4515.1796999999997</v>
      </c>
      <c r="H2401" s="16">
        <v>5192.4565000000002</v>
      </c>
      <c r="I2401" s="1">
        <v>46205</v>
      </c>
      <c r="J2401">
        <v>38</v>
      </c>
      <c r="K2401" t="s">
        <v>7422</v>
      </c>
      <c r="L2401" t="s">
        <v>7739</v>
      </c>
      <c r="M2401">
        <v>10</v>
      </c>
      <c r="N2401">
        <v>23</v>
      </c>
      <c r="O2401" t="s">
        <v>1036</v>
      </c>
      <c r="P2401" s="17"/>
      <c r="Q2401" s="17" t="str">
        <f>_xlfn.XLOOKUP(Table2[[#This Row],[buyFromVendorNo]],'Next Day Scheduled'!A:A,'Pending Returns'!O:O,"NOT_FOUND")</f>
        <v>NOT_FOUND</v>
      </c>
    </row>
    <row r="2402" spans="1:17" x14ac:dyDescent="0.3">
      <c r="A2402" s="1">
        <v>46221</v>
      </c>
      <c r="B2402" t="s">
        <v>6775</v>
      </c>
      <c r="C2402" t="s">
        <v>327</v>
      </c>
      <c r="D2402" t="s">
        <v>328</v>
      </c>
      <c r="E2402" t="s">
        <v>8</v>
      </c>
      <c r="F2402" t="s">
        <v>169</v>
      </c>
      <c r="G2402" s="16">
        <v>1482.44</v>
      </c>
      <c r="H2402" s="16">
        <v>1704.806</v>
      </c>
      <c r="I2402" s="1">
        <v>46221</v>
      </c>
      <c r="J2402">
        <v>38</v>
      </c>
      <c r="K2402" t="s">
        <v>6821</v>
      </c>
      <c r="L2402" t="s">
        <v>7720</v>
      </c>
      <c r="M2402">
        <v>4</v>
      </c>
      <c r="N2402">
        <v>5</v>
      </c>
      <c r="O2402" t="s">
        <v>1036</v>
      </c>
      <c r="P2402" s="17"/>
      <c r="Q2402" s="17" t="str">
        <f>_xlfn.XLOOKUP(Table2[[#This Row],[buyFromVendorNo]],'Next Day Scheduled'!A:A,'Pending Returns'!O:O,"NOT_FOUND")</f>
        <v>NOT_FOUND</v>
      </c>
    </row>
    <row r="2403" spans="1:17" x14ac:dyDescent="0.3">
      <c r="A2403" s="1">
        <v>46221</v>
      </c>
      <c r="B2403" t="s">
        <v>642</v>
      </c>
      <c r="C2403" t="s">
        <v>39</v>
      </c>
      <c r="D2403" t="s">
        <v>40</v>
      </c>
      <c r="E2403" t="s">
        <v>8</v>
      </c>
      <c r="F2403" t="s">
        <v>38</v>
      </c>
      <c r="G2403" s="16">
        <v>3086.3184000000001</v>
      </c>
      <c r="H2403" s="16">
        <v>3549.2660000000001</v>
      </c>
      <c r="I2403" s="1">
        <v>46219</v>
      </c>
      <c r="J2403">
        <v>38</v>
      </c>
      <c r="K2403" t="s">
        <v>7093</v>
      </c>
      <c r="L2403" t="s">
        <v>7741</v>
      </c>
      <c r="M2403">
        <v>8</v>
      </c>
      <c r="N2403">
        <v>22</v>
      </c>
      <c r="O2403" t="s">
        <v>1036</v>
      </c>
      <c r="P2403" s="17"/>
      <c r="Q2403" s="17" t="str">
        <f>_xlfn.XLOOKUP(Table2[[#This Row],[buyFromVendorNo]],'Next Day Scheduled'!A:A,'Pending Returns'!O:O,"NOT_FOUND")</f>
        <v>Posted Credit Note</v>
      </c>
    </row>
    <row r="2404" spans="1:17" x14ac:dyDescent="0.3">
      <c r="A2404" s="1">
        <v>46222</v>
      </c>
      <c r="B2404" t="s">
        <v>429</v>
      </c>
      <c r="C2404" t="s">
        <v>349</v>
      </c>
      <c r="D2404" t="s">
        <v>350</v>
      </c>
      <c r="E2404" t="s">
        <v>8</v>
      </c>
      <c r="F2404" t="s">
        <v>38</v>
      </c>
      <c r="G2404" s="16">
        <v>360</v>
      </c>
      <c r="H2404" s="16">
        <v>414</v>
      </c>
      <c r="I2404" s="1">
        <v>46223</v>
      </c>
      <c r="J2404">
        <v>37</v>
      </c>
      <c r="K2404" t="s">
        <v>6530</v>
      </c>
      <c r="L2404" t="s">
        <v>7864</v>
      </c>
      <c r="M2404">
        <v>0</v>
      </c>
      <c r="N2404">
        <v>133</v>
      </c>
      <c r="O2404" t="s">
        <v>223</v>
      </c>
      <c r="P2404" s="17"/>
      <c r="Q2404" s="17" t="str">
        <f>_xlfn.XLOOKUP(Table2[[#This Row],[buyFromVendorNo]],'Next Day Scheduled'!A:A,'Pending Returns'!O:O,"NOT_FOUND")</f>
        <v>NOT_FOUND</v>
      </c>
    </row>
    <row r="2405" spans="1:17" x14ac:dyDescent="0.3">
      <c r="A2405" s="1">
        <v>46222</v>
      </c>
      <c r="B2405" t="s">
        <v>654</v>
      </c>
      <c r="C2405" t="s">
        <v>104</v>
      </c>
      <c r="D2405" t="s">
        <v>105</v>
      </c>
      <c r="E2405" t="s">
        <v>8</v>
      </c>
      <c r="F2405" t="s">
        <v>10</v>
      </c>
      <c r="G2405" s="16">
        <v>931.88995</v>
      </c>
      <c r="H2405" s="16">
        <v>1071.6735000000001</v>
      </c>
      <c r="I2405" s="1">
        <v>46219</v>
      </c>
      <c r="J2405">
        <v>37</v>
      </c>
      <c r="K2405" t="s">
        <v>5058</v>
      </c>
      <c r="L2405" t="s">
        <v>7837</v>
      </c>
      <c r="M2405">
        <v>5</v>
      </c>
      <c r="N2405">
        <v>6</v>
      </c>
      <c r="O2405" t="s">
        <v>1036</v>
      </c>
      <c r="P2405" s="17"/>
      <c r="Q2405" s="17" t="str">
        <f>_xlfn.XLOOKUP(Table2[[#This Row],[buyFromVendorNo]],'Next Day Scheduled'!A:A,'Pending Returns'!O:O,"NOT_FOUND")</f>
        <v>NOT_FOUND</v>
      </c>
    </row>
    <row r="2406" spans="1:17" x14ac:dyDescent="0.3">
      <c r="A2406" s="1">
        <v>46222</v>
      </c>
      <c r="B2406" t="s">
        <v>2162</v>
      </c>
      <c r="C2406" t="s">
        <v>2497</v>
      </c>
      <c r="D2406" t="s">
        <v>2498</v>
      </c>
      <c r="E2406" t="s">
        <v>8</v>
      </c>
      <c r="F2406" t="s">
        <v>10</v>
      </c>
      <c r="G2406" s="16">
        <v>486</v>
      </c>
      <c r="H2406" s="16">
        <v>558.9</v>
      </c>
      <c r="I2406" s="1">
        <v>46209</v>
      </c>
      <c r="J2406">
        <v>37</v>
      </c>
      <c r="K2406" t="s">
        <v>6595</v>
      </c>
      <c r="L2406" t="s">
        <v>7849</v>
      </c>
      <c r="M2406">
        <v>5</v>
      </c>
      <c r="N2406">
        <v>7</v>
      </c>
      <c r="O2406" t="s">
        <v>1036</v>
      </c>
      <c r="P2406" s="17"/>
      <c r="Q2406" s="17" t="str">
        <f>_xlfn.XLOOKUP(Table2[[#This Row],[buyFromVendorNo]],'Next Day Scheduled'!A:A,'Pending Returns'!O:O,"NOT_FOUND")</f>
        <v>Posted Credit Note</v>
      </c>
    </row>
    <row r="2407" spans="1:17" x14ac:dyDescent="0.3">
      <c r="A2407" s="1">
        <v>46222</v>
      </c>
      <c r="B2407" t="s">
        <v>642</v>
      </c>
      <c r="C2407" t="s">
        <v>39</v>
      </c>
      <c r="D2407" t="s">
        <v>40</v>
      </c>
      <c r="E2407" t="s">
        <v>8</v>
      </c>
      <c r="F2407" t="s">
        <v>38</v>
      </c>
      <c r="G2407" s="16">
        <v>5180.1170000000002</v>
      </c>
      <c r="H2407" s="16">
        <v>5957.1350000000002</v>
      </c>
      <c r="I2407" s="1">
        <v>46221</v>
      </c>
      <c r="J2407">
        <v>37</v>
      </c>
      <c r="K2407" t="s">
        <v>7427</v>
      </c>
      <c r="L2407" t="s">
        <v>7828</v>
      </c>
      <c r="M2407">
        <v>7</v>
      </c>
      <c r="N2407">
        <v>22</v>
      </c>
      <c r="O2407" t="s">
        <v>1036</v>
      </c>
      <c r="P2407" s="17"/>
      <c r="Q2407" s="17" t="str">
        <f>_xlfn.XLOOKUP(Table2[[#This Row],[buyFromVendorNo]],'Next Day Scheduled'!A:A,'Pending Returns'!O:O,"NOT_FOUND")</f>
        <v>Posted Credit Note</v>
      </c>
    </row>
    <row r="2408" spans="1:17" x14ac:dyDescent="0.3">
      <c r="A2408" s="1">
        <v>46222</v>
      </c>
      <c r="B2408" t="s">
        <v>2080</v>
      </c>
      <c r="C2408" t="s">
        <v>93</v>
      </c>
      <c r="D2408" t="s">
        <v>94</v>
      </c>
      <c r="E2408" t="s">
        <v>8</v>
      </c>
      <c r="F2408" t="s">
        <v>38</v>
      </c>
      <c r="G2408" s="16">
        <v>141.22999999999999</v>
      </c>
      <c r="H2408" s="16">
        <v>162.4145</v>
      </c>
      <c r="I2408" s="1">
        <v>46222</v>
      </c>
      <c r="J2408">
        <v>37</v>
      </c>
      <c r="K2408" t="s">
        <v>6749</v>
      </c>
      <c r="L2408" t="s">
        <v>7884</v>
      </c>
      <c r="M2408">
        <v>4</v>
      </c>
      <c r="N2408">
        <v>6</v>
      </c>
      <c r="O2408" t="s">
        <v>1036</v>
      </c>
      <c r="P2408" s="17"/>
      <c r="Q2408" s="17" t="str">
        <f>_xlfn.XLOOKUP(Table2[[#This Row],[buyFromVendorNo]],'Next Day Scheduled'!A:A,'Pending Returns'!O:O,"NOT_FOUND")</f>
        <v>Posted Credit Note</v>
      </c>
    </row>
    <row r="2409" spans="1:17" x14ac:dyDescent="0.3">
      <c r="A2409" s="1">
        <v>46222</v>
      </c>
      <c r="B2409" t="s">
        <v>5609</v>
      </c>
      <c r="C2409" t="s">
        <v>65</v>
      </c>
      <c r="D2409" t="s">
        <v>66</v>
      </c>
      <c r="E2409" t="s">
        <v>8</v>
      </c>
      <c r="F2409" t="s">
        <v>169</v>
      </c>
      <c r="G2409" s="16">
        <v>242.2475</v>
      </c>
      <c r="H2409" s="16">
        <v>278.58463</v>
      </c>
      <c r="I2409" s="1">
        <v>46218</v>
      </c>
      <c r="J2409">
        <v>37</v>
      </c>
      <c r="K2409" t="s">
        <v>7629</v>
      </c>
      <c r="L2409" t="s">
        <v>7877</v>
      </c>
      <c r="M2409">
        <v>10</v>
      </c>
      <c r="N2409">
        <v>5</v>
      </c>
      <c r="O2409" t="s">
        <v>1036</v>
      </c>
      <c r="P2409" s="17"/>
      <c r="Q2409" s="17" t="str">
        <f>_xlfn.XLOOKUP(Table2[[#This Row],[buyFromVendorNo]],'Next Day Scheduled'!A:A,'Pending Returns'!O:O,"NOT_FOUND")</f>
        <v>Posted Credit Note</v>
      </c>
    </row>
    <row r="2410" spans="1:17" x14ac:dyDescent="0.3">
      <c r="A2410" s="1">
        <v>46222</v>
      </c>
      <c r="B2410" t="s">
        <v>1780</v>
      </c>
      <c r="C2410" t="s">
        <v>2955</v>
      </c>
      <c r="D2410" t="s">
        <v>2956</v>
      </c>
      <c r="E2410" t="s">
        <v>8</v>
      </c>
      <c r="F2410" t="s">
        <v>10</v>
      </c>
      <c r="G2410" s="16">
        <v>70.2</v>
      </c>
      <c r="H2410" s="16">
        <v>80.73</v>
      </c>
      <c r="I2410" s="1">
        <v>46222</v>
      </c>
      <c r="J2410">
        <v>37</v>
      </c>
      <c r="K2410" t="s">
        <v>7411</v>
      </c>
      <c r="L2410" t="s">
        <v>7876</v>
      </c>
      <c r="M2410">
        <v>4</v>
      </c>
      <c r="N2410">
        <v>1</v>
      </c>
      <c r="O2410" t="s">
        <v>1036</v>
      </c>
      <c r="P2410" s="17"/>
      <c r="Q2410" s="17" t="str">
        <f>_xlfn.XLOOKUP(Table2[[#This Row],[buyFromVendorNo]],'Next Day Scheduled'!A:A,'Pending Returns'!O:O,"NOT_FOUND")</f>
        <v>NOT_FOUND</v>
      </c>
    </row>
    <row r="2411" spans="1:17" x14ac:dyDescent="0.3">
      <c r="A2411" s="1">
        <v>46222</v>
      </c>
      <c r="B2411" t="s">
        <v>2890</v>
      </c>
      <c r="C2411" t="s">
        <v>1536</v>
      </c>
      <c r="D2411" t="s">
        <v>1537</v>
      </c>
      <c r="E2411" t="s">
        <v>8</v>
      </c>
      <c r="F2411" t="s">
        <v>38</v>
      </c>
      <c r="G2411" s="16">
        <v>116</v>
      </c>
      <c r="H2411" s="16">
        <v>133.4</v>
      </c>
      <c r="I2411" s="1">
        <v>46211</v>
      </c>
      <c r="J2411">
        <v>37</v>
      </c>
      <c r="K2411" t="s">
        <v>6247</v>
      </c>
      <c r="L2411" t="s">
        <v>7819</v>
      </c>
      <c r="M2411">
        <v>1</v>
      </c>
      <c r="N2411">
        <v>33</v>
      </c>
      <c r="O2411" t="s">
        <v>1036</v>
      </c>
      <c r="P2411" s="17"/>
      <c r="Q2411" s="17" t="str">
        <f>_xlfn.XLOOKUP(Table2[[#This Row],[buyFromVendorNo]],'Next Day Scheduled'!A:A,'Pending Returns'!O:O,"NOT_FOUND")</f>
        <v>Posted Credit Note</v>
      </c>
    </row>
    <row r="2412" spans="1:17" x14ac:dyDescent="0.3">
      <c r="A2412" s="1">
        <v>46222</v>
      </c>
      <c r="B2412" t="s">
        <v>6565</v>
      </c>
      <c r="C2412" t="s">
        <v>5319</v>
      </c>
      <c r="D2412" t="s">
        <v>5320</v>
      </c>
      <c r="E2412" t="s">
        <v>8</v>
      </c>
      <c r="F2412" t="s">
        <v>10</v>
      </c>
      <c r="G2412" s="16">
        <v>18.785</v>
      </c>
      <c r="H2412" s="16">
        <v>21.60275</v>
      </c>
      <c r="I2412" s="1">
        <v>46216</v>
      </c>
      <c r="J2412">
        <v>37</v>
      </c>
      <c r="K2412" t="s">
        <v>7153</v>
      </c>
      <c r="L2412" t="s">
        <v>7822</v>
      </c>
      <c r="M2412">
        <v>1</v>
      </c>
      <c r="N2412">
        <v>33</v>
      </c>
      <c r="O2412" t="s">
        <v>1036</v>
      </c>
      <c r="P2412" s="17"/>
      <c r="Q2412" s="17" t="str">
        <f>_xlfn.XLOOKUP(Table2[[#This Row],[buyFromVendorNo]],'Next Day Scheduled'!A:A,'Pending Returns'!O:O,"NOT_FOUND")</f>
        <v>NOT_FOUND</v>
      </c>
    </row>
    <row r="2413" spans="1:17" x14ac:dyDescent="0.3">
      <c r="A2413" s="1">
        <v>46222</v>
      </c>
      <c r="B2413" t="s">
        <v>1567</v>
      </c>
      <c r="C2413" t="s">
        <v>1722</v>
      </c>
      <c r="D2413" t="s">
        <v>1723</v>
      </c>
      <c r="E2413" t="s">
        <v>8</v>
      </c>
      <c r="F2413" t="s">
        <v>10</v>
      </c>
      <c r="G2413" s="16">
        <v>320</v>
      </c>
      <c r="H2413" s="16">
        <v>368</v>
      </c>
      <c r="I2413" s="1">
        <v>46221</v>
      </c>
      <c r="J2413">
        <v>37</v>
      </c>
      <c r="K2413" t="s">
        <v>7754</v>
      </c>
      <c r="L2413" t="s">
        <v>7856</v>
      </c>
      <c r="M2413">
        <v>3</v>
      </c>
      <c r="N2413">
        <v>1</v>
      </c>
      <c r="O2413" t="s">
        <v>1036</v>
      </c>
      <c r="P2413" s="17"/>
      <c r="Q2413" s="17" t="str">
        <f>_xlfn.XLOOKUP(Table2[[#This Row],[buyFromVendorNo]],'Next Day Scheduled'!A:A,'Pending Returns'!O:O,"NOT_FOUND")</f>
        <v>NOT_FOUND</v>
      </c>
    </row>
    <row r="2414" spans="1:17" x14ac:dyDescent="0.3">
      <c r="A2414" s="1">
        <v>46222</v>
      </c>
      <c r="B2414" t="s">
        <v>642</v>
      </c>
      <c r="C2414" t="s">
        <v>39</v>
      </c>
      <c r="D2414" t="s">
        <v>40</v>
      </c>
      <c r="E2414" t="s">
        <v>8</v>
      </c>
      <c r="F2414" t="s">
        <v>38</v>
      </c>
      <c r="G2414" s="16">
        <v>2047.2017000000001</v>
      </c>
      <c r="H2414" s="16">
        <v>2354.2820000000002</v>
      </c>
      <c r="I2414" s="1">
        <v>46221</v>
      </c>
      <c r="J2414">
        <v>37</v>
      </c>
      <c r="K2414" t="s">
        <v>7731</v>
      </c>
      <c r="L2414" t="s">
        <v>7857</v>
      </c>
      <c r="M2414">
        <v>7</v>
      </c>
      <c r="N2414">
        <v>22</v>
      </c>
      <c r="O2414" t="s">
        <v>1036</v>
      </c>
      <c r="P2414" s="17"/>
      <c r="Q2414" s="17" t="str">
        <f>_xlfn.XLOOKUP(Table2[[#This Row],[buyFromVendorNo]],'Next Day Scheduled'!A:A,'Pending Returns'!O:O,"NOT_FOUND")</f>
        <v>Posted Credit Note</v>
      </c>
    </row>
    <row r="2415" spans="1:17" x14ac:dyDescent="0.3">
      <c r="A2415" s="1">
        <v>46222</v>
      </c>
      <c r="B2415" t="s">
        <v>2220</v>
      </c>
      <c r="C2415" t="s">
        <v>191</v>
      </c>
      <c r="D2415" t="s">
        <v>192</v>
      </c>
      <c r="E2415" t="s">
        <v>8</v>
      </c>
      <c r="F2415" t="s">
        <v>10</v>
      </c>
      <c r="G2415" s="16">
        <v>1178.1500000000001</v>
      </c>
      <c r="H2415" s="16">
        <v>1354.8725999999999</v>
      </c>
      <c r="I2415" s="1">
        <v>46220</v>
      </c>
      <c r="J2415">
        <v>37</v>
      </c>
      <c r="K2415" t="s">
        <v>7270</v>
      </c>
      <c r="L2415" t="s">
        <v>7833</v>
      </c>
      <c r="M2415">
        <v>5</v>
      </c>
      <c r="N2415">
        <v>3</v>
      </c>
      <c r="O2415" t="s">
        <v>1036</v>
      </c>
      <c r="P2415" s="17"/>
      <c r="Q2415" s="17" t="str">
        <f>_xlfn.XLOOKUP(Table2[[#This Row],[buyFromVendorNo]],'Next Day Scheduled'!A:A,'Pending Returns'!O:O,"NOT_FOUND")</f>
        <v>NOT_FOUND</v>
      </c>
    </row>
    <row r="2416" spans="1:17" x14ac:dyDescent="0.3">
      <c r="A2416" s="1">
        <v>46222</v>
      </c>
      <c r="B2416" t="s">
        <v>1837</v>
      </c>
      <c r="C2416" t="s">
        <v>2298</v>
      </c>
      <c r="D2416" t="s">
        <v>2299</v>
      </c>
      <c r="E2416" t="s">
        <v>8</v>
      </c>
      <c r="F2416" t="s">
        <v>10</v>
      </c>
      <c r="G2416" s="16">
        <v>581.77629999999999</v>
      </c>
      <c r="H2416" s="16">
        <v>669.04280000000006</v>
      </c>
      <c r="I2416" s="1">
        <v>46216</v>
      </c>
      <c r="J2416">
        <v>37</v>
      </c>
      <c r="K2416" t="s">
        <v>4966</v>
      </c>
      <c r="L2416" t="s">
        <v>7894</v>
      </c>
      <c r="M2416">
        <v>5</v>
      </c>
      <c r="N2416">
        <v>7</v>
      </c>
      <c r="O2416" t="s">
        <v>1036</v>
      </c>
      <c r="P2416" s="17"/>
      <c r="Q2416" s="17" t="str">
        <f>_xlfn.XLOOKUP(Table2[[#This Row],[buyFromVendorNo]],'Next Day Scheduled'!A:A,'Pending Returns'!O:O,"NOT_FOUND")</f>
        <v>NOT_FOUND</v>
      </c>
    </row>
    <row r="2417" spans="1:17" x14ac:dyDescent="0.3">
      <c r="A2417" s="1">
        <v>46222</v>
      </c>
      <c r="B2417" t="s">
        <v>3292</v>
      </c>
      <c r="C2417" t="s">
        <v>2298</v>
      </c>
      <c r="D2417" t="s">
        <v>2299</v>
      </c>
      <c r="E2417" t="s">
        <v>8</v>
      </c>
      <c r="F2417" t="s">
        <v>10</v>
      </c>
      <c r="G2417" s="16">
        <v>115.66023</v>
      </c>
      <c r="H2417" s="16">
        <v>133.00926000000001</v>
      </c>
      <c r="I2417" s="1">
        <v>46220</v>
      </c>
      <c r="J2417">
        <v>37</v>
      </c>
      <c r="K2417" t="s">
        <v>7290</v>
      </c>
      <c r="L2417" t="s">
        <v>7880</v>
      </c>
      <c r="M2417">
        <v>5</v>
      </c>
      <c r="N2417">
        <v>7</v>
      </c>
      <c r="O2417" t="s">
        <v>1036</v>
      </c>
      <c r="P2417" s="17"/>
      <c r="Q2417" s="17" t="str">
        <f>_xlfn.XLOOKUP(Table2[[#This Row],[buyFromVendorNo]],'Next Day Scheduled'!A:A,'Pending Returns'!O:O,"NOT_FOUND")</f>
        <v>NOT_FOUND</v>
      </c>
    </row>
    <row r="2418" spans="1:17" x14ac:dyDescent="0.3">
      <c r="A2418" s="1">
        <v>46222</v>
      </c>
      <c r="B2418" t="s">
        <v>3422</v>
      </c>
      <c r="C2418" t="s">
        <v>104</v>
      </c>
      <c r="D2418" t="s">
        <v>105</v>
      </c>
      <c r="E2418" t="s">
        <v>8</v>
      </c>
      <c r="F2418" t="s">
        <v>10</v>
      </c>
      <c r="G2418" s="16">
        <v>769.3098</v>
      </c>
      <c r="H2418" s="16">
        <v>884.70630000000006</v>
      </c>
      <c r="I2418" s="1">
        <v>46219</v>
      </c>
      <c r="J2418">
        <v>37</v>
      </c>
      <c r="K2418" t="s">
        <v>4396</v>
      </c>
      <c r="L2418" t="s">
        <v>7846</v>
      </c>
      <c r="M2418">
        <v>5</v>
      </c>
      <c r="N2418">
        <v>6</v>
      </c>
      <c r="O2418" t="s">
        <v>1036</v>
      </c>
      <c r="P2418" s="17"/>
      <c r="Q2418" s="17" t="str">
        <f>_xlfn.XLOOKUP(Table2[[#This Row],[buyFromVendorNo]],'Next Day Scheduled'!A:A,'Pending Returns'!O:O,"NOT_FOUND")</f>
        <v>NOT_FOUND</v>
      </c>
    </row>
    <row r="2419" spans="1:17" x14ac:dyDescent="0.3">
      <c r="A2419" s="1">
        <v>46222</v>
      </c>
      <c r="B2419" t="s">
        <v>4076</v>
      </c>
      <c r="C2419" t="s">
        <v>93</v>
      </c>
      <c r="D2419" t="s">
        <v>94</v>
      </c>
      <c r="E2419" t="s">
        <v>8</v>
      </c>
      <c r="F2419" t="s">
        <v>38</v>
      </c>
      <c r="G2419" s="16">
        <v>1779.82</v>
      </c>
      <c r="H2419" s="16">
        <v>2046.7929999999999</v>
      </c>
      <c r="I2419" s="1">
        <v>46222</v>
      </c>
      <c r="J2419">
        <v>37</v>
      </c>
      <c r="K2419" t="s">
        <v>6255</v>
      </c>
      <c r="L2419" t="s">
        <v>7895</v>
      </c>
      <c r="M2419">
        <v>4</v>
      </c>
      <c r="N2419">
        <v>6</v>
      </c>
      <c r="O2419" t="s">
        <v>1036</v>
      </c>
      <c r="P2419" s="17"/>
      <c r="Q2419" s="17" t="str">
        <f>_xlfn.XLOOKUP(Table2[[#This Row],[buyFromVendorNo]],'Next Day Scheduled'!A:A,'Pending Returns'!O:O,"NOT_FOUND")</f>
        <v>Posted Credit Note</v>
      </c>
    </row>
    <row r="2420" spans="1:17" x14ac:dyDescent="0.3">
      <c r="A2420" s="1">
        <v>46222</v>
      </c>
      <c r="B2420" t="s">
        <v>6775</v>
      </c>
      <c r="C2420" t="s">
        <v>773</v>
      </c>
      <c r="D2420" t="s">
        <v>774</v>
      </c>
      <c r="E2420" t="s">
        <v>8</v>
      </c>
      <c r="F2420" t="s">
        <v>169</v>
      </c>
      <c r="G2420" s="16">
        <v>1022.60864</v>
      </c>
      <c r="H2420" s="16">
        <v>1176</v>
      </c>
      <c r="I2420" s="1">
        <v>46218</v>
      </c>
      <c r="J2420">
        <v>37</v>
      </c>
      <c r="K2420" t="s">
        <v>6853</v>
      </c>
      <c r="L2420" t="s">
        <v>7829</v>
      </c>
      <c r="M2420">
        <v>0</v>
      </c>
      <c r="N2420">
        <v>41</v>
      </c>
      <c r="O2420" t="s">
        <v>1036</v>
      </c>
      <c r="P2420" s="17"/>
      <c r="Q2420" s="17" t="str">
        <f>_xlfn.XLOOKUP(Table2[[#This Row],[buyFromVendorNo]],'Next Day Scheduled'!A:A,'Pending Returns'!O:O,"NOT_FOUND")</f>
        <v>NOT_FOUND</v>
      </c>
    </row>
    <row r="2421" spans="1:17" x14ac:dyDescent="0.3">
      <c r="A2421" s="1">
        <v>46222</v>
      </c>
      <c r="B2421" t="s">
        <v>4223</v>
      </c>
      <c r="C2421" t="s">
        <v>122</v>
      </c>
      <c r="D2421" t="s">
        <v>123</v>
      </c>
      <c r="E2421" t="s">
        <v>8</v>
      </c>
      <c r="F2421" t="s">
        <v>10</v>
      </c>
      <c r="G2421" s="16">
        <v>164.25</v>
      </c>
      <c r="H2421" s="16">
        <v>188.88749999999999</v>
      </c>
      <c r="I2421" s="1">
        <v>46221</v>
      </c>
      <c r="J2421">
        <v>37</v>
      </c>
      <c r="K2421" t="s">
        <v>5583</v>
      </c>
      <c r="L2421" t="s">
        <v>7841</v>
      </c>
      <c r="M2421">
        <v>14</v>
      </c>
      <c r="N2421">
        <v>1</v>
      </c>
      <c r="O2421" t="s">
        <v>1036</v>
      </c>
      <c r="P2421" s="17"/>
      <c r="Q2421" s="17" t="str">
        <f>_xlfn.XLOOKUP(Table2[[#This Row],[buyFromVendorNo]],'Next Day Scheduled'!A:A,'Pending Returns'!O:O,"NOT_FOUND")</f>
        <v>NOT_FOUND</v>
      </c>
    </row>
    <row r="2422" spans="1:17" x14ac:dyDescent="0.3">
      <c r="A2422" s="1">
        <v>46222</v>
      </c>
      <c r="B2422" t="s">
        <v>2942</v>
      </c>
      <c r="C2422" t="s">
        <v>191</v>
      </c>
      <c r="D2422" t="s">
        <v>192</v>
      </c>
      <c r="E2422" t="s">
        <v>8</v>
      </c>
      <c r="F2422" t="s">
        <v>10</v>
      </c>
      <c r="G2422" s="16">
        <v>1628.3049000000001</v>
      </c>
      <c r="H2422" s="16">
        <v>1872.5507</v>
      </c>
      <c r="I2422" s="1">
        <v>46214</v>
      </c>
      <c r="J2422">
        <v>37</v>
      </c>
      <c r="K2422" t="s">
        <v>6511</v>
      </c>
      <c r="L2422" t="s">
        <v>7878</v>
      </c>
      <c r="M2422">
        <v>5</v>
      </c>
      <c r="N2422">
        <v>3</v>
      </c>
      <c r="O2422" t="s">
        <v>1036</v>
      </c>
      <c r="P2422" s="17"/>
      <c r="Q2422" s="17" t="str">
        <f>_xlfn.XLOOKUP(Table2[[#This Row],[buyFromVendorNo]],'Next Day Scheduled'!A:A,'Pending Returns'!O:O,"NOT_FOUND")</f>
        <v>NOT_FOUND</v>
      </c>
    </row>
    <row r="2423" spans="1:17" x14ac:dyDescent="0.3">
      <c r="A2423" s="1">
        <v>46222</v>
      </c>
      <c r="B2423" t="s">
        <v>1535</v>
      </c>
      <c r="C2423" t="s">
        <v>349</v>
      </c>
      <c r="D2423" t="s">
        <v>350</v>
      </c>
      <c r="E2423" t="s">
        <v>8</v>
      </c>
      <c r="F2423" t="s">
        <v>38</v>
      </c>
      <c r="G2423" s="16">
        <v>133.69</v>
      </c>
      <c r="H2423" s="16">
        <v>153.74350000000001</v>
      </c>
      <c r="I2423" s="1">
        <v>46223</v>
      </c>
      <c r="J2423">
        <v>37</v>
      </c>
      <c r="K2423" t="s">
        <v>7850</v>
      </c>
      <c r="L2423" t="s">
        <v>7898</v>
      </c>
      <c r="M2423">
        <v>0</v>
      </c>
      <c r="N2423">
        <v>133</v>
      </c>
      <c r="O2423" t="s">
        <v>223</v>
      </c>
      <c r="P2423" s="17"/>
      <c r="Q2423" s="17" t="str">
        <f>_xlfn.XLOOKUP(Table2[[#This Row],[buyFromVendorNo]],'Next Day Scheduled'!A:A,'Pending Returns'!O:O,"NOT_FOUND")</f>
        <v>NOT_FOUND</v>
      </c>
    </row>
    <row r="2424" spans="1:17" x14ac:dyDescent="0.3">
      <c r="A2424" s="1">
        <v>46222</v>
      </c>
      <c r="B2424" t="s">
        <v>5609</v>
      </c>
      <c r="C2424" t="s">
        <v>327</v>
      </c>
      <c r="D2424" t="s">
        <v>328</v>
      </c>
      <c r="E2424" t="s">
        <v>8</v>
      </c>
      <c r="F2424" t="s">
        <v>169</v>
      </c>
      <c r="G2424" s="16">
        <v>4674.82</v>
      </c>
      <c r="H2424" s="16">
        <v>5376.0429999999997</v>
      </c>
      <c r="I2424" s="1">
        <v>46222</v>
      </c>
      <c r="J2424">
        <v>37</v>
      </c>
      <c r="K2424" t="s">
        <v>7664</v>
      </c>
      <c r="L2424" t="s">
        <v>7768</v>
      </c>
      <c r="M2424">
        <v>4</v>
      </c>
      <c r="N2424">
        <v>5</v>
      </c>
      <c r="O2424" t="s">
        <v>1036</v>
      </c>
      <c r="P2424" s="17"/>
      <c r="Q2424" s="17" t="str">
        <f>_xlfn.XLOOKUP(Table2[[#This Row],[buyFromVendorNo]],'Next Day Scheduled'!A:A,'Pending Returns'!O:O,"NOT_FOUND")</f>
        <v>NOT_FOUND</v>
      </c>
    </row>
    <row r="2425" spans="1:17" x14ac:dyDescent="0.3">
      <c r="A2425" s="1">
        <v>46222</v>
      </c>
      <c r="B2425" t="s">
        <v>1775</v>
      </c>
      <c r="C2425" t="s">
        <v>2319</v>
      </c>
      <c r="D2425" t="s">
        <v>2320</v>
      </c>
      <c r="E2425" t="s">
        <v>8</v>
      </c>
      <c r="F2425" t="s">
        <v>10</v>
      </c>
      <c r="G2425" s="16">
        <v>29.23</v>
      </c>
      <c r="H2425" s="16">
        <v>33.6145</v>
      </c>
      <c r="I2425" s="1">
        <v>46214</v>
      </c>
      <c r="J2425">
        <v>37</v>
      </c>
      <c r="K2425" t="s">
        <v>6606</v>
      </c>
      <c r="L2425" t="s">
        <v>7770</v>
      </c>
      <c r="M2425">
        <v>4</v>
      </c>
      <c r="N2425">
        <v>8</v>
      </c>
      <c r="O2425" t="s">
        <v>1036</v>
      </c>
      <c r="P2425" s="17"/>
      <c r="Q2425" s="17" t="str">
        <f>_xlfn.XLOOKUP(Table2[[#This Row],[buyFromVendorNo]],'Next Day Scheduled'!A:A,'Pending Returns'!O:O,"NOT_FOUND")</f>
        <v>NOT_FOUND</v>
      </c>
    </row>
    <row r="2426" spans="1:17" x14ac:dyDescent="0.3">
      <c r="A2426" s="1">
        <v>46222</v>
      </c>
      <c r="B2426" t="s">
        <v>6775</v>
      </c>
      <c r="C2426" t="s">
        <v>201</v>
      </c>
      <c r="D2426" t="s">
        <v>202</v>
      </c>
      <c r="E2426" t="s">
        <v>8</v>
      </c>
      <c r="F2426" t="s">
        <v>169</v>
      </c>
      <c r="G2426" s="16">
        <v>470.47859999999997</v>
      </c>
      <c r="H2426" s="16">
        <v>541.05039999999997</v>
      </c>
      <c r="I2426" s="1">
        <v>46217</v>
      </c>
      <c r="J2426">
        <v>37</v>
      </c>
      <c r="K2426" t="s">
        <v>6795</v>
      </c>
      <c r="L2426" t="s">
        <v>7865</v>
      </c>
      <c r="M2426">
        <v>5</v>
      </c>
      <c r="N2426">
        <v>7</v>
      </c>
      <c r="O2426" t="s">
        <v>1036</v>
      </c>
      <c r="P2426" s="17"/>
      <c r="Q2426" s="17" t="str">
        <f>_xlfn.XLOOKUP(Table2[[#This Row],[buyFromVendorNo]],'Next Day Scheduled'!A:A,'Pending Returns'!O:O,"NOT_FOUND")</f>
        <v>Pending for Collection</v>
      </c>
    </row>
    <row r="2427" spans="1:17" x14ac:dyDescent="0.3">
      <c r="A2427" s="1">
        <v>46222</v>
      </c>
      <c r="B2427" t="s">
        <v>4031</v>
      </c>
      <c r="C2427" t="s">
        <v>201</v>
      </c>
      <c r="D2427" t="s">
        <v>202</v>
      </c>
      <c r="E2427" t="s">
        <v>8</v>
      </c>
      <c r="F2427" t="s">
        <v>169</v>
      </c>
      <c r="G2427" s="16">
        <v>184.52475000000001</v>
      </c>
      <c r="H2427" s="16">
        <v>212.20346000000001</v>
      </c>
      <c r="I2427" s="1">
        <v>46217</v>
      </c>
      <c r="J2427">
        <v>37</v>
      </c>
      <c r="K2427" t="s">
        <v>7112</v>
      </c>
      <c r="L2427" t="s">
        <v>7892</v>
      </c>
      <c r="M2427">
        <v>5</v>
      </c>
      <c r="N2427">
        <v>7</v>
      </c>
      <c r="O2427" t="s">
        <v>1036</v>
      </c>
      <c r="P2427" s="17"/>
      <c r="Q2427" s="17" t="str">
        <f>_xlfn.XLOOKUP(Table2[[#This Row],[buyFromVendorNo]],'Next Day Scheduled'!A:A,'Pending Returns'!O:O,"NOT_FOUND")</f>
        <v>Pending for Collection</v>
      </c>
    </row>
    <row r="2428" spans="1:17" x14ac:dyDescent="0.3">
      <c r="A2428" s="1">
        <v>46222</v>
      </c>
      <c r="B2428" t="s">
        <v>5110</v>
      </c>
      <c r="C2428" t="s">
        <v>2319</v>
      </c>
      <c r="D2428" t="s">
        <v>2320</v>
      </c>
      <c r="E2428" t="s">
        <v>8</v>
      </c>
      <c r="F2428" t="s">
        <v>10</v>
      </c>
      <c r="G2428" s="16">
        <v>125.43</v>
      </c>
      <c r="H2428" s="16">
        <v>144.24449999999999</v>
      </c>
      <c r="I2428" s="1">
        <v>46214</v>
      </c>
      <c r="J2428">
        <v>37</v>
      </c>
      <c r="K2428" t="s">
        <v>5502</v>
      </c>
      <c r="L2428" t="s">
        <v>7766</v>
      </c>
      <c r="M2428">
        <v>4</v>
      </c>
      <c r="N2428">
        <v>8</v>
      </c>
      <c r="O2428" t="s">
        <v>1036</v>
      </c>
      <c r="P2428" s="17"/>
      <c r="Q2428" s="17" t="str">
        <f>_xlfn.XLOOKUP(Table2[[#This Row],[buyFromVendorNo]],'Next Day Scheduled'!A:A,'Pending Returns'!O:O,"NOT_FOUND")</f>
        <v>NOT_FOUND</v>
      </c>
    </row>
    <row r="2429" spans="1:17" x14ac:dyDescent="0.3">
      <c r="A2429" s="1">
        <v>46222</v>
      </c>
      <c r="B2429" t="s">
        <v>7501</v>
      </c>
      <c r="C2429" t="s">
        <v>116</v>
      </c>
      <c r="D2429" t="s">
        <v>117</v>
      </c>
      <c r="E2429" t="s">
        <v>8</v>
      </c>
      <c r="F2429" t="s">
        <v>38</v>
      </c>
      <c r="G2429" s="16">
        <v>3550.7649999999999</v>
      </c>
      <c r="H2429" s="16">
        <v>4083.3796000000002</v>
      </c>
      <c r="I2429" s="1">
        <v>46222</v>
      </c>
      <c r="J2429">
        <v>37</v>
      </c>
      <c r="K2429" t="s">
        <v>7451</v>
      </c>
      <c r="L2429" t="s">
        <v>7767</v>
      </c>
      <c r="M2429">
        <v>5</v>
      </c>
      <c r="N2429">
        <v>2</v>
      </c>
      <c r="O2429" t="s">
        <v>1036</v>
      </c>
      <c r="P2429" s="17"/>
      <c r="Q2429" s="17" t="str">
        <f>_xlfn.XLOOKUP(Table2[[#This Row],[buyFromVendorNo]],'Next Day Scheduled'!A:A,'Pending Returns'!O:O,"NOT_FOUND")</f>
        <v>NOT_FOUND</v>
      </c>
    </row>
    <row r="2430" spans="1:17" x14ac:dyDescent="0.3">
      <c r="A2430" s="1">
        <v>46222</v>
      </c>
      <c r="B2430" t="s">
        <v>551</v>
      </c>
      <c r="C2430" t="s">
        <v>349</v>
      </c>
      <c r="D2430" t="s">
        <v>350</v>
      </c>
      <c r="E2430" t="s">
        <v>8</v>
      </c>
      <c r="F2430" t="s">
        <v>38</v>
      </c>
      <c r="G2430" s="16">
        <v>174.78</v>
      </c>
      <c r="H2430" s="16">
        <v>200.99700000000001</v>
      </c>
      <c r="I2430" s="1">
        <v>46223</v>
      </c>
      <c r="J2430">
        <v>37</v>
      </c>
      <c r="K2430" t="s">
        <v>6753</v>
      </c>
      <c r="L2430" t="s">
        <v>7873</v>
      </c>
      <c r="M2430">
        <v>0</v>
      </c>
      <c r="N2430">
        <v>133</v>
      </c>
      <c r="O2430" t="s">
        <v>223</v>
      </c>
      <c r="P2430" s="17"/>
      <c r="Q2430" s="17" t="str">
        <f>_xlfn.XLOOKUP(Table2[[#This Row],[buyFromVendorNo]],'Next Day Scheduled'!A:A,'Pending Returns'!O:O,"NOT_FOUND")</f>
        <v>NOT_FOUND</v>
      </c>
    </row>
    <row r="2431" spans="1:17" x14ac:dyDescent="0.3">
      <c r="A2431" s="1">
        <v>46222</v>
      </c>
      <c r="B2431" t="s">
        <v>5459</v>
      </c>
      <c r="C2431" t="s">
        <v>2298</v>
      </c>
      <c r="D2431" t="s">
        <v>2299</v>
      </c>
      <c r="E2431" t="s">
        <v>8</v>
      </c>
      <c r="F2431" t="s">
        <v>10</v>
      </c>
      <c r="G2431" s="16">
        <v>186.83510999999999</v>
      </c>
      <c r="H2431" s="16">
        <v>214.8604</v>
      </c>
      <c r="I2431" s="1">
        <v>46216</v>
      </c>
      <c r="J2431">
        <v>37</v>
      </c>
      <c r="K2431" t="s">
        <v>5460</v>
      </c>
      <c r="L2431" t="s">
        <v>7906</v>
      </c>
      <c r="M2431">
        <v>5</v>
      </c>
      <c r="N2431">
        <v>7</v>
      </c>
      <c r="O2431" t="s">
        <v>1036</v>
      </c>
      <c r="P2431" s="17"/>
      <c r="Q2431" s="17" t="str">
        <f>_xlfn.XLOOKUP(Table2[[#This Row],[buyFromVendorNo]],'Next Day Scheduled'!A:A,'Pending Returns'!O:O,"NOT_FOUND")</f>
        <v>NOT_FOUND</v>
      </c>
    </row>
    <row r="2432" spans="1:17" x14ac:dyDescent="0.3">
      <c r="A2432" s="1">
        <v>46222</v>
      </c>
      <c r="B2432" t="s">
        <v>3285</v>
      </c>
      <c r="C2432" t="s">
        <v>2269</v>
      </c>
      <c r="D2432" t="s">
        <v>2270</v>
      </c>
      <c r="E2432" t="s">
        <v>8</v>
      </c>
      <c r="F2432" t="s">
        <v>10</v>
      </c>
      <c r="G2432" s="16">
        <v>1035.4822999999999</v>
      </c>
      <c r="H2432" s="16">
        <v>1190.8046999999999</v>
      </c>
      <c r="I2432" s="1">
        <v>46216</v>
      </c>
      <c r="J2432">
        <v>37</v>
      </c>
      <c r="K2432" t="s">
        <v>7173</v>
      </c>
      <c r="L2432" t="s">
        <v>7808</v>
      </c>
      <c r="M2432">
        <v>0</v>
      </c>
      <c r="N2432">
        <v>64</v>
      </c>
      <c r="O2432" t="s">
        <v>1036</v>
      </c>
      <c r="P2432" s="17"/>
      <c r="Q2432" s="17" t="str">
        <f>_xlfn.XLOOKUP(Table2[[#This Row],[buyFromVendorNo]],'Next Day Scheduled'!A:A,'Pending Returns'!O:O,"NOT_FOUND")</f>
        <v>NOT_FOUND</v>
      </c>
    </row>
    <row r="2433" spans="1:17" x14ac:dyDescent="0.3">
      <c r="A2433" s="1">
        <v>46222</v>
      </c>
      <c r="B2433" t="s">
        <v>7809</v>
      </c>
      <c r="C2433" t="s">
        <v>7245</v>
      </c>
      <c r="D2433" t="s">
        <v>7246</v>
      </c>
      <c r="E2433" t="s">
        <v>8</v>
      </c>
      <c r="F2433" t="s">
        <v>10</v>
      </c>
      <c r="G2433" s="16">
        <v>242.2</v>
      </c>
      <c r="H2433" s="16">
        <v>278.52999999999997</v>
      </c>
      <c r="J2433">
        <v>37</v>
      </c>
      <c r="K2433" t="s">
        <v>7810</v>
      </c>
      <c r="M2433">
        <v>0</v>
      </c>
      <c r="N2433">
        <v>164</v>
      </c>
      <c r="O2433" t="s">
        <v>216</v>
      </c>
      <c r="P2433" s="17"/>
      <c r="Q2433" s="17" t="str">
        <f>_xlfn.XLOOKUP(Table2[[#This Row],[buyFromVendorNo]],'Next Day Scheduled'!A:A,'Pending Returns'!O:O,"NOT_FOUND")</f>
        <v>NOT_FOUND</v>
      </c>
    </row>
    <row r="2434" spans="1:17" x14ac:dyDescent="0.3">
      <c r="A2434" s="1">
        <v>46222</v>
      </c>
      <c r="B2434" t="s">
        <v>6286</v>
      </c>
      <c r="C2434" t="s">
        <v>435</v>
      </c>
      <c r="D2434" t="s">
        <v>436</v>
      </c>
      <c r="E2434" t="s">
        <v>8</v>
      </c>
      <c r="F2434" t="s">
        <v>38</v>
      </c>
      <c r="G2434" s="16">
        <v>47.32</v>
      </c>
      <c r="H2434" s="16">
        <v>54.417999999999999</v>
      </c>
      <c r="I2434" s="1">
        <v>46218</v>
      </c>
      <c r="J2434">
        <v>37</v>
      </c>
      <c r="K2434" t="s">
        <v>6287</v>
      </c>
      <c r="L2434" t="s">
        <v>7881</v>
      </c>
      <c r="M2434">
        <v>2</v>
      </c>
      <c r="N2434">
        <v>2</v>
      </c>
      <c r="O2434" t="s">
        <v>1036</v>
      </c>
      <c r="P2434" s="17"/>
      <c r="Q2434" s="17" t="str">
        <f>_xlfn.XLOOKUP(Table2[[#This Row],[buyFromVendorNo]],'Next Day Scheduled'!A:A,'Pending Returns'!O:O,"NOT_FOUND")</f>
        <v>NOT_FOUND</v>
      </c>
    </row>
    <row r="2435" spans="1:17" x14ac:dyDescent="0.3">
      <c r="A2435" s="1">
        <v>46222</v>
      </c>
      <c r="B2435" t="s">
        <v>4045</v>
      </c>
      <c r="C2435" t="s">
        <v>1099</v>
      </c>
      <c r="D2435" t="s">
        <v>1100</v>
      </c>
      <c r="E2435" t="s">
        <v>8</v>
      </c>
      <c r="F2435" t="s">
        <v>38</v>
      </c>
      <c r="G2435" s="16">
        <v>978.59</v>
      </c>
      <c r="H2435" s="16">
        <v>1125.3785</v>
      </c>
      <c r="I2435" s="1">
        <v>46222</v>
      </c>
      <c r="J2435">
        <v>37</v>
      </c>
      <c r="K2435" t="s">
        <v>6644</v>
      </c>
      <c r="L2435" t="s">
        <v>7771</v>
      </c>
      <c r="M2435">
        <v>4</v>
      </c>
      <c r="N2435">
        <v>5</v>
      </c>
      <c r="O2435" t="s">
        <v>1036</v>
      </c>
      <c r="P2435" s="17"/>
      <c r="Q2435" s="17" t="str">
        <f>_xlfn.XLOOKUP(Table2[[#This Row],[buyFromVendorNo]],'Next Day Scheduled'!A:A,'Pending Returns'!O:O,"NOT_FOUND")</f>
        <v>NOT_FOUND</v>
      </c>
    </row>
    <row r="2436" spans="1:17" x14ac:dyDescent="0.3">
      <c r="A2436" s="1">
        <v>46222</v>
      </c>
      <c r="B2436" t="s">
        <v>3371</v>
      </c>
      <c r="C2436" t="s">
        <v>104</v>
      </c>
      <c r="D2436" t="s">
        <v>105</v>
      </c>
      <c r="E2436" t="s">
        <v>8</v>
      </c>
      <c r="F2436" t="s">
        <v>10</v>
      </c>
      <c r="G2436" s="16">
        <v>180.26</v>
      </c>
      <c r="H2436" s="16">
        <v>207.29900000000001</v>
      </c>
      <c r="I2436" s="1">
        <v>46219</v>
      </c>
      <c r="J2436">
        <v>37</v>
      </c>
      <c r="K2436" t="s">
        <v>3214</v>
      </c>
      <c r="L2436" t="s">
        <v>7769</v>
      </c>
      <c r="M2436">
        <v>5</v>
      </c>
      <c r="N2436">
        <v>6</v>
      </c>
      <c r="O2436" t="s">
        <v>1036</v>
      </c>
      <c r="P2436" s="17"/>
      <c r="Q2436" s="17" t="str">
        <f>_xlfn.XLOOKUP(Table2[[#This Row],[buyFromVendorNo]],'Next Day Scheduled'!A:A,'Pending Returns'!O:O,"NOT_FOUND")</f>
        <v>NOT_FOUND</v>
      </c>
    </row>
    <row r="2437" spans="1:17" x14ac:dyDescent="0.3">
      <c r="A2437" s="1">
        <v>46222</v>
      </c>
      <c r="B2437" t="s">
        <v>2002</v>
      </c>
      <c r="C2437" t="s">
        <v>191</v>
      </c>
      <c r="D2437" t="s">
        <v>192</v>
      </c>
      <c r="E2437" t="s">
        <v>8</v>
      </c>
      <c r="F2437" t="s">
        <v>10</v>
      </c>
      <c r="G2437" s="16">
        <v>4101.3184000000001</v>
      </c>
      <c r="H2437" s="16">
        <v>4716.5159999999996</v>
      </c>
      <c r="I2437" s="1">
        <v>46214</v>
      </c>
      <c r="J2437">
        <v>37</v>
      </c>
      <c r="K2437" t="s">
        <v>6732</v>
      </c>
      <c r="L2437" t="s">
        <v>7840</v>
      </c>
      <c r="M2437">
        <v>5</v>
      </c>
      <c r="N2437">
        <v>3</v>
      </c>
      <c r="O2437" t="s">
        <v>1036</v>
      </c>
      <c r="P2437" s="17"/>
      <c r="Q2437" s="17" t="str">
        <f>_xlfn.XLOOKUP(Table2[[#This Row],[buyFromVendorNo]],'Next Day Scheduled'!A:A,'Pending Returns'!O:O,"NOT_FOUND")</f>
        <v>NOT_FOUND</v>
      </c>
    </row>
    <row r="2438" spans="1:17" x14ac:dyDescent="0.3">
      <c r="A2438" s="1">
        <v>46222</v>
      </c>
      <c r="B2438" t="s">
        <v>3715</v>
      </c>
      <c r="C2438" t="s">
        <v>65</v>
      </c>
      <c r="D2438" t="s">
        <v>66</v>
      </c>
      <c r="E2438" t="s">
        <v>8</v>
      </c>
      <c r="F2438" t="s">
        <v>169</v>
      </c>
      <c r="G2438" s="16">
        <v>1614.7650000000001</v>
      </c>
      <c r="H2438" s="16">
        <v>1856.9797000000001</v>
      </c>
      <c r="I2438" s="1">
        <v>46218</v>
      </c>
      <c r="J2438">
        <v>37</v>
      </c>
      <c r="K2438" t="s">
        <v>7230</v>
      </c>
      <c r="L2438" t="s">
        <v>7875</v>
      </c>
      <c r="M2438">
        <v>10</v>
      </c>
      <c r="N2438">
        <v>5</v>
      </c>
      <c r="O2438" t="s">
        <v>1036</v>
      </c>
      <c r="P2438" s="17"/>
      <c r="Q2438" s="17" t="str">
        <f>_xlfn.XLOOKUP(Table2[[#This Row],[buyFromVendorNo]],'Next Day Scheduled'!A:A,'Pending Returns'!O:O,"NOT_FOUND")</f>
        <v>Posted Credit Note</v>
      </c>
    </row>
    <row r="2439" spans="1:17" x14ac:dyDescent="0.3">
      <c r="A2439" s="1">
        <v>46222</v>
      </c>
      <c r="B2439" t="s">
        <v>2859</v>
      </c>
      <c r="C2439" t="s">
        <v>776</v>
      </c>
      <c r="D2439" t="s">
        <v>777</v>
      </c>
      <c r="E2439" t="s">
        <v>8</v>
      </c>
      <c r="F2439" t="s">
        <v>10</v>
      </c>
      <c r="G2439" s="16">
        <v>212.69</v>
      </c>
      <c r="H2439" s="16">
        <v>244.59350000000001</v>
      </c>
      <c r="I2439" s="1">
        <v>46219</v>
      </c>
      <c r="J2439">
        <v>37</v>
      </c>
      <c r="K2439" t="s">
        <v>7100</v>
      </c>
      <c r="L2439" t="s">
        <v>7831</v>
      </c>
      <c r="M2439">
        <v>14</v>
      </c>
      <c r="N2439">
        <v>2</v>
      </c>
      <c r="O2439" t="s">
        <v>1036</v>
      </c>
      <c r="P2439" s="17"/>
      <c r="Q2439" s="17" t="str">
        <f>_xlfn.XLOOKUP(Table2[[#This Row],[buyFromVendorNo]],'Next Day Scheduled'!A:A,'Pending Returns'!O:O,"NOT_FOUND")</f>
        <v>Posted Credit Note</v>
      </c>
    </row>
    <row r="2440" spans="1:17" x14ac:dyDescent="0.3">
      <c r="A2440" s="1">
        <v>46222</v>
      </c>
      <c r="B2440" t="s">
        <v>6640</v>
      </c>
      <c r="C2440" t="s">
        <v>93</v>
      </c>
      <c r="D2440" t="s">
        <v>94</v>
      </c>
      <c r="E2440" t="s">
        <v>8</v>
      </c>
      <c r="F2440" t="s">
        <v>38</v>
      </c>
      <c r="G2440" s="16">
        <v>18491.45</v>
      </c>
      <c r="H2440" s="16">
        <v>21265.166000000001</v>
      </c>
      <c r="I2440" s="1">
        <v>46222</v>
      </c>
      <c r="J2440">
        <v>37</v>
      </c>
      <c r="K2440" t="s">
        <v>7448</v>
      </c>
      <c r="L2440" t="s">
        <v>7899</v>
      </c>
      <c r="M2440">
        <v>4</v>
      </c>
      <c r="N2440">
        <v>6</v>
      </c>
      <c r="O2440" t="s">
        <v>1036</v>
      </c>
      <c r="P2440" s="17"/>
      <c r="Q2440" s="17" t="str">
        <f>_xlfn.XLOOKUP(Table2[[#This Row],[buyFromVendorNo]],'Next Day Scheduled'!A:A,'Pending Returns'!O:O,"NOT_FOUND")</f>
        <v>Posted Credit Note</v>
      </c>
    </row>
    <row r="2441" spans="1:17" x14ac:dyDescent="0.3">
      <c r="A2441" s="1">
        <v>46222</v>
      </c>
      <c r="B2441" t="s">
        <v>3037</v>
      </c>
      <c r="C2441" t="s">
        <v>93</v>
      </c>
      <c r="D2441" t="s">
        <v>94</v>
      </c>
      <c r="E2441" t="s">
        <v>8</v>
      </c>
      <c r="F2441" t="s">
        <v>38</v>
      </c>
      <c r="G2441" s="16">
        <v>2729.2049999999999</v>
      </c>
      <c r="H2441" s="16">
        <v>3138.5857000000001</v>
      </c>
      <c r="I2441" s="1">
        <v>46222</v>
      </c>
      <c r="J2441">
        <v>37</v>
      </c>
      <c r="K2441" t="s">
        <v>6521</v>
      </c>
      <c r="L2441" t="s">
        <v>7900</v>
      </c>
      <c r="M2441">
        <v>4</v>
      </c>
      <c r="N2441">
        <v>6</v>
      </c>
      <c r="O2441" t="s">
        <v>1036</v>
      </c>
      <c r="P2441" s="17"/>
      <c r="Q2441" s="17" t="str">
        <f>_xlfn.XLOOKUP(Table2[[#This Row],[buyFromVendorNo]],'Next Day Scheduled'!A:A,'Pending Returns'!O:O,"NOT_FOUND")</f>
        <v>Posted Credit Note</v>
      </c>
    </row>
    <row r="2442" spans="1:17" x14ac:dyDescent="0.3">
      <c r="A2442" s="1">
        <v>46222</v>
      </c>
      <c r="B2442" t="s">
        <v>2659</v>
      </c>
      <c r="C2442" t="s">
        <v>104</v>
      </c>
      <c r="D2442" t="s">
        <v>105</v>
      </c>
      <c r="E2442" t="s">
        <v>8</v>
      </c>
      <c r="F2442" t="s">
        <v>10</v>
      </c>
      <c r="G2442" s="16">
        <v>1641.12</v>
      </c>
      <c r="H2442" s="16">
        <v>1887.288</v>
      </c>
      <c r="I2442" s="1">
        <v>46219</v>
      </c>
      <c r="J2442">
        <v>37</v>
      </c>
      <c r="K2442" t="s">
        <v>2660</v>
      </c>
      <c r="L2442" t="s">
        <v>7832</v>
      </c>
      <c r="M2442">
        <v>5</v>
      </c>
      <c r="N2442">
        <v>6</v>
      </c>
      <c r="O2442" t="s">
        <v>1036</v>
      </c>
      <c r="P2442" s="17"/>
      <c r="Q2442" s="17" t="str">
        <f>_xlfn.XLOOKUP(Table2[[#This Row],[buyFromVendorNo]],'Next Day Scheduled'!A:A,'Pending Returns'!O:O,"NOT_FOUND")</f>
        <v>NOT_FOUND</v>
      </c>
    </row>
    <row r="2443" spans="1:17" x14ac:dyDescent="0.3">
      <c r="A2443" s="1">
        <v>46222</v>
      </c>
      <c r="B2443" t="s">
        <v>642</v>
      </c>
      <c r="C2443" t="s">
        <v>1161</v>
      </c>
      <c r="D2443" t="s">
        <v>1162</v>
      </c>
      <c r="E2443" t="s">
        <v>8</v>
      </c>
      <c r="F2443" t="s">
        <v>38</v>
      </c>
      <c r="G2443" s="16">
        <v>5505.88</v>
      </c>
      <c r="H2443" s="16">
        <v>6331.7619999999997</v>
      </c>
      <c r="I2443" s="1">
        <v>46221</v>
      </c>
      <c r="J2443">
        <v>37</v>
      </c>
      <c r="K2443" t="s">
        <v>7510</v>
      </c>
      <c r="L2443" t="s">
        <v>7860</v>
      </c>
      <c r="M2443">
        <v>4</v>
      </c>
      <c r="N2443">
        <v>7</v>
      </c>
      <c r="O2443" t="s">
        <v>1036</v>
      </c>
      <c r="P2443" s="17"/>
      <c r="Q2443" s="17" t="str">
        <f>_xlfn.XLOOKUP(Table2[[#This Row],[buyFromVendorNo]],'Next Day Scheduled'!A:A,'Pending Returns'!O:O,"NOT_FOUND")</f>
        <v>NOT_FOUND</v>
      </c>
    </row>
    <row r="2444" spans="1:17" x14ac:dyDescent="0.3">
      <c r="A2444" s="1">
        <v>46222</v>
      </c>
      <c r="B2444" t="s">
        <v>2213</v>
      </c>
      <c r="C2444" t="s">
        <v>2775</v>
      </c>
      <c r="D2444" t="s">
        <v>2776</v>
      </c>
      <c r="E2444" t="s">
        <v>8</v>
      </c>
      <c r="F2444" t="s">
        <v>10</v>
      </c>
      <c r="G2444" s="16">
        <v>34.570810000000002</v>
      </c>
      <c r="H2444" s="16">
        <v>39.756419999999999</v>
      </c>
      <c r="I2444" s="1">
        <v>46219</v>
      </c>
      <c r="J2444">
        <v>37</v>
      </c>
      <c r="K2444" t="s">
        <v>7207</v>
      </c>
      <c r="L2444" t="s">
        <v>7835</v>
      </c>
      <c r="M2444">
        <v>5</v>
      </c>
      <c r="N2444">
        <v>6</v>
      </c>
      <c r="O2444" t="s">
        <v>1036</v>
      </c>
      <c r="P2444" s="17"/>
      <c r="Q2444" s="17" t="str">
        <f>_xlfn.XLOOKUP(Table2[[#This Row],[buyFromVendorNo]],'Next Day Scheduled'!A:A,'Pending Returns'!O:O,"NOT_FOUND")</f>
        <v>NOT_FOUND</v>
      </c>
    </row>
    <row r="2445" spans="1:17" x14ac:dyDescent="0.3">
      <c r="A2445" s="1">
        <v>46222</v>
      </c>
      <c r="B2445" t="s">
        <v>3700</v>
      </c>
      <c r="C2445" t="s">
        <v>188</v>
      </c>
      <c r="D2445" t="s">
        <v>189</v>
      </c>
      <c r="E2445" t="s">
        <v>8</v>
      </c>
      <c r="F2445" t="s">
        <v>10</v>
      </c>
      <c r="G2445" s="16">
        <v>87.083259999999996</v>
      </c>
      <c r="H2445" s="16">
        <v>100.14575000000001</v>
      </c>
      <c r="J2445">
        <v>37</v>
      </c>
      <c r="K2445" t="s">
        <v>7845</v>
      </c>
      <c r="M2445">
        <v>0</v>
      </c>
      <c r="N2445">
        <v>607</v>
      </c>
      <c r="O2445" t="s">
        <v>216</v>
      </c>
      <c r="P2445" s="17"/>
      <c r="Q2445" s="17" t="str">
        <f>_xlfn.XLOOKUP(Table2[[#This Row],[buyFromVendorNo]],'Next Day Scheduled'!A:A,'Pending Returns'!O:O,"NOT_FOUND")</f>
        <v>NOT_FOUND</v>
      </c>
    </row>
    <row r="2446" spans="1:17" x14ac:dyDescent="0.3">
      <c r="A2446" s="1">
        <v>46222</v>
      </c>
      <c r="B2446" t="s">
        <v>5243</v>
      </c>
      <c r="C2446" t="s">
        <v>2319</v>
      </c>
      <c r="D2446" t="s">
        <v>2320</v>
      </c>
      <c r="E2446" t="s">
        <v>8</v>
      </c>
      <c r="F2446" t="s">
        <v>10</v>
      </c>
      <c r="G2446" s="16">
        <v>540.17999999999995</v>
      </c>
      <c r="H2446" s="16">
        <v>621.20699999999999</v>
      </c>
      <c r="I2446" s="1">
        <v>46214</v>
      </c>
      <c r="J2446">
        <v>37</v>
      </c>
      <c r="K2446" t="s">
        <v>5244</v>
      </c>
      <c r="L2446" t="s">
        <v>7772</v>
      </c>
      <c r="M2446">
        <v>4</v>
      </c>
      <c r="N2446">
        <v>8</v>
      </c>
      <c r="O2446" t="s">
        <v>1036</v>
      </c>
      <c r="P2446" s="17"/>
      <c r="Q2446" s="17" t="str">
        <f>_xlfn.XLOOKUP(Table2[[#This Row],[buyFromVendorNo]],'Next Day Scheduled'!A:A,'Pending Returns'!O:O,"NOT_FOUND")</f>
        <v>NOT_FOUND</v>
      </c>
    </row>
    <row r="2447" spans="1:17" x14ac:dyDescent="0.3">
      <c r="A2447" s="1">
        <v>46222</v>
      </c>
      <c r="B2447" t="s">
        <v>606</v>
      </c>
      <c r="C2447" t="s">
        <v>2367</v>
      </c>
      <c r="D2447" t="s">
        <v>2368</v>
      </c>
      <c r="E2447" t="s">
        <v>8</v>
      </c>
      <c r="F2447" t="s">
        <v>10</v>
      </c>
      <c r="G2447" s="16">
        <v>260.86799999999999</v>
      </c>
      <c r="H2447" s="16">
        <v>299.9982</v>
      </c>
      <c r="I2447" s="1">
        <v>46207</v>
      </c>
      <c r="J2447">
        <v>37</v>
      </c>
      <c r="K2447" t="s">
        <v>5034</v>
      </c>
      <c r="L2447" t="s">
        <v>7814</v>
      </c>
      <c r="M2447">
        <v>5</v>
      </c>
      <c r="N2447">
        <v>12</v>
      </c>
      <c r="O2447" t="s">
        <v>1036</v>
      </c>
      <c r="P2447" s="17"/>
      <c r="Q2447" s="17" t="str">
        <f>_xlfn.XLOOKUP(Table2[[#This Row],[buyFromVendorNo]],'Next Day Scheduled'!A:A,'Pending Returns'!O:O,"NOT_FOUND")</f>
        <v>NOT_FOUND</v>
      </c>
    </row>
    <row r="2448" spans="1:17" x14ac:dyDescent="0.3">
      <c r="A2448" s="1">
        <v>46222</v>
      </c>
      <c r="B2448" t="s">
        <v>3355</v>
      </c>
      <c r="C2448" t="s">
        <v>173</v>
      </c>
      <c r="D2448" t="s">
        <v>174</v>
      </c>
      <c r="E2448" t="s">
        <v>8</v>
      </c>
      <c r="F2448" t="s">
        <v>10</v>
      </c>
      <c r="G2448" s="16">
        <v>59.3</v>
      </c>
      <c r="H2448" s="16">
        <v>68.194999999999993</v>
      </c>
      <c r="J2448">
        <v>37</v>
      </c>
      <c r="K2448" t="s">
        <v>7853</v>
      </c>
      <c r="M2448">
        <v>12</v>
      </c>
      <c r="N2448">
        <v>1</v>
      </c>
      <c r="O2448" t="s">
        <v>216</v>
      </c>
      <c r="P2448" s="17"/>
      <c r="Q2448" s="17" t="str">
        <f>_xlfn.XLOOKUP(Table2[[#This Row],[buyFromVendorNo]],'Next Day Scheduled'!A:A,'Pending Returns'!O:O,"NOT_FOUND")</f>
        <v>NOT_FOUND</v>
      </c>
    </row>
    <row r="2449" spans="1:17" x14ac:dyDescent="0.3">
      <c r="A2449" s="1">
        <v>46222</v>
      </c>
      <c r="B2449" t="s">
        <v>4397</v>
      </c>
      <c r="C2449" t="s">
        <v>104</v>
      </c>
      <c r="D2449" t="s">
        <v>105</v>
      </c>
      <c r="E2449" t="s">
        <v>8</v>
      </c>
      <c r="F2449" t="s">
        <v>10</v>
      </c>
      <c r="G2449" s="16">
        <v>1644.65</v>
      </c>
      <c r="H2449" s="16">
        <v>1891.3475000000001</v>
      </c>
      <c r="I2449" s="1">
        <v>46219</v>
      </c>
      <c r="J2449">
        <v>37</v>
      </c>
      <c r="K2449" t="s">
        <v>4061</v>
      </c>
      <c r="L2449" t="s">
        <v>7830</v>
      </c>
      <c r="M2449">
        <v>5</v>
      </c>
      <c r="N2449">
        <v>6</v>
      </c>
      <c r="O2449" t="s">
        <v>1036</v>
      </c>
      <c r="P2449" s="17"/>
      <c r="Q2449" s="17" t="str">
        <f>_xlfn.XLOOKUP(Table2[[#This Row],[buyFromVendorNo]],'Next Day Scheduled'!A:A,'Pending Returns'!O:O,"NOT_FOUND")</f>
        <v>NOT_FOUND</v>
      </c>
    </row>
    <row r="2450" spans="1:17" x14ac:dyDescent="0.3">
      <c r="A2450" s="1">
        <v>46222</v>
      </c>
      <c r="B2450" t="s">
        <v>7854</v>
      </c>
      <c r="C2450" t="s">
        <v>804</v>
      </c>
      <c r="D2450" t="s">
        <v>805</v>
      </c>
      <c r="E2450" t="s">
        <v>8</v>
      </c>
      <c r="F2450" t="s">
        <v>10</v>
      </c>
      <c r="G2450" s="16">
        <v>58.86</v>
      </c>
      <c r="H2450" s="16">
        <v>67.688999999999993</v>
      </c>
      <c r="J2450">
        <v>37</v>
      </c>
      <c r="K2450" t="s">
        <v>7855</v>
      </c>
      <c r="M2450">
        <v>0</v>
      </c>
      <c r="N2450">
        <v>206</v>
      </c>
      <c r="O2450" t="s">
        <v>216</v>
      </c>
      <c r="P2450" s="17"/>
      <c r="Q2450" s="17" t="str">
        <f>_xlfn.XLOOKUP(Table2[[#This Row],[buyFromVendorNo]],'Next Day Scheduled'!A:A,'Pending Returns'!O:O,"NOT_FOUND")</f>
        <v>NOT_FOUND</v>
      </c>
    </row>
    <row r="2451" spans="1:17" x14ac:dyDescent="0.3">
      <c r="A2451" s="1">
        <v>46222</v>
      </c>
      <c r="B2451" t="s">
        <v>2006</v>
      </c>
      <c r="C2451" t="s">
        <v>776</v>
      </c>
      <c r="D2451" t="s">
        <v>777</v>
      </c>
      <c r="E2451" t="s">
        <v>8</v>
      </c>
      <c r="F2451" t="s">
        <v>10</v>
      </c>
      <c r="G2451" s="16">
        <v>151.41</v>
      </c>
      <c r="H2451" s="16">
        <v>174.1215</v>
      </c>
      <c r="I2451" s="1">
        <v>46219</v>
      </c>
      <c r="J2451">
        <v>37</v>
      </c>
      <c r="K2451" t="s">
        <v>7508</v>
      </c>
      <c r="L2451" t="s">
        <v>7818</v>
      </c>
      <c r="M2451">
        <v>14</v>
      </c>
      <c r="N2451">
        <v>2</v>
      </c>
      <c r="O2451" t="s">
        <v>1036</v>
      </c>
      <c r="P2451" s="17"/>
      <c r="Q2451" s="17" t="str">
        <f>_xlfn.XLOOKUP(Table2[[#This Row],[buyFromVendorNo]],'Next Day Scheduled'!A:A,'Pending Returns'!O:O,"NOT_FOUND")</f>
        <v>Posted Credit Note</v>
      </c>
    </row>
    <row r="2452" spans="1:17" x14ac:dyDescent="0.3">
      <c r="A2452" s="1">
        <v>46222</v>
      </c>
      <c r="B2452" t="s">
        <v>1098</v>
      </c>
      <c r="C2452" t="s">
        <v>808</v>
      </c>
      <c r="D2452" t="s">
        <v>904</v>
      </c>
      <c r="E2452" t="s">
        <v>8</v>
      </c>
      <c r="F2452" t="s">
        <v>38</v>
      </c>
      <c r="G2452" s="16">
        <v>1173.9915000000001</v>
      </c>
      <c r="H2452" s="16">
        <v>1350.0902000000001</v>
      </c>
      <c r="I2452" s="1">
        <v>46217</v>
      </c>
      <c r="J2452">
        <v>37</v>
      </c>
      <c r="K2452" t="s">
        <v>7405</v>
      </c>
      <c r="L2452" t="s">
        <v>7817</v>
      </c>
      <c r="M2452">
        <v>8</v>
      </c>
      <c r="N2452">
        <v>2</v>
      </c>
      <c r="O2452" t="s">
        <v>1036</v>
      </c>
      <c r="P2452" s="17"/>
      <c r="Q2452" s="17" t="str">
        <f>_xlfn.XLOOKUP(Table2[[#This Row],[buyFromVendorNo]],'Next Day Scheduled'!A:A,'Pending Returns'!O:O,"NOT_FOUND")</f>
        <v>NOT_FOUND</v>
      </c>
    </row>
    <row r="2453" spans="1:17" x14ac:dyDescent="0.3">
      <c r="A2453" s="1">
        <v>46222</v>
      </c>
      <c r="B2453" t="s">
        <v>3401</v>
      </c>
      <c r="C2453" t="s">
        <v>122</v>
      </c>
      <c r="D2453" t="s">
        <v>123</v>
      </c>
      <c r="E2453" t="s">
        <v>8</v>
      </c>
      <c r="F2453" t="s">
        <v>10</v>
      </c>
      <c r="G2453" s="16">
        <v>1008.98</v>
      </c>
      <c r="H2453" s="16">
        <v>1160.327</v>
      </c>
      <c r="I2453" s="1">
        <v>46221</v>
      </c>
      <c r="J2453">
        <v>37</v>
      </c>
      <c r="K2453" t="s">
        <v>7235</v>
      </c>
      <c r="L2453" t="s">
        <v>7858</v>
      </c>
      <c r="M2453">
        <v>14</v>
      </c>
      <c r="N2453">
        <v>1</v>
      </c>
      <c r="O2453" t="s">
        <v>1036</v>
      </c>
      <c r="P2453" s="17"/>
      <c r="Q2453" s="17" t="str">
        <f>_xlfn.XLOOKUP(Table2[[#This Row],[buyFromVendorNo]],'Next Day Scheduled'!A:A,'Pending Returns'!O:O,"NOT_FOUND")</f>
        <v>NOT_FOUND</v>
      </c>
    </row>
    <row r="2454" spans="1:17" x14ac:dyDescent="0.3">
      <c r="A2454" s="1">
        <v>46222</v>
      </c>
      <c r="B2454" t="s">
        <v>2556</v>
      </c>
      <c r="C2454" t="s">
        <v>93</v>
      </c>
      <c r="D2454" t="s">
        <v>94</v>
      </c>
      <c r="E2454" t="s">
        <v>8</v>
      </c>
      <c r="F2454" t="s">
        <v>38</v>
      </c>
      <c r="G2454" s="16">
        <v>6223.4579999999996</v>
      </c>
      <c r="H2454" s="16">
        <v>7156.9766</v>
      </c>
      <c r="I2454" s="1">
        <v>46222</v>
      </c>
      <c r="J2454">
        <v>37</v>
      </c>
      <c r="K2454" t="s">
        <v>6945</v>
      </c>
      <c r="L2454" t="s">
        <v>7868</v>
      </c>
      <c r="M2454">
        <v>4</v>
      </c>
      <c r="N2454">
        <v>6</v>
      </c>
      <c r="O2454" t="s">
        <v>1036</v>
      </c>
      <c r="P2454" s="17"/>
      <c r="Q2454" s="17" t="str">
        <f>_xlfn.XLOOKUP(Table2[[#This Row],[buyFromVendorNo]],'Next Day Scheduled'!A:A,'Pending Returns'!O:O,"NOT_FOUND")</f>
        <v>Posted Credit Note</v>
      </c>
    </row>
    <row r="2455" spans="1:17" x14ac:dyDescent="0.3">
      <c r="A2455" s="1">
        <v>46222</v>
      </c>
      <c r="B2455" t="s">
        <v>2524</v>
      </c>
      <c r="C2455" t="s">
        <v>381</v>
      </c>
      <c r="D2455" t="s">
        <v>382</v>
      </c>
      <c r="E2455" t="s">
        <v>8</v>
      </c>
      <c r="F2455" t="s">
        <v>10</v>
      </c>
      <c r="G2455" s="16">
        <v>181.75</v>
      </c>
      <c r="H2455" s="16">
        <v>209.01249999999999</v>
      </c>
      <c r="I2455" s="1">
        <v>46220</v>
      </c>
      <c r="J2455">
        <v>37</v>
      </c>
      <c r="K2455" t="s">
        <v>7576</v>
      </c>
      <c r="L2455" t="s">
        <v>7824</v>
      </c>
      <c r="M2455">
        <v>6</v>
      </c>
      <c r="N2455">
        <v>3</v>
      </c>
      <c r="O2455" t="s">
        <v>1036</v>
      </c>
      <c r="P2455" s="17"/>
      <c r="Q2455" s="17" t="str">
        <f>_xlfn.XLOOKUP(Table2[[#This Row],[buyFromVendorNo]],'Next Day Scheduled'!A:A,'Pending Returns'!O:O,"NOT_FOUND")</f>
        <v>NOT_FOUND</v>
      </c>
    </row>
    <row r="2456" spans="1:17" x14ac:dyDescent="0.3">
      <c r="A2456" s="1">
        <v>46222</v>
      </c>
      <c r="B2456" t="s">
        <v>3734</v>
      </c>
      <c r="C2456" t="s">
        <v>4575</v>
      </c>
      <c r="D2456" t="s">
        <v>4576</v>
      </c>
      <c r="E2456" t="s">
        <v>8</v>
      </c>
      <c r="F2456" t="s">
        <v>10</v>
      </c>
      <c r="G2456" s="16">
        <v>36.521740000000001</v>
      </c>
      <c r="H2456" s="16">
        <v>42</v>
      </c>
      <c r="J2456">
        <v>37</v>
      </c>
      <c r="K2456" t="s">
        <v>7861</v>
      </c>
      <c r="M2456">
        <v>0</v>
      </c>
      <c r="N2456">
        <v>174</v>
      </c>
      <c r="O2456" t="s">
        <v>216</v>
      </c>
      <c r="P2456" s="17"/>
      <c r="Q2456" s="17" t="str">
        <f>_xlfn.XLOOKUP(Table2[[#This Row],[buyFromVendorNo]],'Next Day Scheduled'!A:A,'Pending Returns'!O:O,"NOT_FOUND")</f>
        <v>NOT_FOUND</v>
      </c>
    </row>
    <row r="2457" spans="1:17" x14ac:dyDescent="0.3">
      <c r="A2457" s="1">
        <v>46222</v>
      </c>
      <c r="B2457" t="s">
        <v>5062</v>
      </c>
      <c r="C2457" t="s">
        <v>2298</v>
      </c>
      <c r="D2457" t="s">
        <v>2299</v>
      </c>
      <c r="E2457" t="s">
        <v>8</v>
      </c>
      <c r="F2457" t="s">
        <v>10</v>
      </c>
      <c r="G2457" s="16">
        <v>203.61870999999999</v>
      </c>
      <c r="H2457" s="16">
        <v>234.16150999999999</v>
      </c>
      <c r="I2457" s="1">
        <v>46216</v>
      </c>
      <c r="J2457">
        <v>37</v>
      </c>
      <c r="K2457" t="s">
        <v>6571</v>
      </c>
      <c r="L2457" t="s">
        <v>7903</v>
      </c>
      <c r="M2457">
        <v>5</v>
      </c>
      <c r="N2457">
        <v>7</v>
      </c>
      <c r="O2457" t="s">
        <v>1036</v>
      </c>
      <c r="P2457" s="17"/>
      <c r="Q2457" s="17" t="str">
        <f>_xlfn.XLOOKUP(Table2[[#This Row],[buyFromVendorNo]],'Next Day Scheduled'!A:A,'Pending Returns'!O:O,"NOT_FOUND")</f>
        <v>NOT_FOUND</v>
      </c>
    </row>
    <row r="2458" spans="1:17" x14ac:dyDescent="0.3">
      <c r="A2458" s="1">
        <v>46222</v>
      </c>
      <c r="B2458" t="s">
        <v>5205</v>
      </c>
      <c r="C2458" t="s">
        <v>349</v>
      </c>
      <c r="D2458" t="s">
        <v>350</v>
      </c>
      <c r="E2458" t="s">
        <v>8</v>
      </c>
      <c r="F2458" t="s">
        <v>38</v>
      </c>
      <c r="G2458" s="16">
        <v>42.39</v>
      </c>
      <c r="H2458" s="16">
        <v>48.7485</v>
      </c>
      <c r="I2458" s="1">
        <v>46223</v>
      </c>
      <c r="J2458">
        <v>37</v>
      </c>
      <c r="K2458" t="s">
        <v>6970</v>
      </c>
      <c r="L2458" t="s">
        <v>7904</v>
      </c>
      <c r="M2458">
        <v>0</v>
      </c>
      <c r="N2458">
        <v>133</v>
      </c>
      <c r="O2458" t="s">
        <v>223</v>
      </c>
      <c r="P2458" s="17"/>
      <c r="Q2458" s="17" t="str">
        <f>_xlfn.XLOOKUP(Table2[[#This Row],[buyFromVendorNo]],'Next Day Scheduled'!A:A,'Pending Returns'!O:O,"NOT_FOUND")</f>
        <v>NOT_FOUND</v>
      </c>
    </row>
    <row r="2459" spans="1:17" x14ac:dyDescent="0.3">
      <c r="A2459" s="1">
        <v>46222</v>
      </c>
      <c r="B2459" t="s">
        <v>3421</v>
      </c>
      <c r="C2459" t="s">
        <v>173</v>
      </c>
      <c r="D2459" t="s">
        <v>174</v>
      </c>
      <c r="E2459" t="s">
        <v>8</v>
      </c>
      <c r="F2459" t="s">
        <v>10</v>
      </c>
      <c r="G2459" s="16">
        <v>1782.12</v>
      </c>
      <c r="H2459" s="16">
        <v>2049.4380000000001</v>
      </c>
      <c r="J2459">
        <v>37</v>
      </c>
      <c r="K2459" t="s">
        <v>7834</v>
      </c>
      <c r="M2459">
        <v>12</v>
      </c>
      <c r="N2459">
        <v>1</v>
      </c>
      <c r="O2459" t="s">
        <v>216</v>
      </c>
      <c r="P2459" s="17"/>
      <c r="Q2459" s="17" t="str">
        <f>_xlfn.XLOOKUP(Table2[[#This Row],[buyFromVendorNo]],'Next Day Scheduled'!A:A,'Pending Returns'!O:O,"NOT_FOUND")</f>
        <v>NOT_FOUND</v>
      </c>
    </row>
    <row r="2460" spans="1:17" x14ac:dyDescent="0.3">
      <c r="A2460" s="1">
        <v>46222</v>
      </c>
      <c r="B2460" t="s">
        <v>443</v>
      </c>
      <c r="C2460" t="s">
        <v>349</v>
      </c>
      <c r="D2460" t="s">
        <v>350</v>
      </c>
      <c r="E2460" t="s">
        <v>8</v>
      </c>
      <c r="F2460" t="s">
        <v>38</v>
      </c>
      <c r="G2460" s="16">
        <v>127.17</v>
      </c>
      <c r="H2460" s="16">
        <v>146.24549999999999</v>
      </c>
      <c r="I2460" s="1">
        <v>46223</v>
      </c>
      <c r="J2460">
        <v>37</v>
      </c>
      <c r="K2460" t="s">
        <v>6641</v>
      </c>
      <c r="L2460" t="s">
        <v>7874</v>
      </c>
      <c r="M2460">
        <v>0</v>
      </c>
      <c r="N2460">
        <v>133</v>
      </c>
      <c r="O2460" t="s">
        <v>223</v>
      </c>
      <c r="P2460" s="17"/>
      <c r="Q2460" s="17" t="str">
        <f>_xlfn.XLOOKUP(Table2[[#This Row],[buyFromVendorNo]],'Next Day Scheduled'!A:A,'Pending Returns'!O:O,"NOT_FOUND")</f>
        <v>NOT_FOUND</v>
      </c>
    </row>
    <row r="2461" spans="1:17" x14ac:dyDescent="0.3">
      <c r="A2461" s="1">
        <v>46222</v>
      </c>
      <c r="B2461" t="s">
        <v>4063</v>
      </c>
      <c r="C2461" t="s">
        <v>776</v>
      </c>
      <c r="D2461" t="s">
        <v>777</v>
      </c>
      <c r="E2461" t="s">
        <v>8</v>
      </c>
      <c r="F2461" t="s">
        <v>38</v>
      </c>
      <c r="G2461" s="16">
        <v>227.48</v>
      </c>
      <c r="H2461" s="16">
        <v>261.60199999999998</v>
      </c>
      <c r="I2461" s="1">
        <v>46219</v>
      </c>
      <c r="J2461">
        <v>37</v>
      </c>
      <c r="K2461" t="s">
        <v>7455</v>
      </c>
      <c r="L2461" t="s">
        <v>7826</v>
      </c>
      <c r="M2461">
        <v>6</v>
      </c>
      <c r="N2461">
        <v>2</v>
      </c>
      <c r="O2461" t="s">
        <v>1036</v>
      </c>
      <c r="P2461" s="17"/>
      <c r="Q2461" s="17" t="str">
        <f>_xlfn.XLOOKUP(Table2[[#This Row],[buyFromVendorNo]],'Next Day Scheduled'!A:A,'Pending Returns'!O:O,"NOT_FOUND")</f>
        <v>Posted Credit Note</v>
      </c>
    </row>
    <row r="2462" spans="1:17" x14ac:dyDescent="0.3">
      <c r="A2462" s="1">
        <v>46223</v>
      </c>
      <c r="B2462" t="s">
        <v>1098</v>
      </c>
      <c r="C2462" t="s">
        <v>43</v>
      </c>
      <c r="D2462" t="s">
        <v>44</v>
      </c>
      <c r="E2462" t="s">
        <v>8</v>
      </c>
      <c r="F2462" t="s">
        <v>38</v>
      </c>
      <c r="G2462" s="16">
        <v>8504.0820000000003</v>
      </c>
      <c r="H2462" s="16">
        <v>9779.6939999999995</v>
      </c>
      <c r="I2462" s="1">
        <v>46215</v>
      </c>
      <c r="J2462">
        <v>36</v>
      </c>
      <c r="K2462" t="s">
        <v>7337</v>
      </c>
      <c r="L2462" t="s">
        <v>7916</v>
      </c>
      <c r="M2462">
        <v>33</v>
      </c>
      <c r="N2462">
        <v>1</v>
      </c>
      <c r="O2462" t="s">
        <v>1036</v>
      </c>
      <c r="P2462" s="17"/>
      <c r="Q2462" s="17" t="str">
        <f>_xlfn.XLOOKUP(Table2[[#This Row],[buyFromVendorNo]],'Next Day Scheduled'!A:A,'Pending Returns'!O:O,"NOT_FOUND")</f>
        <v>Posted Credit Note</v>
      </c>
    </row>
    <row r="2463" spans="1:17" x14ac:dyDescent="0.3">
      <c r="A2463" s="1">
        <v>46223</v>
      </c>
      <c r="B2463" t="s">
        <v>5609</v>
      </c>
      <c r="C2463" t="s">
        <v>135</v>
      </c>
      <c r="D2463" t="s">
        <v>136</v>
      </c>
      <c r="E2463" t="s">
        <v>8</v>
      </c>
      <c r="F2463" t="s">
        <v>169</v>
      </c>
      <c r="G2463" s="16">
        <v>218.9</v>
      </c>
      <c r="H2463" s="16">
        <v>251.73500000000001</v>
      </c>
      <c r="I2463" s="1">
        <v>46223</v>
      </c>
      <c r="J2463">
        <v>36</v>
      </c>
      <c r="K2463" t="s">
        <v>7688</v>
      </c>
      <c r="L2463" t="s">
        <v>7938</v>
      </c>
      <c r="M2463">
        <v>5</v>
      </c>
      <c r="N2463">
        <v>6</v>
      </c>
      <c r="O2463" t="s">
        <v>223</v>
      </c>
      <c r="P2463" s="17"/>
      <c r="Q2463" s="17" t="str">
        <f>_xlfn.XLOOKUP(Table2[[#This Row],[buyFromVendorNo]],'Next Day Scheduled'!A:A,'Pending Returns'!O:O,"NOT_FOUND")</f>
        <v>Posted Credit Note</v>
      </c>
    </row>
    <row r="2464" spans="1:17" x14ac:dyDescent="0.3">
      <c r="A2464" s="1">
        <v>46223</v>
      </c>
      <c r="B2464" t="s">
        <v>1953</v>
      </c>
      <c r="C2464" t="s">
        <v>177</v>
      </c>
      <c r="D2464" t="s">
        <v>178</v>
      </c>
      <c r="E2464" t="s">
        <v>8</v>
      </c>
      <c r="F2464" t="s">
        <v>10</v>
      </c>
      <c r="G2464" s="16">
        <v>920.04190000000006</v>
      </c>
      <c r="H2464" s="16">
        <v>1058.0482</v>
      </c>
      <c r="I2464" s="1">
        <v>46207</v>
      </c>
      <c r="J2464">
        <v>36</v>
      </c>
      <c r="K2464" t="s">
        <v>914</v>
      </c>
      <c r="L2464" t="s">
        <v>7917</v>
      </c>
      <c r="M2464">
        <v>12</v>
      </c>
      <c r="N2464">
        <v>2</v>
      </c>
      <c r="O2464" t="s">
        <v>1036</v>
      </c>
      <c r="P2464" s="17"/>
      <c r="Q2464" s="17" t="str">
        <f>_xlfn.XLOOKUP(Table2[[#This Row],[buyFromVendorNo]],'Next Day Scheduled'!A:A,'Pending Returns'!O:O,"NOT_FOUND")</f>
        <v>Posted Credit Note</v>
      </c>
    </row>
    <row r="2465" spans="1:17" x14ac:dyDescent="0.3">
      <c r="A2465" s="1">
        <v>46223</v>
      </c>
      <c r="B2465" t="s">
        <v>1705</v>
      </c>
      <c r="C2465" t="s">
        <v>835</v>
      </c>
      <c r="D2465" t="s">
        <v>836</v>
      </c>
      <c r="E2465" t="s">
        <v>8</v>
      </c>
      <c r="F2465" t="s">
        <v>10</v>
      </c>
      <c r="G2465" s="16">
        <v>1551.7</v>
      </c>
      <c r="H2465" s="16">
        <v>1551.7</v>
      </c>
      <c r="I2465" s="1">
        <v>46223</v>
      </c>
      <c r="J2465">
        <v>36</v>
      </c>
      <c r="K2465" t="s">
        <v>2900</v>
      </c>
      <c r="L2465" t="s">
        <v>7940</v>
      </c>
      <c r="M2465">
        <v>0</v>
      </c>
      <c r="N2465">
        <v>254</v>
      </c>
      <c r="O2465" t="s">
        <v>223</v>
      </c>
      <c r="P2465" s="17"/>
      <c r="Q2465" s="17" t="str">
        <f>_xlfn.XLOOKUP(Table2[[#This Row],[buyFromVendorNo]],'Next Day Scheduled'!A:A,'Pending Returns'!O:O,"NOT_FOUND")</f>
        <v>NOT_FOUND</v>
      </c>
    </row>
    <row r="2466" spans="1:17" x14ac:dyDescent="0.3">
      <c r="A2466" s="1">
        <v>46223</v>
      </c>
      <c r="B2466" t="s">
        <v>3719</v>
      </c>
      <c r="C2466" t="s">
        <v>835</v>
      </c>
      <c r="D2466" t="s">
        <v>836</v>
      </c>
      <c r="E2466" t="s">
        <v>8</v>
      </c>
      <c r="F2466" t="s">
        <v>10</v>
      </c>
      <c r="G2466" s="16">
        <v>449.55</v>
      </c>
      <c r="H2466" s="16">
        <v>449.55</v>
      </c>
      <c r="I2466" s="1">
        <v>46223</v>
      </c>
      <c r="J2466">
        <v>36</v>
      </c>
      <c r="K2466" t="s">
        <v>4749</v>
      </c>
      <c r="L2466" t="s">
        <v>7949</v>
      </c>
      <c r="M2466">
        <v>0</v>
      </c>
      <c r="N2466">
        <v>254</v>
      </c>
      <c r="O2466" t="s">
        <v>223</v>
      </c>
      <c r="P2466" s="17"/>
      <c r="Q2466" s="17" t="str">
        <f>_xlfn.XLOOKUP(Table2[[#This Row],[buyFromVendorNo]],'Next Day Scheduled'!A:A,'Pending Returns'!O:O,"NOT_FOUND")</f>
        <v>NOT_FOUND</v>
      </c>
    </row>
    <row r="2467" spans="1:17" x14ac:dyDescent="0.3">
      <c r="A2467" s="1">
        <v>46223</v>
      </c>
      <c r="B2467" t="s">
        <v>5434</v>
      </c>
      <c r="C2467" t="s">
        <v>73</v>
      </c>
      <c r="D2467" t="s">
        <v>74</v>
      </c>
      <c r="E2467" t="s">
        <v>8</v>
      </c>
      <c r="F2467" t="s">
        <v>10</v>
      </c>
      <c r="G2467" s="16">
        <v>417.25900000000001</v>
      </c>
      <c r="H2467" s="16">
        <v>479.84784000000002</v>
      </c>
      <c r="I2467" s="1">
        <v>46223</v>
      </c>
      <c r="J2467">
        <v>36</v>
      </c>
      <c r="K2467" t="s">
        <v>6719</v>
      </c>
      <c r="L2467" t="s">
        <v>7952</v>
      </c>
      <c r="M2467">
        <v>20</v>
      </c>
      <c r="N2467">
        <v>1</v>
      </c>
      <c r="O2467" t="s">
        <v>223</v>
      </c>
      <c r="P2467" s="17"/>
      <c r="Q2467" s="17" t="str">
        <f>_xlfn.XLOOKUP(Table2[[#This Row],[buyFromVendorNo]],'Next Day Scheduled'!A:A,'Pending Returns'!O:O,"NOT_FOUND")</f>
        <v>NOT_FOUND</v>
      </c>
    </row>
    <row r="2468" spans="1:17" x14ac:dyDescent="0.3">
      <c r="A2468" s="1">
        <v>46223</v>
      </c>
      <c r="B2468" t="s">
        <v>1098</v>
      </c>
      <c r="C2468" t="s">
        <v>43</v>
      </c>
      <c r="D2468" t="s">
        <v>44</v>
      </c>
      <c r="E2468" t="s">
        <v>8</v>
      </c>
      <c r="F2468" t="s">
        <v>38</v>
      </c>
      <c r="G2468" s="16">
        <v>4616.5320000000002</v>
      </c>
      <c r="H2468" s="16">
        <v>5309.0119999999997</v>
      </c>
      <c r="I2468" s="1">
        <v>46222</v>
      </c>
      <c r="J2468">
        <v>36</v>
      </c>
      <c r="K2468" t="s">
        <v>7619</v>
      </c>
      <c r="L2468" t="s">
        <v>7957</v>
      </c>
      <c r="M2468">
        <v>33</v>
      </c>
      <c r="N2468">
        <v>1</v>
      </c>
      <c r="O2468" t="s">
        <v>1036</v>
      </c>
      <c r="P2468" s="17"/>
      <c r="Q2468" s="17" t="str">
        <f>_xlfn.XLOOKUP(Table2[[#This Row],[buyFromVendorNo]],'Next Day Scheduled'!A:A,'Pending Returns'!O:O,"NOT_FOUND")</f>
        <v>Posted Credit Note</v>
      </c>
    </row>
    <row r="2469" spans="1:17" x14ac:dyDescent="0.3">
      <c r="A2469" s="1">
        <v>46223</v>
      </c>
      <c r="B2469" t="s">
        <v>1098</v>
      </c>
      <c r="C2469" t="s">
        <v>886</v>
      </c>
      <c r="D2469" t="s">
        <v>887</v>
      </c>
      <c r="E2469" t="s">
        <v>8</v>
      </c>
      <c r="F2469" t="s">
        <v>38</v>
      </c>
      <c r="G2469" s="16">
        <v>172.04</v>
      </c>
      <c r="H2469" s="16">
        <v>197.846</v>
      </c>
      <c r="I2469" s="1">
        <v>46218</v>
      </c>
      <c r="J2469">
        <v>36</v>
      </c>
      <c r="K2469" t="s">
        <v>7048</v>
      </c>
      <c r="L2469" t="s">
        <v>7907</v>
      </c>
      <c r="M2469">
        <v>5</v>
      </c>
      <c r="N2469">
        <v>6</v>
      </c>
      <c r="O2469" t="s">
        <v>1036</v>
      </c>
      <c r="P2469" s="17"/>
      <c r="Q2469" s="17" t="str">
        <f>_xlfn.XLOOKUP(Table2[[#This Row],[buyFromVendorNo]],'Next Day Scheduled'!A:A,'Pending Returns'!O:O,"NOT_FOUND")</f>
        <v>NOT_FOUND</v>
      </c>
    </row>
    <row r="2470" spans="1:17" x14ac:dyDescent="0.3">
      <c r="A2470" s="1">
        <v>46223</v>
      </c>
      <c r="B2470" t="s">
        <v>6284</v>
      </c>
      <c r="C2470" t="s">
        <v>107</v>
      </c>
      <c r="D2470" t="s">
        <v>3864</v>
      </c>
      <c r="E2470" t="s">
        <v>8</v>
      </c>
      <c r="F2470" t="s">
        <v>10</v>
      </c>
      <c r="G2470" s="16">
        <v>759.90985000000001</v>
      </c>
      <c r="H2470" s="16">
        <v>873.8963</v>
      </c>
      <c r="I2470" s="1">
        <v>46223</v>
      </c>
      <c r="J2470">
        <v>36</v>
      </c>
      <c r="K2470" t="s">
        <v>6285</v>
      </c>
      <c r="L2470" t="s">
        <v>7959</v>
      </c>
      <c r="M2470">
        <v>5</v>
      </c>
      <c r="N2470">
        <v>5</v>
      </c>
      <c r="O2470" t="s">
        <v>1036</v>
      </c>
      <c r="P2470" s="17"/>
      <c r="Q2470" s="17" t="str">
        <f>_xlfn.XLOOKUP(Table2[[#This Row],[buyFromVendorNo]],'Next Day Scheduled'!A:A,'Pending Returns'!O:O,"NOT_FOUND")</f>
        <v>NOT_FOUND</v>
      </c>
    </row>
    <row r="2471" spans="1:17" x14ac:dyDescent="0.3">
      <c r="A2471" s="1">
        <v>46223</v>
      </c>
      <c r="B2471" t="s">
        <v>271</v>
      </c>
      <c r="C2471" t="s">
        <v>835</v>
      </c>
      <c r="D2471" t="s">
        <v>836</v>
      </c>
      <c r="E2471" t="s">
        <v>8</v>
      </c>
      <c r="F2471" t="s">
        <v>10</v>
      </c>
      <c r="G2471" s="16">
        <v>1949.7</v>
      </c>
      <c r="H2471" s="16">
        <v>1949.7</v>
      </c>
      <c r="I2471" s="1">
        <v>46223</v>
      </c>
      <c r="J2471">
        <v>36</v>
      </c>
      <c r="K2471" t="s">
        <v>2434</v>
      </c>
      <c r="L2471" t="s">
        <v>7945</v>
      </c>
      <c r="M2471">
        <v>0</v>
      </c>
      <c r="N2471">
        <v>254</v>
      </c>
      <c r="O2471" t="s">
        <v>223</v>
      </c>
      <c r="P2471" s="17"/>
      <c r="Q2471" s="17" t="str">
        <f>_xlfn.XLOOKUP(Table2[[#This Row],[buyFromVendorNo]],'Next Day Scheduled'!A:A,'Pending Returns'!O:O,"NOT_FOUND")</f>
        <v>NOT_FOUND</v>
      </c>
    </row>
    <row r="2472" spans="1:17" x14ac:dyDescent="0.3">
      <c r="A2472" s="1">
        <v>46223</v>
      </c>
      <c r="B2472" t="s">
        <v>1098</v>
      </c>
      <c r="C2472" t="s">
        <v>886</v>
      </c>
      <c r="D2472" t="s">
        <v>887</v>
      </c>
      <c r="E2472" t="s">
        <v>8</v>
      </c>
      <c r="F2472" t="s">
        <v>38</v>
      </c>
      <c r="G2472" s="16">
        <v>408.9</v>
      </c>
      <c r="H2472" s="16">
        <v>470.23500000000001</v>
      </c>
      <c r="I2472" s="1">
        <v>46218</v>
      </c>
      <c r="J2472">
        <v>36</v>
      </c>
      <c r="K2472" t="s">
        <v>7341</v>
      </c>
      <c r="L2472" t="s">
        <v>7910</v>
      </c>
      <c r="M2472">
        <v>5</v>
      </c>
      <c r="N2472">
        <v>6</v>
      </c>
      <c r="O2472" t="s">
        <v>1036</v>
      </c>
      <c r="P2472" s="17"/>
      <c r="Q2472" s="17" t="str">
        <f>_xlfn.XLOOKUP(Table2[[#This Row],[buyFromVendorNo]],'Next Day Scheduled'!A:A,'Pending Returns'!O:O,"NOT_FOUND")</f>
        <v>NOT_FOUND</v>
      </c>
    </row>
    <row r="2473" spans="1:17" x14ac:dyDescent="0.3">
      <c r="A2473" s="1">
        <v>46223</v>
      </c>
      <c r="B2473" t="s">
        <v>3254</v>
      </c>
      <c r="C2473" t="s">
        <v>321</v>
      </c>
      <c r="D2473" t="s">
        <v>322</v>
      </c>
      <c r="E2473" t="s">
        <v>8</v>
      </c>
      <c r="F2473" t="s">
        <v>10</v>
      </c>
      <c r="G2473" s="16">
        <v>857.44434000000001</v>
      </c>
      <c r="H2473" s="16">
        <v>986.06100000000004</v>
      </c>
      <c r="I2473" s="1">
        <v>46220</v>
      </c>
      <c r="J2473">
        <v>36</v>
      </c>
      <c r="K2473" t="s">
        <v>7604</v>
      </c>
      <c r="L2473" t="s">
        <v>7920</v>
      </c>
      <c r="M2473">
        <v>5</v>
      </c>
      <c r="N2473">
        <v>5</v>
      </c>
      <c r="O2473" t="s">
        <v>1036</v>
      </c>
      <c r="P2473" s="17"/>
      <c r="Q2473" s="17" t="str">
        <f>_xlfn.XLOOKUP(Table2[[#This Row],[buyFromVendorNo]],'Next Day Scheduled'!A:A,'Pending Returns'!O:O,"NOT_FOUND")</f>
        <v>NOT_FOUND</v>
      </c>
    </row>
    <row r="2474" spans="1:17" x14ac:dyDescent="0.3">
      <c r="A2474" s="1">
        <v>46223</v>
      </c>
      <c r="B2474" t="s">
        <v>7531</v>
      </c>
      <c r="C2474" t="s">
        <v>204</v>
      </c>
      <c r="D2474" t="s">
        <v>205</v>
      </c>
      <c r="E2474" t="s">
        <v>8</v>
      </c>
      <c r="F2474" t="s">
        <v>38</v>
      </c>
      <c r="G2474" s="16">
        <v>2032.0301999999999</v>
      </c>
      <c r="H2474" s="16">
        <v>2336.8346999999999</v>
      </c>
      <c r="I2474" s="1">
        <v>46220</v>
      </c>
      <c r="J2474">
        <v>36</v>
      </c>
      <c r="K2474" t="s">
        <v>7429</v>
      </c>
      <c r="L2474" t="s">
        <v>7929</v>
      </c>
      <c r="M2474">
        <v>5</v>
      </c>
      <c r="N2474">
        <v>5</v>
      </c>
      <c r="O2474" t="s">
        <v>1036</v>
      </c>
      <c r="P2474" s="17"/>
      <c r="Q2474" s="17" t="str">
        <f>_xlfn.XLOOKUP(Table2[[#This Row],[buyFromVendorNo]],'Next Day Scheduled'!A:A,'Pending Returns'!O:O,"NOT_FOUND")</f>
        <v>NOT_FOUND</v>
      </c>
    </row>
    <row r="2475" spans="1:17" x14ac:dyDescent="0.3">
      <c r="A2475" s="1">
        <v>46223</v>
      </c>
      <c r="B2475" t="s">
        <v>642</v>
      </c>
      <c r="C2475" t="s">
        <v>4364</v>
      </c>
      <c r="D2475" t="s">
        <v>4542</v>
      </c>
      <c r="E2475" t="s">
        <v>8</v>
      </c>
      <c r="F2475" t="s">
        <v>38</v>
      </c>
      <c r="G2475" s="16">
        <v>543.78</v>
      </c>
      <c r="H2475" s="16">
        <v>625.34699999999998</v>
      </c>
      <c r="I2475" s="1">
        <v>46221</v>
      </c>
      <c r="J2475">
        <v>36</v>
      </c>
      <c r="K2475" t="s">
        <v>6798</v>
      </c>
      <c r="L2475" t="s">
        <v>7930</v>
      </c>
      <c r="M2475">
        <v>5</v>
      </c>
      <c r="N2475">
        <v>1</v>
      </c>
      <c r="O2475" t="s">
        <v>1036</v>
      </c>
      <c r="P2475" s="17"/>
      <c r="Q2475" s="17" t="str">
        <f>_xlfn.XLOOKUP(Table2[[#This Row],[buyFromVendorNo]],'Next Day Scheduled'!A:A,'Pending Returns'!O:O,"NOT_FOUND")</f>
        <v>NOT_FOUND</v>
      </c>
    </row>
    <row r="2476" spans="1:17" x14ac:dyDescent="0.3">
      <c r="A2476" s="1">
        <v>46223</v>
      </c>
      <c r="B2476" t="s">
        <v>3245</v>
      </c>
      <c r="C2476" t="s">
        <v>929</v>
      </c>
      <c r="D2476" t="s">
        <v>930</v>
      </c>
      <c r="E2476" t="s">
        <v>8</v>
      </c>
      <c r="F2476" t="s">
        <v>10</v>
      </c>
      <c r="G2476" s="16">
        <v>399.23590000000002</v>
      </c>
      <c r="H2476" s="16">
        <v>459.12128000000001</v>
      </c>
      <c r="I2476" s="1">
        <v>46221</v>
      </c>
      <c r="J2476">
        <v>36</v>
      </c>
      <c r="K2476" t="s">
        <v>7284</v>
      </c>
      <c r="L2476" t="s">
        <v>7931</v>
      </c>
      <c r="M2476">
        <v>4</v>
      </c>
      <c r="N2476">
        <v>8</v>
      </c>
      <c r="O2476" t="s">
        <v>1036</v>
      </c>
      <c r="P2476" s="17"/>
      <c r="Q2476" s="17" t="str">
        <f>_xlfn.XLOOKUP(Table2[[#This Row],[buyFromVendorNo]],'Next Day Scheduled'!A:A,'Pending Returns'!O:O,"NOT_FOUND")</f>
        <v>NOT_FOUND</v>
      </c>
    </row>
    <row r="2477" spans="1:17" x14ac:dyDescent="0.3">
      <c r="A2477" s="1">
        <v>46223</v>
      </c>
      <c r="B2477" t="s">
        <v>1956</v>
      </c>
      <c r="C2477" t="s">
        <v>177</v>
      </c>
      <c r="D2477" t="s">
        <v>178</v>
      </c>
      <c r="E2477" t="s">
        <v>8</v>
      </c>
      <c r="F2477" t="s">
        <v>10</v>
      </c>
      <c r="G2477" s="16">
        <v>1432.3765000000001</v>
      </c>
      <c r="H2477" s="16">
        <v>1647.2329</v>
      </c>
      <c r="I2477" s="1">
        <v>46207</v>
      </c>
      <c r="J2477">
        <v>36</v>
      </c>
      <c r="K2477" t="s">
        <v>2147</v>
      </c>
      <c r="L2477" t="s">
        <v>7941</v>
      </c>
      <c r="M2477">
        <v>12</v>
      </c>
      <c r="N2477">
        <v>2</v>
      </c>
      <c r="O2477" t="s">
        <v>1036</v>
      </c>
      <c r="P2477" s="17"/>
      <c r="Q2477" s="17" t="str">
        <f>_xlfn.XLOOKUP(Table2[[#This Row],[buyFromVendorNo]],'Next Day Scheduled'!A:A,'Pending Returns'!O:O,"NOT_FOUND")</f>
        <v>Posted Credit Note</v>
      </c>
    </row>
    <row r="2478" spans="1:17" x14ac:dyDescent="0.3">
      <c r="A2478" s="1">
        <v>46223</v>
      </c>
      <c r="B2478" t="s">
        <v>6260</v>
      </c>
      <c r="C2478" t="s">
        <v>1643</v>
      </c>
      <c r="D2478" t="s">
        <v>1644</v>
      </c>
      <c r="E2478" t="s">
        <v>8</v>
      </c>
      <c r="F2478" t="s">
        <v>38</v>
      </c>
      <c r="G2478" s="16">
        <v>891.84400000000005</v>
      </c>
      <c r="H2478" s="16">
        <v>1025.6206</v>
      </c>
      <c r="I2478" s="1">
        <v>46223</v>
      </c>
      <c r="J2478">
        <v>36</v>
      </c>
      <c r="K2478" t="s">
        <v>7449</v>
      </c>
      <c r="L2478" t="s">
        <v>7934</v>
      </c>
      <c r="M2478">
        <v>6</v>
      </c>
      <c r="N2478">
        <v>2</v>
      </c>
      <c r="O2478" t="s">
        <v>1036</v>
      </c>
      <c r="P2478" s="17"/>
      <c r="Q2478" s="17" t="str">
        <f>_xlfn.XLOOKUP(Table2[[#This Row],[buyFromVendorNo]],'Next Day Scheduled'!A:A,'Pending Returns'!O:O,"NOT_FOUND")</f>
        <v>NOT_FOUND</v>
      </c>
    </row>
    <row r="2479" spans="1:17" x14ac:dyDescent="0.3">
      <c r="A2479" s="1">
        <v>46223</v>
      </c>
      <c r="B2479" t="s">
        <v>5483</v>
      </c>
      <c r="C2479" t="s">
        <v>2363</v>
      </c>
      <c r="D2479" t="s">
        <v>2364</v>
      </c>
      <c r="E2479" t="s">
        <v>8</v>
      </c>
      <c r="F2479" t="s">
        <v>10</v>
      </c>
      <c r="G2479" s="16">
        <v>86.1</v>
      </c>
      <c r="H2479" s="16">
        <v>99.015000000000001</v>
      </c>
      <c r="I2479" s="1">
        <v>46220</v>
      </c>
      <c r="J2479">
        <v>36</v>
      </c>
      <c r="K2479" t="s">
        <v>7273</v>
      </c>
      <c r="L2479" t="s">
        <v>7935</v>
      </c>
      <c r="M2479">
        <v>6</v>
      </c>
      <c r="N2479">
        <v>6</v>
      </c>
      <c r="O2479" t="s">
        <v>1036</v>
      </c>
      <c r="P2479" s="17"/>
      <c r="Q2479" s="17" t="str">
        <f>_xlfn.XLOOKUP(Table2[[#This Row],[buyFromVendorNo]],'Next Day Scheduled'!A:A,'Pending Returns'!O:O,"NOT_FOUND")</f>
        <v>NOT_FOUND</v>
      </c>
    </row>
    <row r="2480" spans="1:17" x14ac:dyDescent="0.3">
      <c r="A2480" s="1">
        <v>46223</v>
      </c>
      <c r="B2480" t="s">
        <v>1797</v>
      </c>
      <c r="C2480" t="s">
        <v>321</v>
      </c>
      <c r="D2480" t="s">
        <v>322</v>
      </c>
      <c r="E2480" t="s">
        <v>8</v>
      </c>
      <c r="F2480" t="s">
        <v>10</v>
      </c>
      <c r="G2480" s="16">
        <v>212.60187999999999</v>
      </c>
      <c r="H2480" s="16">
        <v>244.49216000000001</v>
      </c>
      <c r="I2480" s="1">
        <v>46220</v>
      </c>
      <c r="J2480">
        <v>36</v>
      </c>
      <c r="K2480" t="s">
        <v>7034</v>
      </c>
      <c r="L2480" t="s">
        <v>7937</v>
      </c>
      <c r="M2480">
        <v>5</v>
      </c>
      <c r="N2480">
        <v>5</v>
      </c>
      <c r="O2480" t="s">
        <v>1036</v>
      </c>
      <c r="P2480" s="17"/>
      <c r="Q2480" s="17" t="str">
        <f>_xlfn.XLOOKUP(Table2[[#This Row],[buyFromVendorNo]],'Next Day Scheduled'!A:A,'Pending Returns'!O:O,"NOT_FOUND")</f>
        <v>NOT_FOUND</v>
      </c>
    </row>
    <row r="2481" spans="1:17" x14ac:dyDescent="0.3">
      <c r="A2481" s="1">
        <v>46223</v>
      </c>
      <c r="B2481" t="s">
        <v>3715</v>
      </c>
      <c r="C2481" t="s">
        <v>600</v>
      </c>
      <c r="D2481" t="s">
        <v>601</v>
      </c>
      <c r="E2481" t="s">
        <v>8</v>
      </c>
      <c r="F2481" t="s">
        <v>169</v>
      </c>
      <c r="G2481" s="16">
        <v>98</v>
      </c>
      <c r="H2481" s="16">
        <v>112.7</v>
      </c>
      <c r="I2481" s="1">
        <v>46221</v>
      </c>
      <c r="J2481">
        <v>36</v>
      </c>
      <c r="K2481" t="s">
        <v>7257</v>
      </c>
      <c r="L2481" t="s">
        <v>7908</v>
      </c>
      <c r="M2481">
        <v>5</v>
      </c>
      <c r="N2481">
        <v>3</v>
      </c>
      <c r="O2481" t="s">
        <v>1036</v>
      </c>
      <c r="P2481" s="17"/>
      <c r="Q2481" s="17" t="str">
        <f>_xlfn.XLOOKUP(Table2[[#This Row],[buyFromVendorNo]],'Next Day Scheduled'!A:A,'Pending Returns'!O:O,"NOT_FOUND")</f>
        <v>NOT_FOUND</v>
      </c>
    </row>
    <row r="2482" spans="1:17" x14ac:dyDescent="0.3">
      <c r="A2482" s="1">
        <v>46223</v>
      </c>
      <c r="B2482" t="s">
        <v>1098</v>
      </c>
      <c r="C2482" t="s">
        <v>886</v>
      </c>
      <c r="D2482" t="s">
        <v>887</v>
      </c>
      <c r="E2482" t="s">
        <v>8</v>
      </c>
      <c r="F2482" t="s">
        <v>38</v>
      </c>
      <c r="G2482" s="16">
        <v>317.88</v>
      </c>
      <c r="H2482" s="16">
        <v>365.56200000000001</v>
      </c>
      <c r="I2482" s="1">
        <v>46218</v>
      </c>
      <c r="J2482">
        <v>36</v>
      </c>
      <c r="K2482" t="s">
        <v>7630</v>
      </c>
      <c r="L2482" t="s">
        <v>7909</v>
      </c>
      <c r="M2482">
        <v>5</v>
      </c>
      <c r="N2482">
        <v>6</v>
      </c>
      <c r="O2482" t="s">
        <v>1036</v>
      </c>
      <c r="P2482" s="17"/>
      <c r="Q2482" s="17" t="str">
        <f>_xlfn.XLOOKUP(Table2[[#This Row],[buyFromVendorNo]],'Next Day Scheduled'!A:A,'Pending Returns'!O:O,"NOT_FOUND")</f>
        <v>NOT_FOUND</v>
      </c>
    </row>
    <row r="2483" spans="1:17" x14ac:dyDescent="0.3">
      <c r="A2483" s="1">
        <v>46223</v>
      </c>
      <c r="B2483" t="s">
        <v>5336</v>
      </c>
      <c r="C2483" t="s">
        <v>1024</v>
      </c>
      <c r="D2483" t="s">
        <v>1025</v>
      </c>
      <c r="E2483" t="s">
        <v>8</v>
      </c>
      <c r="F2483" t="s">
        <v>10</v>
      </c>
      <c r="G2483" s="16">
        <v>256.3</v>
      </c>
      <c r="H2483" s="16">
        <v>294.745</v>
      </c>
      <c r="I2483" s="1">
        <v>46221</v>
      </c>
      <c r="J2483">
        <v>36</v>
      </c>
      <c r="K2483" t="s">
        <v>7352</v>
      </c>
      <c r="L2483" t="s">
        <v>7946</v>
      </c>
      <c r="M2483">
        <v>5</v>
      </c>
      <c r="N2483">
        <v>5</v>
      </c>
      <c r="O2483" t="s">
        <v>1036</v>
      </c>
      <c r="P2483" s="17"/>
      <c r="Q2483" s="17" t="str">
        <f>_xlfn.XLOOKUP(Table2[[#This Row],[buyFromVendorNo]],'Next Day Scheduled'!A:A,'Pending Returns'!O:O,"NOT_FOUND")</f>
        <v>NOT_FOUND</v>
      </c>
    </row>
    <row r="2484" spans="1:17" x14ac:dyDescent="0.3">
      <c r="A2484" s="1">
        <v>46223</v>
      </c>
      <c r="B2484" t="s">
        <v>1098</v>
      </c>
      <c r="C2484" t="s">
        <v>43</v>
      </c>
      <c r="D2484" t="s">
        <v>44</v>
      </c>
      <c r="E2484" t="s">
        <v>8</v>
      </c>
      <c r="F2484" t="s">
        <v>38</v>
      </c>
      <c r="G2484" s="16">
        <v>6728.0625</v>
      </c>
      <c r="H2484" s="16">
        <v>7737.2719999999999</v>
      </c>
      <c r="I2484" s="1">
        <v>46221</v>
      </c>
      <c r="J2484">
        <v>36</v>
      </c>
      <c r="K2484" t="s">
        <v>7674</v>
      </c>
      <c r="L2484" t="s">
        <v>7963</v>
      </c>
      <c r="M2484">
        <v>33</v>
      </c>
      <c r="N2484">
        <v>1</v>
      </c>
      <c r="O2484" t="s">
        <v>1036</v>
      </c>
      <c r="P2484" s="17"/>
      <c r="Q2484" s="17" t="str">
        <f>_xlfn.XLOOKUP(Table2[[#This Row],[buyFromVendorNo]],'Next Day Scheduled'!A:A,'Pending Returns'!O:O,"NOT_FOUND")</f>
        <v>Posted Credit Note</v>
      </c>
    </row>
    <row r="2485" spans="1:17" x14ac:dyDescent="0.3">
      <c r="A2485" s="1">
        <v>46223</v>
      </c>
      <c r="B2485" t="s">
        <v>1535</v>
      </c>
      <c r="C2485" t="s">
        <v>93</v>
      </c>
      <c r="D2485" t="s">
        <v>94</v>
      </c>
      <c r="E2485" t="s">
        <v>8</v>
      </c>
      <c r="F2485" t="s">
        <v>38</v>
      </c>
      <c r="G2485" s="16">
        <v>2283.049</v>
      </c>
      <c r="H2485" s="16">
        <v>2625.5063</v>
      </c>
      <c r="I2485" s="1">
        <v>46223</v>
      </c>
      <c r="J2485">
        <v>36</v>
      </c>
      <c r="K2485" t="s">
        <v>7843</v>
      </c>
      <c r="L2485" t="s">
        <v>7925</v>
      </c>
      <c r="M2485">
        <v>3</v>
      </c>
      <c r="N2485">
        <v>6</v>
      </c>
      <c r="O2485" t="s">
        <v>1036</v>
      </c>
      <c r="P2485" s="17"/>
      <c r="Q2485" s="17" t="str">
        <f>_xlfn.XLOOKUP(Table2[[#This Row],[buyFromVendorNo]],'Next Day Scheduled'!A:A,'Pending Returns'!O:O,"NOT_FOUND")</f>
        <v>Posted Credit Note</v>
      </c>
    </row>
    <row r="2486" spans="1:17" x14ac:dyDescent="0.3">
      <c r="A2486" s="1">
        <v>46223</v>
      </c>
      <c r="B2486" t="s">
        <v>3316</v>
      </c>
      <c r="C2486" t="s">
        <v>177</v>
      </c>
      <c r="D2486" t="s">
        <v>178</v>
      </c>
      <c r="E2486" t="s">
        <v>8</v>
      </c>
      <c r="F2486" t="s">
        <v>10</v>
      </c>
      <c r="G2486" s="16">
        <v>138.71</v>
      </c>
      <c r="H2486" s="16">
        <v>159.51650000000001</v>
      </c>
      <c r="I2486" s="1">
        <v>46207</v>
      </c>
      <c r="J2486">
        <v>36</v>
      </c>
      <c r="K2486" t="s">
        <v>4423</v>
      </c>
      <c r="L2486" t="s">
        <v>7918</v>
      </c>
      <c r="M2486">
        <v>12</v>
      </c>
      <c r="N2486">
        <v>2</v>
      </c>
      <c r="O2486" t="s">
        <v>1036</v>
      </c>
      <c r="P2486" s="17"/>
      <c r="Q2486" s="17" t="str">
        <f>_xlfn.XLOOKUP(Table2[[#This Row],[buyFromVendorNo]],'Next Day Scheduled'!A:A,'Pending Returns'!O:O,"NOT_FOUND")</f>
        <v>Posted Credit Note</v>
      </c>
    </row>
    <row r="2487" spans="1:17" x14ac:dyDescent="0.3">
      <c r="A2487" s="1">
        <v>46223</v>
      </c>
      <c r="B2487" t="s">
        <v>2972</v>
      </c>
      <c r="C2487" t="s">
        <v>73</v>
      </c>
      <c r="D2487" t="s">
        <v>74</v>
      </c>
      <c r="E2487" t="s">
        <v>8</v>
      </c>
      <c r="F2487" t="s">
        <v>10</v>
      </c>
      <c r="G2487" s="16">
        <v>36.125</v>
      </c>
      <c r="H2487" s="16">
        <v>41.543750000000003</v>
      </c>
      <c r="I2487" s="1">
        <v>46223</v>
      </c>
      <c r="J2487">
        <v>36</v>
      </c>
      <c r="K2487" t="s">
        <v>7494</v>
      </c>
      <c r="L2487" t="s">
        <v>7926</v>
      </c>
      <c r="M2487">
        <v>20</v>
      </c>
      <c r="N2487">
        <v>1</v>
      </c>
      <c r="O2487" t="s">
        <v>223</v>
      </c>
      <c r="P2487" s="17"/>
      <c r="Q2487" s="17" t="str">
        <f>_xlfn.XLOOKUP(Table2[[#This Row],[buyFromVendorNo]],'Next Day Scheduled'!A:A,'Pending Returns'!O:O,"NOT_FOUND")</f>
        <v>NOT_FOUND</v>
      </c>
    </row>
    <row r="2488" spans="1:17" x14ac:dyDescent="0.3">
      <c r="A2488" s="1">
        <v>46223</v>
      </c>
      <c r="B2488" t="s">
        <v>2161</v>
      </c>
      <c r="C2488" t="s">
        <v>929</v>
      </c>
      <c r="D2488" t="s">
        <v>930</v>
      </c>
      <c r="E2488" t="s">
        <v>8</v>
      </c>
      <c r="F2488" t="s">
        <v>10</v>
      </c>
      <c r="G2488" s="16">
        <v>62.587040000000002</v>
      </c>
      <c r="H2488" s="16">
        <v>71.975099999999998</v>
      </c>
      <c r="I2488" s="1">
        <v>46221</v>
      </c>
      <c r="J2488">
        <v>36</v>
      </c>
      <c r="K2488" t="s">
        <v>7499</v>
      </c>
      <c r="L2488" t="s">
        <v>7927</v>
      </c>
      <c r="M2488">
        <v>4</v>
      </c>
      <c r="N2488">
        <v>8</v>
      </c>
      <c r="O2488" t="s">
        <v>1036</v>
      </c>
      <c r="P2488" s="17"/>
      <c r="Q2488" s="17" t="str">
        <f>_xlfn.XLOOKUP(Table2[[#This Row],[buyFromVendorNo]],'Next Day Scheduled'!A:A,'Pending Returns'!O:O,"NOT_FOUND")</f>
        <v>NOT_FOUND</v>
      </c>
    </row>
    <row r="2489" spans="1:17" x14ac:dyDescent="0.3">
      <c r="A2489" s="1">
        <v>46223</v>
      </c>
      <c r="B2489" t="s">
        <v>2972</v>
      </c>
      <c r="C2489" t="s">
        <v>2263</v>
      </c>
      <c r="D2489" t="s">
        <v>2350</v>
      </c>
      <c r="E2489" t="s">
        <v>8</v>
      </c>
      <c r="F2489" t="s">
        <v>10</v>
      </c>
      <c r="G2489" s="16">
        <v>12.5</v>
      </c>
      <c r="H2489" s="16">
        <v>14.375</v>
      </c>
      <c r="I2489" s="1">
        <v>46218</v>
      </c>
      <c r="J2489">
        <v>36</v>
      </c>
      <c r="K2489" t="s">
        <v>7178</v>
      </c>
      <c r="L2489" t="s">
        <v>7951</v>
      </c>
      <c r="M2489">
        <v>5</v>
      </c>
      <c r="N2489">
        <v>3</v>
      </c>
      <c r="O2489" t="s">
        <v>1036</v>
      </c>
      <c r="P2489" s="17"/>
      <c r="Q2489" s="17" t="str">
        <f>_xlfn.XLOOKUP(Table2[[#This Row],[buyFromVendorNo]],'Next Day Scheduled'!A:A,'Pending Returns'!O:O,"NOT_FOUND")</f>
        <v>Posted Credit Note</v>
      </c>
    </row>
    <row r="2490" spans="1:17" x14ac:dyDescent="0.3">
      <c r="A2490" s="1">
        <v>46223</v>
      </c>
      <c r="B2490" t="s">
        <v>3278</v>
      </c>
      <c r="C2490" t="s">
        <v>321</v>
      </c>
      <c r="D2490" t="s">
        <v>322</v>
      </c>
      <c r="E2490" t="s">
        <v>8</v>
      </c>
      <c r="F2490" t="s">
        <v>10</v>
      </c>
      <c r="G2490" s="16">
        <v>1035.8870999999999</v>
      </c>
      <c r="H2490" s="16">
        <v>1191.27</v>
      </c>
      <c r="I2490" s="1">
        <v>46220</v>
      </c>
      <c r="J2490">
        <v>36</v>
      </c>
      <c r="K2490" t="s">
        <v>7141</v>
      </c>
      <c r="L2490" t="s">
        <v>7953</v>
      </c>
      <c r="M2490">
        <v>5</v>
      </c>
      <c r="N2490">
        <v>5</v>
      </c>
      <c r="O2490" t="s">
        <v>1036</v>
      </c>
      <c r="P2490" s="17"/>
      <c r="Q2490" s="17" t="str">
        <f>_xlfn.XLOOKUP(Table2[[#This Row],[buyFromVendorNo]],'Next Day Scheduled'!A:A,'Pending Returns'!O:O,"NOT_FOUND")</f>
        <v>NOT_FOUND</v>
      </c>
    </row>
    <row r="2491" spans="1:17" x14ac:dyDescent="0.3">
      <c r="A2491" s="1">
        <v>46223</v>
      </c>
      <c r="B2491" t="s">
        <v>1656</v>
      </c>
      <c r="C2491" t="s">
        <v>57</v>
      </c>
      <c r="D2491" t="s">
        <v>58</v>
      </c>
      <c r="E2491" t="s">
        <v>8</v>
      </c>
      <c r="F2491" t="s">
        <v>38</v>
      </c>
      <c r="G2491" s="16">
        <v>93.390050000000002</v>
      </c>
      <c r="H2491" s="16">
        <v>107.39856</v>
      </c>
      <c r="I2491" s="1">
        <v>46223</v>
      </c>
      <c r="J2491">
        <v>36</v>
      </c>
      <c r="K2491" t="s">
        <v>7460</v>
      </c>
      <c r="L2491" t="s">
        <v>7923</v>
      </c>
      <c r="M2491">
        <v>0</v>
      </c>
      <c r="N2491">
        <v>191</v>
      </c>
      <c r="O2491" t="s">
        <v>1036</v>
      </c>
      <c r="P2491" s="17"/>
      <c r="Q2491" s="17" t="str">
        <f>_xlfn.XLOOKUP(Table2[[#This Row],[buyFromVendorNo]],'Next Day Scheduled'!A:A,'Pending Returns'!O:O,"NOT_FOUND")</f>
        <v>Posted Credit Note</v>
      </c>
    </row>
    <row r="2492" spans="1:17" x14ac:dyDescent="0.3">
      <c r="A2492" s="1">
        <v>46223</v>
      </c>
      <c r="B2492" t="s">
        <v>761</v>
      </c>
      <c r="C2492" t="s">
        <v>141</v>
      </c>
      <c r="D2492" t="s">
        <v>142</v>
      </c>
      <c r="E2492" t="s">
        <v>8</v>
      </c>
      <c r="F2492" t="s">
        <v>10</v>
      </c>
      <c r="G2492" s="16">
        <v>257.185</v>
      </c>
      <c r="H2492" s="16">
        <v>295.76276000000001</v>
      </c>
      <c r="I2492" s="1">
        <v>46219</v>
      </c>
      <c r="J2492">
        <v>36</v>
      </c>
      <c r="K2492" t="s">
        <v>7069</v>
      </c>
      <c r="L2492" t="s">
        <v>7942</v>
      </c>
      <c r="M2492">
        <v>4</v>
      </c>
      <c r="N2492">
        <v>6</v>
      </c>
      <c r="O2492" t="s">
        <v>1036</v>
      </c>
      <c r="P2492" s="17"/>
      <c r="Q2492" s="17" t="str">
        <f>_xlfn.XLOOKUP(Table2[[#This Row],[buyFromVendorNo]],'Next Day Scheduled'!A:A,'Pending Returns'!O:O,"NOT_FOUND")</f>
        <v>NOT_FOUND</v>
      </c>
    </row>
    <row r="2493" spans="1:17" x14ac:dyDescent="0.3">
      <c r="A2493" s="1">
        <v>46223</v>
      </c>
      <c r="B2493" t="s">
        <v>7751</v>
      </c>
      <c r="C2493" t="s">
        <v>73</v>
      </c>
      <c r="D2493" t="s">
        <v>74</v>
      </c>
      <c r="E2493" t="s">
        <v>8</v>
      </c>
      <c r="F2493" t="s">
        <v>10</v>
      </c>
      <c r="G2493" s="16">
        <v>417.9083</v>
      </c>
      <c r="H2493" s="16">
        <v>480.59453999999999</v>
      </c>
      <c r="I2493" s="1">
        <v>46223</v>
      </c>
      <c r="J2493">
        <v>36</v>
      </c>
      <c r="K2493" t="s">
        <v>7752</v>
      </c>
      <c r="L2493" t="s">
        <v>7943</v>
      </c>
      <c r="M2493">
        <v>20</v>
      </c>
      <c r="N2493">
        <v>1</v>
      </c>
      <c r="O2493" t="s">
        <v>223</v>
      </c>
      <c r="P2493" s="17"/>
      <c r="Q2493" s="17" t="str">
        <f>_xlfn.XLOOKUP(Table2[[#This Row],[buyFromVendorNo]],'Next Day Scheduled'!A:A,'Pending Returns'!O:O,"NOT_FOUND")</f>
        <v>NOT_FOUND</v>
      </c>
    </row>
    <row r="2494" spans="1:17" x14ac:dyDescent="0.3">
      <c r="A2494" s="1">
        <v>46223</v>
      </c>
      <c r="B2494" t="s">
        <v>1779</v>
      </c>
      <c r="C2494" t="s">
        <v>1024</v>
      </c>
      <c r="D2494" t="s">
        <v>1025</v>
      </c>
      <c r="E2494" t="s">
        <v>8</v>
      </c>
      <c r="F2494" t="s">
        <v>10</v>
      </c>
      <c r="G2494" s="16">
        <v>397.93400000000003</v>
      </c>
      <c r="H2494" s="16">
        <v>457.6241</v>
      </c>
      <c r="I2494" s="1">
        <v>46221</v>
      </c>
      <c r="J2494">
        <v>36</v>
      </c>
      <c r="K2494" t="s">
        <v>6636</v>
      </c>
      <c r="L2494" t="s">
        <v>7944</v>
      </c>
      <c r="M2494">
        <v>5</v>
      </c>
      <c r="N2494">
        <v>5</v>
      </c>
      <c r="O2494" t="s">
        <v>1036</v>
      </c>
      <c r="P2494" s="17"/>
      <c r="Q2494" s="17" t="str">
        <f>_xlfn.XLOOKUP(Table2[[#This Row],[buyFromVendorNo]],'Next Day Scheduled'!A:A,'Pending Returns'!O:O,"NOT_FOUND")</f>
        <v>NOT_FOUND</v>
      </c>
    </row>
    <row r="2495" spans="1:17" x14ac:dyDescent="0.3">
      <c r="A2495" s="1">
        <v>46223</v>
      </c>
      <c r="B2495" t="s">
        <v>5681</v>
      </c>
      <c r="C2495" t="s">
        <v>358</v>
      </c>
      <c r="D2495" t="s">
        <v>359</v>
      </c>
      <c r="E2495" t="s">
        <v>8</v>
      </c>
      <c r="F2495" t="s">
        <v>10</v>
      </c>
      <c r="G2495" s="16">
        <v>844.55</v>
      </c>
      <c r="H2495" s="16">
        <v>971.23249999999996</v>
      </c>
      <c r="J2495">
        <v>36</v>
      </c>
      <c r="K2495" t="s">
        <v>7960</v>
      </c>
      <c r="M2495">
        <v>4</v>
      </c>
      <c r="N2495">
        <v>1</v>
      </c>
      <c r="O2495" t="s">
        <v>216</v>
      </c>
      <c r="P2495" s="17"/>
      <c r="Q2495" s="17" t="str">
        <f>_xlfn.XLOOKUP(Table2[[#This Row],[buyFromVendorNo]],'Next Day Scheduled'!A:A,'Pending Returns'!O:O,"NOT_FOUND")</f>
        <v>NOT_FOUND</v>
      </c>
    </row>
    <row r="2496" spans="1:17" x14ac:dyDescent="0.3">
      <c r="A2496" s="1">
        <v>46223</v>
      </c>
      <c r="B2496" t="s">
        <v>2649</v>
      </c>
      <c r="C2496" t="s">
        <v>5256</v>
      </c>
      <c r="D2496" t="s">
        <v>5257</v>
      </c>
      <c r="E2496" t="s">
        <v>8</v>
      </c>
      <c r="F2496" t="s">
        <v>10</v>
      </c>
      <c r="G2496" s="16">
        <v>277.49599999999998</v>
      </c>
      <c r="H2496" s="16">
        <v>319.12040000000002</v>
      </c>
      <c r="I2496" s="1">
        <v>46210</v>
      </c>
      <c r="J2496">
        <v>36</v>
      </c>
      <c r="K2496" t="s">
        <v>5258</v>
      </c>
      <c r="L2496" t="s">
        <v>7961</v>
      </c>
      <c r="M2496">
        <v>5</v>
      </c>
      <c r="N2496">
        <v>1</v>
      </c>
      <c r="O2496" t="s">
        <v>1036</v>
      </c>
      <c r="P2496" s="17"/>
      <c r="Q2496" s="17" t="str">
        <f>_xlfn.XLOOKUP(Table2[[#This Row],[buyFromVendorNo]],'Next Day Scheduled'!A:A,'Pending Returns'!O:O,"NOT_FOUND")</f>
        <v>NOT_FOUND</v>
      </c>
    </row>
    <row r="2497" spans="1:17" x14ac:dyDescent="0.3">
      <c r="A2497" s="1">
        <v>46223</v>
      </c>
      <c r="B2497" t="s">
        <v>3060</v>
      </c>
      <c r="C2497" t="s">
        <v>73</v>
      </c>
      <c r="D2497" t="s">
        <v>74</v>
      </c>
      <c r="E2497" t="s">
        <v>8</v>
      </c>
      <c r="F2497" t="s">
        <v>10</v>
      </c>
      <c r="G2497" s="16">
        <v>716.71730000000002</v>
      </c>
      <c r="H2497" s="16">
        <v>824.22490000000005</v>
      </c>
      <c r="I2497" s="1">
        <v>46223</v>
      </c>
      <c r="J2497">
        <v>36</v>
      </c>
      <c r="K2497" t="s">
        <v>7277</v>
      </c>
      <c r="L2497" t="s">
        <v>7924</v>
      </c>
      <c r="M2497">
        <v>20</v>
      </c>
      <c r="N2497">
        <v>1</v>
      </c>
      <c r="O2497" t="s">
        <v>223</v>
      </c>
      <c r="P2497" s="17"/>
      <c r="Q2497" s="17" t="str">
        <f>_xlfn.XLOOKUP(Table2[[#This Row],[buyFromVendorNo]],'Next Day Scheduled'!A:A,'Pending Returns'!O:O,"NOT_FOUND")</f>
        <v>NOT_FOUND</v>
      </c>
    </row>
    <row r="2498" spans="1:17" x14ac:dyDescent="0.3">
      <c r="A2498" s="1">
        <v>46223</v>
      </c>
      <c r="B2498" t="s">
        <v>3443</v>
      </c>
      <c r="C2498" t="s">
        <v>177</v>
      </c>
      <c r="D2498" t="s">
        <v>178</v>
      </c>
      <c r="E2498" t="s">
        <v>8</v>
      </c>
      <c r="F2498" t="s">
        <v>10</v>
      </c>
      <c r="G2498" s="16">
        <v>146.00960000000001</v>
      </c>
      <c r="H2498" s="16">
        <v>167.91104000000001</v>
      </c>
      <c r="I2498" s="1">
        <v>46207</v>
      </c>
      <c r="J2498">
        <v>36</v>
      </c>
      <c r="K2498" t="s">
        <v>3235</v>
      </c>
      <c r="L2498" t="s">
        <v>7964</v>
      </c>
      <c r="M2498">
        <v>12</v>
      </c>
      <c r="N2498">
        <v>2</v>
      </c>
      <c r="O2498" t="s">
        <v>1036</v>
      </c>
      <c r="P2498" s="17"/>
      <c r="Q2498" s="17" t="str">
        <f>_xlfn.XLOOKUP(Table2[[#This Row],[buyFromVendorNo]],'Next Day Scheduled'!A:A,'Pending Returns'!O:O,"NOT_FOUND")</f>
        <v>Posted Credit Note</v>
      </c>
    </row>
    <row r="2499" spans="1:17" x14ac:dyDescent="0.3">
      <c r="A2499" s="1">
        <v>46223</v>
      </c>
      <c r="B2499" t="s">
        <v>4437</v>
      </c>
      <c r="C2499" t="s">
        <v>2328</v>
      </c>
      <c r="D2499" t="s">
        <v>2329</v>
      </c>
      <c r="E2499" t="s">
        <v>8</v>
      </c>
      <c r="F2499" t="s">
        <v>10</v>
      </c>
      <c r="G2499" s="16">
        <v>42</v>
      </c>
      <c r="H2499" s="16">
        <v>48.3</v>
      </c>
      <c r="I2499" s="1">
        <v>46221</v>
      </c>
      <c r="J2499">
        <v>36</v>
      </c>
      <c r="K2499" t="s">
        <v>7641</v>
      </c>
      <c r="L2499" t="s">
        <v>7947</v>
      </c>
      <c r="M2499">
        <v>5</v>
      </c>
      <c r="N2499">
        <v>3</v>
      </c>
      <c r="O2499" t="s">
        <v>1036</v>
      </c>
      <c r="P2499" s="17"/>
      <c r="Q2499" s="17" t="str">
        <f>_xlfn.XLOOKUP(Table2[[#This Row],[buyFromVendorNo]],'Next Day Scheduled'!A:A,'Pending Returns'!O:O,"NOT_FOUND")</f>
        <v>NOT_FOUND</v>
      </c>
    </row>
    <row r="2500" spans="1:17" x14ac:dyDescent="0.3">
      <c r="A2500" s="1">
        <v>46223</v>
      </c>
      <c r="B2500" t="s">
        <v>1493</v>
      </c>
      <c r="C2500" t="s">
        <v>177</v>
      </c>
      <c r="D2500" t="s">
        <v>178</v>
      </c>
      <c r="E2500" t="s">
        <v>8</v>
      </c>
      <c r="F2500" t="s">
        <v>10</v>
      </c>
      <c r="G2500" s="16">
        <v>643.70100000000002</v>
      </c>
      <c r="H2500" s="16">
        <v>740.25616000000002</v>
      </c>
      <c r="I2500" s="1">
        <v>46207</v>
      </c>
      <c r="J2500">
        <v>36</v>
      </c>
      <c r="K2500" t="s">
        <v>2850</v>
      </c>
      <c r="L2500" t="s">
        <v>7939</v>
      </c>
      <c r="M2500">
        <v>12</v>
      </c>
      <c r="N2500">
        <v>2</v>
      </c>
      <c r="O2500" t="s">
        <v>1036</v>
      </c>
      <c r="P2500" s="17"/>
      <c r="Q2500" s="17" t="str">
        <f>_xlfn.XLOOKUP(Table2[[#This Row],[buyFromVendorNo]],'Next Day Scheduled'!A:A,'Pending Returns'!O:O,"NOT_FOUND")</f>
        <v>Posted Credit Note</v>
      </c>
    </row>
    <row r="2501" spans="1:17" x14ac:dyDescent="0.3">
      <c r="A2501" s="1">
        <v>46223</v>
      </c>
      <c r="B2501" t="s">
        <v>6971</v>
      </c>
      <c r="C2501" t="s">
        <v>929</v>
      </c>
      <c r="D2501" t="s">
        <v>930</v>
      </c>
      <c r="E2501" t="s">
        <v>8</v>
      </c>
      <c r="F2501" t="s">
        <v>10</v>
      </c>
      <c r="G2501" s="16">
        <v>1219.4784999999999</v>
      </c>
      <c r="H2501" s="16">
        <v>1402.4004</v>
      </c>
      <c r="I2501" s="1">
        <v>46221</v>
      </c>
      <c r="J2501">
        <v>36</v>
      </c>
      <c r="K2501" t="s">
        <v>6972</v>
      </c>
      <c r="L2501" t="s">
        <v>7921</v>
      </c>
      <c r="M2501">
        <v>4</v>
      </c>
      <c r="N2501">
        <v>8</v>
      </c>
      <c r="O2501" t="s">
        <v>1036</v>
      </c>
      <c r="P2501" s="17"/>
      <c r="Q2501" s="17" t="str">
        <f>_xlfn.XLOOKUP(Table2[[#This Row],[buyFromVendorNo]],'Next Day Scheduled'!A:A,'Pending Returns'!O:O,"NOT_FOUND")</f>
        <v>NOT_FOUND</v>
      </c>
    </row>
    <row r="2502" spans="1:17" x14ac:dyDescent="0.3">
      <c r="A2502" s="1">
        <v>46223</v>
      </c>
      <c r="B2502" t="s">
        <v>1098</v>
      </c>
      <c r="C2502" t="s">
        <v>2300</v>
      </c>
      <c r="D2502" t="s">
        <v>2301</v>
      </c>
      <c r="E2502" t="s">
        <v>8</v>
      </c>
      <c r="F2502" t="s">
        <v>38</v>
      </c>
      <c r="G2502" s="16">
        <v>120.22</v>
      </c>
      <c r="H2502" s="16">
        <v>138.25299999999999</v>
      </c>
      <c r="I2502" s="1">
        <v>46222</v>
      </c>
      <c r="J2502">
        <v>36</v>
      </c>
      <c r="K2502" t="s">
        <v>7879</v>
      </c>
      <c r="L2502" t="s">
        <v>7922</v>
      </c>
      <c r="M2502">
        <v>6</v>
      </c>
      <c r="N2502">
        <v>2</v>
      </c>
      <c r="O2502" t="s">
        <v>1036</v>
      </c>
      <c r="P2502" s="17"/>
      <c r="Q2502" s="17" t="str">
        <f>_xlfn.XLOOKUP(Table2[[#This Row],[buyFromVendorNo]],'Next Day Scheduled'!A:A,'Pending Returns'!O:O,"NOT_FOUND")</f>
        <v>NOT_FOUND</v>
      </c>
    </row>
    <row r="2503" spans="1:17" x14ac:dyDescent="0.3">
      <c r="A2503" s="1">
        <v>46223</v>
      </c>
      <c r="B2503" t="s">
        <v>3025</v>
      </c>
      <c r="C2503" t="s">
        <v>73</v>
      </c>
      <c r="D2503" t="s">
        <v>74</v>
      </c>
      <c r="E2503" t="s">
        <v>8</v>
      </c>
      <c r="F2503" t="s">
        <v>10</v>
      </c>
      <c r="G2503" s="16">
        <v>787.34100000000001</v>
      </c>
      <c r="H2503" s="16">
        <v>905.44213999999999</v>
      </c>
      <c r="I2503" s="1">
        <v>46223</v>
      </c>
      <c r="J2503">
        <v>36</v>
      </c>
      <c r="K2503" t="s">
        <v>6447</v>
      </c>
      <c r="L2503" t="s">
        <v>7928</v>
      </c>
      <c r="M2503">
        <v>20</v>
      </c>
      <c r="N2503">
        <v>1</v>
      </c>
      <c r="O2503" t="s">
        <v>223</v>
      </c>
      <c r="P2503" s="17"/>
      <c r="Q2503" s="17" t="str">
        <f>_xlfn.XLOOKUP(Table2[[#This Row],[buyFromVendorNo]],'Next Day Scheduled'!A:A,'Pending Returns'!O:O,"NOT_FOUND")</f>
        <v>NOT_FOUND</v>
      </c>
    </row>
    <row r="2504" spans="1:17" x14ac:dyDescent="0.3">
      <c r="A2504" s="1">
        <v>46223</v>
      </c>
      <c r="B2504" t="s">
        <v>222</v>
      </c>
      <c r="C2504" t="s">
        <v>73</v>
      </c>
      <c r="D2504" t="s">
        <v>74</v>
      </c>
      <c r="E2504" t="s">
        <v>8</v>
      </c>
      <c r="F2504" t="s">
        <v>10</v>
      </c>
      <c r="G2504" s="16">
        <v>498.99799999999999</v>
      </c>
      <c r="H2504" s="16">
        <v>573.84770000000003</v>
      </c>
      <c r="I2504" s="1">
        <v>46223</v>
      </c>
      <c r="J2504">
        <v>36</v>
      </c>
      <c r="K2504" t="s">
        <v>6021</v>
      </c>
      <c r="L2504" t="s">
        <v>7955</v>
      </c>
      <c r="M2504">
        <v>20</v>
      </c>
      <c r="N2504">
        <v>1</v>
      </c>
      <c r="O2504" t="s">
        <v>223</v>
      </c>
      <c r="P2504" s="17"/>
      <c r="Q2504" s="17" t="str">
        <f>_xlfn.XLOOKUP(Table2[[#This Row],[buyFromVendorNo]],'Next Day Scheduled'!A:A,'Pending Returns'!O:O,"NOT_FOUND")</f>
        <v>NOT_FOUND</v>
      </c>
    </row>
    <row r="2505" spans="1:17" x14ac:dyDescent="0.3">
      <c r="A2505" s="1">
        <v>46223</v>
      </c>
      <c r="B2505" t="s">
        <v>1504</v>
      </c>
      <c r="C2505" t="s">
        <v>835</v>
      </c>
      <c r="D2505" t="s">
        <v>836</v>
      </c>
      <c r="E2505" t="s">
        <v>8</v>
      </c>
      <c r="F2505" t="s">
        <v>10</v>
      </c>
      <c r="G2505" s="16">
        <v>2654.35</v>
      </c>
      <c r="H2505" s="16">
        <v>2654.35</v>
      </c>
      <c r="I2505" s="1">
        <v>46223</v>
      </c>
      <c r="J2505">
        <v>36</v>
      </c>
      <c r="K2505" t="s">
        <v>1013</v>
      </c>
      <c r="L2505" t="s">
        <v>7956</v>
      </c>
      <c r="M2505">
        <v>0</v>
      </c>
      <c r="N2505">
        <v>254</v>
      </c>
      <c r="O2505" t="s">
        <v>223</v>
      </c>
      <c r="P2505" s="17"/>
      <c r="Q2505" s="17" t="str">
        <f>_xlfn.XLOOKUP(Table2[[#This Row],[buyFromVendorNo]],'Next Day Scheduled'!A:A,'Pending Returns'!O:O,"NOT_FOUND")</f>
        <v>NOT_FOUND</v>
      </c>
    </row>
    <row r="2506" spans="1:17" x14ac:dyDescent="0.3">
      <c r="A2506" s="1">
        <v>46223</v>
      </c>
      <c r="B2506" t="s">
        <v>6438</v>
      </c>
      <c r="C2506" t="s">
        <v>835</v>
      </c>
      <c r="D2506" t="s">
        <v>836</v>
      </c>
      <c r="E2506" t="s">
        <v>8</v>
      </c>
      <c r="F2506" t="s">
        <v>10</v>
      </c>
      <c r="G2506" s="16">
        <v>1619.7</v>
      </c>
      <c r="H2506" s="16">
        <v>1619.7</v>
      </c>
      <c r="I2506" s="1">
        <v>46223</v>
      </c>
      <c r="J2506">
        <v>36</v>
      </c>
      <c r="K2506" t="s">
        <v>3633</v>
      </c>
      <c r="L2506" t="s">
        <v>7936</v>
      </c>
      <c r="M2506">
        <v>0</v>
      </c>
      <c r="N2506">
        <v>254</v>
      </c>
      <c r="O2506" t="s">
        <v>223</v>
      </c>
      <c r="P2506" s="17"/>
      <c r="Q2506" s="17" t="str">
        <f>_xlfn.XLOOKUP(Table2[[#This Row],[buyFromVendorNo]],'Next Day Scheduled'!A:A,'Pending Returns'!O:O,"NOT_FOUND")</f>
        <v>NOT_FOUND</v>
      </c>
    </row>
    <row r="2507" spans="1:17" x14ac:dyDescent="0.3">
      <c r="A2507" s="1">
        <v>46223</v>
      </c>
      <c r="B2507" t="s">
        <v>3457</v>
      </c>
      <c r="C2507" t="s">
        <v>512</v>
      </c>
      <c r="D2507" t="s">
        <v>513</v>
      </c>
      <c r="E2507" t="s">
        <v>8</v>
      </c>
      <c r="F2507" t="s">
        <v>10</v>
      </c>
      <c r="G2507" s="16">
        <v>90.296890000000005</v>
      </c>
      <c r="H2507" s="16">
        <v>103.84141</v>
      </c>
      <c r="I2507" s="1">
        <v>46211</v>
      </c>
      <c r="J2507">
        <v>36</v>
      </c>
      <c r="K2507" t="s">
        <v>3088</v>
      </c>
      <c r="L2507" t="s">
        <v>7958</v>
      </c>
      <c r="M2507">
        <v>5</v>
      </c>
      <c r="N2507">
        <v>3</v>
      </c>
      <c r="O2507" t="s">
        <v>1036</v>
      </c>
      <c r="P2507" s="17"/>
      <c r="Q2507" s="17" t="str">
        <f>_xlfn.XLOOKUP(Table2[[#This Row],[buyFromVendorNo]],'Next Day Scheduled'!A:A,'Pending Returns'!O:O,"NOT_FOUND")</f>
        <v>NOT_FOUND</v>
      </c>
    </row>
    <row r="2508" spans="1:17" x14ac:dyDescent="0.3">
      <c r="A2508" s="1">
        <v>46223</v>
      </c>
      <c r="B2508" t="s">
        <v>5276</v>
      </c>
      <c r="C2508" t="s">
        <v>1018</v>
      </c>
      <c r="D2508" t="s">
        <v>1019</v>
      </c>
      <c r="E2508" t="s">
        <v>8</v>
      </c>
      <c r="F2508" t="s">
        <v>10</v>
      </c>
      <c r="G2508" s="16">
        <v>191.80516</v>
      </c>
      <c r="H2508" s="16">
        <v>220.57593</v>
      </c>
      <c r="I2508" s="1">
        <v>46221</v>
      </c>
      <c r="J2508">
        <v>36</v>
      </c>
      <c r="K2508" t="s">
        <v>7652</v>
      </c>
      <c r="L2508" t="s">
        <v>7948</v>
      </c>
      <c r="M2508">
        <v>5</v>
      </c>
      <c r="N2508">
        <v>3</v>
      </c>
      <c r="O2508" t="s">
        <v>1036</v>
      </c>
      <c r="P2508" s="17"/>
      <c r="Q2508" s="17" t="str">
        <f>_xlfn.XLOOKUP(Table2[[#This Row],[buyFromVendorNo]],'Next Day Scheduled'!A:A,'Pending Returns'!O:O,"NOT_FOUND")</f>
        <v>NOT_FOUND</v>
      </c>
    </row>
    <row r="2509" spans="1:17" x14ac:dyDescent="0.3">
      <c r="A2509" s="1">
        <v>46223</v>
      </c>
      <c r="B2509" t="s">
        <v>3439</v>
      </c>
      <c r="C2509" t="s">
        <v>1022</v>
      </c>
      <c r="D2509" t="s">
        <v>1023</v>
      </c>
      <c r="E2509" t="s">
        <v>8</v>
      </c>
      <c r="F2509" t="s">
        <v>10</v>
      </c>
      <c r="G2509" s="16">
        <v>4971</v>
      </c>
      <c r="H2509" s="16">
        <v>5716.65</v>
      </c>
      <c r="I2509" s="1">
        <v>46220</v>
      </c>
      <c r="J2509">
        <v>36</v>
      </c>
      <c r="K2509" t="s">
        <v>7025</v>
      </c>
      <c r="L2509" t="s">
        <v>7911</v>
      </c>
      <c r="M2509">
        <v>5</v>
      </c>
      <c r="N2509">
        <v>5</v>
      </c>
      <c r="O2509" t="s">
        <v>1036</v>
      </c>
      <c r="P2509" s="17"/>
      <c r="Q2509" s="17" t="str">
        <f>_xlfn.XLOOKUP(Table2[[#This Row],[buyFromVendorNo]],'Next Day Scheduled'!A:A,'Pending Returns'!O:O,"NOT_FOUND")</f>
        <v>Posted Credit Note</v>
      </c>
    </row>
    <row r="2510" spans="1:17" x14ac:dyDescent="0.3">
      <c r="A2510" s="1">
        <v>46224</v>
      </c>
      <c r="B2510" t="s">
        <v>4031</v>
      </c>
      <c r="C2510" t="s">
        <v>422</v>
      </c>
      <c r="D2510" t="s">
        <v>490</v>
      </c>
      <c r="E2510" t="s">
        <v>8</v>
      </c>
      <c r="F2510" t="s">
        <v>169</v>
      </c>
      <c r="G2510" s="16">
        <v>345.59325999999999</v>
      </c>
      <c r="H2510" s="16">
        <v>397.43225000000001</v>
      </c>
      <c r="I2510" s="1">
        <v>46215</v>
      </c>
      <c r="J2510">
        <v>35</v>
      </c>
      <c r="K2510" t="s">
        <v>7045</v>
      </c>
      <c r="L2510" t="s">
        <v>7968</v>
      </c>
      <c r="M2510">
        <v>5</v>
      </c>
      <c r="N2510">
        <v>3</v>
      </c>
      <c r="O2510" t="s">
        <v>1036</v>
      </c>
      <c r="P2510" s="17"/>
      <c r="Q2510" s="17" t="str">
        <f>_xlfn.XLOOKUP(Table2[[#This Row],[buyFromVendorNo]],'Next Day Scheduled'!A:A,'Pending Returns'!O:O,"NOT_FOUND")</f>
        <v>NOT_FOUND</v>
      </c>
    </row>
    <row r="2511" spans="1:17" x14ac:dyDescent="0.3">
      <c r="A2511" s="1">
        <v>46224</v>
      </c>
      <c r="B2511" t="s">
        <v>642</v>
      </c>
      <c r="C2511" t="s">
        <v>69</v>
      </c>
      <c r="D2511" t="s">
        <v>70</v>
      </c>
      <c r="E2511" t="s">
        <v>8</v>
      </c>
      <c r="F2511" t="s">
        <v>38</v>
      </c>
      <c r="G2511" s="16">
        <v>732.58</v>
      </c>
      <c r="H2511" s="16">
        <v>842.46699999999998</v>
      </c>
      <c r="J2511">
        <v>35</v>
      </c>
      <c r="K2511" t="s">
        <v>7981</v>
      </c>
      <c r="M2511">
        <v>16</v>
      </c>
      <c r="N2511">
        <v>2</v>
      </c>
      <c r="O2511" t="s">
        <v>216</v>
      </c>
      <c r="P2511" s="17"/>
      <c r="Q2511" s="17" t="str">
        <f>_xlfn.XLOOKUP(Table2[[#This Row],[buyFromVendorNo]],'Next Day Scheduled'!A:A,'Pending Returns'!O:O,"NOT_FOUND")</f>
        <v>Posted Credit Note</v>
      </c>
    </row>
    <row r="2512" spans="1:17" x14ac:dyDescent="0.3">
      <c r="A2512" s="1">
        <v>46224</v>
      </c>
      <c r="B2512" t="s">
        <v>3296</v>
      </c>
      <c r="C2512" t="s">
        <v>177</v>
      </c>
      <c r="D2512" t="s">
        <v>178</v>
      </c>
      <c r="E2512" t="s">
        <v>8</v>
      </c>
      <c r="F2512" t="s">
        <v>10</v>
      </c>
      <c r="G2512" s="16">
        <v>243.90002000000001</v>
      </c>
      <c r="H2512" s="16">
        <v>280.48502000000002</v>
      </c>
      <c r="I2512" s="1">
        <v>46207</v>
      </c>
      <c r="J2512">
        <v>35</v>
      </c>
      <c r="K2512" t="s">
        <v>3991</v>
      </c>
      <c r="L2512" t="s">
        <v>7993</v>
      </c>
      <c r="M2512">
        <v>11</v>
      </c>
      <c r="N2512">
        <v>2</v>
      </c>
      <c r="O2512" t="s">
        <v>1036</v>
      </c>
      <c r="P2512" s="17"/>
      <c r="Q2512" s="17" t="str">
        <f>_xlfn.XLOOKUP(Table2[[#This Row],[buyFromVendorNo]],'Next Day Scheduled'!A:A,'Pending Returns'!O:O,"NOT_FOUND")</f>
        <v>Posted Credit Note</v>
      </c>
    </row>
    <row r="2513" spans="1:17" x14ac:dyDescent="0.3">
      <c r="A2513" s="1">
        <v>46224</v>
      </c>
      <c r="B2513" t="s">
        <v>2006</v>
      </c>
      <c r="C2513" t="s">
        <v>39</v>
      </c>
      <c r="D2513" t="s">
        <v>40</v>
      </c>
      <c r="E2513" t="s">
        <v>8</v>
      </c>
      <c r="F2513" t="s">
        <v>10</v>
      </c>
      <c r="G2513" s="16">
        <v>3105.9812000000002</v>
      </c>
      <c r="H2513" s="16">
        <v>3571.8782000000001</v>
      </c>
      <c r="J2513">
        <v>35</v>
      </c>
      <c r="K2513" t="s">
        <v>7994</v>
      </c>
      <c r="M2513">
        <v>9</v>
      </c>
      <c r="N2513">
        <v>1</v>
      </c>
      <c r="O2513" t="s">
        <v>216</v>
      </c>
      <c r="P2513" s="17"/>
      <c r="Q2513" s="17" t="str">
        <f>_xlfn.XLOOKUP(Table2[[#This Row],[buyFromVendorNo]],'Next Day Scheduled'!A:A,'Pending Returns'!O:O,"NOT_FOUND")</f>
        <v>Posted Credit Note</v>
      </c>
    </row>
    <row r="2514" spans="1:17" x14ac:dyDescent="0.3">
      <c r="A2514" s="1">
        <v>46224</v>
      </c>
      <c r="B2514" t="s">
        <v>3326</v>
      </c>
      <c r="C2514" t="s">
        <v>1615</v>
      </c>
      <c r="D2514" t="s">
        <v>1616</v>
      </c>
      <c r="E2514" t="s">
        <v>8</v>
      </c>
      <c r="F2514" t="s">
        <v>10</v>
      </c>
      <c r="G2514" s="16">
        <v>132.19999999999999</v>
      </c>
      <c r="H2514" s="16">
        <v>152.03</v>
      </c>
      <c r="I2514" s="1">
        <v>46223</v>
      </c>
      <c r="J2514">
        <v>35</v>
      </c>
      <c r="K2514" t="s">
        <v>7424</v>
      </c>
      <c r="L2514" t="s">
        <v>8003</v>
      </c>
      <c r="M2514">
        <v>4</v>
      </c>
      <c r="N2514">
        <v>5</v>
      </c>
      <c r="O2514" t="s">
        <v>1036</v>
      </c>
      <c r="P2514" s="17"/>
      <c r="Q2514" s="17" t="str">
        <f>_xlfn.XLOOKUP(Table2[[#This Row],[buyFromVendorNo]],'Next Day Scheduled'!A:A,'Pending Returns'!O:O,"NOT_FOUND")</f>
        <v>NOT_FOUND</v>
      </c>
    </row>
    <row r="2515" spans="1:17" x14ac:dyDescent="0.3">
      <c r="A2515" s="1">
        <v>46224</v>
      </c>
      <c r="B2515" t="s">
        <v>234</v>
      </c>
      <c r="C2515" t="s">
        <v>634</v>
      </c>
      <c r="D2515" t="s">
        <v>659</v>
      </c>
      <c r="E2515" t="s">
        <v>8</v>
      </c>
      <c r="F2515" t="s">
        <v>10</v>
      </c>
      <c r="G2515" s="16">
        <v>681.52</v>
      </c>
      <c r="H2515" s="16">
        <v>783.74800000000005</v>
      </c>
      <c r="I2515" s="1">
        <v>46215</v>
      </c>
      <c r="J2515">
        <v>35</v>
      </c>
      <c r="K2515" t="s">
        <v>7125</v>
      </c>
      <c r="L2515" t="s">
        <v>8005</v>
      </c>
      <c r="M2515">
        <v>4</v>
      </c>
      <c r="N2515">
        <v>7</v>
      </c>
      <c r="O2515" t="s">
        <v>1036</v>
      </c>
      <c r="P2515" s="17"/>
      <c r="Q2515" s="17" t="str">
        <f>_xlfn.XLOOKUP(Table2[[#This Row],[buyFromVendorNo]],'Next Day Scheduled'!A:A,'Pending Returns'!O:O,"NOT_FOUND")</f>
        <v>Posted Credit Note</v>
      </c>
    </row>
    <row r="2516" spans="1:17" x14ac:dyDescent="0.3">
      <c r="A2516" s="1">
        <v>46224</v>
      </c>
      <c r="B2516" t="s">
        <v>3273</v>
      </c>
      <c r="C2516" t="s">
        <v>1639</v>
      </c>
      <c r="D2516" t="s">
        <v>1640</v>
      </c>
      <c r="E2516" t="s">
        <v>8</v>
      </c>
      <c r="F2516" t="s">
        <v>10</v>
      </c>
      <c r="G2516" s="16">
        <v>68.25</v>
      </c>
      <c r="H2516" s="16">
        <v>78.487499999999997</v>
      </c>
      <c r="I2516" s="1">
        <v>46217</v>
      </c>
      <c r="J2516">
        <v>35</v>
      </c>
      <c r="K2516" t="s">
        <v>7185</v>
      </c>
      <c r="L2516" t="s">
        <v>7991</v>
      </c>
      <c r="M2516">
        <v>6</v>
      </c>
      <c r="N2516">
        <v>7</v>
      </c>
      <c r="O2516" t="s">
        <v>1036</v>
      </c>
      <c r="P2516" s="17"/>
      <c r="Q2516" s="17" t="str">
        <f>_xlfn.XLOOKUP(Table2[[#This Row],[buyFromVendorNo]],'Next Day Scheduled'!A:A,'Pending Returns'!O:O,"NOT_FOUND")</f>
        <v>Posted Credit Note</v>
      </c>
    </row>
    <row r="2517" spans="1:17" x14ac:dyDescent="0.3">
      <c r="A2517" s="1">
        <v>46224</v>
      </c>
      <c r="B2517" t="s">
        <v>1837</v>
      </c>
      <c r="C2517" t="s">
        <v>880</v>
      </c>
      <c r="D2517" t="s">
        <v>881</v>
      </c>
      <c r="E2517" t="s">
        <v>8</v>
      </c>
      <c r="F2517" t="s">
        <v>10</v>
      </c>
      <c r="G2517" s="16">
        <v>490.42</v>
      </c>
      <c r="H2517" s="16">
        <v>563.98299999999995</v>
      </c>
      <c r="I2517" s="1">
        <v>46224</v>
      </c>
      <c r="J2517">
        <v>35</v>
      </c>
      <c r="K2517" t="s">
        <v>7730</v>
      </c>
      <c r="L2517" t="s">
        <v>7980</v>
      </c>
      <c r="M2517">
        <v>3</v>
      </c>
      <c r="N2517">
        <v>13</v>
      </c>
      <c r="O2517" t="s">
        <v>1036</v>
      </c>
      <c r="P2517" s="17"/>
      <c r="Q2517" s="17" t="str">
        <f>_xlfn.XLOOKUP(Table2[[#This Row],[buyFromVendorNo]],'Next Day Scheduled'!A:A,'Pending Returns'!O:O,"NOT_FOUND")</f>
        <v>NOT_FOUND</v>
      </c>
    </row>
    <row r="2518" spans="1:17" x14ac:dyDescent="0.3">
      <c r="A2518" s="1">
        <v>46224</v>
      </c>
      <c r="B2518" t="s">
        <v>4460</v>
      </c>
      <c r="C2518" t="s">
        <v>5199</v>
      </c>
      <c r="D2518" t="s">
        <v>5200</v>
      </c>
      <c r="E2518" t="s">
        <v>8</v>
      </c>
      <c r="F2518" t="s">
        <v>169</v>
      </c>
      <c r="G2518" s="16">
        <v>26.5</v>
      </c>
      <c r="H2518" s="16">
        <v>30.475000000000001</v>
      </c>
      <c r="J2518">
        <v>35</v>
      </c>
      <c r="K2518" t="s">
        <v>8001</v>
      </c>
      <c r="M2518">
        <v>4</v>
      </c>
      <c r="N2518">
        <v>6</v>
      </c>
      <c r="O2518" t="s">
        <v>216</v>
      </c>
      <c r="P2518" s="17"/>
      <c r="Q2518" s="17" t="str">
        <f>_xlfn.XLOOKUP(Table2[[#This Row],[buyFromVendorNo]],'Next Day Scheduled'!A:A,'Pending Returns'!O:O,"NOT_FOUND")</f>
        <v>Posted Credit Note</v>
      </c>
    </row>
    <row r="2519" spans="1:17" x14ac:dyDescent="0.3">
      <c r="A2519" s="1">
        <v>46224</v>
      </c>
      <c r="B2519" t="s">
        <v>642</v>
      </c>
      <c r="C2519" t="s">
        <v>39</v>
      </c>
      <c r="D2519" t="s">
        <v>40</v>
      </c>
      <c r="E2519" t="s">
        <v>8</v>
      </c>
      <c r="F2519" t="s">
        <v>38</v>
      </c>
      <c r="G2519" s="16">
        <v>2304.0088000000001</v>
      </c>
      <c r="H2519" s="16">
        <v>2649.61</v>
      </c>
      <c r="J2519">
        <v>35</v>
      </c>
      <c r="K2519" t="s">
        <v>7974</v>
      </c>
      <c r="M2519">
        <v>7</v>
      </c>
      <c r="N2519">
        <v>22</v>
      </c>
      <c r="O2519" t="s">
        <v>216</v>
      </c>
      <c r="P2519" s="17"/>
      <c r="Q2519" s="17" t="str">
        <f>_xlfn.XLOOKUP(Table2[[#This Row],[buyFromVendorNo]],'Next Day Scheduled'!A:A,'Pending Returns'!O:O,"NOT_FOUND")</f>
        <v>Posted Credit Note</v>
      </c>
    </row>
    <row r="2520" spans="1:17" x14ac:dyDescent="0.3">
      <c r="A2520" s="1">
        <v>46224</v>
      </c>
      <c r="B2520" t="s">
        <v>2617</v>
      </c>
      <c r="C2520" t="s">
        <v>420</v>
      </c>
      <c r="D2520" t="s">
        <v>421</v>
      </c>
      <c r="E2520" t="s">
        <v>8</v>
      </c>
      <c r="F2520" t="s">
        <v>10</v>
      </c>
      <c r="G2520" s="16">
        <v>1554.3181999999999</v>
      </c>
      <c r="H2520" s="16">
        <v>1787.4661000000001</v>
      </c>
      <c r="I2520" s="1">
        <v>46212</v>
      </c>
      <c r="J2520">
        <v>35</v>
      </c>
      <c r="K2520" t="s">
        <v>6603</v>
      </c>
      <c r="L2520" t="s">
        <v>8009</v>
      </c>
      <c r="M2520">
        <v>5</v>
      </c>
      <c r="N2520">
        <v>3</v>
      </c>
      <c r="O2520" t="s">
        <v>1036</v>
      </c>
      <c r="P2520" s="17"/>
      <c r="Q2520" s="17" t="str">
        <f>_xlfn.XLOOKUP(Table2[[#This Row],[buyFromVendorNo]],'Next Day Scheduled'!A:A,'Pending Returns'!O:O,"NOT_FOUND")</f>
        <v>NOT_FOUND</v>
      </c>
    </row>
    <row r="2521" spans="1:17" x14ac:dyDescent="0.3">
      <c r="A2521" s="1">
        <v>46224</v>
      </c>
      <c r="B2521" t="s">
        <v>2085</v>
      </c>
      <c r="C2521" t="s">
        <v>776</v>
      </c>
      <c r="D2521" t="s">
        <v>777</v>
      </c>
      <c r="E2521" t="s">
        <v>8</v>
      </c>
      <c r="F2521" t="s">
        <v>38</v>
      </c>
      <c r="G2521" s="16">
        <v>143.63</v>
      </c>
      <c r="H2521" s="16">
        <v>165.17449999999999</v>
      </c>
      <c r="I2521" s="1">
        <v>46223</v>
      </c>
      <c r="J2521">
        <v>35</v>
      </c>
      <c r="K2521" t="s">
        <v>7847</v>
      </c>
      <c r="L2521" t="s">
        <v>7976</v>
      </c>
      <c r="M2521">
        <v>5</v>
      </c>
      <c r="N2521">
        <v>2</v>
      </c>
      <c r="O2521" t="s">
        <v>1036</v>
      </c>
      <c r="P2521" s="17"/>
      <c r="Q2521" s="17" t="str">
        <f>_xlfn.XLOOKUP(Table2[[#This Row],[buyFromVendorNo]],'Next Day Scheduled'!A:A,'Pending Returns'!O:O,"NOT_FOUND")</f>
        <v>Posted Credit Note</v>
      </c>
    </row>
    <row r="2522" spans="1:17" x14ac:dyDescent="0.3">
      <c r="A2522" s="1">
        <v>46224</v>
      </c>
      <c r="B2522" t="s">
        <v>3313</v>
      </c>
      <c r="C2522" t="s">
        <v>931</v>
      </c>
      <c r="D2522" t="s">
        <v>1767</v>
      </c>
      <c r="E2522" t="s">
        <v>8</v>
      </c>
      <c r="F2522" t="s">
        <v>10</v>
      </c>
      <c r="G2522" s="16">
        <v>72.55</v>
      </c>
      <c r="H2522" s="16">
        <v>83.432500000000005</v>
      </c>
      <c r="I2522" s="1">
        <v>46218</v>
      </c>
      <c r="J2522">
        <v>35</v>
      </c>
      <c r="K2522" t="s">
        <v>7348</v>
      </c>
      <c r="L2522" t="s">
        <v>7977</v>
      </c>
      <c r="M2522">
        <v>5</v>
      </c>
      <c r="N2522">
        <v>3</v>
      </c>
      <c r="O2522" t="s">
        <v>1036</v>
      </c>
      <c r="P2522" s="17"/>
      <c r="Q2522" s="17" t="str">
        <f>_xlfn.XLOOKUP(Table2[[#This Row],[buyFromVendorNo]],'Next Day Scheduled'!A:A,'Pending Returns'!O:O,"NOT_FOUND")</f>
        <v>NOT_FOUND</v>
      </c>
    </row>
    <row r="2523" spans="1:17" x14ac:dyDescent="0.3">
      <c r="A2523" s="1">
        <v>46224</v>
      </c>
      <c r="B2523" t="s">
        <v>5297</v>
      </c>
      <c r="C2523" t="s">
        <v>177</v>
      </c>
      <c r="D2523" t="s">
        <v>178</v>
      </c>
      <c r="E2523" t="s">
        <v>8</v>
      </c>
      <c r="F2523" t="s">
        <v>10</v>
      </c>
      <c r="G2523" s="16">
        <v>140.35</v>
      </c>
      <c r="H2523" s="16">
        <v>161.4025</v>
      </c>
      <c r="I2523" s="1">
        <v>46207</v>
      </c>
      <c r="J2523">
        <v>35</v>
      </c>
      <c r="K2523" t="s">
        <v>4289</v>
      </c>
      <c r="L2523" t="s">
        <v>7999</v>
      </c>
      <c r="M2523">
        <v>11</v>
      </c>
      <c r="N2523">
        <v>2</v>
      </c>
      <c r="O2523" t="s">
        <v>1036</v>
      </c>
      <c r="P2523" s="17"/>
      <c r="Q2523" s="17" t="str">
        <f>_xlfn.XLOOKUP(Table2[[#This Row],[buyFromVendorNo]],'Next Day Scheduled'!A:A,'Pending Returns'!O:O,"NOT_FOUND")</f>
        <v>Posted Credit Note</v>
      </c>
    </row>
    <row r="2524" spans="1:17" x14ac:dyDescent="0.3">
      <c r="A2524" s="1">
        <v>46224</v>
      </c>
      <c r="B2524" t="s">
        <v>2536</v>
      </c>
      <c r="C2524" t="s">
        <v>635</v>
      </c>
      <c r="D2524" t="s">
        <v>636</v>
      </c>
      <c r="E2524" t="s">
        <v>8</v>
      </c>
      <c r="F2524" t="s">
        <v>10</v>
      </c>
      <c r="G2524" s="16">
        <v>27.83333</v>
      </c>
      <c r="H2524" s="16">
        <v>32.008330000000001</v>
      </c>
      <c r="I2524" s="1">
        <v>46210</v>
      </c>
      <c r="J2524">
        <v>35</v>
      </c>
      <c r="K2524" t="s">
        <v>6562</v>
      </c>
      <c r="L2524" t="s">
        <v>7992</v>
      </c>
      <c r="M2524">
        <v>4</v>
      </c>
      <c r="N2524">
        <v>2</v>
      </c>
      <c r="O2524" t="s">
        <v>1036</v>
      </c>
      <c r="P2524" s="17"/>
      <c r="Q2524" s="17" t="str">
        <f>_xlfn.XLOOKUP(Table2[[#This Row],[buyFromVendorNo]],'Next Day Scheduled'!A:A,'Pending Returns'!O:O,"NOT_FOUND")</f>
        <v>NOT_FOUND</v>
      </c>
    </row>
    <row r="2525" spans="1:17" x14ac:dyDescent="0.3">
      <c r="A2525" s="1">
        <v>46224</v>
      </c>
      <c r="B2525" t="s">
        <v>6775</v>
      </c>
      <c r="C2525" t="s">
        <v>422</v>
      </c>
      <c r="D2525" t="s">
        <v>490</v>
      </c>
      <c r="E2525" t="s">
        <v>8</v>
      </c>
      <c r="F2525" t="s">
        <v>169</v>
      </c>
      <c r="G2525" s="16">
        <v>183.43889999999999</v>
      </c>
      <c r="H2525" s="16">
        <v>210.95473999999999</v>
      </c>
      <c r="I2525" s="1">
        <v>46215</v>
      </c>
      <c r="J2525">
        <v>35</v>
      </c>
      <c r="K2525" t="s">
        <v>6814</v>
      </c>
      <c r="L2525" t="s">
        <v>8000</v>
      </c>
      <c r="M2525">
        <v>5</v>
      </c>
      <c r="N2525">
        <v>3</v>
      </c>
      <c r="O2525" t="s">
        <v>1036</v>
      </c>
      <c r="P2525" s="17"/>
      <c r="Q2525" s="17" t="str">
        <f>_xlfn.XLOOKUP(Table2[[#This Row],[buyFromVendorNo]],'Next Day Scheduled'!A:A,'Pending Returns'!O:O,"NOT_FOUND")</f>
        <v>NOT_FOUND</v>
      </c>
    </row>
    <row r="2526" spans="1:17" x14ac:dyDescent="0.3">
      <c r="A2526" s="1">
        <v>46224</v>
      </c>
      <c r="B2526" t="s">
        <v>2527</v>
      </c>
      <c r="C2526" t="s">
        <v>1643</v>
      </c>
      <c r="D2526" t="s">
        <v>1644</v>
      </c>
      <c r="E2526" t="s">
        <v>8</v>
      </c>
      <c r="F2526" t="s">
        <v>38</v>
      </c>
      <c r="G2526" s="16">
        <v>1057.22</v>
      </c>
      <c r="H2526" s="16">
        <v>1215.8030000000001</v>
      </c>
      <c r="I2526" s="1">
        <v>46223</v>
      </c>
      <c r="J2526">
        <v>35</v>
      </c>
      <c r="K2526" t="s">
        <v>7886</v>
      </c>
      <c r="L2526" t="s">
        <v>8007</v>
      </c>
      <c r="M2526">
        <v>5</v>
      </c>
      <c r="N2526">
        <v>2</v>
      </c>
      <c r="O2526" t="s">
        <v>1036</v>
      </c>
      <c r="P2526" s="17"/>
      <c r="Q2526" s="17" t="str">
        <f>_xlfn.XLOOKUP(Table2[[#This Row],[buyFromVendorNo]],'Next Day Scheduled'!A:A,'Pending Returns'!O:O,"NOT_FOUND")</f>
        <v>NOT_FOUND</v>
      </c>
    </row>
    <row r="2527" spans="1:17" x14ac:dyDescent="0.3">
      <c r="A2527" s="1">
        <v>46224</v>
      </c>
      <c r="B2527" t="s">
        <v>642</v>
      </c>
      <c r="C2527" t="s">
        <v>812</v>
      </c>
      <c r="D2527" t="s">
        <v>2394</v>
      </c>
      <c r="E2527" t="s">
        <v>8</v>
      </c>
      <c r="F2527" t="s">
        <v>38</v>
      </c>
      <c r="G2527" s="16">
        <v>454</v>
      </c>
      <c r="H2527" s="16">
        <v>522.1</v>
      </c>
      <c r="I2527" s="1">
        <v>46219</v>
      </c>
      <c r="J2527">
        <v>35</v>
      </c>
      <c r="K2527" t="s">
        <v>7533</v>
      </c>
      <c r="L2527" t="s">
        <v>8006</v>
      </c>
      <c r="M2527">
        <v>6</v>
      </c>
      <c r="N2527">
        <v>6</v>
      </c>
      <c r="O2527" t="s">
        <v>1036</v>
      </c>
      <c r="P2527" s="17"/>
      <c r="Q2527" s="17" t="str">
        <f>_xlfn.XLOOKUP(Table2[[#This Row],[buyFromVendorNo]],'Next Day Scheduled'!A:A,'Pending Returns'!O:O,"NOT_FOUND")</f>
        <v>NOT_FOUND</v>
      </c>
    </row>
    <row r="2528" spans="1:17" x14ac:dyDescent="0.3">
      <c r="A2528" s="1">
        <v>46224</v>
      </c>
      <c r="B2528" t="s">
        <v>5316</v>
      </c>
      <c r="C2528" t="s">
        <v>164</v>
      </c>
      <c r="D2528" t="s">
        <v>165</v>
      </c>
      <c r="E2528" t="s">
        <v>8</v>
      </c>
      <c r="F2528" t="s">
        <v>10</v>
      </c>
      <c r="G2528" s="16">
        <v>141.64500000000001</v>
      </c>
      <c r="H2528" s="16">
        <v>162.89175</v>
      </c>
      <c r="I2528" s="1">
        <v>46217</v>
      </c>
      <c r="J2528">
        <v>35</v>
      </c>
      <c r="K2528" t="s">
        <v>5317</v>
      </c>
      <c r="L2528" t="s">
        <v>7996</v>
      </c>
      <c r="M2528">
        <v>6</v>
      </c>
      <c r="N2528">
        <v>3</v>
      </c>
      <c r="O2528" t="s">
        <v>1036</v>
      </c>
      <c r="P2528" s="17"/>
      <c r="Q2528" s="17" t="str">
        <f>_xlfn.XLOOKUP(Table2[[#This Row],[buyFromVendorNo]],'Next Day Scheduled'!A:A,'Pending Returns'!O:O,"NOT_FOUND")</f>
        <v>NOT_FOUND</v>
      </c>
    </row>
    <row r="2529" spans="1:17" x14ac:dyDescent="0.3">
      <c r="A2529" s="1">
        <v>46224</v>
      </c>
      <c r="B2529" t="s">
        <v>3334</v>
      </c>
      <c r="C2529" t="s">
        <v>1615</v>
      </c>
      <c r="D2529" t="s">
        <v>1616</v>
      </c>
      <c r="E2529" t="s">
        <v>8</v>
      </c>
      <c r="F2529" t="s">
        <v>10</v>
      </c>
      <c r="G2529" s="16">
        <v>23.35</v>
      </c>
      <c r="H2529" s="16">
        <v>26.852499999999999</v>
      </c>
      <c r="I2529" s="1">
        <v>46223</v>
      </c>
      <c r="J2529">
        <v>35</v>
      </c>
      <c r="K2529" t="s">
        <v>7632</v>
      </c>
      <c r="L2529" t="s">
        <v>8008</v>
      </c>
      <c r="M2529">
        <v>4</v>
      </c>
      <c r="N2529">
        <v>5</v>
      </c>
      <c r="O2529" t="s">
        <v>1036</v>
      </c>
      <c r="P2529" s="17"/>
      <c r="Q2529" s="17" t="str">
        <f>_xlfn.XLOOKUP(Table2[[#This Row],[buyFromVendorNo]],'Next Day Scheduled'!A:A,'Pending Returns'!O:O,"NOT_FOUND")</f>
        <v>NOT_FOUND</v>
      </c>
    </row>
    <row r="2530" spans="1:17" x14ac:dyDescent="0.3">
      <c r="A2530" s="1">
        <v>46224</v>
      </c>
      <c r="B2530" t="s">
        <v>642</v>
      </c>
      <c r="C2530" t="s">
        <v>4387</v>
      </c>
      <c r="D2530" t="s">
        <v>4388</v>
      </c>
      <c r="E2530" t="s">
        <v>8</v>
      </c>
      <c r="F2530" t="s">
        <v>38</v>
      </c>
      <c r="G2530" s="16">
        <v>815.89800000000002</v>
      </c>
      <c r="H2530" s="16">
        <v>938.28269999999998</v>
      </c>
      <c r="J2530">
        <v>35</v>
      </c>
      <c r="K2530" t="s">
        <v>7989</v>
      </c>
      <c r="M2530">
        <v>2</v>
      </c>
      <c r="N2530">
        <v>10</v>
      </c>
      <c r="O2530" t="s">
        <v>216</v>
      </c>
      <c r="P2530" s="17"/>
      <c r="Q2530" s="17" t="str">
        <f>_xlfn.XLOOKUP(Table2[[#This Row],[buyFromVendorNo]],'Next Day Scheduled'!A:A,'Pending Returns'!O:O,"NOT_FOUND")</f>
        <v>NOT_FOUND</v>
      </c>
    </row>
    <row r="2531" spans="1:17" x14ac:dyDescent="0.3">
      <c r="A2531" s="1">
        <v>46224</v>
      </c>
      <c r="B2531" t="s">
        <v>5459</v>
      </c>
      <c r="C2531" t="s">
        <v>1222</v>
      </c>
      <c r="D2531" t="s">
        <v>1223</v>
      </c>
      <c r="E2531" t="s">
        <v>8</v>
      </c>
      <c r="F2531" t="s">
        <v>10</v>
      </c>
      <c r="G2531" s="16">
        <v>188</v>
      </c>
      <c r="H2531" s="16">
        <v>216.2</v>
      </c>
      <c r="I2531" s="1">
        <v>46224</v>
      </c>
      <c r="J2531">
        <v>35</v>
      </c>
      <c r="K2531" t="s">
        <v>7804</v>
      </c>
      <c r="L2531" t="s">
        <v>8012</v>
      </c>
      <c r="M2531">
        <v>5</v>
      </c>
      <c r="N2531">
        <v>3</v>
      </c>
      <c r="O2531" t="s">
        <v>1036</v>
      </c>
      <c r="P2531" s="17"/>
      <c r="Q2531" s="17" t="str">
        <f>_xlfn.XLOOKUP(Table2[[#This Row],[buyFromVendorNo]],'Next Day Scheduled'!A:A,'Pending Returns'!O:O,"NOT_FOUND")</f>
        <v>NOT_FOUND</v>
      </c>
    </row>
    <row r="2532" spans="1:17" x14ac:dyDescent="0.3">
      <c r="A2532" s="1">
        <v>46224</v>
      </c>
      <c r="B2532" t="s">
        <v>3753</v>
      </c>
      <c r="C2532" t="s">
        <v>943</v>
      </c>
      <c r="D2532" t="s">
        <v>944</v>
      </c>
      <c r="E2532" t="s">
        <v>8</v>
      </c>
      <c r="F2532" t="s">
        <v>10</v>
      </c>
      <c r="G2532" s="16">
        <v>109.7625</v>
      </c>
      <c r="H2532" s="16">
        <v>126.22687999999999</v>
      </c>
      <c r="I2532" s="1">
        <v>46212</v>
      </c>
      <c r="J2532">
        <v>35</v>
      </c>
      <c r="K2532" t="s">
        <v>6908</v>
      </c>
      <c r="L2532" t="s">
        <v>7983</v>
      </c>
      <c r="M2532">
        <v>2</v>
      </c>
      <c r="N2532">
        <v>23</v>
      </c>
      <c r="O2532" t="s">
        <v>1036</v>
      </c>
      <c r="P2532" s="17"/>
      <c r="Q2532" s="17" t="str">
        <f>_xlfn.XLOOKUP(Table2[[#This Row],[buyFromVendorNo]],'Next Day Scheduled'!A:A,'Pending Returns'!O:O,"NOT_FOUND")</f>
        <v>NOT_FOUND</v>
      </c>
    </row>
    <row r="2533" spans="1:17" x14ac:dyDescent="0.3">
      <c r="A2533" s="1">
        <v>46224</v>
      </c>
      <c r="B2533" t="s">
        <v>2730</v>
      </c>
      <c r="C2533" t="s">
        <v>1026</v>
      </c>
      <c r="D2533" t="s">
        <v>1873</v>
      </c>
      <c r="E2533" t="s">
        <v>8</v>
      </c>
      <c r="F2533" t="s">
        <v>10</v>
      </c>
      <c r="G2533" s="16">
        <v>202.20667</v>
      </c>
      <c r="H2533" s="16">
        <v>232.53765999999999</v>
      </c>
      <c r="I2533" s="1">
        <v>46219</v>
      </c>
      <c r="J2533">
        <v>35</v>
      </c>
      <c r="K2533" t="s">
        <v>7627</v>
      </c>
      <c r="L2533" t="s">
        <v>8004</v>
      </c>
      <c r="M2533">
        <v>4</v>
      </c>
      <c r="N2533">
        <v>6</v>
      </c>
      <c r="O2533" t="s">
        <v>1036</v>
      </c>
      <c r="P2533" s="17"/>
      <c r="Q2533" s="17" t="str">
        <f>_xlfn.XLOOKUP(Table2[[#This Row],[buyFromVendorNo]],'Next Day Scheduled'!A:A,'Pending Returns'!O:O,"NOT_FOUND")</f>
        <v>NOT_FOUND</v>
      </c>
    </row>
    <row r="2534" spans="1:17" x14ac:dyDescent="0.3">
      <c r="A2534" s="1">
        <v>46224</v>
      </c>
      <c r="B2534" t="s">
        <v>642</v>
      </c>
      <c r="C2534" t="s">
        <v>69</v>
      </c>
      <c r="D2534" t="s">
        <v>70</v>
      </c>
      <c r="E2534" t="s">
        <v>8</v>
      </c>
      <c r="F2534" t="s">
        <v>38</v>
      </c>
      <c r="G2534" s="16">
        <v>3968.1</v>
      </c>
      <c r="H2534" s="16">
        <v>4563.3149999999996</v>
      </c>
      <c r="J2534">
        <v>35</v>
      </c>
      <c r="K2534" t="s">
        <v>7997</v>
      </c>
      <c r="M2534">
        <v>16</v>
      </c>
      <c r="N2534">
        <v>2</v>
      </c>
      <c r="O2534" t="s">
        <v>216</v>
      </c>
      <c r="P2534" s="17"/>
      <c r="Q2534" s="17" t="str">
        <f>_xlfn.XLOOKUP(Table2[[#This Row],[buyFromVendorNo]],'Next Day Scheduled'!A:A,'Pending Returns'!O:O,"NOT_FOUND")</f>
        <v>Posted Credit Note</v>
      </c>
    </row>
    <row r="2535" spans="1:17" x14ac:dyDescent="0.3">
      <c r="A2535" s="1">
        <v>46224</v>
      </c>
      <c r="B2535" t="s">
        <v>2807</v>
      </c>
      <c r="C2535" t="s">
        <v>2505</v>
      </c>
      <c r="D2535" t="s">
        <v>2758</v>
      </c>
      <c r="E2535" t="s">
        <v>8</v>
      </c>
      <c r="F2535" t="s">
        <v>10</v>
      </c>
      <c r="G2535" s="16">
        <v>669.6</v>
      </c>
      <c r="H2535" s="16">
        <v>770.04</v>
      </c>
      <c r="I2535" s="1">
        <v>46216</v>
      </c>
      <c r="J2535">
        <v>35</v>
      </c>
      <c r="K2535" t="s">
        <v>6449</v>
      </c>
      <c r="L2535" t="s">
        <v>7987</v>
      </c>
      <c r="M2535">
        <v>0</v>
      </c>
      <c r="O2535" t="s">
        <v>1036</v>
      </c>
      <c r="P2535" s="17"/>
      <c r="Q2535" s="17" t="str">
        <f>_xlfn.XLOOKUP(Table2[[#This Row],[buyFromVendorNo]],'Next Day Scheduled'!A:A,'Pending Returns'!O:O,"NOT_FOUND")</f>
        <v>Posted Credit Note</v>
      </c>
    </row>
    <row r="2536" spans="1:17" x14ac:dyDescent="0.3">
      <c r="A2536" s="1">
        <v>46224</v>
      </c>
      <c r="B2536" t="s">
        <v>2006</v>
      </c>
      <c r="C2536" t="s">
        <v>634</v>
      </c>
      <c r="D2536" t="s">
        <v>659</v>
      </c>
      <c r="E2536" t="s">
        <v>8</v>
      </c>
      <c r="F2536" t="s">
        <v>10</v>
      </c>
      <c r="G2536" s="16">
        <v>71.900000000000006</v>
      </c>
      <c r="H2536" s="16">
        <v>82.685000000000002</v>
      </c>
      <c r="I2536" s="1">
        <v>46217</v>
      </c>
      <c r="J2536">
        <v>35</v>
      </c>
      <c r="K2536" t="s">
        <v>7260</v>
      </c>
      <c r="L2536" t="s">
        <v>7988</v>
      </c>
      <c r="M2536">
        <v>4</v>
      </c>
      <c r="N2536">
        <v>7</v>
      </c>
      <c r="O2536" t="s">
        <v>1036</v>
      </c>
      <c r="P2536" s="17"/>
      <c r="Q2536" s="17" t="str">
        <f>_xlfn.XLOOKUP(Table2[[#This Row],[buyFromVendorNo]],'Next Day Scheduled'!A:A,'Pending Returns'!O:O,"NOT_FOUND")</f>
        <v>Posted Credit Note</v>
      </c>
    </row>
    <row r="2537" spans="1:17" x14ac:dyDescent="0.3">
      <c r="A2537" s="1">
        <v>46224</v>
      </c>
      <c r="B2537" t="s">
        <v>642</v>
      </c>
      <c r="C2537" t="s">
        <v>812</v>
      </c>
      <c r="D2537" t="s">
        <v>2394</v>
      </c>
      <c r="E2537" t="s">
        <v>8</v>
      </c>
      <c r="F2537" t="s">
        <v>38</v>
      </c>
      <c r="G2537" s="16">
        <v>911</v>
      </c>
      <c r="H2537" s="16">
        <v>1047.6500000000001</v>
      </c>
      <c r="I2537" s="1">
        <v>46215</v>
      </c>
      <c r="J2537">
        <v>35</v>
      </c>
      <c r="K2537" t="s">
        <v>6046</v>
      </c>
      <c r="L2537" t="s">
        <v>8011</v>
      </c>
      <c r="M2537">
        <v>6</v>
      </c>
      <c r="N2537">
        <v>6</v>
      </c>
      <c r="O2537" t="s">
        <v>1036</v>
      </c>
      <c r="P2537" s="17"/>
      <c r="Q2537" s="17" t="str">
        <f>_xlfn.XLOOKUP(Table2[[#This Row],[buyFromVendorNo]],'Next Day Scheduled'!A:A,'Pending Returns'!O:O,"NOT_FOUND")</f>
        <v>NOT_FOUND</v>
      </c>
    </row>
    <row r="2538" spans="1:17" x14ac:dyDescent="0.3">
      <c r="A2538" s="1">
        <v>46224</v>
      </c>
      <c r="B2538" t="s">
        <v>4460</v>
      </c>
      <c r="C2538" t="s">
        <v>47</v>
      </c>
      <c r="D2538" t="s">
        <v>48</v>
      </c>
      <c r="E2538" t="s">
        <v>8</v>
      </c>
      <c r="F2538" t="s">
        <v>169</v>
      </c>
      <c r="G2538" s="16">
        <v>387.42</v>
      </c>
      <c r="H2538" s="16">
        <v>445.53300000000002</v>
      </c>
      <c r="J2538">
        <v>35</v>
      </c>
      <c r="K2538" t="s">
        <v>7978</v>
      </c>
      <c r="M2538">
        <v>0</v>
      </c>
      <c r="N2538">
        <v>117</v>
      </c>
      <c r="O2538" t="s">
        <v>216</v>
      </c>
      <c r="P2538" s="17"/>
      <c r="Q2538" s="17" t="str">
        <f>_xlfn.XLOOKUP(Table2[[#This Row],[buyFromVendorNo]],'Next Day Scheduled'!A:A,'Pending Returns'!O:O,"NOT_FOUND")</f>
        <v>NOT_FOUND</v>
      </c>
    </row>
    <row r="2539" spans="1:17" x14ac:dyDescent="0.3">
      <c r="A2539" s="1">
        <v>46224</v>
      </c>
      <c r="B2539" t="s">
        <v>229</v>
      </c>
      <c r="C2539" t="s">
        <v>43</v>
      </c>
      <c r="D2539" t="s">
        <v>44</v>
      </c>
      <c r="E2539" t="s">
        <v>8</v>
      </c>
      <c r="F2539" t="s">
        <v>10</v>
      </c>
      <c r="G2539" s="16">
        <v>9699.06</v>
      </c>
      <c r="H2539" s="16">
        <v>11153.919</v>
      </c>
      <c r="I2539" s="1">
        <v>46205</v>
      </c>
      <c r="J2539">
        <v>35</v>
      </c>
      <c r="K2539" t="s">
        <v>6049</v>
      </c>
      <c r="L2539" t="s">
        <v>7979</v>
      </c>
      <c r="M2539">
        <v>10</v>
      </c>
      <c r="N2539">
        <v>2</v>
      </c>
      <c r="O2539" t="s">
        <v>1036</v>
      </c>
      <c r="P2539" s="17"/>
      <c r="Q2539" s="17" t="str">
        <f>_xlfn.XLOOKUP(Table2[[#This Row],[buyFromVendorNo]],'Next Day Scheduled'!A:A,'Pending Returns'!O:O,"NOT_FOUND")</f>
        <v>Posted Credit Note</v>
      </c>
    </row>
    <row r="2540" spans="1:17" x14ac:dyDescent="0.3">
      <c r="A2540" s="1">
        <v>46225</v>
      </c>
      <c r="B2540" t="s">
        <v>3243</v>
      </c>
      <c r="C2540" t="s">
        <v>573</v>
      </c>
      <c r="D2540" t="s">
        <v>574</v>
      </c>
      <c r="E2540" t="s">
        <v>8</v>
      </c>
      <c r="F2540" t="s">
        <v>10</v>
      </c>
      <c r="G2540" s="16">
        <v>4.875</v>
      </c>
      <c r="H2540" s="16">
        <v>5.6062500000000002</v>
      </c>
      <c r="I2540" s="1">
        <v>46219</v>
      </c>
      <c r="J2540">
        <v>34</v>
      </c>
      <c r="K2540" t="s">
        <v>7513</v>
      </c>
      <c r="L2540" t="s">
        <v>8044</v>
      </c>
      <c r="M2540">
        <v>5</v>
      </c>
      <c r="N2540">
        <v>2</v>
      </c>
      <c r="O2540" t="s">
        <v>1036</v>
      </c>
      <c r="P2540" s="17"/>
      <c r="Q2540" s="17" t="str">
        <f>_xlfn.XLOOKUP(Table2[[#This Row],[buyFromVendorNo]],'Next Day Scheduled'!A:A,'Pending Returns'!O:O,"NOT_FOUND")</f>
        <v>NOT_FOUND</v>
      </c>
    </row>
    <row r="2541" spans="1:17" x14ac:dyDescent="0.3">
      <c r="A2541" s="1">
        <v>46225</v>
      </c>
      <c r="B2541" t="s">
        <v>7350</v>
      </c>
      <c r="C2541" t="s">
        <v>665</v>
      </c>
      <c r="D2541" t="s">
        <v>666</v>
      </c>
      <c r="E2541" t="s">
        <v>8</v>
      </c>
      <c r="F2541" t="s">
        <v>10</v>
      </c>
      <c r="G2541" s="16">
        <v>58.833849999999998</v>
      </c>
      <c r="H2541" s="16">
        <v>67.658929999999998</v>
      </c>
      <c r="I2541" s="1">
        <v>46225</v>
      </c>
      <c r="J2541">
        <v>34</v>
      </c>
      <c r="K2541" t="s">
        <v>7351</v>
      </c>
      <c r="L2541" t="s">
        <v>8025</v>
      </c>
      <c r="M2541">
        <v>0</v>
      </c>
      <c r="N2541">
        <v>147</v>
      </c>
      <c r="O2541" t="s">
        <v>223</v>
      </c>
      <c r="P2541" s="17"/>
      <c r="Q2541" s="17" t="str">
        <f>_xlfn.XLOOKUP(Table2[[#This Row],[buyFromVendorNo]],'Next Day Scheduled'!A:A,'Pending Returns'!O:O,"NOT_FOUND")</f>
        <v>NOT_FOUND</v>
      </c>
    </row>
    <row r="2542" spans="1:17" x14ac:dyDescent="0.3">
      <c r="A2542" s="1">
        <v>46225</v>
      </c>
      <c r="B2542" t="s">
        <v>772</v>
      </c>
      <c r="C2542" t="s">
        <v>846</v>
      </c>
      <c r="D2542" t="s">
        <v>847</v>
      </c>
      <c r="E2542" t="s">
        <v>8</v>
      </c>
      <c r="F2542" t="s">
        <v>10</v>
      </c>
      <c r="G2542" s="16">
        <v>831.85</v>
      </c>
      <c r="H2542" s="16">
        <v>956.62750000000005</v>
      </c>
      <c r="I2542" s="1">
        <v>46225</v>
      </c>
      <c r="J2542">
        <v>34</v>
      </c>
      <c r="K2542" t="s">
        <v>2169</v>
      </c>
      <c r="L2542" t="s">
        <v>8247</v>
      </c>
      <c r="M2542">
        <v>4</v>
      </c>
      <c r="N2542">
        <v>5</v>
      </c>
      <c r="O2542" t="s">
        <v>223</v>
      </c>
      <c r="P2542" s="17"/>
      <c r="Q2542" s="17" t="str">
        <f>_xlfn.XLOOKUP(Table2[[#This Row],[buyFromVendorNo]],'Next Day Scheduled'!A:A,'Pending Returns'!O:O,"NOT_FOUND")</f>
        <v>NOT_FOUND</v>
      </c>
    </row>
    <row r="2543" spans="1:17" x14ac:dyDescent="0.3">
      <c r="A2543" s="1">
        <v>46225</v>
      </c>
      <c r="B2543" t="s">
        <v>252</v>
      </c>
      <c r="C2543" t="s">
        <v>854</v>
      </c>
      <c r="D2543" t="s">
        <v>855</v>
      </c>
      <c r="E2543" t="s">
        <v>8</v>
      </c>
      <c r="F2543" t="s">
        <v>10</v>
      </c>
      <c r="G2543" s="16">
        <v>75.338800000000006</v>
      </c>
      <c r="H2543" s="16">
        <v>86.639619999999994</v>
      </c>
      <c r="J2543">
        <v>34</v>
      </c>
      <c r="K2543" t="s">
        <v>8112</v>
      </c>
      <c r="M2543">
        <v>8</v>
      </c>
      <c r="N2543">
        <v>6</v>
      </c>
      <c r="O2543" t="s">
        <v>216</v>
      </c>
      <c r="P2543" s="17"/>
      <c r="Q2543" s="17" t="str">
        <f>_xlfn.XLOOKUP(Table2[[#This Row],[buyFromVendorNo]],'Next Day Scheduled'!A:A,'Pending Returns'!O:O,"NOT_FOUND")</f>
        <v>Posted Credit Note</v>
      </c>
    </row>
    <row r="2544" spans="1:17" x14ac:dyDescent="0.3">
      <c r="A2544" s="1">
        <v>46225</v>
      </c>
      <c r="B2544" t="s">
        <v>1997</v>
      </c>
      <c r="C2544" t="s">
        <v>57</v>
      </c>
      <c r="D2544" t="s">
        <v>58</v>
      </c>
      <c r="E2544" t="s">
        <v>8</v>
      </c>
      <c r="F2544" t="s">
        <v>10</v>
      </c>
      <c r="G2544" s="16">
        <v>1316.2</v>
      </c>
      <c r="H2544" s="16">
        <v>1513.63</v>
      </c>
      <c r="I2544" s="1">
        <v>46223</v>
      </c>
      <c r="J2544">
        <v>34</v>
      </c>
      <c r="K2544" t="s">
        <v>6177</v>
      </c>
      <c r="L2544" t="s">
        <v>8249</v>
      </c>
      <c r="M2544">
        <v>4</v>
      </c>
      <c r="N2544">
        <v>8</v>
      </c>
      <c r="O2544" t="s">
        <v>1036</v>
      </c>
      <c r="P2544" s="17"/>
      <c r="Q2544" s="17" t="str">
        <f>_xlfn.XLOOKUP(Table2[[#This Row],[buyFromVendorNo]],'Next Day Scheduled'!A:A,'Pending Returns'!O:O,"NOT_FOUND")</f>
        <v>Posted Credit Note</v>
      </c>
    </row>
    <row r="2545" spans="1:17" x14ac:dyDescent="0.3">
      <c r="A2545" s="1">
        <v>46225</v>
      </c>
      <c r="B2545" t="s">
        <v>390</v>
      </c>
      <c r="C2545" t="s">
        <v>305</v>
      </c>
      <c r="D2545" t="s">
        <v>306</v>
      </c>
      <c r="E2545" t="s">
        <v>8</v>
      </c>
      <c r="F2545" t="s">
        <v>38</v>
      </c>
      <c r="G2545" s="16">
        <v>1033.1199999999999</v>
      </c>
      <c r="H2545" s="16">
        <v>1188.088</v>
      </c>
      <c r="I2545" s="1">
        <v>46225</v>
      </c>
      <c r="J2545">
        <v>34</v>
      </c>
      <c r="K2545" t="s">
        <v>2082</v>
      </c>
      <c r="L2545" t="s">
        <v>8021</v>
      </c>
      <c r="M2545">
        <v>0</v>
      </c>
      <c r="N2545">
        <v>195</v>
      </c>
      <c r="O2545" t="s">
        <v>223</v>
      </c>
      <c r="P2545" s="17"/>
      <c r="Q2545" s="17" t="str">
        <f>_xlfn.XLOOKUP(Table2[[#This Row],[buyFromVendorNo]],'Next Day Scheduled'!A:A,'Pending Returns'!O:O,"NOT_FOUND")</f>
        <v>NOT_FOUND</v>
      </c>
    </row>
    <row r="2546" spans="1:17" x14ac:dyDescent="0.3">
      <c r="A2546" s="1">
        <v>46225</v>
      </c>
      <c r="B2546" t="s">
        <v>1991</v>
      </c>
      <c r="C2546" t="s">
        <v>846</v>
      </c>
      <c r="D2546" t="s">
        <v>847</v>
      </c>
      <c r="E2546" t="s">
        <v>8</v>
      </c>
      <c r="F2546" t="s">
        <v>10</v>
      </c>
      <c r="G2546" s="16">
        <v>190.41</v>
      </c>
      <c r="H2546" s="16">
        <v>218.97149999999999</v>
      </c>
      <c r="I2546" s="1">
        <v>46225</v>
      </c>
      <c r="J2546">
        <v>34</v>
      </c>
      <c r="K2546" t="s">
        <v>7138</v>
      </c>
      <c r="L2546" t="s">
        <v>8139</v>
      </c>
      <c r="M2546">
        <v>4</v>
      </c>
      <c r="N2546">
        <v>5</v>
      </c>
      <c r="O2546" t="s">
        <v>223</v>
      </c>
      <c r="P2546" s="17"/>
      <c r="Q2546" s="17" t="str">
        <f>_xlfn.XLOOKUP(Table2[[#This Row],[buyFromVendorNo]],'Next Day Scheduled'!A:A,'Pending Returns'!O:O,"NOT_FOUND")</f>
        <v>NOT_FOUND</v>
      </c>
    </row>
    <row r="2547" spans="1:17" x14ac:dyDescent="0.3">
      <c r="A2547" s="1">
        <v>46225</v>
      </c>
      <c r="B2547" t="s">
        <v>642</v>
      </c>
      <c r="C2547" t="s">
        <v>69</v>
      </c>
      <c r="D2547" t="s">
        <v>70</v>
      </c>
      <c r="E2547" t="s">
        <v>8</v>
      </c>
      <c r="F2547" t="s">
        <v>38</v>
      </c>
      <c r="G2547" s="16">
        <v>26.76</v>
      </c>
      <c r="H2547" s="16">
        <v>30.774000000000001</v>
      </c>
      <c r="J2547">
        <v>34</v>
      </c>
      <c r="K2547" t="s">
        <v>8140</v>
      </c>
      <c r="M2547">
        <v>15</v>
      </c>
      <c r="N2547">
        <v>2</v>
      </c>
      <c r="O2547" t="s">
        <v>216</v>
      </c>
      <c r="P2547" s="17"/>
      <c r="Q2547" s="17" t="str">
        <f>_xlfn.XLOOKUP(Table2[[#This Row],[buyFromVendorNo]],'Next Day Scheduled'!A:A,'Pending Returns'!O:O,"NOT_FOUND")</f>
        <v>Posted Credit Note</v>
      </c>
    </row>
    <row r="2548" spans="1:17" x14ac:dyDescent="0.3">
      <c r="A2548" s="1">
        <v>46225</v>
      </c>
      <c r="B2548" t="s">
        <v>1705</v>
      </c>
      <c r="C2548" t="s">
        <v>358</v>
      </c>
      <c r="D2548" t="s">
        <v>359</v>
      </c>
      <c r="E2548" t="s">
        <v>8</v>
      </c>
      <c r="F2548" t="s">
        <v>10</v>
      </c>
      <c r="G2548" s="16">
        <v>165</v>
      </c>
      <c r="H2548" s="16">
        <v>189.75</v>
      </c>
      <c r="J2548">
        <v>34</v>
      </c>
      <c r="K2548" t="s">
        <v>8141</v>
      </c>
      <c r="M2548">
        <v>4</v>
      </c>
      <c r="N2548">
        <v>1</v>
      </c>
      <c r="O2548" t="s">
        <v>216</v>
      </c>
      <c r="P2548" s="17"/>
      <c r="Q2548" s="17" t="str">
        <f>_xlfn.XLOOKUP(Table2[[#This Row],[buyFromVendorNo]],'Next Day Scheduled'!A:A,'Pending Returns'!O:O,"NOT_FOUND")</f>
        <v>NOT_FOUND</v>
      </c>
    </row>
    <row r="2549" spans="1:17" x14ac:dyDescent="0.3">
      <c r="A2549" s="1">
        <v>46225</v>
      </c>
      <c r="B2549" t="s">
        <v>2704</v>
      </c>
      <c r="C2549" t="s">
        <v>1732</v>
      </c>
      <c r="D2549" t="s">
        <v>1733</v>
      </c>
      <c r="E2549" t="s">
        <v>8</v>
      </c>
      <c r="F2549" t="s">
        <v>10</v>
      </c>
      <c r="G2549" s="16">
        <v>490</v>
      </c>
      <c r="H2549" s="16">
        <v>490</v>
      </c>
      <c r="I2549" s="1">
        <v>46220</v>
      </c>
      <c r="J2549">
        <v>34</v>
      </c>
      <c r="K2549" t="s">
        <v>7673</v>
      </c>
      <c r="L2549" t="s">
        <v>8209</v>
      </c>
      <c r="M2549">
        <v>3</v>
      </c>
      <c r="N2549">
        <v>3</v>
      </c>
      <c r="O2549" t="s">
        <v>1036</v>
      </c>
      <c r="P2549" s="17"/>
      <c r="Q2549" s="17" t="str">
        <f>_xlfn.XLOOKUP(Table2[[#This Row],[buyFromVendorNo]],'Next Day Scheduled'!A:A,'Pending Returns'!O:O,"NOT_FOUND")</f>
        <v>NOT_FOUND</v>
      </c>
    </row>
    <row r="2550" spans="1:17" x14ac:dyDescent="0.3">
      <c r="A2550" s="1">
        <v>46225</v>
      </c>
      <c r="B2550" t="s">
        <v>7773</v>
      </c>
      <c r="C2550" t="s">
        <v>305</v>
      </c>
      <c r="D2550" t="s">
        <v>306</v>
      </c>
      <c r="E2550" t="s">
        <v>8</v>
      </c>
      <c r="F2550" t="s">
        <v>38</v>
      </c>
      <c r="G2550" s="16">
        <v>2121.06</v>
      </c>
      <c r="H2550" s="16">
        <v>2439.2190000000001</v>
      </c>
      <c r="I2550" s="1">
        <v>46225</v>
      </c>
      <c r="J2550">
        <v>34</v>
      </c>
      <c r="K2550" t="s">
        <v>454</v>
      </c>
      <c r="L2550" t="s">
        <v>8035</v>
      </c>
      <c r="M2550">
        <v>0</v>
      </c>
      <c r="N2550">
        <v>195</v>
      </c>
      <c r="O2550" t="s">
        <v>223</v>
      </c>
      <c r="P2550" s="17"/>
      <c r="Q2550" s="17" t="str">
        <f>_xlfn.XLOOKUP(Table2[[#This Row],[buyFromVendorNo]],'Next Day Scheduled'!A:A,'Pending Returns'!O:O,"NOT_FOUND")</f>
        <v>NOT_FOUND</v>
      </c>
    </row>
    <row r="2551" spans="1:17" x14ac:dyDescent="0.3">
      <c r="A2551" s="1">
        <v>46225</v>
      </c>
      <c r="B2551" t="s">
        <v>7142</v>
      </c>
      <c r="C2551" t="s">
        <v>1031</v>
      </c>
      <c r="D2551" t="s">
        <v>1032</v>
      </c>
      <c r="E2551" t="s">
        <v>8</v>
      </c>
      <c r="F2551" t="s">
        <v>10</v>
      </c>
      <c r="G2551" s="16">
        <v>715.68</v>
      </c>
      <c r="H2551" s="16">
        <v>823.03200000000004</v>
      </c>
      <c r="I2551" s="1">
        <v>46225</v>
      </c>
      <c r="J2551">
        <v>34</v>
      </c>
      <c r="K2551" t="s">
        <v>7781</v>
      </c>
      <c r="L2551" t="s">
        <v>8084</v>
      </c>
      <c r="M2551">
        <v>4</v>
      </c>
      <c r="N2551">
        <v>7</v>
      </c>
      <c r="O2551" t="s">
        <v>1036</v>
      </c>
      <c r="P2551" s="17"/>
      <c r="Q2551" s="17" t="str">
        <f>_xlfn.XLOOKUP(Table2[[#This Row],[buyFromVendorNo]],'Next Day Scheduled'!A:A,'Pending Returns'!O:O,"NOT_FOUND")</f>
        <v>Pending for Collection</v>
      </c>
    </row>
    <row r="2552" spans="1:17" x14ac:dyDescent="0.3">
      <c r="A2552" s="1">
        <v>46225</v>
      </c>
      <c r="B2552" t="s">
        <v>642</v>
      </c>
      <c r="C2552" t="s">
        <v>562</v>
      </c>
      <c r="D2552" t="s">
        <v>563</v>
      </c>
      <c r="E2552" t="s">
        <v>8</v>
      </c>
      <c r="F2552" t="s">
        <v>38</v>
      </c>
      <c r="G2552" s="16">
        <v>544.65062999999998</v>
      </c>
      <c r="H2552" s="16">
        <v>626.34826999999996</v>
      </c>
      <c r="I2552" s="1">
        <v>46223</v>
      </c>
      <c r="J2552">
        <v>34</v>
      </c>
      <c r="K2552" t="s">
        <v>6906</v>
      </c>
      <c r="L2552" t="s">
        <v>8038</v>
      </c>
      <c r="M2552">
        <v>7</v>
      </c>
      <c r="N2552">
        <v>23</v>
      </c>
      <c r="O2552" t="s">
        <v>1036</v>
      </c>
      <c r="P2552" s="17"/>
      <c r="Q2552" s="17" t="str">
        <f>_xlfn.XLOOKUP(Table2[[#This Row],[buyFromVendorNo]],'Next Day Scheduled'!A:A,'Pending Returns'!O:O,"NOT_FOUND")</f>
        <v>NOT_FOUND</v>
      </c>
    </row>
    <row r="2553" spans="1:17" x14ac:dyDescent="0.3">
      <c r="A2553" s="1">
        <v>46225</v>
      </c>
      <c r="B2553" t="s">
        <v>3699</v>
      </c>
      <c r="C2553" t="s">
        <v>778</v>
      </c>
      <c r="D2553" t="s">
        <v>779</v>
      </c>
      <c r="E2553" t="s">
        <v>8</v>
      </c>
      <c r="F2553" t="s">
        <v>10</v>
      </c>
      <c r="G2553" s="16">
        <v>24.55556</v>
      </c>
      <c r="H2553" s="16">
        <v>28.238890000000001</v>
      </c>
      <c r="I2553" s="1">
        <v>46217</v>
      </c>
      <c r="J2553">
        <v>34</v>
      </c>
      <c r="K2553" t="s">
        <v>6912</v>
      </c>
      <c r="L2553" t="s">
        <v>8276</v>
      </c>
      <c r="M2553">
        <v>5</v>
      </c>
      <c r="N2553">
        <v>7</v>
      </c>
      <c r="O2553" t="s">
        <v>1036</v>
      </c>
      <c r="P2553" s="17"/>
      <c r="Q2553" s="17" t="str">
        <f>_xlfn.XLOOKUP(Table2[[#This Row],[buyFromVendorNo]],'Next Day Scheduled'!A:A,'Pending Returns'!O:O,"NOT_FOUND")</f>
        <v>Posted Credit Note</v>
      </c>
    </row>
    <row r="2554" spans="1:17" x14ac:dyDescent="0.3">
      <c r="A2554" s="1">
        <v>46225</v>
      </c>
      <c r="B2554" t="s">
        <v>8277</v>
      </c>
      <c r="C2554" t="s">
        <v>8278</v>
      </c>
      <c r="D2554" t="s">
        <v>8279</v>
      </c>
      <c r="E2554" t="s">
        <v>8</v>
      </c>
      <c r="F2554" t="s">
        <v>10</v>
      </c>
      <c r="G2554" s="16">
        <v>1455.56</v>
      </c>
      <c r="H2554" s="16">
        <v>1673.894</v>
      </c>
      <c r="J2554">
        <v>34</v>
      </c>
      <c r="K2554" t="s">
        <v>8280</v>
      </c>
      <c r="M2554">
        <v>0</v>
      </c>
      <c r="N2554">
        <v>729</v>
      </c>
      <c r="O2554" t="s">
        <v>216</v>
      </c>
      <c r="P2554" s="17"/>
      <c r="Q2554" s="17" t="str">
        <f>_xlfn.XLOOKUP(Table2[[#This Row],[buyFromVendorNo]],'Next Day Scheduled'!A:A,'Pending Returns'!O:O,"NOT_FOUND")</f>
        <v>NOT_FOUND</v>
      </c>
    </row>
    <row r="2555" spans="1:17" x14ac:dyDescent="0.3">
      <c r="A2555" s="1">
        <v>46225</v>
      </c>
      <c r="B2555" t="s">
        <v>3336</v>
      </c>
      <c r="C2555" t="s">
        <v>665</v>
      </c>
      <c r="D2555" t="s">
        <v>666</v>
      </c>
      <c r="E2555" t="s">
        <v>8</v>
      </c>
      <c r="F2555" t="s">
        <v>10</v>
      </c>
      <c r="G2555" s="16">
        <v>384.96859999999998</v>
      </c>
      <c r="H2555" s="16">
        <v>442.71390000000002</v>
      </c>
      <c r="I2555" s="1">
        <v>46225</v>
      </c>
      <c r="J2555">
        <v>34</v>
      </c>
      <c r="K2555" t="s">
        <v>6895</v>
      </c>
      <c r="L2555" t="s">
        <v>8028</v>
      </c>
      <c r="M2555">
        <v>0</v>
      </c>
      <c r="N2555">
        <v>147</v>
      </c>
      <c r="O2555" t="s">
        <v>223</v>
      </c>
      <c r="P2555" s="17"/>
      <c r="Q2555" s="17" t="str">
        <f>_xlfn.XLOOKUP(Table2[[#This Row],[buyFromVendorNo]],'Next Day Scheduled'!A:A,'Pending Returns'!O:O,"NOT_FOUND")</f>
        <v>NOT_FOUND</v>
      </c>
    </row>
    <row r="2556" spans="1:17" x14ac:dyDescent="0.3">
      <c r="A2556" s="1">
        <v>46225</v>
      </c>
      <c r="B2556" t="s">
        <v>5061</v>
      </c>
      <c r="C2556" t="s">
        <v>57</v>
      </c>
      <c r="D2556" t="s">
        <v>58</v>
      </c>
      <c r="E2556" t="s">
        <v>8</v>
      </c>
      <c r="F2556" t="s">
        <v>10</v>
      </c>
      <c r="G2556" s="16">
        <v>1083.58</v>
      </c>
      <c r="H2556" s="16">
        <v>1246.117</v>
      </c>
      <c r="I2556" s="1">
        <v>46223</v>
      </c>
      <c r="J2556">
        <v>34</v>
      </c>
      <c r="K2556" t="s">
        <v>7437</v>
      </c>
      <c r="L2556" t="s">
        <v>8240</v>
      </c>
      <c r="M2556">
        <v>4</v>
      </c>
      <c r="N2556">
        <v>8</v>
      </c>
      <c r="O2556" t="s">
        <v>1036</v>
      </c>
      <c r="P2556" s="17"/>
      <c r="Q2556" s="17" t="str">
        <f>_xlfn.XLOOKUP(Table2[[#This Row],[buyFromVendorNo]],'Next Day Scheduled'!A:A,'Pending Returns'!O:O,"NOT_FOUND")</f>
        <v>Posted Credit Note</v>
      </c>
    </row>
    <row r="2557" spans="1:17" x14ac:dyDescent="0.3">
      <c r="A2557" s="1">
        <v>46225</v>
      </c>
      <c r="B2557" t="s">
        <v>3012</v>
      </c>
      <c r="C2557" t="s">
        <v>1031</v>
      </c>
      <c r="D2557" t="s">
        <v>1032</v>
      </c>
      <c r="E2557" t="s">
        <v>8</v>
      </c>
      <c r="F2557" t="s">
        <v>38</v>
      </c>
      <c r="G2557" s="16">
        <v>491.58</v>
      </c>
      <c r="H2557" s="16">
        <v>565.31700000000001</v>
      </c>
      <c r="I2557" s="1">
        <v>46225</v>
      </c>
      <c r="J2557">
        <v>34</v>
      </c>
      <c r="K2557" t="s">
        <v>7871</v>
      </c>
      <c r="L2557" t="s">
        <v>8114</v>
      </c>
      <c r="M2557">
        <v>4</v>
      </c>
      <c r="N2557">
        <v>7</v>
      </c>
      <c r="O2557" t="s">
        <v>1036</v>
      </c>
      <c r="P2557" s="17"/>
      <c r="Q2557" s="17" t="str">
        <f>_xlfn.XLOOKUP(Table2[[#This Row],[buyFromVendorNo]],'Next Day Scheduled'!A:A,'Pending Returns'!O:O,"NOT_FOUND")</f>
        <v>Pending for Collection</v>
      </c>
    </row>
    <row r="2558" spans="1:17" x14ac:dyDescent="0.3">
      <c r="A2558" s="1">
        <v>46225</v>
      </c>
      <c r="B2558" t="s">
        <v>8188</v>
      </c>
      <c r="C2558" t="s">
        <v>144</v>
      </c>
      <c r="D2558" t="s">
        <v>145</v>
      </c>
      <c r="E2558" t="s">
        <v>8</v>
      </c>
      <c r="F2558" t="s">
        <v>10</v>
      </c>
      <c r="G2558" s="16">
        <v>5.8</v>
      </c>
      <c r="H2558" s="16">
        <v>6.67</v>
      </c>
      <c r="J2558">
        <v>34</v>
      </c>
      <c r="K2558" t="s">
        <v>8189</v>
      </c>
      <c r="M2558">
        <v>0</v>
      </c>
      <c r="N2558">
        <v>411</v>
      </c>
      <c r="O2558" t="s">
        <v>216</v>
      </c>
      <c r="P2558" s="17"/>
      <c r="Q2558" s="17" t="str">
        <f>_xlfn.XLOOKUP(Table2[[#This Row],[buyFromVendorNo]],'Next Day Scheduled'!A:A,'Pending Returns'!O:O,"NOT_FOUND")</f>
        <v>NOT_FOUND</v>
      </c>
    </row>
    <row r="2559" spans="1:17" x14ac:dyDescent="0.3">
      <c r="A2559" s="1">
        <v>46225</v>
      </c>
      <c r="B2559" t="s">
        <v>2667</v>
      </c>
      <c r="C2559" t="s">
        <v>7392</v>
      </c>
      <c r="D2559" t="s">
        <v>7393</v>
      </c>
      <c r="E2559" t="s">
        <v>8</v>
      </c>
      <c r="F2559" t="s">
        <v>10</v>
      </c>
      <c r="G2559" s="16">
        <v>10</v>
      </c>
      <c r="H2559" s="16">
        <v>11.5</v>
      </c>
      <c r="J2559">
        <v>34</v>
      </c>
      <c r="K2559" t="s">
        <v>8300</v>
      </c>
      <c r="M2559">
        <v>0</v>
      </c>
      <c r="N2559">
        <v>254</v>
      </c>
      <c r="O2559" t="s">
        <v>216</v>
      </c>
      <c r="P2559" s="17"/>
      <c r="Q2559" s="17" t="str">
        <f>_xlfn.XLOOKUP(Table2[[#This Row],[buyFromVendorNo]],'Next Day Scheduled'!A:A,'Pending Returns'!O:O,"NOT_FOUND")</f>
        <v>NOT_FOUND</v>
      </c>
    </row>
    <row r="2560" spans="1:17" x14ac:dyDescent="0.3">
      <c r="A2560" s="1">
        <v>46225</v>
      </c>
      <c r="B2560" t="s">
        <v>2725</v>
      </c>
      <c r="C2560" t="s">
        <v>534</v>
      </c>
      <c r="D2560" t="s">
        <v>535</v>
      </c>
      <c r="E2560" t="s">
        <v>8</v>
      </c>
      <c r="F2560" t="s">
        <v>10</v>
      </c>
      <c r="G2560" s="16">
        <v>14.4663</v>
      </c>
      <c r="H2560" s="16">
        <v>16.63625</v>
      </c>
      <c r="J2560">
        <v>34</v>
      </c>
      <c r="K2560" t="s">
        <v>8117</v>
      </c>
      <c r="M2560">
        <v>4</v>
      </c>
      <c r="N2560">
        <v>2</v>
      </c>
      <c r="O2560" t="s">
        <v>216</v>
      </c>
      <c r="P2560" s="17"/>
      <c r="Q2560" s="17" t="str">
        <f>_xlfn.XLOOKUP(Table2[[#This Row],[buyFromVendorNo]],'Next Day Scheduled'!A:A,'Pending Returns'!O:O,"NOT_FOUND")</f>
        <v>NOT_FOUND</v>
      </c>
    </row>
    <row r="2561" spans="1:17" x14ac:dyDescent="0.3">
      <c r="A2561" s="1">
        <v>46225</v>
      </c>
      <c r="B2561" t="s">
        <v>1098</v>
      </c>
      <c r="C2561" t="s">
        <v>43</v>
      </c>
      <c r="D2561" t="s">
        <v>44</v>
      </c>
      <c r="E2561" t="s">
        <v>8</v>
      </c>
      <c r="F2561" t="s">
        <v>38</v>
      </c>
      <c r="G2561" s="16">
        <v>7227.7659999999996</v>
      </c>
      <c r="H2561" s="16">
        <v>8311.9310000000005</v>
      </c>
      <c r="I2561" s="1">
        <v>46223</v>
      </c>
      <c r="J2561">
        <v>34</v>
      </c>
      <c r="K2561" t="s">
        <v>7896</v>
      </c>
      <c r="L2561" t="s">
        <v>8245</v>
      </c>
      <c r="M2561">
        <v>31</v>
      </c>
      <c r="N2561">
        <v>1</v>
      </c>
      <c r="O2561" t="s">
        <v>1036</v>
      </c>
      <c r="P2561" s="17"/>
      <c r="Q2561" s="17" t="str">
        <f>_xlfn.XLOOKUP(Table2[[#This Row],[buyFromVendorNo]],'Next Day Scheduled'!A:A,'Pending Returns'!O:O,"NOT_FOUND")</f>
        <v>Posted Credit Note</v>
      </c>
    </row>
    <row r="2562" spans="1:17" x14ac:dyDescent="0.3">
      <c r="A2562" s="1">
        <v>46225</v>
      </c>
      <c r="B2562" t="s">
        <v>1712</v>
      </c>
      <c r="C2562" t="s">
        <v>39</v>
      </c>
      <c r="D2562" t="s">
        <v>40</v>
      </c>
      <c r="E2562" t="s">
        <v>8</v>
      </c>
      <c r="F2562" t="s">
        <v>10</v>
      </c>
      <c r="G2562" s="16">
        <v>950.18629999999996</v>
      </c>
      <c r="H2562" s="16">
        <v>1092.7141999999999</v>
      </c>
      <c r="J2562">
        <v>34</v>
      </c>
      <c r="K2562" t="s">
        <v>8190</v>
      </c>
      <c r="M2562">
        <v>8</v>
      </c>
      <c r="N2562">
        <v>1</v>
      </c>
      <c r="O2562" t="s">
        <v>216</v>
      </c>
      <c r="P2562" s="17"/>
      <c r="Q2562" s="17" t="str">
        <f>_xlfn.XLOOKUP(Table2[[#This Row],[buyFromVendorNo]],'Next Day Scheduled'!A:A,'Pending Returns'!O:O,"NOT_FOUND")</f>
        <v>Posted Credit Note</v>
      </c>
    </row>
    <row r="2563" spans="1:17" x14ac:dyDescent="0.3">
      <c r="A2563" s="1">
        <v>46225</v>
      </c>
      <c r="B2563" t="s">
        <v>7298</v>
      </c>
      <c r="C2563" t="s">
        <v>164</v>
      </c>
      <c r="D2563" t="s">
        <v>165</v>
      </c>
      <c r="E2563" t="s">
        <v>8</v>
      </c>
      <c r="F2563" t="s">
        <v>10</v>
      </c>
      <c r="G2563" s="16">
        <v>170.05</v>
      </c>
      <c r="H2563" s="16">
        <v>195.5575</v>
      </c>
      <c r="I2563" s="1">
        <v>46217</v>
      </c>
      <c r="J2563">
        <v>34</v>
      </c>
      <c r="K2563" t="s">
        <v>7299</v>
      </c>
      <c r="L2563" t="s">
        <v>8013</v>
      </c>
      <c r="M2563">
        <v>6</v>
      </c>
      <c r="N2563">
        <v>3</v>
      </c>
      <c r="O2563" t="s">
        <v>1036</v>
      </c>
      <c r="P2563" s="17"/>
      <c r="Q2563" s="17" t="str">
        <f>_xlfn.XLOOKUP(Table2[[#This Row],[buyFromVendorNo]],'Next Day Scheduled'!A:A,'Pending Returns'!O:O,"NOT_FOUND")</f>
        <v>NOT_FOUND</v>
      </c>
    </row>
    <row r="2564" spans="1:17" x14ac:dyDescent="0.3">
      <c r="A2564" s="1">
        <v>46225</v>
      </c>
      <c r="B2564" t="s">
        <v>642</v>
      </c>
      <c r="C2564" t="s">
        <v>618</v>
      </c>
      <c r="D2564" t="s">
        <v>6379</v>
      </c>
      <c r="E2564" t="s">
        <v>8</v>
      </c>
      <c r="F2564" t="s">
        <v>38</v>
      </c>
      <c r="G2564" s="16">
        <v>85.698679999999996</v>
      </c>
      <c r="H2564" s="16">
        <v>85.698679999999996</v>
      </c>
      <c r="I2564" s="1">
        <v>46223</v>
      </c>
      <c r="J2564">
        <v>34</v>
      </c>
      <c r="K2564" t="s">
        <v>7848</v>
      </c>
      <c r="L2564" t="s">
        <v>8252</v>
      </c>
      <c r="M2564">
        <v>35</v>
      </c>
      <c r="N2564">
        <v>0</v>
      </c>
      <c r="O2564" t="s">
        <v>1036</v>
      </c>
      <c r="P2564" s="17"/>
      <c r="Q2564" s="17" t="str">
        <f>_xlfn.XLOOKUP(Table2[[#This Row],[buyFromVendorNo]],'Next Day Scheduled'!A:A,'Pending Returns'!O:O,"NOT_FOUND")</f>
        <v>NOT_FOUND</v>
      </c>
    </row>
    <row r="2565" spans="1:17" x14ac:dyDescent="0.3">
      <c r="A2565" s="1">
        <v>46225</v>
      </c>
      <c r="B2565" t="s">
        <v>7553</v>
      </c>
      <c r="C2565" t="s">
        <v>7386</v>
      </c>
      <c r="D2565" t="s">
        <v>7387</v>
      </c>
      <c r="E2565" t="s">
        <v>8</v>
      </c>
      <c r="F2565" t="s">
        <v>10</v>
      </c>
      <c r="G2565" s="16">
        <v>156.52173999999999</v>
      </c>
      <c r="H2565" s="16">
        <v>180</v>
      </c>
      <c r="J2565">
        <v>34</v>
      </c>
      <c r="K2565" t="s">
        <v>8052</v>
      </c>
      <c r="M2565">
        <v>0</v>
      </c>
      <c r="N2565">
        <v>415</v>
      </c>
      <c r="O2565" t="s">
        <v>216</v>
      </c>
      <c r="P2565" s="17"/>
      <c r="Q2565" s="17" t="str">
        <f>_xlfn.XLOOKUP(Table2[[#This Row],[buyFromVendorNo]],'Next Day Scheduled'!A:A,'Pending Returns'!O:O,"NOT_FOUND")</f>
        <v>NOT_FOUND</v>
      </c>
    </row>
    <row r="2566" spans="1:17" x14ac:dyDescent="0.3">
      <c r="A2566" s="1">
        <v>46225</v>
      </c>
      <c r="B2566" t="s">
        <v>1742</v>
      </c>
      <c r="C2566" t="s">
        <v>79</v>
      </c>
      <c r="D2566" t="s">
        <v>80</v>
      </c>
      <c r="E2566" t="s">
        <v>8</v>
      </c>
      <c r="F2566" t="s">
        <v>10</v>
      </c>
      <c r="G2566" s="16">
        <v>3524.5365999999999</v>
      </c>
      <c r="H2566" s="16">
        <v>4053.2170000000001</v>
      </c>
      <c r="I2566" s="1">
        <v>46220</v>
      </c>
      <c r="J2566">
        <v>34</v>
      </c>
      <c r="K2566" t="s">
        <v>7075</v>
      </c>
      <c r="L2566" t="s">
        <v>8033</v>
      </c>
      <c r="M2566">
        <v>5</v>
      </c>
      <c r="N2566">
        <v>2</v>
      </c>
      <c r="O2566" t="s">
        <v>1036</v>
      </c>
      <c r="P2566" s="17"/>
      <c r="Q2566" s="17" t="str">
        <f>_xlfn.XLOOKUP(Table2[[#This Row],[buyFromVendorNo]],'Next Day Scheduled'!A:A,'Pending Returns'!O:O,"NOT_FOUND")</f>
        <v>NOT_FOUND</v>
      </c>
    </row>
    <row r="2567" spans="1:17" x14ac:dyDescent="0.3">
      <c r="A2567" s="1">
        <v>46225</v>
      </c>
      <c r="B2567" t="s">
        <v>1549</v>
      </c>
      <c r="C2567" t="s">
        <v>846</v>
      </c>
      <c r="D2567" t="s">
        <v>847</v>
      </c>
      <c r="E2567" t="s">
        <v>8</v>
      </c>
      <c r="F2567" t="s">
        <v>10</v>
      </c>
      <c r="G2567" s="16">
        <v>403.2</v>
      </c>
      <c r="H2567" s="16">
        <v>463.68</v>
      </c>
      <c r="I2567" s="1">
        <v>46225</v>
      </c>
      <c r="J2567">
        <v>34</v>
      </c>
      <c r="K2567" t="s">
        <v>6127</v>
      </c>
      <c r="L2567" t="s">
        <v>8199</v>
      </c>
      <c r="M2567">
        <v>4</v>
      </c>
      <c r="N2567">
        <v>5</v>
      </c>
      <c r="O2567" t="s">
        <v>223</v>
      </c>
      <c r="P2567" s="17"/>
      <c r="Q2567" s="17" t="str">
        <f>_xlfn.XLOOKUP(Table2[[#This Row],[buyFromVendorNo]],'Next Day Scheduled'!A:A,'Pending Returns'!O:O,"NOT_FOUND")</f>
        <v>NOT_FOUND</v>
      </c>
    </row>
    <row r="2568" spans="1:17" x14ac:dyDescent="0.3">
      <c r="A2568" s="1">
        <v>46225</v>
      </c>
      <c r="B2568" t="s">
        <v>3348</v>
      </c>
      <c r="C2568" t="s">
        <v>53</v>
      </c>
      <c r="D2568" t="s">
        <v>54</v>
      </c>
      <c r="E2568" t="s">
        <v>8</v>
      </c>
      <c r="F2568" t="s">
        <v>10</v>
      </c>
      <c r="G2568" s="16">
        <v>217.88499999999999</v>
      </c>
      <c r="H2568" s="16">
        <v>250.56774999999999</v>
      </c>
      <c r="J2568">
        <v>34</v>
      </c>
      <c r="K2568" t="s">
        <v>8143</v>
      </c>
      <c r="M2568">
        <v>17</v>
      </c>
      <c r="N2568">
        <v>1</v>
      </c>
      <c r="O2568" t="s">
        <v>216</v>
      </c>
      <c r="P2568" s="17"/>
      <c r="Q2568" s="17" t="str">
        <f>_xlfn.XLOOKUP(Table2[[#This Row],[buyFromVendorNo]],'Next Day Scheduled'!A:A,'Pending Returns'!O:O,"NOT_FOUND")</f>
        <v>Posted Credit Note</v>
      </c>
    </row>
    <row r="2569" spans="1:17" x14ac:dyDescent="0.3">
      <c r="A2569" s="1">
        <v>46225</v>
      </c>
      <c r="B2569" t="s">
        <v>8144</v>
      </c>
      <c r="C2569" t="s">
        <v>580</v>
      </c>
      <c r="D2569" t="s">
        <v>581</v>
      </c>
      <c r="E2569" t="s">
        <v>8</v>
      </c>
      <c r="F2569" t="s">
        <v>10</v>
      </c>
      <c r="G2569" s="16">
        <v>42.7</v>
      </c>
      <c r="H2569" s="16">
        <v>49.104999999999997</v>
      </c>
      <c r="J2569">
        <v>34</v>
      </c>
      <c r="K2569" t="s">
        <v>8145</v>
      </c>
      <c r="M2569">
        <v>3</v>
      </c>
      <c r="N2569">
        <v>3</v>
      </c>
      <c r="O2569" t="s">
        <v>216</v>
      </c>
      <c r="P2569" s="17"/>
      <c r="Q2569" s="17" t="str">
        <f>_xlfn.XLOOKUP(Table2[[#This Row],[buyFromVendorNo]],'Next Day Scheduled'!A:A,'Pending Returns'!O:O,"NOT_FOUND")</f>
        <v>NOT_FOUND</v>
      </c>
    </row>
    <row r="2570" spans="1:17" x14ac:dyDescent="0.3">
      <c r="A2570" s="1">
        <v>46225</v>
      </c>
      <c r="B2570" t="s">
        <v>1098</v>
      </c>
      <c r="C2570" t="s">
        <v>43</v>
      </c>
      <c r="D2570" t="s">
        <v>44</v>
      </c>
      <c r="E2570" t="s">
        <v>8</v>
      </c>
      <c r="F2570" t="s">
        <v>38</v>
      </c>
      <c r="G2570" s="16">
        <v>986.49</v>
      </c>
      <c r="H2570" s="16">
        <v>1134.4635000000001</v>
      </c>
      <c r="I2570" s="1">
        <v>46223</v>
      </c>
      <c r="J2570">
        <v>34</v>
      </c>
      <c r="K2570" t="s">
        <v>7932</v>
      </c>
      <c r="L2570" t="s">
        <v>8150</v>
      </c>
      <c r="M2570">
        <v>31</v>
      </c>
      <c r="N2570">
        <v>1</v>
      </c>
      <c r="O2570" t="s">
        <v>1036</v>
      </c>
      <c r="P2570" s="17"/>
      <c r="Q2570" s="17" t="str">
        <f>_xlfn.XLOOKUP(Table2[[#This Row],[buyFromVendorNo]],'Next Day Scheduled'!A:A,'Pending Returns'!O:O,"NOT_FOUND")</f>
        <v>Posted Credit Note</v>
      </c>
    </row>
    <row r="2571" spans="1:17" x14ac:dyDescent="0.3">
      <c r="A2571" s="1">
        <v>46225</v>
      </c>
      <c r="B2571" t="s">
        <v>3502</v>
      </c>
      <c r="C2571" t="s">
        <v>821</v>
      </c>
      <c r="D2571" t="s">
        <v>2040</v>
      </c>
      <c r="E2571" t="s">
        <v>8</v>
      </c>
      <c r="F2571" t="s">
        <v>10</v>
      </c>
      <c r="G2571" s="16">
        <v>14.4</v>
      </c>
      <c r="H2571" s="16">
        <v>16.559999999999999</v>
      </c>
      <c r="J2571">
        <v>34</v>
      </c>
      <c r="K2571" t="s">
        <v>8146</v>
      </c>
      <c r="M2571">
        <v>4</v>
      </c>
      <c r="N2571">
        <v>8</v>
      </c>
      <c r="O2571" t="s">
        <v>216</v>
      </c>
      <c r="P2571" s="17"/>
      <c r="Q2571" s="17" t="str">
        <f>_xlfn.XLOOKUP(Table2[[#This Row],[buyFromVendorNo]],'Next Day Scheduled'!A:A,'Pending Returns'!O:O,"NOT_FOUND")</f>
        <v>Posted Credit Note</v>
      </c>
    </row>
    <row r="2572" spans="1:17" x14ac:dyDescent="0.3">
      <c r="A2572" s="1">
        <v>46225</v>
      </c>
      <c r="B2572" t="s">
        <v>6392</v>
      </c>
      <c r="C2572" t="s">
        <v>846</v>
      </c>
      <c r="D2572" t="s">
        <v>847</v>
      </c>
      <c r="E2572" t="s">
        <v>8</v>
      </c>
      <c r="F2572" t="s">
        <v>10</v>
      </c>
      <c r="G2572" s="16">
        <v>26.82</v>
      </c>
      <c r="H2572" s="16">
        <v>30.843</v>
      </c>
      <c r="I2572" s="1">
        <v>46225</v>
      </c>
      <c r="J2572">
        <v>34</v>
      </c>
      <c r="K2572" t="s">
        <v>5530</v>
      </c>
      <c r="L2572" t="s">
        <v>8153</v>
      </c>
      <c r="M2572">
        <v>4</v>
      </c>
      <c r="N2572">
        <v>5</v>
      </c>
      <c r="O2572" t="s">
        <v>223</v>
      </c>
      <c r="P2572" s="17"/>
      <c r="Q2572" s="17" t="str">
        <f>_xlfn.XLOOKUP(Table2[[#This Row],[buyFromVendorNo]],'Next Day Scheduled'!A:A,'Pending Returns'!O:O,"NOT_FOUND")</f>
        <v>NOT_FOUND</v>
      </c>
    </row>
    <row r="2573" spans="1:17" x14ac:dyDescent="0.3">
      <c r="A2573" s="1">
        <v>46225</v>
      </c>
      <c r="B2573" t="s">
        <v>1784</v>
      </c>
      <c r="C2573" t="s">
        <v>79</v>
      </c>
      <c r="D2573" t="s">
        <v>80</v>
      </c>
      <c r="E2573" t="s">
        <v>8</v>
      </c>
      <c r="F2573" t="s">
        <v>10</v>
      </c>
      <c r="G2573" s="16">
        <v>1563.0550000000001</v>
      </c>
      <c r="H2573" s="16">
        <v>1797.5133000000001</v>
      </c>
      <c r="I2573" s="1">
        <v>46220</v>
      </c>
      <c r="J2573">
        <v>34</v>
      </c>
      <c r="K2573" t="s">
        <v>7571</v>
      </c>
      <c r="L2573" t="s">
        <v>8017</v>
      </c>
      <c r="M2573">
        <v>5</v>
      </c>
      <c r="N2573">
        <v>2</v>
      </c>
      <c r="O2573" t="s">
        <v>1036</v>
      </c>
      <c r="P2573" s="17"/>
      <c r="Q2573" s="17" t="str">
        <f>_xlfn.XLOOKUP(Table2[[#This Row],[buyFromVendorNo]],'Next Day Scheduled'!A:A,'Pending Returns'!O:O,"NOT_FOUND")</f>
        <v>NOT_FOUND</v>
      </c>
    </row>
    <row r="2574" spans="1:17" x14ac:dyDescent="0.3">
      <c r="A2574" s="1">
        <v>46225</v>
      </c>
      <c r="B2574" t="s">
        <v>2880</v>
      </c>
      <c r="C2574" t="s">
        <v>423</v>
      </c>
      <c r="D2574" t="s">
        <v>424</v>
      </c>
      <c r="E2574" t="s">
        <v>8</v>
      </c>
      <c r="F2574" t="s">
        <v>10</v>
      </c>
      <c r="G2574" s="16">
        <v>431.88</v>
      </c>
      <c r="H2574" s="16">
        <v>496.66199999999998</v>
      </c>
      <c r="I2574" s="1">
        <v>46223</v>
      </c>
      <c r="J2574">
        <v>34</v>
      </c>
      <c r="K2574" t="s">
        <v>7740</v>
      </c>
      <c r="L2574" t="s">
        <v>8158</v>
      </c>
      <c r="M2574">
        <v>5</v>
      </c>
      <c r="N2574">
        <v>3</v>
      </c>
      <c r="O2574" t="s">
        <v>1036</v>
      </c>
      <c r="P2574" s="17"/>
      <c r="Q2574" s="17" t="str">
        <f>_xlfn.XLOOKUP(Table2[[#This Row],[buyFromVendorNo]],'Next Day Scheduled'!A:A,'Pending Returns'!O:O,"NOT_FOUND")</f>
        <v>NOT_FOUND</v>
      </c>
    </row>
    <row r="2575" spans="1:17" x14ac:dyDescent="0.3">
      <c r="A2575" s="1">
        <v>46225</v>
      </c>
      <c r="B2575" t="s">
        <v>1599</v>
      </c>
      <c r="C2575" t="s">
        <v>1031</v>
      </c>
      <c r="D2575" t="s">
        <v>1032</v>
      </c>
      <c r="E2575" t="s">
        <v>8</v>
      </c>
      <c r="F2575" t="s">
        <v>38</v>
      </c>
      <c r="G2575" s="16">
        <v>895.21</v>
      </c>
      <c r="H2575" s="16">
        <v>1029.4915000000001</v>
      </c>
      <c r="I2575" s="1">
        <v>46225</v>
      </c>
      <c r="J2575">
        <v>34</v>
      </c>
      <c r="K2575" t="s">
        <v>7442</v>
      </c>
      <c r="L2575" t="s">
        <v>8164</v>
      </c>
      <c r="M2575">
        <v>4</v>
      </c>
      <c r="N2575">
        <v>7</v>
      </c>
      <c r="O2575" t="s">
        <v>1036</v>
      </c>
      <c r="P2575" s="17"/>
      <c r="Q2575" s="17" t="str">
        <f>_xlfn.XLOOKUP(Table2[[#This Row],[buyFromVendorNo]],'Next Day Scheduled'!A:A,'Pending Returns'!O:O,"NOT_FOUND")</f>
        <v>Pending for Collection</v>
      </c>
    </row>
    <row r="2576" spans="1:17" x14ac:dyDescent="0.3">
      <c r="A2576" s="1">
        <v>46225</v>
      </c>
      <c r="B2576" t="s">
        <v>8088</v>
      </c>
      <c r="C2576" t="s">
        <v>144</v>
      </c>
      <c r="D2576" t="s">
        <v>145</v>
      </c>
      <c r="E2576" t="s">
        <v>8</v>
      </c>
      <c r="F2576" t="s">
        <v>10</v>
      </c>
      <c r="G2576" s="16">
        <v>95.24</v>
      </c>
      <c r="H2576" s="16">
        <v>109.526</v>
      </c>
      <c r="J2576">
        <v>34</v>
      </c>
      <c r="K2576" t="s">
        <v>8089</v>
      </c>
      <c r="M2576">
        <v>0</v>
      </c>
      <c r="N2576">
        <v>411</v>
      </c>
      <c r="O2576" t="s">
        <v>216</v>
      </c>
      <c r="P2576" s="17"/>
      <c r="Q2576" s="17" t="str">
        <f>_xlfn.XLOOKUP(Table2[[#This Row],[buyFromVendorNo]],'Next Day Scheduled'!A:A,'Pending Returns'!O:O,"NOT_FOUND")</f>
        <v>NOT_FOUND</v>
      </c>
    </row>
    <row r="2577" spans="1:17" x14ac:dyDescent="0.3">
      <c r="A2577" s="1">
        <v>46225</v>
      </c>
      <c r="B2577" t="s">
        <v>5535</v>
      </c>
      <c r="C2577" t="s">
        <v>7245</v>
      </c>
      <c r="D2577" t="s">
        <v>7246</v>
      </c>
      <c r="E2577" t="s">
        <v>8</v>
      </c>
      <c r="F2577" t="s">
        <v>10</v>
      </c>
      <c r="G2577" s="16">
        <v>705.84</v>
      </c>
      <c r="H2577" s="16">
        <v>811.71600000000001</v>
      </c>
      <c r="J2577">
        <v>34</v>
      </c>
      <c r="K2577" t="s">
        <v>8090</v>
      </c>
      <c r="M2577">
        <v>0</v>
      </c>
      <c r="N2577">
        <v>164</v>
      </c>
      <c r="O2577" t="s">
        <v>216</v>
      </c>
      <c r="P2577" s="17"/>
      <c r="Q2577" s="17" t="str">
        <f>_xlfn.XLOOKUP(Table2[[#This Row],[buyFromVendorNo]],'Next Day Scheduled'!A:A,'Pending Returns'!O:O,"NOT_FOUND")</f>
        <v>NOT_FOUND</v>
      </c>
    </row>
    <row r="2578" spans="1:17" x14ac:dyDescent="0.3">
      <c r="A2578" s="1">
        <v>46225</v>
      </c>
      <c r="B2578" t="s">
        <v>3722</v>
      </c>
      <c r="C2578" t="s">
        <v>5437</v>
      </c>
      <c r="D2578" t="s">
        <v>5438</v>
      </c>
      <c r="E2578" t="s">
        <v>8</v>
      </c>
      <c r="F2578" t="s">
        <v>10</v>
      </c>
      <c r="G2578" s="16">
        <v>94.893720000000002</v>
      </c>
      <c r="H2578" s="16">
        <v>109.12778</v>
      </c>
      <c r="I2578" s="1">
        <v>46225</v>
      </c>
      <c r="J2578">
        <v>34</v>
      </c>
      <c r="K2578" t="s">
        <v>7825</v>
      </c>
      <c r="L2578" t="s">
        <v>8027</v>
      </c>
      <c r="M2578">
        <v>2</v>
      </c>
      <c r="N2578">
        <v>3</v>
      </c>
      <c r="O2578" t="s">
        <v>223</v>
      </c>
      <c r="P2578" s="17"/>
      <c r="Q2578" s="17" t="str">
        <f>_xlfn.XLOOKUP(Table2[[#This Row],[buyFromVendorNo]],'Next Day Scheduled'!A:A,'Pending Returns'!O:O,"NOT_FOUND")</f>
        <v>NOT_FOUND</v>
      </c>
    </row>
    <row r="2579" spans="1:17" x14ac:dyDescent="0.3">
      <c r="A2579" s="1">
        <v>46225</v>
      </c>
      <c r="B2579" t="s">
        <v>2787</v>
      </c>
      <c r="C2579" t="s">
        <v>25</v>
      </c>
      <c r="D2579" t="s">
        <v>26</v>
      </c>
      <c r="E2579" t="s">
        <v>8</v>
      </c>
      <c r="F2579" t="s">
        <v>10</v>
      </c>
      <c r="G2579" s="16">
        <v>22.18</v>
      </c>
      <c r="H2579" s="16">
        <v>25.507000000000001</v>
      </c>
      <c r="J2579">
        <v>34</v>
      </c>
      <c r="K2579" t="s">
        <v>8220</v>
      </c>
      <c r="M2579">
        <v>4</v>
      </c>
      <c r="N2579">
        <v>7</v>
      </c>
      <c r="O2579" t="s">
        <v>216</v>
      </c>
      <c r="P2579" s="17"/>
      <c r="Q2579" s="17" t="str">
        <f>_xlfn.XLOOKUP(Table2[[#This Row],[buyFromVendorNo]],'Next Day Scheduled'!A:A,'Pending Returns'!O:O,"NOT_FOUND")</f>
        <v>NOT_FOUND</v>
      </c>
    </row>
    <row r="2580" spans="1:17" x14ac:dyDescent="0.3">
      <c r="A2580" s="1">
        <v>46225</v>
      </c>
      <c r="B2580" t="s">
        <v>2127</v>
      </c>
      <c r="C2580" t="s">
        <v>305</v>
      </c>
      <c r="D2580" t="s">
        <v>306</v>
      </c>
      <c r="E2580" t="s">
        <v>8</v>
      </c>
      <c r="F2580" t="s">
        <v>38</v>
      </c>
      <c r="G2580" s="16">
        <v>913.11</v>
      </c>
      <c r="H2580" s="16">
        <v>1050.0764999999999</v>
      </c>
      <c r="I2580" s="1">
        <v>46225</v>
      </c>
      <c r="J2580">
        <v>34</v>
      </c>
      <c r="K2580" t="s">
        <v>2534</v>
      </c>
      <c r="L2580" t="s">
        <v>8029</v>
      </c>
      <c r="M2580">
        <v>0</v>
      </c>
      <c r="N2580">
        <v>195</v>
      </c>
      <c r="O2580" t="s">
        <v>223</v>
      </c>
      <c r="P2580" s="17"/>
      <c r="Q2580" s="17" t="str">
        <f>_xlfn.XLOOKUP(Table2[[#This Row],[buyFromVendorNo]],'Next Day Scheduled'!A:A,'Pending Returns'!O:O,"NOT_FOUND")</f>
        <v>NOT_FOUND</v>
      </c>
    </row>
    <row r="2581" spans="1:17" x14ac:dyDescent="0.3">
      <c r="A2581" s="1">
        <v>46225</v>
      </c>
      <c r="B2581" t="s">
        <v>3301</v>
      </c>
      <c r="C2581" t="s">
        <v>1031</v>
      </c>
      <c r="D2581" t="s">
        <v>1032</v>
      </c>
      <c r="E2581" t="s">
        <v>8</v>
      </c>
      <c r="F2581" t="s">
        <v>10</v>
      </c>
      <c r="G2581" s="16">
        <v>1908.48</v>
      </c>
      <c r="H2581" s="16">
        <v>2194.752</v>
      </c>
      <c r="I2581" s="1">
        <v>46225</v>
      </c>
      <c r="J2581">
        <v>34</v>
      </c>
      <c r="K2581" t="s">
        <v>7156</v>
      </c>
      <c r="L2581" t="s">
        <v>8166</v>
      </c>
      <c r="M2581">
        <v>4</v>
      </c>
      <c r="N2581">
        <v>7</v>
      </c>
      <c r="O2581" t="s">
        <v>1036</v>
      </c>
      <c r="P2581" s="17"/>
      <c r="Q2581" s="17" t="str">
        <f>_xlfn.XLOOKUP(Table2[[#This Row],[buyFromVendorNo]],'Next Day Scheduled'!A:A,'Pending Returns'!O:O,"NOT_FOUND")</f>
        <v>Pending for Collection</v>
      </c>
    </row>
    <row r="2582" spans="1:17" x14ac:dyDescent="0.3">
      <c r="A2582" s="1">
        <v>46225</v>
      </c>
      <c r="B2582" t="s">
        <v>3753</v>
      </c>
      <c r="C2582" t="s">
        <v>665</v>
      </c>
      <c r="D2582" t="s">
        <v>666</v>
      </c>
      <c r="E2582" t="s">
        <v>8</v>
      </c>
      <c r="F2582" t="s">
        <v>10</v>
      </c>
      <c r="G2582" s="16">
        <v>77.312989999999999</v>
      </c>
      <c r="H2582" s="16">
        <v>88.909940000000006</v>
      </c>
      <c r="I2582" s="1">
        <v>46225</v>
      </c>
      <c r="J2582">
        <v>34</v>
      </c>
      <c r="K2582" t="s">
        <v>7811</v>
      </c>
      <c r="L2582" t="s">
        <v>8030</v>
      </c>
      <c r="M2582">
        <v>0</v>
      </c>
      <c r="N2582">
        <v>147</v>
      </c>
      <c r="O2582" t="s">
        <v>223</v>
      </c>
      <c r="P2582" s="17"/>
      <c r="Q2582" s="17" t="str">
        <f>_xlfn.XLOOKUP(Table2[[#This Row],[buyFromVendorNo]],'Next Day Scheduled'!A:A,'Pending Returns'!O:O,"NOT_FOUND")</f>
        <v>NOT_FOUND</v>
      </c>
    </row>
    <row r="2583" spans="1:17" x14ac:dyDescent="0.3">
      <c r="A2583" s="1">
        <v>46225</v>
      </c>
      <c r="B2583" t="s">
        <v>2747</v>
      </c>
      <c r="C2583" t="s">
        <v>188</v>
      </c>
      <c r="D2583" t="s">
        <v>189</v>
      </c>
      <c r="E2583" t="s">
        <v>8</v>
      </c>
      <c r="F2583" t="s">
        <v>10</v>
      </c>
      <c r="G2583" s="16">
        <v>102.91658</v>
      </c>
      <c r="H2583" s="16">
        <v>118.35406999999999</v>
      </c>
      <c r="J2583">
        <v>34</v>
      </c>
      <c r="K2583" t="s">
        <v>8099</v>
      </c>
      <c r="M2583">
        <v>0</v>
      </c>
      <c r="N2583">
        <v>607</v>
      </c>
      <c r="O2583" t="s">
        <v>216</v>
      </c>
      <c r="P2583" s="17"/>
      <c r="Q2583" s="17" t="str">
        <f>_xlfn.XLOOKUP(Table2[[#This Row],[buyFromVendorNo]],'Next Day Scheduled'!A:A,'Pending Returns'!O:O,"NOT_FOUND")</f>
        <v>NOT_FOUND</v>
      </c>
    </row>
    <row r="2584" spans="1:17" x14ac:dyDescent="0.3">
      <c r="A2584" s="1">
        <v>46225</v>
      </c>
      <c r="B2584" t="s">
        <v>3267</v>
      </c>
      <c r="C2584" t="s">
        <v>7245</v>
      </c>
      <c r="D2584" t="s">
        <v>7246</v>
      </c>
      <c r="E2584" t="s">
        <v>8</v>
      </c>
      <c r="F2584" t="s">
        <v>10</v>
      </c>
      <c r="G2584" s="16">
        <v>207.6</v>
      </c>
      <c r="H2584" s="16">
        <v>238.74</v>
      </c>
      <c r="J2584">
        <v>34</v>
      </c>
      <c r="K2584" t="s">
        <v>8101</v>
      </c>
      <c r="M2584">
        <v>0</v>
      </c>
      <c r="N2584">
        <v>164</v>
      </c>
      <c r="O2584" t="s">
        <v>216</v>
      </c>
      <c r="P2584" s="17"/>
      <c r="Q2584" s="17" t="str">
        <f>_xlfn.XLOOKUP(Table2[[#This Row],[buyFromVendorNo]],'Next Day Scheduled'!A:A,'Pending Returns'!O:O,"NOT_FOUND")</f>
        <v>NOT_FOUND</v>
      </c>
    </row>
    <row r="2585" spans="1:17" x14ac:dyDescent="0.3">
      <c r="A2585" s="1">
        <v>46225</v>
      </c>
      <c r="B2585" t="s">
        <v>8173</v>
      </c>
      <c r="C2585" t="s">
        <v>111</v>
      </c>
      <c r="D2585" t="s">
        <v>112</v>
      </c>
      <c r="E2585" t="s">
        <v>8</v>
      </c>
      <c r="F2585" t="s">
        <v>10</v>
      </c>
      <c r="G2585" s="16">
        <v>267.84500000000003</v>
      </c>
      <c r="H2585" s="16">
        <v>308.02175999999997</v>
      </c>
      <c r="J2585">
        <v>34</v>
      </c>
      <c r="K2585" t="s">
        <v>8174</v>
      </c>
      <c r="M2585">
        <v>3</v>
      </c>
      <c r="N2585">
        <v>15</v>
      </c>
      <c r="O2585" t="s">
        <v>216</v>
      </c>
      <c r="P2585" s="17"/>
      <c r="Q2585" s="17" t="str">
        <f>_xlfn.XLOOKUP(Table2[[#This Row],[buyFromVendorNo]],'Next Day Scheduled'!A:A,'Pending Returns'!O:O,"NOT_FOUND")</f>
        <v>Posted Credit Note</v>
      </c>
    </row>
    <row r="2586" spans="1:17" x14ac:dyDescent="0.3">
      <c r="A2586" s="1">
        <v>46225</v>
      </c>
      <c r="B2586" t="s">
        <v>3267</v>
      </c>
      <c r="C2586" t="s">
        <v>846</v>
      </c>
      <c r="D2586" t="s">
        <v>847</v>
      </c>
      <c r="E2586" t="s">
        <v>8</v>
      </c>
      <c r="F2586" t="s">
        <v>10</v>
      </c>
      <c r="G2586" s="16">
        <v>498.69</v>
      </c>
      <c r="H2586" s="16">
        <v>573.49350000000004</v>
      </c>
      <c r="I2586" s="1">
        <v>46225</v>
      </c>
      <c r="J2586">
        <v>34</v>
      </c>
      <c r="K2586" t="s">
        <v>4869</v>
      </c>
      <c r="L2586" t="s">
        <v>8288</v>
      </c>
      <c r="M2586">
        <v>4</v>
      </c>
      <c r="N2586">
        <v>5</v>
      </c>
      <c r="O2586" t="s">
        <v>223</v>
      </c>
      <c r="P2586" s="17"/>
      <c r="Q2586" s="17" t="str">
        <f>_xlfn.XLOOKUP(Table2[[#This Row],[buyFromVendorNo]],'Next Day Scheduled'!A:A,'Pending Returns'!O:O,"NOT_FOUND")</f>
        <v>NOT_FOUND</v>
      </c>
    </row>
    <row r="2587" spans="1:17" x14ac:dyDescent="0.3">
      <c r="A2587" s="1">
        <v>46225</v>
      </c>
      <c r="B2587" t="s">
        <v>7812</v>
      </c>
      <c r="C2587" t="s">
        <v>512</v>
      </c>
      <c r="D2587" t="s">
        <v>513</v>
      </c>
      <c r="E2587" t="s">
        <v>8</v>
      </c>
      <c r="F2587" t="s">
        <v>10</v>
      </c>
      <c r="G2587" s="16">
        <v>310.23334</v>
      </c>
      <c r="H2587" s="16">
        <v>356.76834000000002</v>
      </c>
      <c r="I2587" s="1">
        <v>46223</v>
      </c>
      <c r="J2587">
        <v>34</v>
      </c>
      <c r="K2587" t="s">
        <v>7813</v>
      </c>
      <c r="L2587" t="s">
        <v>8285</v>
      </c>
      <c r="M2587">
        <v>5</v>
      </c>
      <c r="N2587">
        <v>3</v>
      </c>
      <c r="O2587" t="s">
        <v>1036</v>
      </c>
      <c r="P2587" s="17"/>
      <c r="Q2587" s="17" t="str">
        <f>_xlfn.XLOOKUP(Table2[[#This Row],[buyFromVendorNo]],'Next Day Scheduled'!A:A,'Pending Returns'!O:O,"NOT_FOUND")</f>
        <v>NOT_FOUND</v>
      </c>
    </row>
    <row r="2588" spans="1:17" x14ac:dyDescent="0.3">
      <c r="A2588" s="1">
        <v>46225</v>
      </c>
      <c r="B2588" t="s">
        <v>2655</v>
      </c>
      <c r="C2588" t="s">
        <v>323</v>
      </c>
      <c r="D2588" t="s">
        <v>324</v>
      </c>
      <c r="E2588" t="s">
        <v>8</v>
      </c>
      <c r="F2588" t="s">
        <v>10</v>
      </c>
      <c r="G2588" s="16">
        <v>20.5</v>
      </c>
      <c r="H2588" s="16">
        <v>23.574999999999999</v>
      </c>
      <c r="J2588">
        <v>34</v>
      </c>
      <c r="K2588" t="s">
        <v>8239</v>
      </c>
      <c r="M2588">
        <v>1</v>
      </c>
      <c r="N2588">
        <v>31</v>
      </c>
      <c r="O2588" t="s">
        <v>216</v>
      </c>
      <c r="P2588" s="17"/>
      <c r="Q2588" s="17" t="str">
        <f>_xlfn.XLOOKUP(Table2[[#This Row],[buyFromVendorNo]],'Next Day Scheduled'!A:A,'Pending Returns'!O:O,"NOT_FOUND")</f>
        <v>NOT_FOUND</v>
      </c>
    </row>
    <row r="2589" spans="1:17" x14ac:dyDescent="0.3">
      <c r="A2589" s="1">
        <v>46225</v>
      </c>
      <c r="B2589" t="s">
        <v>5454</v>
      </c>
      <c r="C2589" t="s">
        <v>804</v>
      </c>
      <c r="D2589" t="s">
        <v>805</v>
      </c>
      <c r="E2589" t="s">
        <v>8</v>
      </c>
      <c r="F2589" t="s">
        <v>10</v>
      </c>
      <c r="G2589" s="16">
        <v>39.24</v>
      </c>
      <c r="H2589" s="16">
        <v>45.125999999999998</v>
      </c>
      <c r="J2589">
        <v>34</v>
      </c>
      <c r="K2589" t="s">
        <v>8244</v>
      </c>
      <c r="M2589">
        <v>0</v>
      </c>
      <c r="N2589">
        <v>206</v>
      </c>
      <c r="O2589" t="s">
        <v>216</v>
      </c>
      <c r="P2589" s="17"/>
      <c r="Q2589" s="17" t="str">
        <f>_xlfn.XLOOKUP(Table2[[#This Row],[buyFromVendorNo]],'Next Day Scheduled'!A:A,'Pending Returns'!O:O,"NOT_FOUND")</f>
        <v>NOT_FOUND</v>
      </c>
    </row>
    <row r="2590" spans="1:17" x14ac:dyDescent="0.3">
      <c r="A2590" s="1">
        <v>46225</v>
      </c>
      <c r="B2590" t="s">
        <v>642</v>
      </c>
      <c r="C2590" t="s">
        <v>562</v>
      </c>
      <c r="D2590" t="s">
        <v>563</v>
      </c>
      <c r="E2590" t="s">
        <v>8</v>
      </c>
      <c r="F2590" t="s">
        <v>38</v>
      </c>
      <c r="G2590" s="16">
        <v>3369.4187000000002</v>
      </c>
      <c r="H2590" s="16">
        <v>3874.8314999999998</v>
      </c>
      <c r="I2590" s="1">
        <v>46223</v>
      </c>
      <c r="J2590">
        <v>34</v>
      </c>
      <c r="K2590" t="s">
        <v>7634</v>
      </c>
      <c r="L2590" t="s">
        <v>8193</v>
      </c>
      <c r="M2590">
        <v>7</v>
      </c>
      <c r="N2590">
        <v>23</v>
      </c>
      <c r="O2590" t="s">
        <v>1036</v>
      </c>
      <c r="P2590" s="17"/>
      <c r="Q2590" s="17" t="str">
        <f>_xlfn.XLOOKUP(Table2[[#This Row],[buyFromVendorNo]],'Next Day Scheduled'!A:A,'Pending Returns'!O:O,"NOT_FOUND")</f>
        <v>NOT_FOUND</v>
      </c>
    </row>
    <row r="2591" spans="1:17" x14ac:dyDescent="0.3">
      <c r="A2591" s="1">
        <v>46225</v>
      </c>
      <c r="B2591" t="s">
        <v>5907</v>
      </c>
      <c r="C2591" t="s">
        <v>2290</v>
      </c>
      <c r="D2591" t="s">
        <v>2291</v>
      </c>
      <c r="E2591" t="s">
        <v>8</v>
      </c>
      <c r="F2591" t="s">
        <v>10</v>
      </c>
      <c r="G2591" s="16">
        <v>67.941670000000002</v>
      </c>
      <c r="H2591" s="16">
        <v>78.132919999999999</v>
      </c>
      <c r="I2591" s="1">
        <v>46225</v>
      </c>
      <c r="J2591">
        <v>34</v>
      </c>
      <c r="K2591" t="s">
        <v>6596</v>
      </c>
      <c r="L2591" t="s">
        <v>8194</v>
      </c>
      <c r="M2591">
        <v>4</v>
      </c>
      <c r="N2591">
        <v>7</v>
      </c>
      <c r="O2591" t="s">
        <v>223</v>
      </c>
      <c r="P2591" s="17"/>
      <c r="Q2591" s="17" t="str">
        <f>_xlfn.XLOOKUP(Table2[[#This Row],[buyFromVendorNo]],'Next Day Scheduled'!A:A,'Pending Returns'!O:O,"NOT_FOUND")</f>
        <v>Posted Credit Note</v>
      </c>
    </row>
    <row r="2592" spans="1:17" x14ac:dyDescent="0.3">
      <c r="A2592" s="1">
        <v>46225</v>
      </c>
      <c r="B2592" t="s">
        <v>1567</v>
      </c>
      <c r="C2592" t="s">
        <v>536</v>
      </c>
      <c r="D2592" t="s">
        <v>537</v>
      </c>
      <c r="E2592" t="s">
        <v>8</v>
      </c>
      <c r="F2592" t="s">
        <v>10</v>
      </c>
      <c r="G2592" s="16">
        <v>432.97</v>
      </c>
      <c r="H2592" s="16">
        <v>497.91550000000001</v>
      </c>
      <c r="I2592" s="1">
        <v>46221</v>
      </c>
      <c r="J2592">
        <v>34</v>
      </c>
      <c r="K2592" t="s">
        <v>7734</v>
      </c>
      <c r="L2592" t="s">
        <v>8250</v>
      </c>
      <c r="M2592">
        <v>5</v>
      </c>
      <c r="N2592">
        <v>2</v>
      </c>
      <c r="O2592" t="s">
        <v>1036</v>
      </c>
      <c r="P2592" s="17"/>
      <c r="Q2592" s="17" t="str">
        <f>_xlfn.XLOOKUP(Table2[[#This Row],[buyFromVendorNo]],'Next Day Scheduled'!A:A,'Pending Returns'!O:O,"NOT_FOUND")</f>
        <v>NOT_FOUND</v>
      </c>
    </row>
    <row r="2593" spans="1:17" x14ac:dyDescent="0.3">
      <c r="A2593" s="1">
        <v>46225</v>
      </c>
      <c r="B2593" t="s">
        <v>8588</v>
      </c>
      <c r="C2593" t="s">
        <v>183</v>
      </c>
      <c r="D2593" t="s">
        <v>184</v>
      </c>
      <c r="E2593" t="s">
        <v>8</v>
      </c>
      <c r="F2593" t="s">
        <v>10</v>
      </c>
      <c r="G2593" s="16">
        <v>21</v>
      </c>
      <c r="H2593" s="16">
        <v>24.15</v>
      </c>
      <c r="J2593">
        <v>34</v>
      </c>
      <c r="K2593" t="s">
        <v>8094</v>
      </c>
      <c r="M2593">
        <v>0</v>
      </c>
      <c r="N2593">
        <v>195</v>
      </c>
      <c r="O2593" t="s">
        <v>216</v>
      </c>
      <c r="P2593" s="17"/>
      <c r="Q2593" s="17" t="str">
        <f>_xlfn.XLOOKUP(Table2[[#This Row],[buyFromVendorNo]],'Next Day Scheduled'!A:A,'Pending Returns'!O:O,"NOT_FOUND")</f>
        <v>NOT_FOUND</v>
      </c>
    </row>
    <row r="2594" spans="1:17" x14ac:dyDescent="0.3">
      <c r="A2594" s="1">
        <v>46225</v>
      </c>
      <c r="B2594" t="s">
        <v>2406</v>
      </c>
      <c r="C2594" t="s">
        <v>4877</v>
      </c>
      <c r="D2594" t="s">
        <v>5340</v>
      </c>
      <c r="E2594" t="s">
        <v>8</v>
      </c>
      <c r="F2594" t="s">
        <v>10</v>
      </c>
      <c r="G2594" s="16">
        <v>120.60133</v>
      </c>
      <c r="H2594" s="16">
        <v>138.69150999999999</v>
      </c>
      <c r="J2594">
        <v>34</v>
      </c>
      <c r="K2594" t="s">
        <v>8050</v>
      </c>
      <c r="M2594">
        <v>19</v>
      </c>
      <c r="N2594">
        <v>3</v>
      </c>
      <c r="O2594" t="s">
        <v>216</v>
      </c>
      <c r="P2594" s="17"/>
      <c r="Q2594" s="17" t="str">
        <f>_xlfn.XLOOKUP(Table2[[#This Row],[buyFromVendorNo]],'Next Day Scheduled'!A:A,'Pending Returns'!O:O,"NOT_FOUND")</f>
        <v>Posted Credit Note</v>
      </c>
    </row>
    <row r="2595" spans="1:17" x14ac:dyDescent="0.3">
      <c r="A2595" s="1">
        <v>46225</v>
      </c>
      <c r="B2595" t="s">
        <v>4096</v>
      </c>
      <c r="C2595" t="s">
        <v>5437</v>
      </c>
      <c r="D2595" t="s">
        <v>5438</v>
      </c>
      <c r="E2595" t="s">
        <v>8</v>
      </c>
      <c r="F2595" t="s">
        <v>10</v>
      </c>
      <c r="G2595" s="16">
        <v>128.49682999999999</v>
      </c>
      <c r="H2595" s="16">
        <v>147.77135000000001</v>
      </c>
      <c r="I2595" s="1">
        <v>46225</v>
      </c>
      <c r="J2595">
        <v>34</v>
      </c>
      <c r="K2595" t="s">
        <v>8014</v>
      </c>
      <c r="L2595" t="s">
        <v>8015</v>
      </c>
      <c r="M2595">
        <v>2</v>
      </c>
      <c r="N2595">
        <v>3</v>
      </c>
      <c r="O2595" t="s">
        <v>223</v>
      </c>
      <c r="P2595" s="17"/>
      <c r="Q2595" s="17" t="str">
        <f>_xlfn.XLOOKUP(Table2[[#This Row],[buyFromVendorNo]],'Next Day Scheduled'!A:A,'Pending Returns'!O:O,"NOT_FOUND")</f>
        <v>NOT_FOUND</v>
      </c>
    </row>
    <row r="2596" spans="1:17" x14ac:dyDescent="0.3">
      <c r="A2596" s="1">
        <v>46225</v>
      </c>
      <c r="B2596" t="s">
        <v>8055</v>
      </c>
      <c r="C2596" t="s">
        <v>177</v>
      </c>
      <c r="D2596" t="s">
        <v>178</v>
      </c>
      <c r="E2596" t="s">
        <v>8</v>
      </c>
      <c r="F2596" t="s">
        <v>10</v>
      </c>
      <c r="G2596" s="16">
        <v>75.62</v>
      </c>
      <c r="H2596" s="16">
        <v>86.962999999999994</v>
      </c>
      <c r="J2596">
        <v>34</v>
      </c>
      <c r="K2596" t="s">
        <v>8056</v>
      </c>
      <c r="M2596">
        <v>10</v>
      </c>
      <c r="N2596">
        <v>2</v>
      </c>
      <c r="O2596" t="s">
        <v>216</v>
      </c>
      <c r="P2596" s="17"/>
      <c r="Q2596" s="17" t="str">
        <f>_xlfn.XLOOKUP(Table2[[#This Row],[buyFromVendorNo]],'Next Day Scheduled'!A:A,'Pending Returns'!O:O,"NOT_FOUND")</f>
        <v>Posted Credit Note</v>
      </c>
    </row>
    <row r="2597" spans="1:17" x14ac:dyDescent="0.3">
      <c r="A2597" s="1">
        <v>46225</v>
      </c>
      <c r="B2597" t="s">
        <v>8228</v>
      </c>
      <c r="C2597" t="s">
        <v>173</v>
      </c>
      <c r="D2597" t="s">
        <v>174</v>
      </c>
      <c r="E2597" t="s">
        <v>8</v>
      </c>
      <c r="F2597" t="s">
        <v>10</v>
      </c>
      <c r="G2597" s="16">
        <v>1045.08</v>
      </c>
      <c r="H2597" s="16">
        <v>1201.8420000000001</v>
      </c>
      <c r="J2597">
        <v>34</v>
      </c>
      <c r="K2597" t="s">
        <v>8257</v>
      </c>
      <c r="M2597">
        <v>12</v>
      </c>
      <c r="N2597">
        <v>1</v>
      </c>
      <c r="O2597" t="s">
        <v>216</v>
      </c>
      <c r="P2597" s="17"/>
      <c r="Q2597" s="17" t="str">
        <f>_xlfn.XLOOKUP(Table2[[#This Row],[buyFromVendorNo]],'Next Day Scheduled'!A:A,'Pending Returns'!O:O,"NOT_FOUND")</f>
        <v>NOT_FOUND</v>
      </c>
    </row>
    <row r="2598" spans="1:17" x14ac:dyDescent="0.3">
      <c r="A2598" s="1">
        <v>46225</v>
      </c>
      <c r="B2598" t="s">
        <v>7582</v>
      </c>
      <c r="C2598" t="s">
        <v>95</v>
      </c>
      <c r="D2598" t="s">
        <v>96</v>
      </c>
      <c r="E2598" t="s">
        <v>8</v>
      </c>
      <c r="F2598" t="s">
        <v>10</v>
      </c>
      <c r="G2598" s="16">
        <v>191.56039999999999</v>
      </c>
      <c r="H2598" s="16">
        <v>220.29445999999999</v>
      </c>
      <c r="I2598" s="1">
        <v>46225</v>
      </c>
      <c r="J2598">
        <v>34</v>
      </c>
      <c r="K2598" t="s">
        <v>7583</v>
      </c>
      <c r="L2598" t="s">
        <v>8256</v>
      </c>
      <c r="M2598">
        <v>5</v>
      </c>
      <c r="N2598">
        <v>1</v>
      </c>
      <c r="O2598" t="s">
        <v>1036</v>
      </c>
      <c r="P2598" s="17"/>
      <c r="Q2598" s="17" t="str">
        <f>_xlfn.XLOOKUP(Table2[[#This Row],[buyFromVendorNo]],'Next Day Scheduled'!A:A,'Pending Returns'!O:O,"NOT_FOUND")</f>
        <v>NOT_FOUND</v>
      </c>
    </row>
    <row r="2599" spans="1:17" x14ac:dyDescent="0.3">
      <c r="A2599" s="1">
        <v>46225</v>
      </c>
      <c r="B2599" t="s">
        <v>7012</v>
      </c>
      <c r="C2599" t="s">
        <v>576</v>
      </c>
      <c r="D2599" t="s">
        <v>577</v>
      </c>
      <c r="E2599" t="s">
        <v>8</v>
      </c>
      <c r="F2599" t="s">
        <v>10</v>
      </c>
      <c r="G2599" s="16">
        <v>361.16187000000002</v>
      </c>
      <c r="H2599" s="16">
        <v>415.33614999999998</v>
      </c>
      <c r="I2599" s="1">
        <v>46220</v>
      </c>
      <c r="J2599">
        <v>34</v>
      </c>
      <c r="K2599" t="s">
        <v>7013</v>
      </c>
      <c r="L2599" t="s">
        <v>8138</v>
      </c>
      <c r="M2599">
        <v>6</v>
      </c>
      <c r="N2599">
        <v>3</v>
      </c>
      <c r="O2599" t="s">
        <v>1036</v>
      </c>
      <c r="P2599" s="17"/>
      <c r="Q2599" s="17" t="str">
        <f>_xlfn.XLOOKUP(Table2[[#This Row],[buyFromVendorNo]],'Next Day Scheduled'!A:A,'Pending Returns'!O:O,"NOT_FOUND")</f>
        <v>NOT_FOUND</v>
      </c>
    </row>
    <row r="2600" spans="1:17" x14ac:dyDescent="0.3">
      <c r="A2600" s="1">
        <v>46225</v>
      </c>
      <c r="B2600" t="s">
        <v>1535</v>
      </c>
      <c r="C2600" t="s">
        <v>776</v>
      </c>
      <c r="D2600" t="s">
        <v>777</v>
      </c>
      <c r="E2600" t="s">
        <v>8</v>
      </c>
      <c r="F2600" t="s">
        <v>38</v>
      </c>
      <c r="G2600" s="16">
        <v>527.77</v>
      </c>
      <c r="H2600" s="16">
        <v>606.93550000000005</v>
      </c>
      <c r="I2600" s="1">
        <v>46223</v>
      </c>
      <c r="J2600">
        <v>34</v>
      </c>
      <c r="K2600" t="s">
        <v>7915</v>
      </c>
      <c r="L2600" t="s">
        <v>8137</v>
      </c>
      <c r="M2600">
        <v>5</v>
      </c>
      <c r="N2600">
        <v>2</v>
      </c>
      <c r="O2600" t="s">
        <v>1036</v>
      </c>
      <c r="P2600" s="17"/>
      <c r="Q2600" s="17" t="str">
        <f>_xlfn.XLOOKUP(Table2[[#This Row],[buyFromVendorNo]],'Next Day Scheduled'!A:A,'Pending Returns'!O:O,"NOT_FOUND")</f>
        <v>Posted Credit Note</v>
      </c>
    </row>
    <row r="2601" spans="1:17" x14ac:dyDescent="0.3">
      <c r="A2601" s="1">
        <v>46225</v>
      </c>
      <c r="B2601" t="s">
        <v>7812</v>
      </c>
      <c r="C2601" t="s">
        <v>69</v>
      </c>
      <c r="D2601" t="s">
        <v>70</v>
      </c>
      <c r="E2601" t="s">
        <v>8</v>
      </c>
      <c r="F2601" t="s">
        <v>10</v>
      </c>
      <c r="G2601" s="16">
        <v>160.52000000000001</v>
      </c>
      <c r="H2601" s="16">
        <v>184.59800000000001</v>
      </c>
      <c r="J2601">
        <v>34</v>
      </c>
      <c r="K2601" t="s">
        <v>8102</v>
      </c>
      <c r="M2601">
        <v>23</v>
      </c>
      <c r="N2601">
        <v>1</v>
      </c>
      <c r="O2601" t="s">
        <v>216</v>
      </c>
      <c r="P2601" s="17"/>
      <c r="Q2601" s="17" t="str">
        <f>_xlfn.XLOOKUP(Table2[[#This Row],[buyFromVendorNo]],'Next Day Scheduled'!A:A,'Pending Returns'!O:O,"NOT_FOUND")</f>
        <v>Posted Credit Note</v>
      </c>
    </row>
    <row r="2602" spans="1:17" x14ac:dyDescent="0.3">
      <c r="A2602" s="1">
        <v>46225</v>
      </c>
      <c r="B2602" t="s">
        <v>2591</v>
      </c>
      <c r="C2602" t="s">
        <v>164</v>
      </c>
      <c r="D2602" t="s">
        <v>165</v>
      </c>
      <c r="E2602" t="s">
        <v>8</v>
      </c>
      <c r="F2602" t="s">
        <v>10</v>
      </c>
      <c r="G2602" s="16">
        <v>37.25</v>
      </c>
      <c r="H2602" s="16">
        <v>42.837499999999999</v>
      </c>
      <c r="I2602" s="1">
        <v>46217</v>
      </c>
      <c r="J2602">
        <v>34</v>
      </c>
      <c r="K2602" t="s">
        <v>5398</v>
      </c>
      <c r="L2602" t="s">
        <v>8016</v>
      </c>
      <c r="M2602">
        <v>6</v>
      </c>
      <c r="N2602">
        <v>3</v>
      </c>
      <c r="O2602" t="s">
        <v>1036</v>
      </c>
      <c r="P2602" s="17"/>
      <c r="Q2602" s="17" t="str">
        <f>_xlfn.XLOOKUP(Table2[[#This Row],[buyFromVendorNo]],'Next Day Scheduled'!A:A,'Pending Returns'!O:O,"NOT_FOUND")</f>
        <v>NOT_FOUND</v>
      </c>
    </row>
    <row r="2603" spans="1:17" x14ac:dyDescent="0.3">
      <c r="A2603" s="1">
        <v>46225</v>
      </c>
      <c r="B2603" t="s">
        <v>1567</v>
      </c>
      <c r="C2603" t="s">
        <v>16</v>
      </c>
      <c r="D2603" t="s">
        <v>17</v>
      </c>
      <c r="E2603" t="s">
        <v>8</v>
      </c>
      <c r="F2603" t="s">
        <v>10</v>
      </c>
      <c r="G2603" s="16">
        <v>472.92099999999999</v>
      </c>
      <c r="H2603" s="16">
        <v>543.85913000000005</v>
      </c>
      <c r="I2603" s="1">
        <v>46208</v>
      </c>
      <c r="J2603">
        <v>34</v>
      </c>
      <c r="K2603" t="s">
        <v>6627</v>
      </c>
      <c r="L2603" t="s">
        <v>8268</v>
      </c>
      <c r="M2603">
        <v>5</v>
      </c>
      <c r="N2603">
        <v>3</v>
      </c>
      <c r="O2603" t="s">
        <v>1036</v>
      </c>
      <c r="P2603" s="17"/>
      <c r="Q2603" s="17" t="str">
        <f>_xlfn.XLOOKUP(Table2[[#This Row],[buyFromVendorNo]],'Next Day Scheduled'!A:A,'Pending Returns'!O:O,"NOT_FOUND")</f>
        <v>Posted Credit Note</v>
      </c>
    </row>
    <row r="2604" spans="1:17" x14ac:dyDescent="0.3">
      <c r="A2604" s="1">
        <v>46225</v>
      </c>
      <c r="B2604" t="s">
        <v>7520</v>
      </c>
      <c r="C2604" t="s">
        <v>305</v>
      </c>
      <c r="D2604" t="s">
        <v>306</v>
      </c>
      <c r="E2604" t="s">
        <v>8</v>
      </c>
      <c r="F2604" t="s">
        <v>38</v>
      </c>
      <c r="G2604" s="16">
        <v>1477.3</v>
      </c>
      <c r="H2604" s="16">
        <v>1698.895</v>
      </c>
      <c r="I2604" s="1">
        <v>46225</v>
      </c>
      <c r="J2604">
        <v>34</v>
      </c>
      <c r="K2604" t="s">
        <v>2086</v>
      </c>
      <c r="L2604" t="s">
        <v>8034</v>
      </c>
      <c r="M2604">
        <v>0</v>
      </c>
      <c r="N2604">
        <v>195</v>
      </c>
      <c r="O2604" t="s">
        <v>223</v>
      </c>
      <c r="P2604" s="17"/>
      <c r="Q2604" s="17" t="str">
        <f>_xlfn.XLOOKUP(Table2[[#This Row],[buyFromVendorNo]],'Next Day Scheduled'!A:A,'Pending Returns'!O:O,"NOT_FOUND")</f>
        <v>NOT_FOUND</v>
      </c>
    </row>
    <row r="2605" spans="1:17" x14ac:dyDescent="0.3">
      <c r="A2605" s="1">
        <v>46225</v>
      </c>
      <c r="B2605" t="s">
        <v>5112</v>
      </c>
      <c r="C2605" t="s">
        <v>573</v>
      </c>
      <c r="D2605" t="s">
        <v>574</v>
      </c>
      <c r="E2605" t="s">
        <v>8</v>
      </c>
      <c r="F2605" t="s">
        <v>10</v>
      </c>
      <c r="G2605" s="16">
        <v>502.37765999999999</v>
      </c>
      <c r="H2605" s="16">
        <v>577.73429999999996</v>
      </c>
      <c r="I2605" s="1">
        <v>46219</v>
      </c>
      <c r="J2605">
        <v>34</v>
      </c>
      <c r="K2605" t="s">
        <v>7303</v>
      </c>
      <c r="L2605" t="s">
        <v>8210</v>
      </c>
      <c r="M2605">
        <v>5</v>
      </c>
      <c r="N2605">
        <v>2</v>
      </c>
      <c r="O2605" t="s">
        <v>1036</v>
      </c>
      <c r="P2605" s="17"/>
      <c r="Q2605" s="17" t="str">
        <f>_xlfn.XLOOKUP(Table2[[#This Row],[buyFromVendorNo]],'Next Day Scheduled'!A:A,'Pending Returns'!O:O,"NOT_FOUND")</f>
        <v>NOT_FOUND</v>
      </c>
    </row>
    <row r="2606" spans="1:17" x14ac:dyDescent="0.3">
      <c r="A2606" s="1">
        <v>46225</v>
      </c>
      <c r="B2606" t="s">
        <v>6390</v>
      </c>
      <c r="C2606" t="s">
        <v>57</v>
      </c>
      <c r="D2606" t="s">
        <v>58</v>
      </c>
      <c r="E2606" t="s">
        <v>8</v>
      </c>
      <c r="F2606" t="s">
        <v>10</v>
      </c>
      <c r="G2606" s="16">
        <v>1018.01</v>
      </c>
      <c r="H2606" s="16">
        <v>1170.7114999999999</v>
      </c>
      <c r="I2606" s="1">
        <v>46223</v>
      </c>
      <c r="J2606">
        <v>34</v>
      </c>
      <c r="K2606" t="s">
        <v>7026</v>
      </c>
      <c r="L2606" t="s">
        <v>8212</v>
      </c>
      <c r="M2606">
        <v>4</v>
      </c>
      <c r="N2606">
        <v>8</v>
      </c>
      <c r="O2606" t="s">
        <v>1036</v>
      </c>
      <c r="P2606" s="17"/>
      <c r="Q2606" s="17" t="str">
        <f>_xlfn.XLOOKUP(Table2[[#This Row],[buyFromVendorNo]],'Next Day Scheduled'!A:A,'Pending Returns'!O:O,"NOT_FOUND")</f>
        <v>Posted Credit Note</v>
      </c>
    </row>
    <row r="2607" spans="1:17" x14ac:dyDescent="0.3">
      <c r="A2607" s="1">
        <v>46225</v>
      </c>
      <c r="B2607" t="s">
        <v>3408</v>
      </c>
      <c r="C2607" t="s">
        <v>512</v>
      </c>
      <c r="D2607" t="s">
        <v>513</v>
      </c>
      <c r="E2607" t="s">
        <v>8</v>
      </c>
      <c r="F2607" t="s">
        <v>10</v>
      </c>
      <c r="G2607" s="16">
        <v>262.30333999999999</v>
      </c>
      <c r="H2607" s="16">
        <v>301.64886000000001</v>
      </c>
      <c r="I2607" s="1">
        <v>46223</v>
      </c>
      <c r="J2607">
        <v>34</v>
      </c>
      <c r="K2607" t="s">
        <v>7611</v>
      </c>
      <c r="L2607" t="s">
        <v>8092</v>
      </c>
      <c r="M2607">
        <v>5</v>
      </c>
      <c r="N2607">
        <v>3</v>
      </c>
      <c r="O2607" t="s">
        <v>1036</v>
      </c>
      <c r="P2607" s="17"/>
      <c r="Q2607" s="17" t="str">
        <f>_xlfn.XLOOKUP(Table2[[#This Row],[buyFromVendorNo]],'Next Day Scheduled'!A:A,'Pending Returns'!O:O,"NOT_FOUND")</f>
        <v>NOT_FOUND</v>
      </c>
    </row>
    <row r="2608" spans="1:17" x14ac:dyDescent="0.3">
      <c r="A2608" s="1">
        <v>46225</v>
      </c>
      <c r="B2608" t="s">
        <v>5119</v>
      </c>
      <c r="C2608" t="s">
        <v>5437</v>
      </c>
      <c r="D2608" t="s">
        <v>5438</v>
      </c>
      <c r="E2608" t="s">
        <v>8</v>
      </c>
      <c r="F2608" t="s">
        <v>10</v>
      </c>
      <c r="G2608" s="16">
        <v>650.80817000000002</v>
      </c>
      <c r="H2608" s="16">
        <v>748.42939999999999</v>
      </c>
      <c r="I2608" s="1">
        <v>46225</v>
      </c>
      <c r="J2608">
        <v>34</v>
      </c>
      <c r="K2608" t="s">
        <v>8036</v>
      </c>
      <c r="L2608" t="s">
        <v>8037</v>
      </c>
      <c r="M2608">
        <v>2</v>
      </c>
      <c r="N2608">
        <v>3</v>
      </c>
      <c r="O2608" t="s">
        <v>223</v>
      </c>
      <c r="P2608" s="17"/>
      <c r="Q2608" s="17" t="str">
        <f>_xlfn.XLOOKUP(Table2[[#This Row],[buyFromVendorNo]],'Next Day Scheduled'!A:A,'Pending Returns'!O:O,"NOT_FOUND")</f>
        <v>NOT_FOUND</v>
      </c>
    </row>
    <row r="2609" spans="1:17" x14ac:dyDescent="0.3">
      <c r="A2609" s="1">
        <v>46225</v>
      </c>
      <c r="B2609" t="s">
        <v>2771</v>
      </c>
      <c r="C2609" t="s">
        <v>846</v>
      </c>
      <c r="D2609" t="s">
        <v>847</v>
      </c>
      <c r="E2609" t="s">
        <v>8</v>
      </c>
      <c r="F2609" t="s">
        <v>10</v>
      </c>
      <c r="G2609" s="16">
        <v>150.13999999999999</v>
      </c>
      <c r="H2609" s="16">
        <v>172.661</v>
      </c>
      <c r="I2609" s="1">
        <v>46225</v>
      </c>
      <c r="J2609">
        <v>34</v>
      </c>
      <c r="K2609" t="s">
        <v>2772</v>
      </c>
      <c r="L2609" t="s">
        <v>8163</v>
      </c>
      <c r="M2609">
        <v>4</v>
      </c>
      <c r="N2609">
        <v>5</v>
      </c>
      <c r="O2609" t="s">
        <v>223</v>
      </c>
      <c r="P2609" s="17"/>
      <c r="Q2609" s="17" t="str">
        <f>_xlfn.XLOOKUP(Table2[[#This Row],[buyFromVendorNo]],'Next Day Scheduled'!A:A,'Pending Returns'!O:O,"NOT_FOUND")</f>
        <v>NOT_FOUND</v>
      </c>
    </row>
    <row r="2610" spans="1:17" x14ac:dyDescent="0.3">
      <c r="A2610" s="1">
        <v>46225</v>
      </c>
      <c r="B2610" t="s">
        <v>429</v>
      </c>
      <c r="C2610" t="s">
        <v>305</v>
      </c>
      <c r="D2610" t="s">
        <v>306</v>
      </c>
      <c r="E2610" t="s">
        <v>8</v>
      </c>
      <c r="F2610" t="s">
        <v>38</v>
      </c>
      <c r="G2610" s="16">
        <v>331.32</v>
      </c>
      <c r="H2610" s="16">
        <v>381.01799999999997</v>
      </c>
      <c r="I2610" s="1">
        <v>46225</v>
      </c>
      <c r="J2610">
        <v>34</v>
      </c>
      <c r="K2610" t="s">
        <v>7882</v>
      </c>
      <c r="L2610" t="s">
        <v>8022</v>
      </c>
      <c r="M2610">
        <v>0</v>
      </c>
      <c r="N2610">
        <v>195</v>
      </c>
      <c r="O2610" t="s">
        <v>223</v>
      </c>
      <c r="P2610" s="17"/>
      <c r="Q2610" s="17" t="str">
        <f>_xlfn.XLOOKUP(Table2[[#This Row],[buyFromVendorNo]],'Next Day Scheduled'!A:A,'Pending Returns'!O:O,"NOT_FOUND")</f>
        <v>NOT_FOUND</v>
      </c>
    </row>
    <row r="2611" spans="1:17" x14ac:dyDescent="0.3">
      <c r="A2611" s="1">
        <v>46225</v>
      </c>
      <c r="B2611" t="s">
        <v>1709</v>
      </c>
      <c r="C2611" t="s">
        <v>11</v>
      </c>
      <c r="D2611" t="s">
        <v>12</v>
      </c>
      <c r="E2611" t="s">
        <v>8</v>
      </c>
      <c r="F2611" t="s">
        <v>10</v>
      </c>
      <c r="G2611" s="16">
        <v>792</v>
      </c>
      <c r="H2611" s="16">
        <v>910.8</v>
      </c>
      <c r="J2611">
        <v>34</v>
      </c>
      <c r="K2611" t="s">
        <v>8103</v>
      </c>
      <c r="M2611">
        <v>0</v>
      </c>
      <c r="N2611">
        <v>178</v>
      </c>
      <c r="O2611" t="s">
        <v>216</v>
      </c>
      <c r="P2611" s="17"/>
      <c r="Q2611" s="17" t="str">
        <f>_xlfn.XLOOKUP(Table2[[#This Row],[buyFromVendorNo]],'Next Day Scheduled'!A:A,'Pending Returns'!O:O,"NOT_FOUND")</f>
        <v>NOT_FOUND</v>
      </c>
    </row>
    <row r="2612" spans="1:17" x14ac:dyDescent="0.3">
      <c r="A2612" s="1">
        <v>46225</v>
      </c>
      <c r="B2612" t="s">
        <v>5112</v>
      </c>
      <c r="C2612" t="s">
        <v>2943</v>
      </c>
      <c r="D2612" t="s">
        <v>2944</v>
      </c>
      <c r="E2612" t="s">
        <v>8</v>
      </c>
      <c r="F2612" t="s">
        <v>10</v>
      </c>
      <c r="G2612" s="16">
        <v>642.80999999999995</v>
      </c>
      <c r="H2612" s="16">
        <v>739.23149999999998</v>
      </c>
      <c r="I2612" s="1">
        <v>46225</v>
      </c>
      <c r="J2612">
        <v>34</v>
      </c>
      <c r="K2612" t="s">
        <v>7610</v>
      </c>
      <c r="L2612" t="s">
        <v>8020</v>
      </c>
      <c r="M2612">
        <v>1</v>
      </c>
      <c r="N2612">
        <v>9</v>
      </c>
      <c r="O2612" t="s">
        <v>223</v>
      </c>
      <c r="P2612" s="17"/>
      <c r="Q2612" s="17" t="str">
        <f>_xlfn.XLOOKUP(Table2[[#This Row],[buyFromVendorNo]],'Next Day Scheduled'!A:A,'Pending Returns'!O:O,"NOT_FOUND")</f>
        <v>NOT_FOUND</v>
      </c>
    </row>
    <row r="2613" spans="1:17" x14ac:dyDescent="0.3">
      <c r="A2613" s="1">
        <v>46225</v>
      </c>
      <c r="B2613" t="s">
        <v>3348</v>
      </c>
      <c r="C2613" t="s">
        <v>882</v>
      </c>
      <c r="D2613" t="s">
        <v>883</v>
      </c>
      <c r="E2613" t="s">
        <v>8</v>
      </c>
      <c r="F2613" t="s">
        <v>10</v>
      </c>
      <c r="G2613" s="16">
        <v>2784</v>
      </c>
      <c r="H2613" s="16">
        <v>3201.6</v>
      </c>
      <c r="I2613" s="1">
        <v>46225</v>
      </c>
      <c r="J2613">
        <v>34</v>
      </c>
      <c r="K2613" t="s">
        <v>7836</v>
      </c>
      <c r="L2613" t="s">
        <v>8296</v>
      </c>
      <c r="M2613">
        <v>4</v>
      </c>
      <c r="N2613">
        <v>12</v>
      </c>
      <c r="O2613" t="s">
        <v>223</v>
      </c>
      <c r="P2613" s="17"/>
      <c r="Q2613" s="17" t="str">
        <f>_xlfn.XLOOKUP(Table2[[#This Row],[buyFromVendorNo]],'Next Day Scheduled'!A:A,'Pending Returns'!O:O,"NOT_FOUND")</f>
        <v>Posted Credit Note</v>
      </c>
    </row>
    <row r="2614" spans="1:17" x14ac:dyDescent="0.3">
      <c r="A2614" s="1">
        <v>46225</v>
      </c>
      <c r="B2614" t="s">
        <v>2845</v>
      </c>
      <c r="C2614" t="s">
        <v>16</v>
      </c>
      <c r="D2614" t="s">
        <v>17</v>
      </c>
      <c r="E2614" t="s">
        <v>8</v>
      </c>
      <c r="F2614" t="s">
        <v>10</v>
      </c>
      <c r="G2614" s="16">
        <v>169.10599999999999</v>
      </c>
      <c r="H2614" s="16">
        <v>194.47190000000001</v>
      </c>
      <c r="I2614" s="1">
        <v>46225</v>
      </c>
      <c r="J2614">
        <v>34</v>
      </c>
      <c r="K2614" t="s">
        <v>7651</v>
      </c>
      <c r="L2614" t="s">
        <v>8116</v>
      </c>
      <c r="M2614">
        <v>5</v>
      </c>
      <c r="N2614">
        <v>3</v>
      </c>
      <c r="O2614" t="s">
        <v>1036</v>
      </c>
      <c r="P2614" s="17"/>
      <c r="Q2614" s="17" t="str">
        <f>_xlfn.XLOOKUP(Table2[[#This Row],[buyFromVendorNo]],'Next Day Scheduled'!A:A,'Pending Returns'!O:O,"NOT_FOUND")</f>
        <v>Posted Credit Note</v>
      </c>
    </row>
    <row r="2615" spans="1:17" x14ac:dyDescent="0.3">
      <c r="A2615" s="1">
        <v>46225</v>
      </c>
      <c r="B2615" t="s">
        <v>3264</v>
      </c>
      <c r="C2615" t="s">
        <v>73</v>
      </c>
      <c r="D2615" t="s">
        <v>74</v>
      </c>
      <c r="E2615" t="s">
        <v>8</v>
      </c>
      <c r="F2615" t="s">
        <v>10</v>
      </c>
      <c r="G2615" s="16">
        <v>402.37400000000002</v>
      </c>
      <c r="H2615" s="16">
        <v>462.73009999999999</v>
      </c>
      <c r="J2615">
        <v>34</v>
      </c>
      <c r="K2615" t="s">
        <v>8302</v>
      </c>
      <c r="M2615">
        <v>19</v>
      </c>
      <c r="N2615">
        <v>1</v>
      </c>
      <c r="O2615" t="s">
        <v>216</v>
      </c>
      <c r="P2615" s="17"/>
      <c r="Q2615" s="17" t="str">
        <f>_xlfn.XLOOKUP(Table2[[#This Row],[buyFromVendorNo]],'Next Day Scheduled'!A:A,'Pending Returns'!O:O,"NOT_FOUND")</f>
        <v>NOT_FOUND</v>
      </c>
    </row>
    <row r="2616" spans="1:17" x14ac:dyDescent="0.3">
      <c r="A2616" s="1">
        <v>46225</v>
      </c>
      <c r="B2616" t="s">
        <v>2843</v>
      </c>
      <c r="C2616" t="s">
        <v>5293</v>
      </c>
      <c r="D2616" t="s">
        <v>5294</v>
      </c>
      <c r="E2616" t="s">
        <v>8</v>
      </c>
      <c r="F2616" t="s">
        <v>10</v>
      </c>
      <c r="G2616" s="16">
        <v>10.83</v>
      </c>
      <c r="H2616" s="16">
        <v>12.454499999999999</v>
      </c>
      <c r="I2616" s="1">
        <v>46217</v>
      </c>
      <c r="J2616">
        <v>34</v>
      </c>
      <c r="K2616" t="s">
        <v>7113</v>
      </c>
      <c r="L2616" t="s">
        <v>8303</v>
      </c>
      <c r="M2616">
        <v>2</v>
      </c>
      <c r="N2616">
        <v>19</v>
      </c>
      <c r="O2616" t="s">
        <v>1036</v>
      </c>
      <c r="P2616" s="17"/>
      <c r="Q2616" s="17" t="str">
        <f>_xlfn.XLOOKUP(Table2[[#This Row],[buyFromVendorNo]],'Next Day Scheduled'!A:A,'Pending Returns'!O:O,"NOT_FOUND")</f>
        <v>Posted Credit Note</v>
      </c>
    </row>
    <row r="2617" spans="1:17" x14ac:dyDescent="0.3">
      <c r="A2617" s="1">
        <v>46225</v>
      </c>
      <c r="B2617" t="s">
        <v>1570</v>
      </c>
      <c r="C2617" t="s">
        <v>154</v>
      </c>
      <c r="D2617" t="s">
        <v>155</v>
      </c>
      <c r="E2617" t="s">
        <v>8</v>
      </c>
      <c r="F2617" t="s">
        <v>38</v>
      </c>
      <c r="G2617" s="16">
        <v>1986.865</v>
      </c>
      <c r="H2617" s="16">
        <v>2284.8948</v>
      </c>
      <c r="I2617" s="1">
        <v>46211</v>
      </c>
      <c r="J2617">
        <v>34</v>
      </c>
      <c r="K2617" t="s">
        <v>6244</v>
      </c>
      <c r="L2617" t="s">
        <v>8304</v>
      </c>
      <c r="M2617">
        <v>4</v>
      </c>
      <c r="N2617">
        <v>7</v>
      </c>
      <c r="O2617" t="s">
        <v>1036</v>
      </c>
      <c r="P2617" s="17"/>
      <c r="Q2617" s="17" t="str">
        <f>_xlfn.XLOOKUP(Table2[[#This Row],[buyFromVendorNo]],'Next Day Scheduled'!A:A,'Pending Returns'!O:O,"NOT_FOUND")</f>
        <v>NOT_FOUND</v>
      </c>
    </row>
    <row r="2618" spans="1:17" x14ac:dyDescent="0.3">
      <c r="A2618" s="1">
        <v>46225</v>
      </c>
      <c r="B2618" t="s">
        <v>7791</v>
      </c>
      <c r="C2618" t="s">
        <v>502</v>
      </c>
      <c r="D2618" t="s">
        <v>503</v>
      </c>
      <c r="E2618" t="s">
        <v>8</v>
      </c>
      <c r="F2618" t="s">
        <v>10</v>
      </c>
      <c r="G2618" s="16">
        <v>292.32</v>
      </c>
      <c r="H2618" s="16">
        <v>336.16800000000001</v>
      </c>
      <c r="I2618" s="1">
        <v>46225</v>
      </c>
      <c r="J2618">
        <v>34</v>
      </c>
      <c r="K2618" t="s">
        <v>7792</v>
      </c>
      <c r="L2618" t="s">
        <v>8265</v>
      </c>
      <c r="M2618">
        <v>2</v>
      </c>
      <c r="N2618">
        <v>1</v>
      </c>
      <c r="O2618" t="s">
        <v>1036</v>
      </c>
      <c r="P2618" s="17"/>
      <c r="Q2618" s="17" t="str">
        <f>_xlfn.XLOOKUP(Table2[[#This Row],[buyFromVendorNo]],'Next Day Scheduled'!A:A,'Pending Returns'!O:O,"NOT_FOUND")</f>
        <v>NOT_FOUND</v>
      </c>
    </row>
    <row r="2619" spans="1:17" x14ac:dyDescent="0.3">
      <c r="A2619" s="1">
        <v>46225</v>
      </c>
      <c r="B2619" t="s">
        <v>8286</v>
      </c>
      <c r="C2619" t="s">
        <v>2273</v>
      </c>
      <c r="D2619" t="s">
        <v>2274</v>
      </c>
      <c r="E2619" t="s">
        <v>8</v>
      </c>
      <c r="F2619" t="s">
        <v>10</v>
      </c>
      <c r="G2619" s="16">
        <v>205.92</v>
      </c>
      <c r="H2619" s="16">
        <v>236.80799999999999</v>
      </c>
      <c r="J2619">
        <v>34</v>
      </c>
      <c r="K2619" t="s">
        <v>8067</v>
      </c>
      <c r="M2619">
        <v>0</v>
      </c>
      <c r="N2619">
        <v>92</v>
      </c>
      <c r="O2619" t="s">
        <v>216</v>
      </c>
      <c r="P2619" s="17"/>
      <c r="Q2619" s="17" t="str">
        <f>_xlfn.XLOOKUP(Table2[[#This Row],[buyFromVendorNo]],'Next Day Scheduled'!A:A,'Pending Returns'!O:O,"NOT_FOUND")</f>
        <v>NOT_FOUND</v>
      </c>
    </row>
    <row r="2620" spans="1:17" x14ac:dyDescent="0.3">
      <c r="A2620" s="1">
        <v>46225</v>
      </c>
      <c r="B2620" t="s">
        <v>5492</v>
      </c>
      <c r="C2620" t="s">
        <v>181</v>
      </c>
      <c r="D2620" t="s">
        <v>182</v>
      </c>
      <c r="E2620" t="s">
        <v>8</v>
      </c>
      <c r="F2620" t="s">
        <v>10</v>
      </c>
      <c r="G2620" s="16">
        <v>2192.8139999999999</v>
      </c>
      <c r="H2620" s="16">
        <v>2521.7359999999999</v>
      </c>
      <c r="I2620" s="1">
        <v>46223</v>
      </c>
      <c r="J2620">
        <v>34</v>
      </c>
      <c r="K2620" t="s">
        <v>6567</v>
      </c>
      <c r="L2620" t="s">
        <v>8078</v>
      </c>
      <c r="M2620">
        <v>8</v>
      </c>
      <c r="N2620">
        <v>2</v>
      </c>
      <c r="O2620" t="s">
        <v>1036</v>
      </c>
      <c r="P2620" s="17"/>
      <c r="Q2620" s="17" t="str">
        <f>_xlfn.XLOOKUP(Table2[[#This Row],[buyFromVendorNo]],'Next Day Scheduled'!A:A,'Pending Returns'!O:O,"NOT_FOUND")</f>
        <v>NOT_FOUND</v>
      </c>
    </row>
    <row r="2621" spans="1:17" x14ac:dyDescent="0.3">
      <c r="A2621" s="1">
        <v>46225</v>
      </c>
      <c r="B2621" t="s">
        <v>5190</v>
      </c>
      <c r="C2621" t="s">
        <v>305</v>
      </c>
      <c r="D2621" t="s">
        <v>306</v>
      </c>
      <c r="E2621" t="s">
        <v>8</v>
      </c>
      <c r="F2621" t="s">
        <v>38</v>
      </c>
      <c r="G2621" s="16">
        <v>779.41</v>
      </c>
      <c r="H2621" s="16">
        <v>896.32150000000001</v>
      </c>
      <c r="I2621" s="1">
        <v>46225</v>
      </c>
      <c r="J2621">
        <v>34</v>
      </c>
      <c r="K2621" t="s">
        <v>4065</v>
      </c>
      <c r="L2621" t="s">
        <v>8026</v>
      </c>
      <c r="M2621">
        <v>0</v>
      </c>
      <c r="N2621">
        <v>195</v>
      </c>
      <c r="O2621" t="s">
        <v>223</v>
      </c>
      <c r="P2621" s="17"/>
      <c r="Q2621" s="17" t="str">
        <f>_xlfn.XLOOKUP(Table2[[#This Row],[buyFromVendorNo]],'Next Day Scheduled'!A:A,'Pending Returns'!O:O,"NOT_FOUND")</f>
        <v>NOT_FOUND</v>
      </c>
    </row>
    <row r="2622" spans="1:17" x14ac:dyDescent="0.3">
      <c r="A2622" s="1">
        <v>46225</v>
      </c>
      <c r="B2622" t="s">
        <v>3286</v>
      </c>
      <c r="C2622" t="s">
        <v>2943</v>
      </c>
      <c r="D2622" t="s">
        <v>2944</v>
      </c>
      <c r="E2622" t="s">
        <v>8</v>
      </c>
      <c r="F2622" t="s">
        <v>10</v>
      </c>
      <c r="G2622" s="16">
        <v>1112.68</v>
      </c>
      <c r="H2622" s="16">
        <v>1279.5820000000001</v>
      </c>
      <c r="I2622" s="1">
        <v>46225</v>
      </c>
      <c r="J2622">
        <v>34</v>
      </c>
      <c r="K2622" t="s">
        <v>7248</v>
      </c>
      <c r="L2622" t="s">
        <v>8018</v>
      </c>
      <c r="M2622">
        <v>1</v>
      </c>
      <c r="N2622">
        <v>9</v>
      </c>
      <c r="O2622" t="s">
        <v>223</v>
      </c>
      <c r="P2622" s="17"/>
      <c r="Q2622" s="17" t="str">
        <f>_xlfn.XLOOKUP(Table2[[#This Row],[buyFromVendorNo]],'Next Day Scheduled'!A:A,'Pending Returns'!O:O,"NOT_FOUND")</f>
        <v>NOT_FOUND</v>
      </c>
    </row>
    <row r="2623" spans="1:17" x14ac:dyDescent="0.3">
      <c r="A2623" s="1">
        <v>46225</v>
      </c>
      <c r="B2623" t="s">
        <v>642</v>
      </c>
      <c r="C2623" t="s">
        <v>69</v>
      </c>
      <c r="D2623" t="s">
        <v>70</v>
      </c>
      <c r="E2623" t="s">
        <v>8</v>
      </c>
      <c r="F2623" t="s">
        <v>38</v>
      </c>
      <c r="G2623" s="16">
        <v>2582.85</v>
      </c>
      <c r="H2623" s="16">
        <v>2970.2775999999999</v>
      </c>
      <c r="J2623">
        <v>34</v>
      </c>
      <c r="K2623" t="s">
        <v>8275</v>
      </c>
      <c r="M2623">
        <v>15</v>
      </c>
      <c r="N2623">
        <v>2</v>
      </c>
      <c r="O2623" t="s">
        <v>216</v>
      </c>
      <c r="P2623" s="17"/>
      <c r="Q2623" s="17" t="str">
        <f>_xlfn.XLOOKUP(Table2[[#This Row],[buyFromVendorNo]],'Next Day Scheduled'!A:A,'Pending Returns'!O:O,"NOT_FOUND")</f>
        <v>Posted Credit Note</v>
      </c>
    </row>
    <row r="2624" spans="1:17" x14ac:dyDescent="0.3">
      <c r="A2624" s="1">
        <v>46225</v>
      </c>
      <c r="B2624" t="s">
        <v>3243</v>
      </c>
      <c r="C2624" t="s">
        <v>2269</v>
      </c>
      <c r="D2624" t="s">
        <v>2270</v>
      </c>
      <c r="E2624" t="s">
        <v>8</v>
      </c>
      <c r="F2624" t="s">
        <v>10</v>
      </c>
      <c r="G2624" s="16">
        <v>75.458889999999997</v>
      </c>
      <c r="H2624" s="16">
        <v>86.777730000000005</v>
      </c>
      <c r="I2624" s="1">
        <v>46225</v>
      </c>
      <c r="J2624">
        <v>34</v>
      </c>
      <c r="K2624" t="s">
        <v>7624</v>
      </c>
      <c r="L2624" t="s">
        <v>8091</v>
      </c>
      <c r="M2624">
        <v>0</v>
      </c>
      <c r="N2624">
        <v>64</v>
      </c>
      <c r="O2624" t="s">
        <v>223</v>
      </c>
      <c r="P2624" s="17"/>
      <c r="Q2624" s="17" t="str">
        <f>_xlfn.XLOOKUP(Table2[[#This Row],[buyFromVendorNo]],'Next Day Scheduled'!A:A,'Pending Returns'!O:O,"NOT_FOUND")</f>
        <v>NOT_FOUND</v>
      </c>
    </row>
    <row r="2625" spans="1:17" x14ac:dyDescent="0.3">
      <c r="A2625" s="1">
        <v>46225</v>
      </c>
      <c r="B2625" t="s">
        <v>6640</v>
      </c>
      <c r="C2625" t="s">
        <v>305</v>
      </c>
      <c r="D2625" t="s">
        <v>306</v>
      </c>
      <c r="E2625" t="s">
        <v>8</v>
      </c>
      <c r="F2625" t="s">
        <v>38</v>
      </c>
      <c r="G2625" s="16">
        <v>446.1</v>
      </c>
      <c r="H2625" s="16">
        <v>513.01499999999999</v>
      </c>
      <c r="I2625" s="1">
        <v>46225</v>
      </c>
      <c r="J2625">
        <v>34</v>
      </c>
      <c r="K2625" t="s">
        <v>2052</v>
      </c>
      <c r="L2625" t="s">
        <v>8019</v>
      </c>
      <c r="M2625">
        <v>0</v>
      </c>
      <c r="N2625">
        <v>195</v>
      </c>
      <c r="O2625" t="s">
        <v>223</v>
      </c>
      <c r="P2625" s="17"/>
      <c r="Q2625" s="17" t="str">
        <f>_xlfn.XLOOKUP(Table2[[#This Row],[buyFromVendorNo]],'Next Day Scheduled'!A:A,'Pending Returns'!O:O,"NOT_FOUND")</f>
        <v>NOT_FOUND</v>
      </c>
    </row>
    <row r="2626" spans="1:17" x14ac:dyDescent="0.3">
      <c r="A2626" s="1">
        <v>46225</v>
      </c>
      <c r="B2626" t="s">
        <v>4032</v>
      </c>
      <c r="C2626" t="s">
        <v>79</v>
      </c>
      <c r="D2626" t="s">
        <v>80</v>
      </c>
      <c r="E2626" t="s">
        <v>8</v>
      </c>
      <c r="F2626" t="s">
        <v>10</v>
      </c>
      <c r="G2626" s="16">
        <v>371.08499999999998</v>
      </c>
      <c r="H2626" s="16">
        <v>426.74774000000002</v>
      </c>
      <c r="I2626" s="1">
        <v>46220</v>
      </c>
      <c r="J2626">
        <v>34</v>
      </c>
      <c r="K2626" t="s">
        <v>7222</v>
      </c>
      <c r="L2626" t="s">
        <v>8039</v>
      </c>
      <c r="M2626">
        <v>5</v>
      </c>
      <c r="N2626">
        <v>2</v>
      </c>
      <c r="O2626" t="s">
        <v>1036</v>
      </c>
      <c r="P2626" s="17"/>
      <c r="Q2626" s="17" t="str">
        <f>_xlfn.XLOOKUP(Table2[[#This Row],[buyFromVendorNo]],'Next Day Scheduled'!A:A,'Pending Returns'!O:O,"NOT_FOUND")</f>
        <v>NOT_FOUND</v>
      </c>
    </row>
    <row r="2627" spans="1:17" x14ac:dyDescent="0.3">
      <c r="A2627" s="1">
        <v>46225</v>
      </c>
      <c r="B2627" t="s">
        <v>2789</v>
      </c>
      <c r="C2627" t="s">
        <v>899</v>
      </c>
      <c r="D2627" t="s">
        <v>900</v>
      </c>
      <c r="E2627" t="s">
        <v>8</v>
      </c>
      <c r="F2627" t="s">
        <v>10</v>
      </c>
      <c r="G2627" s="16">
        <v>1062.3499999999999</v>
      </c>
      <c r="H2627" s="16">
        <v>1221.7025000000001</v>
      </c>
      <c r="I2627" s="1">
        <v>46208</v>
      </c>
      <c r="J2627">
        <v>34</v>
      </c>
      <c r="K2627" t="s">
        <v>6463</v>
      </c>
      <c r="L2627" t="s">
        <v>8283</v>
      </c>
      <c r="M2627">
        <v>0</v>
      </c>
      <c r="N2627">
        <v>643</v>
      </c>
      <c r="O2627" t="s">
        <v>1036</v>
      </c>
      <c r="P2627" s="17"/>
      <c r="Q2627" s="17" t="str">
        <f>_xlfn.XLOOKUP(Table2[[#This Row],[buyFromVendorNo]],'Next Day Scheduled'!A:A,'Pending Returns'!O:O,"NOT_FOUND")</f>
        <v>NOT_FOUND</v>
      </c>
    </row>
    <row r="2628" spans="1:17" x14ac:dyDescent="0.3">
      <c r="A2628" s="1">
        <v>46225</v>
      </c>
      <c r="B2628" t="s">
        <v>4069</v>
      </c>
      <c r="C2628" t="s">
        <v>154</v>
      </c>
      <c r="D2628" t="s">
        <v>155</v>
      </c>
      <c r="E2628" t="s">
        <v>8</v>
      </c>
      <c r="F2628" t="s">
        <v>38</v>
      </c>
      <c r="G2628" s="16">
        <v>246.68</v>
      </c>
      <c r="H2628" s="16">
        <v>283.68200000000002</v>
      </c>
      <c r="I2628" s="1">
        <v>46211</v>
      </c>
      <c r="J2628">
        <v>34</v>
      </c>
      <c r="K2628" t="s">
        <v>6758</v>
      </c>
      <c r="L2628" t="s">
        <v>8177</v>
      </c>
      <c r="M2628">
        <v>4</v>
      </c>
      <c r="N2628">
        <v>7</v>
      </c>
      <c r="O2628" t="s">
        <v>1036</v>
      </c>
      <c r="P2628" s="17"/>
      <c r="Q2628" s="17" t="str">
        <f>_xlfn.XLOOKUP(Table2[[#This Row],[buyFromVendorNo]],'Next Day Scheduled'!A:A,'Pending Returns'!O:O,"NOT_FOUND")</f>
        <v>NOT_FOUND</v>
      </c>
    </row>
    <row r="2629" spans="1:17" x14ac:dyDescent="0.3">
      <c r="A2629" s="1">
        <v>46225</v>
      </c>
      <c r="B2629" t="s">
        <v>2641</v>
      </c>
      <c r="C2629" t="s">
        <v>181</v>
      </c>
      <c r="D2629" t="s">
        <v>182</v>
      </c>
      <c r="E2629" t="s">
        <v>8</v>
      </c>
      <c r="F2629" t="s">
        <v>10</v>
      </c>
      <c r="G2629" s="16">
        <v>180.33330000000001</v>
      </c>
      <c r="H2629" s="16">
        <v>207.38329999999999</v>
      </c>
      <c r="I2629" s="1">
        <v>46223</v>
      </c>
      <c r="J2629">
        <v>34</v>
      </c>
      <c r="K2629" t="s">
        <v>7765</v>
      </c>
      <c r="L2629" t="s">
        <v>8226</v>
      </c>
      <c r="M2629">
        <v>8</v>
      </c>
      <c r="N2629">
        <v>2</v>
      </c>
      <c r="O2629" t="s">
        <v>1036</v>
      </c>
      <c r="P2629" s="17"/>
      <c r="Q2629" s="17" t="str">
        <f>_xlfn.XLOOKUP(Table2[[#This Row],[buyFromVendorNo]],'Next Day Scheduled'!A:A,'Pending Returns'!O:O,"NOT_FOUND")</f>
        <v>NOT_FOUND</v>
      </c>
    </row>
    <row r="2630" spans="1:17" x14ac:dyDescent="0.3">
      <c r="A2630" s="1">
        <v>46225</v>
      </c>
      <c r="B2630" t="s">
        <v>2515</v>
      </c>
      <c r="C2630" t="s">
        <v>154</v>
      </c>
      <c r="D2630" t="s">
        <v>155</v>
      </c>
      <c r="E2630" t="s">
        <v>8</v>
      </c>
      <c r="F2630" t="s">
        <v>38</v>
      </c>
      <c r="G2630" s="16">
        <v>223.35</v>
      </c>
      <c r="H2630" s="16">
        <v>256.85250000000002</v>
      </c>
      <c r="I2630" s="1">
        <v>46219</v>
      </c>
      <c r="J2630">
        <v>34</v>
      </c>
      <c r="K2630" t="s">
        <v>6967</v>
      </c>
      <c r="L2630" t="s">
        <v>8105</v>
      </c>
      <c r="M2630">
        <v>4</v>
      </c>
      <c r="N2630">
        <v>7</v>
      </c>
      <c r="O2630" t="s">
        <v>1036</v>
      </c>
      <c r="P2630" s="17"/>
      <c r="Q2630" s="17" t="str">
        <f>_xlfn.XLOOKUP(Table2[[#This Row],[buyFromVendorNo]],'Next Day Scheduled'!A:A,'Pending Returns'!O:O,"NOT_FOUND")</f>
        <v>NOT_FOUND</v>
      </c>
    </row>
    <row r="2631" spans="1:17" x14ac:dyDescent="0.3">
      <c r="A2631" s="1">
        <v>46225</v>
      </c>
      <c r="B2631" t="s">
        <v>3502</v>
      </c>
      <c r="C2631" t="s">
        <v>882</v>
      </c>
      <c r="D2631" t="s">
        <v>883</v>
      </c>
      <c r="E2631" t="s">
        <v>8</v>
      </c>
      <c r="F2631" t="s">
        <v>10</v>
      </c>
      <c r="G2631" s="16">
        <v>3561</v>
      </c>
      <c r="H2631" s="16">
        <v>4095.15</v>
      </c>
      <c r="I2631" s="1">
        <v>46225</v>
      </c>
      <c r="J2631">
        <v>34</v>
      </c>
      <c r="K2631" t="s">
        <v>7503</v>
      </c>
      <c r="L2631" t="s">
        <v>8227</v>
      </c>
      <c r="M2631">
        <v>4</v>
      </c>
      <c r="N2631">
        <v>12</v>
      </c>
      <c r="O2631" t="s">
        <v>223</v>
      </c>
      <c r="P2631" s="17"/>
      <c r="Q2631" s="17" t="str">
        <f>_xlfn.XLOOKUP(Table2[[#This Row],[buyFromVendorNo]],'Next Day Scheduled'!A:A,'Pending Returns'!O:O,"NOT_FOUND")</f>
        <v>Posted Credit Note</v>
      </c>
    </row>
    <row r="2632" spans="1:17" x14ac:dyDescent="0.3">
      <c r="A2632" s="1">
        <v>46225</v>
      </c>
      <c r="B2632" t="s">
        <v>2214</v>
      </c>
      <c r="C2632" t="s">
        <v>512</v>
      </c>
      <c r="D2632" t="s">
        <v>513</v>
      </c>
      <c r="E2632" t="s">
        <v>8</v>
      </c>
      <c r="F2632" t="s">
        <v>10</v>
      </c>
      <c r="G2632" s="16">
        <v>335.48343</v>
      </c>
      <c r="H2632" s="16">
        <v>385.80594000000002</v>
      </c>
      <c r="I2632" s="1">
        <v>46223</v>
      </c>
      <c r="J2632">
        <v>34</v>
      </c>
      <c r="K2632" t="s">
        <v>7228</v>
      </c>
      <c r="L2632" t="s">
        <v>8106</v>
      </c>
      <c r="M2632">
        <v>5</v>
      </c>
      <c r="N2632">
        <v>3</v>
      </c>
      <c r="O2632" t="s">
        <v>1036</v>
      </c>
      <c r="P2632" s="17"/>
      <c r="Q2632" s="17" t="str">
        <f>_xlfn.XLOOKUP(Table2[[#This Row],[buyFromVendorNo]],'Next Day Scheduled'!A:A,'Pending Returns'!O:O,"NOT_FOUND")</f>
        <v>NOT_FOUND</v>
      </c>
    </row>
    <row r="2633" spans="1:17" x14ac:dyDescent="0.3">
      <c r="A2633" s="1">
        <v>46225</v>
      </c>
      <c r="B2633" t="s">
        <v>1828</v>
      </c>
      <c r="C2633" t="s">
        <v>51</v>
      </c>
      <c r="D2633" t="s">
        <v>52</v>
      </c>
      <c r="E2633" t="s">
        <v>8</v>
      </c>
      <c r="F2633" t="s">
        <v>10</v>
      </c>
      <c r="G2633" s="16">
        <v>1095.54</v>
      </c>
      <c r="H2633" s="16">
        <v>1259.8710000000001</v>
      </c>
      <c r="J2633">
        <v>34</v>
      </c>
      <c r="K2633" t="s">
        <v>8232</v>
      </c>
      <c r="M2633">
        <v>2</v>
      </c>
      <c r="N2633">
        <v>1</v>
      </c>
      <c r="O2633" t="s">
        <v>216</v>
      </c>
      <c r="P2633" s="17"/>
      <c r="Q2633" s="17" t="str">
        <f>_xlfn.XLOOKUP(Table2[[#This Row],[buyFromVendorNo]],'Next Day Scheduled'!A:A,'Pending Returns'!O:O,"NOT_FOUND")</f>
        <v>NOT_FOUND</v>
      </c>
    </row>
    <row r="2634" spans="1:17" x14ac:dyDescent="0.3">
      <c r="A2634" s="1">
        <v>46225</v>
      </c>
      <c r="B2634" t="s">
        <v>3240</v>
      </c>
      <c r="C2634" t="s">
        <v>846</v>
      </c>
      <c r="D2634" t="s">
        <v>847</v>
      </c>
      <c r="E2634" t="s">
        <v>8</v>
      </c>
      <c r="F2634" t="s">
        <v>10</v>
      </c>
      <c r="G2634" s="16">
        <v>57.6</v>
      </c>
      <c r="H2634" s="16">
        <v>66.239999999999995</v>
      </c>
      <c r="I2634" s="1">
        <v>46225</v>
      </c>
      <c r="J2634">
        <v>34</v>
      </c>
      <c r="K2634" t="s">
        <v>7530</v>
      </c>
      <c r="L2634" t="s">
        <v>8289</v>
      </c>
      <c r="M2634">
        <v>4</v>
      </c>
      <c r="N2634">
        <v>5</v>
      </c>
      <c r="O2634" t="s">
        <v>223</v>
      </c>
      <c r="P2634" s="17"/>
      <c r="Q2634" s="17" t="str">
        <f>_xlfn.XLOOKUP(Table2[[#This Row],[buyFromVendorNo]],'Next Day Scheduled'!A:A,'Pending Returns'!O:O,"NOT_FOUND")</f>
        <v>NOT_FOUND</v>
      </c>
    </row>
    <row r="2635" spans="1:17" x14ac:dyDescent="0.3">
      <c r="A2635" s="1">
        <v>46225</v>
      </c>
      <c r="B2635" t="s">
        <v>3500</v>
      </c>
      <c r="C2635" t="s">
        <v>5437</v>
      </c>
      <c r="D2635" t="s">
        <v>5438</v>
      </c>
      <c r="E2635" t="s">
        <v>8</v>
      </c>
      <c r="F2635" t="s">
        <v>10</v>
      </c>
      <c r="G2635" s="16">
        <v>141.59863000000001</v>
      </c>
      <c r="H2635" s="16">
        <v>162.83843999999999</v>
      </c>
      <c r="I2635" s="1">
        <v>46225</v>
      </c>
      <c r="J2635">
        <v>34</v>
      </c>
      <c r="K2635" t="s">
        <v>7816</v>
      </c>
      <c r="L2635" t="s">
        <v>8023</v>
      </c>
      <c r="M2635">
        <v>2</v>
      </c>
      <c r="N2635">
        <v>3</v>
      </c>
      <c r="O2635" t="s">
        <v>223</v>
      </c>
      <c r="P2635" s="17"/>
      <c r="Q2635" s="17" t="str">
        <f>_xlfn.XLOOKUP(Table2[[#This Row],[buyFromVendorNo]],'Next Day Scheduled'!A:A,'Pending Returns'!O:O,"NOT_FOUND")</f>
        <v>NOT_FOUND</v>
      </c>
    </row>
    <row r="2636" spans="1:17" x14ac:dyDescent="0.3">
      <c r="A2636" s="1">
        <v>46225</v>
      </c>
      <c r="B2636" t="s">
        <v>5106</v>
      </c>
      <c r="C2636" t="s">
        <v>16</v>
      </c>
      <c r="D2636" t="s">
        <v>17</v>
      </c>
      <c r="E2636" t="s">
        <v>8</v>
      </c>
      <c r="F2636" t="s">
        <v>10</v>
      </c>
      <c r="G2636" s="16">
        <v>290.02999999999997</v>
      </c>
      <c r="H2636" s="16">
        <v>333.53449999999998</v>
      </c>
      <c r="I2636" s="1">
        <v>46225</v>
      </c>
      <c r="J2636">
        <v>34</v>
      </c>
      <c r="K2636" t="s">
        <v>7258</v>
      </c>
      <c r="L2636" t="s">
        <v>8234</v>
      </c>
      <c r="M2636">
        <v>5</v>
      </c>
      <c r="N2636">
        <v>3</v>
      </c>
      <c r="O2636" t="s">
        <v>1036</v>
      </c>
      <c r="P2636" s="17"/>
      <c r="Q2636" s="17" t="str">
        <f>_xlfn.XLOOKUP(Table2[[#This Row],[buyFromVendorNo]],'Next Day Scheduled'!A:A,'Pending Returns'!O:O,"NOT_FOUND")</f>
        <v>Posted Credit Note</v>
      </c>
    </row>
    <row r="2637" spans="1:17" x14ac:dyDescent="0.3">
      <c r="A2637" s="1">
        <v>46225</v>
      </c>
      <c r="B2637" t="s">
        <v>5119</v>
      </c>
      <c r="C2637" t="s">
        <v>79</v>
      </c>
      <c r="D2637" t="s">
        <v>80</v>
      </c>
      <c r="E2637" t="s">
        <v>8</v>
      </c>
      <c r="F2637" t="s">
        <v>10</v>
      </c>
      <c r="G2637" s="16">
        <v>4657.9204</v>
      </c>
      <c r="H2637" s="16">
        <v>5356.6084000000001</v>
      </c>
      <c r="I2637" s="1">
        <v>46220</v>
      </c>
      <c r="J2637">
        <v>34</v>
      </c>
      <c r="K2637" t="s">
        <v>7655</v>
      </c>
      <c r="L2637" t="s">
        <v>8235</v>
      </c>
      <c r="M2637">
        <v>5</v>
      </c>
      <c r="N2637">
        <v>2</v>
      </c>
      <c r="O2637" t="s">
        <v>1036</v>
      </c>
      <c r="P2637" s="17"/>
      <c r="Q2637" s="17" t="str">
        <f>_xlfn.XLOOKUP(Table2[[#This Row],[buyFromVendorNo]],'Next Day Scheduled'!A:A,'Pending Returns'!O:O,"NOT_FOUND")</f>
        <v>NOT_FOUND</v>
      </c>
    </row>
    <row r="2638" spans="1:17" x14ac:dyDescent="0.3">
      <c r="A2638" s="1">
        <v>46225</v>
      </c>
      <c r="B2638" t="s">
        <v>8291</v>
      </c>
      <c r="C2638" t="s">
        <v>613</v>
      </c>
      <c r="D2638" t="s">
        <v>614</v>
      </c>
      <c r="E2638" t="s">
        <v>8</v>
      </c>
      <c r="F2638" t="s">
        <v>10</v>
      </c>
      <c r="G2638" s="16">
        <v>88.45</v>
      </c>
      <c r="H2638" s="16">
        <v>101.7175</v>
      </c>
      <c r="J2638">
        <v>34</v>
      </c>
      <c r="K2638" t="s">
        <v>8292</v>
      </c>
      <c r="M2638">
        <v>4</v>
      </c>
      <c r="N2638">
        <v>2</v>
      </c>
      <c r="O2638" t="s">
        <v>216</v>
      </c>
      <c r="P2638" s="17"/>
      <c r="Q2638" s="17" t="str">
        <f>_xlfn.XLOOKUP(Table2[[#This Row],[buyFromVendorNo]],'Next Day Scheduled'!A:A,'Pending Returns'!O:O,"NOT_FOUND")</f>
        <v>NOT_FOUND</v>
      </c>
    </row>
    <row r="2639" spans="1:17" x14ac:dyDescent="0.3">
      <c r="A2639" s="1">
        <v>46225</v>
      </c>
      <c r="B2639" t="s">
        <v>7531</v>
      </c>
      <c r="C2639" t="s">
        <v>305</v>
      </c>
      <c r="D2639" t="s">
        <v>306</v>
      </c>
      <c r="E2639" t="s">
        <v>8</v>
      </c>
      <c r="F2639" t="s">
        <v>38</v>
      </c>
      <c r="G2639" s="16">
        <v>391.33</v>
      </c>
      <c r="H2639" s="16">
        <v>450.02949999999998</v>
      </c>
      <c r="I2639" s="1">
        <v>46225</v>
      </c>
      <c r="J2639">
        <v>34</v>
      </c>
      <c r="K2639" t="s">
        <v>5544</v>
      </c>
      <c r="L2639" t="s">
        <v>8040</v>
      </c>
      <c r="M2639">
        <v>0</v>
      </c>
      <c r="N2639">
        <v>195</v>
      </c>
      <c r="O2639" t="s">
        <v>223</v>
      </c>
      <c r="P2639" s="17"/>
      <c r="Q2639" s="17" t="str">
        <f>_xlfn.XLOOKUP(Table2[[#This Row],[buyFromVendorNo]],'Next Day Scheduled'!A:A,'Pending Returns'!O:O,"NOT_FOUND")</f>
        <v>NOT_FOUND</v>
      </c>
    </row>
    <row r="2640" spans="1:17" x14ac:dyDescent="0.3">
      <c r="A2640" s="1">
        <v>46225</v>
      </c>
      <c r="B2640" t="s">
        <v>3300</v>
      </c>
      <c r="C2640" t="s">
        <v>2943</v>
      </c>
      <c r="D2640" t="s">
        <v>2944</v>
      </c>
      <c r="E2640" t="s">
        <v>8</v>
      </c>
      <c r="F2640" t="s">
        <v>10</v>
      </c>
      <c r="G2640" s="16">
        <v>1363.61</v>
      </c>
      <c r="H2640" s="16">
        <v>1568.1514999999999</v>
      </c>
      <c r="I2640" s="1">
        <v>46225</v>
      </c>
      <c r="J2640">
        <v>34</v>
      </c>
      <c r="K2640" t="s">
        <v>6631</v>
      </c>
      <c r="L2640" t="s">
        <v>8041</v>
      </c>
      <c r="M2640">
        <v>1</v>
      </c>
      <c r="N2640">
        <v>9</v>
      </c>
      <c r="O2640" t="s">
        <v>223</v>
      </c>
      <c r="P2640" s="17"/>
      <c r="Q2640" s="17" t="str">
        <f>_xlfn.XLOOKUP(Table2[[#This Row],[buyFromVendorNo]],'Next Day Scheduled'!A:A,'Pending Returns'!O:O,"NOT_FOUND")</f>
        <v>NOT_FOUND</v>
      </c>
    </row>
    <row r="2641" spans="1:17" x14ac:dyDescent="0.3">
      <c r="A2641" s="1">
        <v>46225</v>
      </c>
      <c r="B2641" t="s">
        <v>1837</v>
      </c>
      <c r="C2641" t="s">
        <v>987</v>
      </c>
      <c r="D2641" t="s">
        <v>988</v>
      </c>
      <c r="E2641" t="s">
        <v>8</v>
      </c>
      <c r="F2641" t="s">
        <v>10</v>
      </c>
      <c r="G2641" s="16">
        <v>2.2999999999999998</v>
      </c>
      <c r="H2641" s="16">
        <v>2.645</v>
      </c>
      <c r="J2641">
        <v>34</v>
      </c>
      <c r="K2641" t="s">
        <v>8297</v>
      </c>
      <c r="M2641">
        <v>0</v>
      </c>
      <c r="N2641">
        <v>240</v>
      </c>
      <c r="O2641" t="s">
        <v>216</v>
      </c>
      <c r="P2641" s="17"/>
      <c r="Q2641" s="17" t="str">
        <f>_xlfn.XLOOKUP(Table2[[#This Row],[buyFromVendorNo]],'Next Day Scheduled'!A:A,'Pending Returns'!O:O,"NOT_FOUND")</f>
        <v>NOT_FOUND</v>
      </c>
    </row>
    <row r="2642" spans="1:17" x14ac:dyDescent="0.3">
      <c r="A2642" s="1">
        <v>46225</v>
      </c>
      <c r="B2642" t="s">
        <v>2090</v>
      </c>
      <c r="C2642" t="s">
        <v>305</v>
      </c>
      <c r="D2642" t="s">
        <v>306</v>
      </c>
      <c r="E2642" t="s">
        <v>8</v>
      </c>
      <c r="F2642" t="s">
        <v>38</v>
      </c>
      <c r="G2642" s="16">
        <v>491.13</v>
      </c>
      <c r="H2642" s="16">
        <v>564.79949999999997</v>
      </c>
      <c r="I2642" s="1">
        <v>46225</v>
      </c>
      <c r="J2642">
        <v>34</v>
      </c>
      <c r="K2642" t="s">
        <v>7436</v>
      </c>
      <c r="L2642" t="s">
        <v>8024</v>
      </c>
      <c r="M2642">
        <v>0</v>
      </c>
      <c r="N2642">
        <v>195</v>
      </c>
      <c r="O2642" t="s">
        <v>223</v>
      </c>
      <c r="P2642" s="17"/>
      <c r="Q2642" s="17" t="str">
        <f>_xlfn.XLOOKUP(Table2[[#This Row],[buyFromVendorNo]],'Next Day Scheduled'!A:A,'Pending Returns'!O:O,"NOT_FOUND")</f>
        <v>NOT_FOUND</v>
      </c>
    </row>
    <row r="2643" spans="1:17" x14ac:dyDescent="0.3">
      <c r="A2643" s="1">
        <v>46225</v>
      </c>
      <c r="B2643" t="s">
        <v>3334</v>
      </c>
      <c r="C2643" t="s">
        <v>1725</v>
      </c>
      <c r="D2643" t="s">
        <v>1726</v>
      </c>
      <c r="E2643" t="s">
        <v>8</v>
      </c>
      <c r="F2643" t="s">
        <v>10</v>
      </c>
      <c r="G2643" s="16">
        <v>17.398</v>
      </c>
      <c r="H2643" s="16">
        <v>20.0077</v>
      </c>
      <c r="J2643">
        <v>34</v>
      </c>
      <c r="K2643" t="s">
        <v>8115</v>
      </c>
      <c r="M2643">
        <v>1</v>
      </c>
      <c r="N2643">
        <v>28</v>
      </c>
      <c r="O2643" t="s">
        <v>216</v>
      </c>
      <c r="P2643" s="17"/>
      <c r="Q2643" s="17" t="str">
        <f>_xlfn.XLOOKUP(Table2[[#This Row],[buyFromVendorNo]],'Next Day Scheduled'!A:A,'Pending Returns'!O:O,"NOT_FOUND")</f>
        <v>Posted Credit Note</v>
      </c>
    </row>
    <row r="2644" spans="1:17" x14ac:dyDescent="0.3">
      <c r="A2644" s="1">
        <v>46225</v>
      </c>
      <c r="B2644" t="s">
        <v>8185</v>
      </c>
      <c r="C2644" t="s">
        <v>2166</v>
      </c>
      <c r="D2644" t="s">
        <v>2167</v>
      </c>
      <c r="E2644" t="s">
        <v>8</v>
      </c>
      <c r="F2644" t="s">
        <v>10</v>
      </c>
      <c r="G2644" s="16">
        <v>438.34</v>
      </c>
      <c r="H2644" s="16">
        <v>504.09100000000001</v>
      </c>
      <c r="J2644">
        <v>34</v>
      </c>
      <c r="K2644" t="s">
        <v>8186</v>
      </c>
      <c r="M2644">
        <v>2</v>
      </c>
      <c r="N2644">
        <v>8</v>
      </c>
      <c r="O2644" t="s">
        <v>216</v>
      </c>
      <c r="P2644" s="17"/>
      <c r="Q2644" s="17" t="str">
        <f>_xlfn.XLOOKUP(Table2[[#This Row],[buyFromVendorNo]],'Next Day Scheduled'!A:A,'Pending Returns'!O:O,"NOT_FOUND")</f>
        <v>NOT_FOUND</v>
      </c>
    </row>
    <row r="2645" spans="1:17" x14ac:dyDescent="0.3">
      <c r="A2645" s="1">
        <v>46226</v>
      </c>
      <c r="B2645" t="s">
        <v>7520</v>
      </c>
      <c r="C2645" t="s">
        <v>401</v>
      </c>
      <c r="D2645" t="s">
        <v>402</v>
      </c>
      <c r="E2645" t="s">
        <v>8</v>
      </c>
      <c r="F2645" t="s">
        <v>38</v>
      </c>
      <c r="G2645" s="16">
        <v>569.5</v>
      </c>
      <c r="H2645" s="16">
        <v>654.92499999999995</v>
      </c>
      <c r="I2645" s="1">
        <v>46220</v>
      </c>
      <c r="J2645">
        <v>33</v>
      </c>
      <c r="K2645" t="s">
        <v>7432</v>
      </c>
      <c r="L2645" t="s">
        <v>8308</v>
      </c>
      <c r="M2645">
        <v>7</v>
      </c>
      <c r="N2645">
        <v>3</v>
      </c>
      <c r="O2645" t="s">
        <v>1036</v>
      </c>
      <c r="P2645" s="17"/>
      <c r="Q2645" s="17" t="str">
        <f>_xlfn.XLOOKUP(Table2[[#This Row],[buyFromVendorNo]],'Next Day Scheduled'!A:A,'Pending Returns'!O:O,"NOT_FOUND")</f>
        <v>Posted Credit Note</v>
      </c>
    </row>
    <row r="2646" spans="1:17" x14ac:dyDescent="0.3">
      <c r="A2646" s="1">
        <v>46226</v>
      </c>
      <c r="B2646" t="s">
        <v>3246</v>
      </c>
      <c r="C2646" t="s">
        <v>2292</v>
      </c>
      <c r="D2646" t="s">
        <v>2293</v>
      </c>
      <c r="E2646" t="s">
        <v>8</v>
      </c>
      <c r="F2646" t="s">
        <v>10</v>
      </c>
      <c r="G2646" s="16">
        <v>56.860869999999998</v>
      </c>
      <c r="H2646" s="16">
        <v>65.39</v>
      </c>
      <c r="I2646" s="1">
        <v>46209</v>
      </c>
      <c r="J2646">
        <v>33</v>
      </c>
      <c r="K2646" t="s">
        <v>4247</v>
      </c>
      <c r="L2646" t="s">
        <v>8351</v>
      </c>
      <c r="M2646">
        <v>1</v>
      </c>
      <c r="N2646">
        <v>33</v>
      </c>
      <c r="O2646" t="s">
        <v>1036</v>
      </c>
      <c r="P2646" s="17"/>
      <c r="Q2646" s="17" t="str">
        <f>_xlfn.XLOOKUP(Table2[[#This Row],[buyFromVendorNo]],'Next Day Scheduled'!A:A,'Pending Returns'!O:O,"NOT_FOUND")</f>
        <v>NOT_FOUND</v>
      </c>
    </row>
    <row r="2647" spans="1:17" x14ac:dyDescent="0.3">
      <c r="A2647" s="1">
        <v>46226</v>
      </c>
      <c r="B2647" t="s">
        <v>1570</v>
      </c>
      <c r="C2647" t="s">
        <v>305</v>
      </c>
      <c r="D2647" t="s">
        <v>306</v>
      </c>
      <c r="E2647" t="s">
        <v>8</v>
      </c>
      <c r="F2647" t="s">
        <v>38</v>
      </c>
      <c r="G2647" s="16">
        <v>375.68</v>
      </c>
      <c r="H2647" s="16">
        <v>432.03199999999998</v>
      </c>
      <c r="J2647">
        <v>33</v>
      </c>
      <c r="K2647" t="s">
        <v>8359</v>
      </c>
      <c r="M2647">
        <v>0</v>
      </c>
      <c r="N2647">
        <v>195</v>
      </c>
      <c r="O2647" t="s">
        <v>216</v>
      </c>
      <c r="P2647" s="17"/>
      <c r="Q2647" s="17" t="str">
        <f>_xlfn.XLOOKUP(Table2[[#This Row],[buyFromVendorNo]],'Next Day Scheduled'!A:A,'Pending Returns'!O:O,"NOT_FOUND")</f>
        <v>NOT_FOUND</v>
      </c>
    </row>
    <row r="2648" spans="1:17" x14ac:dyDescent="0.3">
      <c r="A2648" s="1">
        <v>46226</v>
      </c>
      <c r="B2648" t="s">
        <v>3366</v>
      </c>
      <c r="C2648" t="s">
        <v>2438</v>
      </c>
      <c r="D2648" t="s">
        <v>2439</v>
      </c>
      <c r="E2648" t="s">
        <v>8</v>
      </c>
      <c r="F2648" t="s">
        <v>10</v>
      </c>
      <c r="G2648" s="16">
        <v>229.5</v>
      </c>
      <c r="H2648" s="16">
        <v>263.92500000000001</v>
      </c>
      <c r="I2648" s="1">
        <v>46226</v>
      </c>
      <c r="J2648">
        <v>33</v>
      </c>
      <c r="K2648" t="s">
        <v>7859</v>
      </c>
      <c r="L2648" t="s">
        <v>8309</v>
      </c>
      <c r="M2648">
        <v>3</v>
      </c>
      <c r="N2648">
        <v>5</v>
      </c>
      <c r="O2648" t="s">
        <v>1036</v>
      </c>
      <c r="P2648" s="17"/>
      <c r="Q2648" s="17" t="str">
        <f>_xlfn.XLOOKUP(Table2[[#This Row],[buyFromVendorNo]],'Next Day Scheduled'!A:A,'Pending Returns'!O:O,"NOT_FOUND")</f>
        <v>NOT_FOUND</v>
      </c>
    </row>
    <row r="2649" spans="1:17" x14ac:dyDescent="0.3">
      <c r="A2649" s="1">
        <v>46226</v>
      </c>
      <c r="B2649" t="s">
        <v>8182</v>
      </c>
      <c r="C2649" t="s">
        <v>2955</v>
      </c>
      <c r="D2649" t="s">
        <v>2956</v>
      </c>
      <c r="E2649" t="s">
        <v>8</v>
      </c>
      <c r="F2649" t="s">
        <v>10</v>
      </c>
      <c r="G2649" s="16">
        <v>210.6</v>
      </c>
      <c r="H2649" s="16">
        <v>242.19</v>
      </c>
      <c r="I2649" s="1">
        <v>46226</v>
      </c>
      <c r="J2649">
        <v>33</v>
      </c>
      <c r="K2649" t="s">
        <v>8183</v>
      </c>
      <c r="L2649" t="s">
        <v>8364</v>
      </c>
      <c r="M2649">
        <v>4</v>
      </c>
      <c r="N2649">
        <v>1</v>
      </c>
      <c r="O2649" t="s">
        <v>1036</v>
      </c>
      <c r="P2649" s="17"/>
      <c r="Q2649" s="17" t="str">
        <f>_xlfn.XLOOKUP(Table2[[#This Row],[buyFromVendorNo]],'Next Day Scheduled'!A:A,'Pending Returns'!O:O,"NOT_FOUND")</f>
        <v>NOT_FOUND</v>
      </c>
    </row>
    <row r="2650" spans="1:17" x14ac:dyDescent="0.3">
      <c r="A2650" s="1">
        <v>46226</v>
      </c>
      <c r="B2650" t="s">
        <v>3316</v>
      </c>
      <c r="C2650" t="s">
        <v>701</v>
      </c>
      <c r="D2650" t="s">
        <v>702</v>
      </c>
      <c r="E2650" t="s">
        <v>8</v>
      </c>
      <c r="F2650" t="s">
        <v>10</v>
      </c>
      <c r="G2650" s="16">
        <v>141.01008999999999</v>
      </c>
      <c r="H2650" s="16">
        <v>162.16158999999999</v>
      </c>
      <c r="I2650" s="1">
        <v>46212</v>
      </c>
      <c r="J2650">
        <v>33</v>
      </c>
      <c r="K2650" t="s">
        <v>6708</v>
      </c>
      <c r="L2650" t="s">
        <v>8332</v>
      </c>
      <c r="M2650">
        <v>0</v>
      </c>
      <c r="N2650">
        <v>149</v>
      </c>
      <c r="O2650" t="s">
        <v>1036</v>
      </c>
      <c r="P2650" s="17"/>
      <c r="Q2650" s="17" t="str">
        <f>_xlfn.XLOOKUP(Table2[[#This Row],[buyFromVendorNo]],'Next Day Scheduled'!A:A,'Pending Returns'!O:O,"NOT_FOUND")</f>
        <v>Posted Credit Note</v>
      </c>
    </row>
    <row r="2651" spans="1:17" x14ac:dyDescent="0.3">
      <c r="A2651" s="1">
        <v>46226</v>
      </c>
      <c r="B2651" t="s">
        <v>3387</v>
      </c>
      <c r="C2651" t="s">
        <v>1022</v>
      </c>
      <c r="D2651" t="s">
        <v>1023</v>
      </c>
      <c r="E2651" t="s">
        <v>8</v>
      </c>
      <c r="F2651" t="s">
        <v>10</v>
      </c>
      <c r="G2651" s="16">
        <v>688</v>
      </c>
      <c r="H2651" s="16">
        <v>791.2</v>
      </c>
      <c r="I2651" s="1">
        <v>46225</v>
      </c>
      <c r="J2651">
        <v>33</v>
      </c>
      <c r="K2651" t="s">
        <v>7789</v>
      </c>
      <c r="L2651" t="s">
        <v>8320</v>
      </c>
      <c r="M2651">
        <v>4</v>
      </c>
      <c r="N2651">
        <v>5</v>
      </c>
      <c r="O2651" t="s">
        <v>1036</v>
      </c>
      <c r="P2651" s="17"/>
      <c r="Q2651" s="17" t="str">
        <f>_xlfn.XLOOKUP(Table2[[#This Row],[buyFromVendorNo]],'Next Day Scheduled'!A:A,'Pending Returns'!O:O,"NOT_FOUND")</f>
        <v>Posted Credit Note</v>
      </c>
    </row>
    <row r="2652" spans="1:17" x14ac:dyDescent="0.3">
      <c r="A2652" s="1">
        <v>46226</v>
      </c>
      <c r="B2652" t="s">
        <v>1098</v>
      </c>
      <c r="C2652" t="s">
        <v>6256</v>
      </c>
      <c r="D2652" t="s">
        <v>6257</v>
      </c>
      <c r="E2652" t="s">
        <v>8</v>
      </c>
      <c r="F2652" t="s">
        <v>38</v>
      </c>
      <c r="G2652" s="16">
        <v>8.2608700000000006</v>
      </c>
      <c r="H2652" s="16">
        <v>9.5</v>
      </c>
      <c r="I2652" s="1">
        <v>46226</v>
      </c>
      <c r="J2652">
        <v>33</v>
      </c>
      <c r="K2652" t="s">
        <v>7995</v>
      </c>
      <c r="L2652" t="s">
        <v>8321</v>
      </c>
      <c r="M2652">
        <v>4</v>
      </c>
      <c r="N2652">
        <v>8</v>
      </c>
      <c r="O2652" t="s">
        <v>1036</v>
      </c>
      <c r="P2652" s="17"/>
      <c r="Q2652" s="17" t="str">
        <f>_xlfn.XLOOKUP(Table2[[#This Row],[buyFromVendorNo]],'Next Day Scheduled'!A:A,'Pending Returns'!O:O,"NOT_FOUND")</f>
        <v>NOT_FOUND</v>
      </c>
    </row>
    <row r="2653" spans="1:17" x14ac:dyDescent="0.3">
      <c r="A2653" s="1">
        <v>46226</v>
      </c>
      <c r="B2653" t="s">
        <v>674</v>
      </c>
      <c r="C2653" t="s">
        <v>295</v>
      </c>
      <c r="D2653" t="s">
        <v>345</v>
      </c>
      <c r="E2653" t="s">
        <v>8</v>
      </c>
      <c r="F2653" t="s">
        <v>10</v>
      </c>
      <c r="G2653" s="16">
        <v>134</v>
      </c>
      <c r="H2653" s="16">
        <v>154.1</v>
      </c>
      <c r="I2653" s="1">
        <v>46218</v>
      </c>
      <c r="J2653">
        <v>33</v>
      </c>
      <c r="K2653" t="s">
        <v>7243</v>
      </c>
      <c r="L2653" t="s">
        <v>8353</v>
      </c>
      <c r="M2653">
        <v>14</v>
      </c>
      <c r="N2653">
        <v>1</v>
      </c>
      <c r="O2653" t="s">
        <v>1036</v>
      </c>
      <c r="P2653" s="17"/>
      <c r="Q2653" s="17" t="str">
        <f>_xlfn.XLOOKUP(Table2[[#This Row],[buyFromVendorNo]],'Next Day Scheduled'!A:A,'Pending Returns'!O:O,"NOT_FOUND")</f>
        <v>NOT_FOUND</v>
      </c>
    </row>
    <row r="2654" spans="1:17" x14ac:dyDescent="0.3">
      <c r="A2654" s="1">
        <v>46226</v>
      </c>
      <c r="B2654" t="s">
        <v>2527</v>
      </c>
      <c r="C2654" t="s">
        <v>401</v>
      </c>
      <c r="D2654" t="s">
        <v>402</v>
      </c>
      <c r="E2654" t="s">
        <v>8</v>
      </c>
      <c r="F2654" t="s">
        <v>38</v>
      </c>
      <c r="G2654" s="16">
        <v>30</v>
      </c>
      <c r="H2654" s="16">
        <v>34.5</v>
      </c>
      <c r="I2654" s="1">
        <v>46220</v>
      </c>
      <c r="J2654">
        <v>33</v>
      </c>
      <c r="K2654" t="s">
        <v>6742</v>
      </c>
      <c r="L2654" t="s">
        <v>8327</v>
      </c>
      <c r="M2654">
        <v>7</v>
      </c>
      <c r="N2654">
        <v>3</v>
      </c>
      <c r="O2654" t="s">
        <v>1036</v>
      </c>
      <c r="P2654" s="17"/>
      <c r="Q2654" s="17" t="str">
        <f>_xlfn.XLOOKUP(Table2[[#This Row],[buyFromVendorNo]],'Next Day Scheduled'!A:A,'Pending Returns'!O:O,"NOT_FOUND")</f>
        <v>Posted Credit Note</v>
      </c>
    </row>
    <row r="2655" spans="1:17" x14ac:dyDescent="0.3">
      <c r="A2655" s="1">
        <v>46226</v>
      </c>
      <c r="B2655" t="s">
        <v>3441</v>
      </c>
      <c r="C2655" t="s">
        <v>2267</v>
      </c>
      <c r="D2655" t="s">
        <v>2268</v>
      </c>
      <c r="E2655" t="s">
        <v>8</v>
      </c>
      <c r="F2655" t="s">
        <v>10</v>
      </c>
      <c r="G2655" s="16">
        <v>105</v>
      </c>
      <c r="H2655" s="16">
        <v>120.75</v>
      </c>
      <c r="I2655" s="1">
        <v>46223</v>
      </c>
      <c r="J2655">
        <v>33</v>
      </c>
      <c r="K2655" t="s">
        <v>7190</v>
      </c>
      <c r="L2655" t="s">
        <v>8328</v>
      </c>
      <c r="M2655">
        <v>5</v>
      </c>
      <c r="N2655">
        <v>2</v>
      </c>
      <c r="O2655" t="s">
        <v>1036</v>
      </c>
      <c r="P2655" s="17"/>
      <c r="Q2655" s="17" t="str">
        <f>_xlfn.XLOOKUP(Table2[[#This Row],[buyFromVendorNo]],'Next Day Scheduled'!A:A,'Pending Returns'!O:O,"NOT_FOUND")</f>
        <v>NOT_FOUND</v>
      </c>
    </row>
    <row r="2656" spans="1:17" x14ac:dyDescent="0.3">
      <c r="A2656" s="1">
        <v>46226</v>
      </c>
      <c r="B2656" t="s">
        <v>2667</v>
      </c>
      <c r="C2656" t="s">
        <v>310</v>
      </c>
      <c r="D2656" t="s">
        <v>311</v>
      </c>
      <c r="E2656" t="s">
        <v>8</v>
      </c>
      <c r="F2656" t="s">
        <v>10</v>
      </c>
      <c r="G2656" s="16">
        <v>1086.47</v>
      </c>
      <c r="H2656" s="16">
        <v>1249.4405999999999</v>
      </c>
      <c r="I2656" s="1">
        <v>46223</v>
      </c>
      <c r="J2656">
        <v>33</v>
      </c>
      <c r="K2656" t="s">
        <v>6683</v>
      </c>
      <c r="L2656" t="s">
        <v>8361</v>
      </c>
      <c r="M2656">
        <v>5</v>
      </c>
      <c r="N2656">
        <v>2</v>
      </c>
      <c r="O2656" t="s">
        <v>1036</v>
      </c>
      <c r="P2656" s="17"/>
      <c r="Q2656" s="17" t="str">
        <f>_xlfn.XLOOKUP(Table2[[#This Row],[buyFromVendorNo]],'Next Day Scheduled'!A:A,'Pending Returns'!O:O,"NOT_FOUND")</f>
        <v>NOT_FOUND</v>
      </c>
    </row>
    <row r="2657" spans="1:17" x14ac:dyDescent="0.3">
      <c r="A2657" s="1">
        <v>46226</v>
      </c>
      <c r="B2657" t="s">
        <v>3338</v>
      </c>
      <c r="C2657" t="s">
        <v>295</v>
      </c>
      <c r="D2657" t="s">
        <v>345</v>
      </c>
      <c r="E2657" t="s">
        <v>8</v>
      </c>
      <c r="F2657" t="s">
        <v>10</v>
      </c>
      <c r="G2657" s="16">
        <v>57.75</v>
      </c>
      <c r="H2657" s="16">
        <v>66.412499999999994</v>
      </c>
      <c r="I2657" s="1">
        <v>46218</v>
      </c>
      <c r="J2657">
        <v>33</v>
      </c>
      <c r="K2657" t="s">
        <v>7234</v>
      </c>
      <c r="L2657" t="s">
        <v>8322</v>
      </c>
      <c r="M2657">
        <v>14</v>
      </c>
      <c r="N2657">
        <v>1</v>
      </c>
      <c r="O2657" t="s">
        <v>1036</v>
      </c>
      <c r="P2657" s="17"/>
      <c r="Q2657" s="17" t="str">
        <f>_xlfn.XLOOKUP(Table2[[#This Row],[buyFromVendorNo]],'Next Day Scheduled'!A:A,'Pending Returns'!O:O,"NOT_FOUND")</f>
        <v>NOT_FOUND</v>
      </c>
    </row>
    <row r="2658" spans="1:17" x14ac:dyDescent="0.3">
      <c r="A2658" s="1">
        <v>46226</v>
      </c>
      <c r="B2658" t="s">
        <v>217</v>
      </c>
      <c r="C2658" t="s">
        <v>2292</v>
      </c>
      <c r="D2658" t="s">
        <v>2293</v>
      </c>
      <c r="E2658" t="s">
        <v>8</v>
      </c>
      <c r="F2658" t="s">
        <v>10</v>
      </c>
      <c r="G2658" s="16">
        <v>231.25389999999999</v>
      </c>
      <c r="H2658" s="16">
        <v>265.94200000000001</v>
      </c>
      <c r="I2658" s="1">
        <v>46209</v>
      </c>
      <c r="J2658">
        <v>33</v>
      </c>
      <c r="K2658" t="s">
        <v>3819</v>
      </c>
      <c r="L2658" t="s">
        <v>8334</v>
      </c>
      <c r="M2658">
        <v>1</v>
      </c>
      <c r="N2658">
        <v>33</v>
      </c>
      <c r="O2658" t="s">
        <v>1036</v>
      </c>
      <c r="P2658" s="17"/>
      <c r="Q2658" s="17" t="str">
        <f>_xlfn.XLOOKUP(Table2[[#This Row],[buyFromVendorNo]],'Next Day Scheduled'!A:A,'Pending Returns'!O:O,"NOT_FOUND")</f>
        <v>NOT_FOUND</v>
      </c>
    </row>
    <row r="2659" spans="1:17" x14ac:dyDescent="0.3">
      <c r="A2659" s="1">
        <v>46226</v>
      </c>
      <c r="B2659" t="s">
        <v>2692</v>
      </c>
      <c r="C2659" t="s">
        <v>201</v>
      </c>
      <c r="D2659" t="s">
        <v>202</v>
      </c>
      <c r="E2659" t="s">
        <v>8</v>
      </c>
      <c r="F2659" t="s">
        <v>10</v>
      </c>
      <c r="G2659" s="16">
        <v>224.512</v>
      </c>
      <c r="H2659" s="16">
        <v>258.18880000000001</v>
      </c>
      <c r="I2659" s="1">
        <v>46223</v>
      </c>
      <c r="J2659">
        <v>33</v>
      </c>
      <c r="K2659" t="s">
        <v>7369</v>
      </c>
      <c r="L2659" t="s">
        <v>8335</v>
      </c>
      <c r="M2659">
        <v>4</v>
      </c>
      <c r="N2659">
        <v>1</v>
      </c>
      <c r="O2659" t="s">
        <v>1036</v>
      </c>
      <c r="P2659" s="17"/>
      <c r="Q2659" s="17" t="str">
        <f>_xlfn.XLOOKUP(Table2[[#This Row],[buyFromVendorNo]],'Next Day Scheduled'!A:A,'Pending Returns'!O:O,"NOT_FOUND")</f>
        <v>Pending for Collection</v>
      </c>
    </row>
    <row r="2660" spans="1:17" x14ac:dyDescent="0.3">
      <c r="A2660" s="1">
        <v>46226</v>
      </c>
      <c r="B2660" t="s">
        <v>3278</v>
      </c>
      <c r="C2660" t="s">
        <v>5154</v>
      </c>
      <c r="D2660" t="s">
        <v>5155</v>
      </c>
      <c r="E2660" t="s">
        <v>8</v>
      </c>
      <c r="F2660" t="s">
        <v>10</v>
      </c>
      <c r="G2660" s="16">
        <v>60</v>
      </c>
      <c r="H2660" s="16">
        <v>69</v>
      </c>
      <c r="I2660" s="1">
        <v>46226</v>
      </c>
      <c r="J2660">
        <v>33</v>
      </c>
      <c r="K2660" t="s">
        <v>7788</v>
      </c>
      <c r="L2660" t="s">
        <v>8340</v>
      </c>
      <c r="M2660">
        <v>2</v>
      </c>
      <c r="N2660">
        <v>10</v>
      </c>
      <c r="O2660" t="s">
        <v>1036</v>
      </c>
      <c r="P2660" s="17"/>
      <c r="Q2660" s="17" t="str">
        <f>_xlfn.XLOOKUP(Table2[[#This Row],[buyFromVendorNo]],'Next Day Scheduled'!A:A,'Pending Returns'!O:O,"NOT_FOUND")</f>
        <v>Posted Credit Note</v>
      </c>
    </row>
    <row r="2661" spans="1:17" x14ac:dyDescent="0.3">
      <c r="A2661" s="1">
        <v>46226</v>
      </c>
      <c r="B2661" t="s">
        <v>2731</v>
      </c>
      <c r="C2661" t="s">
        <v>133</v>
      </c>
      <c r="D2661" t="s">
        <v>134</v>
      </c>
      <c r="E2661" t="s">
        <v>8</v>
      </c>
      <c r="F2661" t="s">
        <v>10</v>
      </c>
      <c r="G2661" s="16">
        <v>438.51083</v>
      </c>
      <c r="H2661" s="16">
        <v>504.28744999999998</v>
      </c>
      <c r="I2661" s="1">
        <v>46214</v>
      </c>
      <c r="J2661">
        <v>33</v>
      </c>
      <c r="K2661" t="s">
        <v>6578</v>
      </c>
      <c r="L2661" t="s">
        <v>8342</v>
      </c>
      <c r="M2661">
        <v>7</v>
      </c>
      <c r="N2661">
        <v>12</v>
      </c>
      <c r="O2661" t="s">
        <v>1036</v>
      </c>
      <c r="P2661" s="17"/>
      <c r="Q2661" s="17" t="str">
        <f>_xlfn.XLOOKUP(Table2[[#This Row],[buyFromVendorNo]],'Next Day Scheduled'!A:A,'Pending Returns'!O:O,"NOT_FOUND")</f>
        <v>NOT_FOUND</v>
      </c>
    </row>
    <row r="2662" spans="1:17" x14ac:dyDescent="0.3">
      <c r="A2662" s="1">
        <v>46226</v>
      </c>
      <c r="B2662" t="s">
        <v>6661</v>
      </c>
      <c r="C2662" t="s">
        <v>133</v>
      </c>
      <c r="D2662" t="s">
        <v>134</v>
      </c>
      <c r="E2662" t="s">
        <v>8</v>
      </c>
      <c r="F2662" t="s">
        <v>10</v>
      </c>
      <c r="G2662" s="16">
        <v>3518.8966999999998</v>
      </c>
      <c r="H2662" s="16">
        <v>4046.7314000000001</v>
      </c>
      <c r="I2662" s="1">
        <v>46209</v>
      </c>
      <c r="J2662">
        <v>33</v>
      </c>
      <c r="K2662" t="s">
        <v>6662</v>
      </c>
      <c r="L2662" t="s">
        <v>8343</v>
      </c>
      <c r="M2662">
        <v>7</v>
      </c>
      <c r="N2662">
        <v>12</v>
      </c>
      <c r="O2662" t="s">
        <v>1036</v>
      </c>
      <c r="P2662" s="17"/>
      <c r="Q2662" s="17" t="str">
        <f>_xlfn.XLOOKUP(Table2[[#This Row],[buyFromVendorNo]],'Next Day Scheduled'!A:A,'Pending Returns'!O:O,"NOT_FOUND")</f>
        <v>NOT_FOUND</v>
      </c>
    </row>
    <row r="2663" spans="1:17" x14ac:dyDescent="0.3">
      <c r="A2663" s="1">
        <v>46226</v>
      </c>
      <c r="B2663" t="s">
        <v>5609</v>
      </c>
      <c r="C2663" t="s">
        <v>75</v>
      </c>
      <c r="D2663" t="s">
        <v>76</v>
      </c>
      <c r="E2663" t="s">
        <v>8</v>
      </c>
      <c r="F2663" t="s">
        <v>169</v>
      </c>
      <c r="G2663" s="16">
        <v>32.5</v>
      </c>
      <c r="H2663" s="16">
        <v>37.375</v>
      </c>
      <c r="I2663" s="1">
        <v>46218</v>
      </c>
      <c r="J2663">
        <v>33</v>
      </c>
      <c r="K2663" t="s">
        <v>7615</v>
      </c>
      <c r="L2663" t="s">
        <v>8345</v>
      </c>
      <c r="M2663">
        <v>4</v>
      </c>
      <c r="N2663">
        <v>3</v>
      </c>
      <c r="O2663" t="s">
        <v>1036</v>
      </c>
      <c r="P2663" s="17"/>
      <c r="Q2663" s="17" t="str">
        <f>_xlfn.XLOOKUP(Table2[[#This Row],[buyFromVendorNo]],'Next Day Scheduled'!A:A,'Pending Returns'!O:O,"NOT_FOUND")</f>
        <v>Posted Credit Note</v>
      </c>
    </row>
    <row r="2664" spans="1:17" x14ac:dyDescent="0.3">
      <c r="A2664" s="1">
        <v>46226</v>
      </c>
      <c r="B2664" t="s">
        <v>483</v>
      </c>
      <c r="C2664" t="s">
        <v>39</v>
      </c>
      <c r="D2664" t="s">
        <v>40</v>
      </c>
      <c r="E2664" t="s">
        <v>8</v>
      </c>
      <c r="F2664" t="s">
        <v>10</v>
      </c>
      <c r="G2664" s="16">
        <v>2030.0005000000001</v>
      </c>
      <c r="H2664" s="16">
        <v>2334.5007000000001</v>
      </c>
      <c r="J2664">
        <v>33</v>
      </c>
      <c r="K2664" t="s">
        <v>8376</v>
      </c>
      <c r="M2664">
        <v>8</v>
      </c>
      <c r="N2664">
        <v>1</v>
      </c>
      <c r="O2664" t="s">
        <v>216</v>
      </c>
      <c r="P2664" s="17"/>
      <c r="Q2664" s="17" t="str">
        <f>_xlfn.XLOOKUP(Table2[[#This Row],[buyFromVendorNo]],'Next Day Scheduled'!A:A,'Pending Returns'!O:O,"NOT_FOUND")</f>
        <v>Posted Credit Note</v>
      </c>
    </row>
    <row r="2665" spans="1:17" x14ac:dyDescent="0.3">
      <c r="A2665" s="1">
        <v>46226</v>
      </c>
      <c r="B2665" t="s">
        <v>2607</v>
      </c>
      <c r="C2665" t="s">
        <v>899</v>
      </c>
      <c r="D2665" t="s">
        <v>900</v>
      </c>
      <c r="E2665" t="s">
        <v>8</v>
      </c>
      <c r="F2665" t="s">
        <v>10</v>
      </c>
      <c r="G2665" s="16">
        <v>448</v>
      </c>
      <c r="H2665" s="16">
        <v>515.20000000000005</v>
      </c>
      <c r="I2665" s="1">
        <v>46226</v>
      </c>
      <c r="J2665">
        <v>33</v>
      </c>
      <c r="K2665" t="s">
        <v>8129</v>
      </c>
      <c r="L2665" t="s">
        <v>8330</v>
      </c>
      <c r="M2665">
        <v>0</v>
      </c>
      <c r="N2665">
        <v>643</v>
      </c>
      <c r="O2665" t="s">
        <v>1036</v>
      </c>
      <c r="P2665" s="17"/>
      <c r="Q2665" s="17" t="str">
        <f>_xlfn.XLOOKUP(Table2[[#This Row],[buyFromVendorNo]],'Next Day Scheduled'!A:A,'Pending Returns'!O:O,"NOT_FOUND")</f>
        <v>NOT_FOUND</v>
      </c>
    </row>
    <row r="2666" spans="1:17" x14ac:dyDescent="0.3">
      <c r="A2666" s="1">
        <v>46226</v>
      </c>
      <c r="B2666" t="s">
        <v>7866</v>
      </c>
      <c r="C2666" t="s">
        <v>875</v>
      </c>
      <c r="D2666" t="s">
        <v>876</v>
      </c>
      <c r="E2666" t="s">
        <v>8</v>
      </c>
      <c r="F2666" t="s">
        <v>38</v>
      </c>
      <c r="G2666" s="16">
        <v>195.136</v>
      </c>
      <c r="H2666" s="16">
        <v>224.40639999999999</v>
      </c>
      <c r="I2666" s="1">
        <v>46226</v>
      </c>
      <c r="J2666">
        <v>33</v>
      </c>
      <c r="K2666" t="s">
        <v>7867</v>
      </c>
      <c r="L2666" t="s">
        <v>8316</v>
      </c>
      <c r="M2666">
        <v>3</v>
      </c>
      <c r="N2666">
        <v>14</v>
      </c>
      <c r="O2666" t="s">
        <v>1036</v>
      </c>
      <c r="P2666" s="17"/>
      <c r="Q2666" s="17" t="str">
        <f>_xlfn.XLOOKUP(Table2[[#This Row],[buyFromVendorNo]],'Next Day Scheduled'!A:A,'Pending Returns'!O:O,"NOT_FOUND")</f>
        <v>NOT_FOUND</v>
      </c>
    </row>
    <row r="2667" spans="1:17" x14ac:dyDescent="0.3">
      <c r="A2667" s="1">
        <v>46226</v>
      </c>
      <c r="B2667" t="s">
        <v>5681</v>
      </c>
      <c r="C2667" t="s">
        <v>548</v>
      </c>
      <c r="D2667" t="s">
        <v>549</v>
      </c>
      <c r="E2667" t="s">
        <v>8</v>
      </c>
      <c r="F2667" t="s">
        <v>10</v>
      </c>
      <c r="G2667" s="16">
        <v>254.09</v>
      </c>
      <c r="H2667" s="16">
        <v>292.20350000000002</v>
      </c>
      <c r="I2667" s="1">
        <v>46223</v>
      </c>
      <c r="J2667">
        <v>33</v>
      </c>
      <c r="K2667" t="s">
        <v>7608</v>
      </c>
      <c r="L2667" t="s">
        <v>8317</v>
      </c>
      <c r="M2667">
        <v>4</v>
      </c>
      <c r="N2667">
        <v>3</v>
      </c>
      <c r="O2667" t="s">
        <v>1036</v>
      </c>
      <c r="P2667" s="17"/>
      <c r="Q2667" s="17" t="str">
        <f>_xlfn.XLOOKUP(Table2[[#This Row],[buyFromVendorNo]],'Next Day Scheduled'!A:A,'Pending Returns'!O:O,"NOT_FOUND")</f>
        <v>NOT_FOUND</v>
      </c>
    </row>
    <row r="2668" spans="1:17" x14ac:dyDescent="0.3">
      <c r="A2668" s="1">
        <v>46226</v>
      </c>
      <c r="B2668" t="s">
        <v>263</v>
      </c>
      <c r="C2668" t="s">
        <v>548</v>
      </c>
      <c r="D2668" t="s">
        <v>549</v>
      </c>
      <c r="E2668" t="s">
        <v>8</v>
      </c>
      <c r="F2668" t="s">
        <v>10</v>
      </c>
      <c r="G2668" s="16">
        <v>80.760000000000005</v>
      </c>
      <c r="H2668" s="16">
        <v>92.873999999999995</v>
      </c>
      <c r="I2668" s="1">
        <v>46223</v>
      </c>
      <c r="J2668">
        <v>33</v>
      </c>
      <c r="K2668" t="s">
        <v>7962</v>
      </c>
      <c r="L2668" t="s">
        <v>8333</v>
      </c>
      <c r="M2668">
        <v>4</v>
      </c>
      <c r="N2668">
        <v>3</v>
      </c>
      <c r="O2668" t="s">
        <v>1036</v>
      </c>
      <c r="P2668" s="17"/>
      <c r="Q2668" s="17" t="str">
        <f>_xlfn.XLOOKUP(Table2[[#This Row],[buyFromVendorNo]],'Next Day Scheduled'!A:A,'Pending Returns'!O:O,"NOT_FOUND")</f>
        <v>NOT_FOUND</v>
      </c>
    </row>
    <row r="2669" spans="1:17" x14ac:dyDescent="0.3">
      <c r="A2669" s="1">
        <v>46226</v>
      </c>
      <c r="B2669" t="s">
        <v>1729</v>
      </c>
      <c r="C2669" t="s">
        <v>16</v>
      </c>
      <c r="D2669" t="s">
        <v>17</v>
      </c>
      <c r="E2669" t="s">
        <v>8</v>
      </c>
      <c r="F2669" t="s">
        <v>10</v>
      </c>
      <c r="G2669" s="16">
        <v>117.43</v>
      </c>
      <c r="H2669" s="16">
        <v>135.0445</v>
      </c>
      <c r="I2669" s="1">
        <v>46207</v>
      </c>
      <c r="J2669">
        <v>33</v>
      </c>
      <c r="K2669" t="s">
        <v>5305</v>
      </c>
      <c r="L2669" t="s">
        <v>8349</v>
      </c>
      <c r="M2669">
        <v>5</v>
      </c>
      <c r="N2669">
        <v>3</v>
      </c>
      <c r="O2669" t="s">
        <v>1036</v>
      </c>
      <c r="P2669" s="17"/>
      <c r="Q2669" s="17" t="str">
        <f>_xlfn.XLOOKUP(Table2[[#This Row],[buyFromVendorNo]],'Next Day Scheduled'!A:A,'Pending Returns'!O:O,"NOT_FOUND")</f>
        <v>Posted Credit Note</v>
      </c>
    </row>
    <row r="2670" spans="1:17" x14ac:dyDescent="0.3">
      <c r="A2670" s="1">
        <v>46226</v>
      </c>
      <c r="B2670" t="s">
        <v>6640</v>
      </c>
      <c r="C2670" t="s">
        <v>93</v>
      </c>
      <c r="D2670" t="s">
        <v>94</v>
      </c>
      <c r="E2670" t="s">
        <v>8</v>
      </c>
      <c r="F2670" t="s">
        <v>38</v>
      </c>
      <c r="G2670" s="16">
        <v>311.02999999999997</v>
      </c>
      <c r="H2670" s="16">
        <v>357.68450000000001</v>
      </c>
      <c r="J2670">
        <v>33</v>
      </c>
      <c r="K2670" t="s">
        <v>8362</v>
      </c>
      <c r="M2670">
        <v>3</v>
      </c>
      <c r="N2670">
        <v>6</v>
      </c>
      <c r="O2670" t="s">
        <v>216</v>
      </c>
      <c r="P2670" s="17"/>
      <c r="Q2670" s="17" t="str">
        <f>_xlfn.XLOOKUP(Table2[[#This Row],[buyFromVendorNo]],'Next Day Scheduled'!A:A,'Pending Returns'!O:O,"NOT_FOUND")</f>
        <v>Posted Credit Note</v>
      </c>
    </row>
    <row r="2671" spans="1:17" x14ac:dyDescent="0.3">
      <c r="A2671" s="1">
        <v>46226</v>
      </c>
      <c r="B2671" t="s">
        <v>3710</v>
      </c>
      <c r="C2671" t="s">
        <v>2292</v>
      </c>
      <c r="D2671" t="s">
        <v>2293</v>
      </c>
      <c r="E2671" t="s">
        <v>8</v>
      </c>
      <c r="F2671" t="s">
        <v>10</v>
      </c>
      <c r="G2671" s="16">
        <v>84</v>
      </c>
      <c r="H2671" s="16">
        <v>96.6</v>
      </c>
      <c r="I2671" s="1">
        <v>46209</v>
      </c>
      <c r="J2671">
        <v>33</v>
      </c>
      <c r="K2671" t="s">
        <v>4751</v>
      </c>
      <c r="L2671" t="s">
        <v>8323</v>
      </c>
      <c r="M2671">
        <v>1</v>
      </c>
      <c r="N2671">
        <v>33</v>
      </c>
      <c r="O2671" t="s">
        <v>1036</v>
      </c>
      <c r="P2671" s="17"/>
      <c r="Q2671" s="17" t="str">
        <f>_xlfn.XLOOKUP(Table2[[#This Row],[buyFromVendorNo]],'Next Day Scheduled'!A:A,'Pending Returns'!O:O,"NOT_FOUND")</f>
        <v>NOT_FOUND</v>
      </c>
    </row>
    <row r="2672" spans="1:17" x14ac:dyDescent="0.3">
      <c r="A2672" s="1">
        <v>46226</v>
      </c>
      <c r="B2672" t="s">
        <v>642</v>
      </c>
      <c r="C2672" t="s">
        <v>4364</v>
      </c>
      <c r="D2672" t="s">
        <v>4542</v>
      </c>
      <c r="E2672" t="s">
        <v>8</v>
      </c>
      <c r="F2672" t="s">
        <v>38</v>
      </c>
      <c r="G2672" s="16">
        <v>359.1</v>
      </c>
      <c r="H2672" s="16">
        <v>412.96499999999997</v>
      </c>
      <c r="I2672" s="1">
        <v>46221</v>
      </c>
      <c r="J2672">
        <v>33</v>
      </c>
      <c r="K2672" t="s">
        <v>7502</v>
      </c>
      <c r="L2672" t="s">
        <v>8354</v>
      </c>
      <c r="M2672">
        <v>5</v>
      </c>
      <c r="N2672">
        <v>1</v>
      </c>
      <c r="O2672" t="s">
        <v>1036</v>
      </c>
      <c r="P2672" s="17"/>
      <c r="Q2672" s="17" t="str">
        <f>_xlfn.XLOOKUP(Table2[[#This Row],[buyFromVendorNo]],'Next Day Scheduled'!A:A,'Pending Returns'!O:O,"NOT_FOUND")</f>
        <v>NOT_FOUND</v>
      </c>
    </row>
    <row r="2673" spans="1:17" x14ac:dyDescent="0.3">
      <c r="A2673" s="1">
        <v>46226</v>
      </c>
      <c r="B2673" t="s">
        <v>3479</v>
      </c>
      <c r="C2673" t="s">
        <v>2121</v>
      </c>
      <c r="D2673" t="s">
        <v>2122</v>
      </c>
      <c r="E2673" t="s">
        <v>8</v>
      </c>
      <c r="F2673" t="s">
        <v>10</v>
      </c>
      <c r="G2673" s="16">
        <v>37.5</v>
      </c>
      <c r="H2673" s="16">
        <v>43.125</v>
      </c>
      <c r="I2673" s="1">
        <v>46226</v>
      </c>
      <c r="J2673">
        <v>33</v>
      </c>
      <c r="K2673" t="s">
        <v>7399</v>
      </c>
      <c r="L2673" t="s">
        <v>8337</v>
      </c>
      <c r="M2673">
        <v>2</v>
      </c>
      <c r="N2673">
        <v>22</v>
      </c>
      <c r="O2673" t="s">
        <v>1036</v>
      </c>
      <c r="P2673" s="17"/>
      <c r="Q2673" s="17" t="str">
        <f>_xlfn.XLOOKUP(Table2[[#This Row],[buyFromVendorNo]],'Next Day Scheduled'!A:A,'Pending Returns'!O:O,"NOT_FOUND")</f>
        <v>NOT_FOUND</v>
      </c>
    </row>
    <row r="2674" spans="1:17" x14ac:dyDescent="0.3">
      <c r="A2674" s="1">
        <v>46226</v>
      </c>
      <c r="B2674" t="s">
        <v>442</v>
      </c>
      <c r="C2674" t="s">
        <v>2326</v>
      </c>
      <c r="D2674" t="s">
        <v>2327</v>
      </c>
      <c r="E2674" t="s">
        <v>8</v>
      </c>
      <c r="F2674" t="s">
        <v>38</v>
      </c>
      <c r="G2674" s="16">
        <v>263.5</v>
      </c>
      <c r="H2674" s="16">
        <v>303.02499999999998</v>
      </c>
      <c r="I2674" s="1">
        <v>46225</v>
      </c>
      <c r="J2674">
        <v>33</v>
      </c>
      <c r="K2674" t="s">
        <v>4529</v>
      </c>
      <c r="L2674" t="s">
        <v>8338</v>
      </c>
      <c r="M2674">
        <v>5</v>
      </c>
      <c r="N2674">
        <v>5</v>
      </c>
      <c r="O2674" t="s">
        <v>1036</v>
      </c>
      <c r="P2674" s="17"/>
      <c r="Q2674" s="17" t="str">
        <f>_xlfn.XLOOKUP(Table2[[#This Row],[buyFromVendorNo]],'Next Day Scheduled'!A:A,'Pending Returns'!O:O,"NOT_FOUND")</f>
        <v>NOT_FOUND</v>
      </c>
    </row>
    <row r="2675" spans="1:17" x14ac:dyDescent="0.3">
      <c r="A2675" s="1">
        <v>46226</v>
      </c>
      <c r="B2675" t="s">
        <v>2382</v>
      </c>
      <c r="C2675" t="s">
        <v>1222</v>
      </c>
      <c r="D2675" t="s">
        <v>1223</v>
      </c>
      <c r="E2675" t="s">
        <v>8</v>
      </c>
      <c r="F2675" t="s">
        <v>10</v>
      </c>
      <c r="G2675" s="16">
        <v>30</v>
      </c>
      <c r="H2675" s="16">
        <v>34.5</v>
      </c>
      <c r="I2675" s="1">
        <v>46226</v>
      </c>
      <c r="J2675">
        <v>33</v>
      </c>
      <c r="K2675" t="s">
        <v>8202</v>
      </c>
      <c r="L2675" t="s">
        <v>8355</v>
      </c>
      <c r="M2675">
        <v>5</v>
      </c>
      <c r="N2675">
        <v>3</v>
      </c>
      <c r="O2675" t="s">
        <v>1036</v>
      </c>
      <c r="P2675" s="17"/>
      <c r="Q2675" s="17" t="str">
        <f>_xlfn.XLOOKUP(Table2[[#This Row],[buyFromVendorNo]],'Next Day Scheduled'!A:A,'Pending Returns'!O:O,"NOT_FOUND")</f>
        <v>NOT_FOUND</v>
      </c>
    </row>
    <row r="2676" spans="1:17" x14ac:dyDescent="0.3">
      <c r="A2676" s="1">
        <v>46226</v>
      </c>
      <c r="B2676" t="s">
        <v>1098</v>
      </c>
      <c r="C2676" t="s">
        <v>6256</v>
      </c>
      <c r="D2676" t="s">
        <v>6257</v>
      </c>
      <c r="E2676" t="s">
        <v>8</v>
      </c>
      <c r="F2676" t="s">
        <v>38</v>
      </c>
      <c r="G2676" s="16">
        <v>237.29562000000001</v>
      </c>
      <c r="H2676" s="16">
        <v>272.88997999999998</v>
      </c>
      <c r="I2676" s="1">
        <v>46221</v>
      </c>
      <c r="J2676">
        <v>33</v>
      </c>
      <c r="K2676" t="s">
        <v>7061</v>
      </c>
      <c r="L2676" t="s">
        <v>8341</v>
      </c>
      <c r="M2676">
        <v>4</v>
      </c>
      <c r="N2676">
        <v>8</v>
      </c>
      <c r="O2676" t="s">
        <v>1036</v>
      </c>
      <c r="P2676" s="17"/>
      <c r="Q2676" s="17" t="str">
        <f>_xlfn.XLOOKUP(Table2[[#This Row],[buyFromVendorNo]],'Next Day Scheduled'!A:A,'Pending Returns'!O:O,"NOT_FOUND")</f>
        <v>NOT_FOUND</v>
      </c>
    </row>
    <row r="2677" spans="1:17" x14ac:dyDescent="0.3">
      <c r="A2677" s="1">
        <v>46226</v>
      </c>
      <c r="B2677" t="s">
        <v>2127</v>
      </c>
      <c r="C2677" t="s">
        <v>401</v>
      </c>
      <c r="D2677" t="s">
        <v>402</v>
      </c>
      <c r="E2677" t="s">
        <v>8</v>
      </c>
      <c r="F2677" t="s">
        <v>38</v>
      </c>
      <c r="G2677" s="16">
        <v>231.5</v>
      </c>
      <c r="H2677" s="16">
        <v>266.22500000000002</v>
      </c>
      <c r="I2677" s="1">
        <v>46220</v>
      </c>
      <c r="J2677">
        <v>33</v>
      </c>
      <c r="K2677" t="s">
        <v>6233</v>
      </c>
      <c r="L2677" t="s">
        <v>8357</v>
      </c>
      <c r="M2677">
        <v>7</v>
      </c>
      <c r="N2677">
        <v>3</v>
      </c>
      <c r="O2677" t="s">
        <v>1036</v>
      </c>
      <c r="P2677" s="17"/>
      <c r="Q2677" s="17" t="str">
        <f>_xlfn.XLOOKUP(Table2[[#This Row],[buyFromVendorNo]],'Next Day Scheduled'!A:A,'Pending Returns'!O:O,"NOT_FOUND")</f>
        <v>Posted Credit Note</v>
      </c>
    </row>
    <row r="2678" spans="1:17" x14ac:dyDescent="0.3">
      <c r="A2678" s="1">
        <v>46226</v>
      </c>
      <c r="B2678" t="s">
        <v>7887</v>
      </c>
      <c r="C2678" t="s">
        <v>7440</v>
      </c>
      <c r="D2678" t="s">
        <v>7441</v>
      </c>
      <c r="E2678" t="s">
        <v>8</v>
      </c>
      <c r="F2678" t="s">
        <v>38</v>
      </c>
      <c r="G2678" s="16">
        <v>61.231879999999997</v>
      </c>
      <c r="H2678" s="16">
        <v>70.416659999999993</v>
      </c>
      <c r="I2678" s="1">
        <v>46225</v>
      </c>
      <c r="J2678">
        <v>33</v>
      </c>
      <c r="K2678" t="s">
        <v>7888</v>
      </c>
      <c r="L2678" t="s">
        <v>8305</v>
      </c>
      <c r="M2678">
        <v>11</v>
      </c>
      <c r="N2678">
        <v>1</v>
      </c>
      <c r="O2678" t="s">
        <v>1036</v>
      </c>
      <c r="P2678" s="17"/>
      <c r="Q2678" s="17" t="str">
        <f>_xlfn.XLOOKUP(Table2[[#This Row],[buyFromVendorNo]],'Next Day Scheduled'!A:A,'Pending Returns'!O:O,"NOT_FOUND")</f>
        <v>NOT_FOUND</v>
      </c>
    </row>
    <row r="2679" spans="1:17" x14ac:dyDescent="0.3">
      <c r="A2679" s="1">
        <v>46226</v>
      </c>
      <c r="B2679" t="s">
        <v>1814</v>
      </c>
      <c r="C2679" t="s">
        <v>133</v>
      </c>
      <c r="D2679" t="s">
        <v>134</v>
      </c>
      <c r="E2679" t="s">
        <v>8</v>
      </c>
      <c r="F2679" t="s">
        <v>10</v>
      </c>
      <c r="G2679" s="16">
        <v>450</v>
      </c>
      <c r="H2679" s="16">
        <v>517.5</v>
      </c>
      <c r="I2679" s="1">
        <v>46214</v>
      </c>
      <c r="J2679">
        <v>33</v>
      </c>
      <c r="K2679" t="s">
        <v>6729</v>
      </c>
      <c r="L2679" t="s">
        <v>8358</v>
      </c>
      <c r="M2679">
        <v>7</v>
      </c>
      <c r="N2679">
        <v>12</v>
      </c>
      <c r="O2679" t="s">
        <v>1036</v>
      </c>
      <c r="P2679" s="17"/>
      <c r="Q2679" s="17" t="str">
        <f>_xlfn.XLOOKUP(Table2[[#This Row],[buyFromVendorNo]],'Next Day Scheduled'!A:A,'Pending Returns'!O:O,"NOT_FOUND")</f>
        <v>NOT_FOUND</v>
      </c>
    </row>
    <row r="2680" spans="1:17" x14ac:dyDescent="0.3">
      <c r="A2680" s="1">
        <v>46226</v>
      </c>
      <c r="B2680" t="s">
        <v>2506</v>
      </c>
      <c r="C2680" t="s">
        <v>401</v>
      </c>
      <c r="D2680" t="s">
        <v>402</v>
      </c>
      <c r="E2680" t="s">
        <v>8</v>
      </c>
      <c r="F2680" t="s">
        <v>38</v>
      </c>
      <c r="G2680" s="16">
        <v>92.5</v>
      </c>
      <c r="H2680" s="16">
        <v>106.375</v>
      </c>
      <c r="I2680" s="1">
        <v>46220</v>
      </c>
      <c r="J2680">
        <v>33</v>
      </c>
      <c r="K2680" t="s">
        <v>6952</v>
      </c>
      <c r="L2680" t="s">
        <v>8360</v>
      </c>
      <c r="M2680">
        <v>7</v>
      </c>
      <c r="N2680">
        <v>3</v>
      </c>
      <c r="O2680" t="s">
        <v>1036</v>
      </c>
      <c r="P2680" s="17"/>
      <c r="Q2680" s="17" t="str">
        <f>_xlfn.XLOOKUP(Table2[[#This Row],[buyFromVendorNo]],'Next Day Scheduled'!A:A,'Pending Returns'!O:O,"NOT_FOUND")</f>
        <v>Posted Credit Note</v>
      </c>
    </row>
    <row r="2681" spans="1:17" x14ac:dyDescent="0.3">
      <c r="A2681" s="1">
        <v>46226</v>
      </c>
      <c r="B2681" t="s">
        <v>3012</v>
      </c>
      <c r="C2681" t="s">
        <v>401</v>
      </c>
      <c r="D2681" t="s">
        <v>402</v>
      </c>
      <c r="E2681" t="s">
        <v>8</v>
      </c>
      <c r="F2681" t="s">
        <v>38</v>
      </c>
      <c r="G2681" s="16">
        <v>184</v>
      </c>
      <c r="H2681" s="16">
        <v>211.6</v>
      </c>
      <c r="I2681" s="1">
        <v>46220</v>
      </c>
      <c r="J2681">
        <v>33</v>
      </c>
      <c r="K2681" t="s">
        <v>6943</v>
      </c>
      <c r="L2681" t="s">
        <v>8344</v>
      </c>
      <c r="M2681">
        <v>7</v>
      </c>
      <c r="N2681">
        <v>3</v>
      </c>
      <c r="O2681" t="s">
        <v>1036</v>
      </c>
      <c r="P2681" s="17"/>
      <c r="Q2681" s="17" t="str">
        <f>_xlfn.XLOOKUP(Table2[[#This Row],[buyFromVendorNo]],'Next Day Scheduled'!A:A,'Pending Returns'!O:O,"NOT_FOUND")</f>
        <v>Posted Credit Note</v>
      </c>
    </row>
    <row r="2682" spans="1:17" x14ac:dyDescent="0.3">
      <c r="A2682" s="1">
        <v>46226</v>
      </c>
      <c r="B2682" t="s">
        <v>5596</v>
      </c>
      <c r="C2682" t="s">
        <v>2292</v>
      </c>
      <c r="D2682" t="s">
        <v>2293</v>
      </c>
      <c r="E2682" t="s">
        <v>8</v>
      </c>
      <c r="F2682" t="s">
        <v>10</v>
      </c>
      <c r="G2682" s="16">
        <v>231.79</v>
      </c>
      <c r="H2682" s="16">
        <v>266.55849999999998</v>
      </c>
      <c r="I2682" s="1">
        <v>46209</v>
      </c>
      <c r="J2682">
        <v>33</v>
      </c>
      <c r="K2682" t="s">
        <v>4949</v>
      </c>
      <c r="L2682" t="s">
        <v>8311</v>
      </c>
      <c r="M2682">
        <v>1</v>
      </c>
      <c r="N2682">
        <v>33</v>
      </c>
      <c r="O2682" t="s">
        <v>1036</v>
      </c>
      <c r="P2682" s="17"/>
      <c r="Q2682" s="17" t="str">
        <f>_xlfn.XLOOKUP(Table2[[#This Row],[buyFromVendorNo]],'Next Day Scheduled'!A:A,'Pending Returns'!O:O,"NOT_FOUND")</f>
        <v>NOT_FOUND</v>
      </c>
    </row>
    <row r="2683" spans="1:17" x14ac:dyDescent="0.3">
      <c r="A2683" s="1">
        <v>46226</v>
      </c>
      <c r="B2683" t="s">
        <v>642</v>
      </c>
      <c r="C2683" t="s">
        <v>2326</v>
      </c>
      <c r="D2683" t="s">
        <v>2327</v>
      </c>
      <c r="E2683" t="s">
        <v>8</v>
      </c>
      <c r="F2683" t="s">
        <v>38</v>
      </c>
      <c r="G2683" s="16">
        <v>1832</v>
      </c>
      <c r="H2683" s="16">
        <v>2106.8000000000002</v>
      </c>
      <c r="I2683" s="1">
        <v>46225</v>
      </c>
      <c r="J2683">
        <v>33</v>
      </c>
      <c r="K2683" t="s">
        <v>6809</v>
      </c>
      <c r="L2683" t="s">
        <v>8312</v>
      </c>
      <c r="M2683">
        <v>5</v>
      </c>
      <c r="N2683">
        <v>5</v>
      </c>
      <c r="O2683" t="s">
        <v>1036</v>
      </c>
      <c r="P2683" s="17"/>
      <c r="Q2683" s="17" t="str">
        <f>_xlfn.XLOOKUP(Table2[[#This Row],[buyFromVendorNo]],'Next Day Scheduled'!A:A,'Pending Returns'!O:O,"NOT_FOUND")</f>
        <v>NOT_FOUND</v>
      </c>
    </row>
    <row r="2684" spans="1:17" x14ac:dyDescent="0.3">
      <c r="A2684" s="1">
        <v>46226</v>
      </c>
      <c r="B2684" t="s">
        <v>642</v>
      </c>
      <c r="C2684" t="s">
        <v>2326</v>
      </c>
      <c r="D2684" t="s">
        <v>2327</v>
      </c>
      <c r="E2684" t="s">
        <v>8</v>
      </c>
      <c r="F2684" t="s">
        <v>38</v>
      </c>
      <c r="G2684" s="16">
        <v>675.5</v>
      </c>
      <c r="H2684" s="16">
        <v>776.82500000000005</v>
      </c>
      <c r="I2684" s="1">
        <v>46225</v>
      </c>
      <c r="J2684">
        <v>33</v>
      </c>
      <c r="K2684" t="s">
        <v>8010</v>
      </c>
      <c r="L2684" t="s">
        <v>8313</v>
      </c>
      <c r="M2684">
        <v>5</v>
      </c>
      <c r="N2684">
        <v>5</v>
      </c>
      <c r="O2684" t="s">
        <v>1036</v>
      </c>
      <c r="P2684" s="17"/>
      <c r="Q2684" s="17" t="str">
        <f>_xlfn.XLOOKUP(Table2[[#This Row],[buyFromVendorNo]],'Next Day Scheduled'!A:A,'Pending Returns'!O:O,"NOT_FOUND")</f>
        <v>NOT_FOUND</v>
      </c>
    </row>
    <row r="2685" spans="1:17" x14ac:dyDescent="0.3">
      <c r="A2685" s="1">
        <v>46226</v>
      </c>
      <c r="B2685" t="s">
        <v>7158</v>
      </c>
      <c r="C2685" t="s">
        <v>837</v>
      </c>
      <c r="D2685" t="s">
        <v>838</v>
      </c>
      <c r="E2685" t="s">
        <v>8</v>
      </c>
      <c r="F2685" t="s">
        <v>10</v>
      </c>
      <c r="G2685" s="16">
        <v>1874.2487000000001</v>
      </c>
      <c r="H2685" s="16">
        <v>2155.386</v>
      </c>
      <c r="I2685" s="1">
        <v>46223</v>
      </c>
      <c r="J2685">
        <v>33</v>
      </c>
      <c r="K2685" t="s">
        <v>7159</v>
      </c>
      <c r="L2685" t="s">
        <v>8363</v>
      </c>
      <c r="M2685">
        <v>2</v>
      </c>
      <c r="N2685">
        <v>2</v>
      </c>
      <c r="O2685" t="s">
        <v>1036</v>
      </c>
      <c r="P2685" s="17"/>
      <c r="Q2685" s="17" t="str">
        <f>_xlfn.XLOOKUP(Table2[[#This Row],[buyFromVendorNo]],'Next Day Scheduled'!A:A,'Pending Returns'!O:O,"NOT_FOUND")</f>
        <v>NOT_FOUND</v>
      </c>
    </row>
    <row r="2686" spans="1:17" x14ac:dyDescent="0.3">
      <c r="A2686" s="1">
        <v>46226</v>
      </c>
      <c r="B2686" t="s">
        <v>642</v>
      </c>
      <c r="C2686" t="s">
        <v>2326</v>
      </c>
      <c r="D2686" t="s">
        <v>2327</v>
      </c>
      <c r="E2686" t="s">
        <v>8</v>
      </c>
      <c r="F2686" t="s">
        <v>38</v>
      </c>
      <c r="G2686" s="16">
        <v>1883.5</v>
      </c>
      <c r="H2686" s="16">
        <v>2166.0250000000001</v>
      </c>
      <c r="I2686" s="1">
        <v>46225</v>
      </c>
      <c r="J2686">
        <v>33</v>
      </c>
      <c r="K2686" t="s">
        <v>7505</v>
      </c>
      <c r="L2686" t="s">
        <v>8331</v>
      </c>
      <c r="M2686">
        <v>5</v>
      </c>
      <c r="N2686">
        <v>5</v>
      </c>
      <c r="O2686" t="s">
        <v>1036</v>
      </c>
      <c r="P2686" s="17"/>
      <c r="Q2686" s="17" t="str">
        <f>_xlfn.XLOOKUP(Table2[[#This Row],[buyFromVendorNo]],'Next Day Scheduled'!A:A,'Pending Returns'!O:O,"NOT_FOUND")</f>
        <v>NOT_FOUND</v>
      </c>
    </row>
    <row r="2687" spans="1:17" x14ac:dyDescent="0.3">
      <c r="A2687" s="1">
        <v>46226</v>
      </c>
      <c r="B2687" t="s">
        <v>4031</v>
      </c>
      <c r="C2687" t="s">
        <v>75</v>
      </c>
      <c r="D2687" t="s">
        <v>76</v>
      </c>
      <c r="E2687" t="s">
        <v>8</v>
      </c>
      <c r="F2687" t="s">
        <v>169</v>
      </c>
      <c r="G2687" s="16">
        <v>259.125</v>
      </c>
      <c r="H2687" s="16">
        <v>297.99374</v>
      </c>
      <c r="I2687" s="1">
        <v>46218</v>
      </c>
      <c r="J2687">
        <v>33</v>
      </c>
      <c r="K2687" t="s">
        <v>7077</v>
      </c>
      <c r="L2687" t="s">
        <v>8347</v>
      </c>
      <c r="M2687">
        <v>4</v>
      </c>
      <c r="N2687">
        <v>3</v>
      </c>
      <c r="O2687" t="s">
        <v>1036</v>
      </c>
      <c r="P2687" s="17"/>
      <c r="Q2687" s="17" t="str">
        <f>_xlfn.XLOOKUP(Table2[[#This Row],[buyFromVendorNo]],'Next Day Scheduled'!A:A,'Pending Returns'!O:O,"NOT_FOUND")</f>
        <v>Posted Credit Note</v>
      </c>
    </row>
    <row r="2688" spans="1:17" x14ac:dyDescent="0.3">
      <c r="A2688" s="1">
        <v>46226</v>
      </c>
      <c r="B2688" t="s">
        <v>6532</v>
      </c>
      <c r="C2688" t="s">
        <v>401</v>
      </c>
      <c r="D2688" t="s">
        <v>402</v>
      </c>
      <c r="E2688" t="s">
        <v>8</v>
      </c>
      <c r="F2688" t="s">
        <v>38</v>
      </c>
      <c r="G2688" s="16">
        <v>317.5</v>
      </c>
      <c r="H2688" s="16">
        <v>365.125</v>
      </c>
      <c r="I2688" s="1">
        <v>46220</v>
      </c>
      <c r="J2688">
        <v>33</v>
      </c>
      <c r="K2688" t="s">
        <v>6533</v>
      </c>
      <c r="L2688" t="s">
        <v>8315</v>
      </c>
      <c r="M2688">
        <v>7</v>
      </c>
      <c r="N2688">
        <v>3</v>
      </c>
      <c r="O2688" t="s">
        <v>1036</v>
      </c>
      <c r="P2688" s="17"/>
      <c r="Q2688" s="17" t="str">
        <f>_xlfn.XLOOKUP(Table2[[#This Row],[buyFromVendorNo]],'Next Day Scheduled'!A:A,'Pending Returns'!O:O,"NOT_FOUND")</f>
        <v>Posted Credit Note</v>
      </c>
    </row>
    <row r="2689" spans="1:17" x14ac:dyDescent="0.3">
      <c r="A2689" s="1">
        <v>46226</v>
      </c>
      <c r="B2689" t="s">
        <v>1826</v>
      </c>
      <c r="C2689" t="s">
        <v>1743</v>
      </c>
      <c r="D2689" t="s">
        <v>1744</v>
      </c>
      <c r="E2689" t="s">
        <v>8</v>
      </c>
      <c r="F2689" t="s">
        <v>10</v>
      </c>
      <c r="G2689" s="16">
        <v>3961</v>
      </c>
      <c r="H2689" s="16">
        <v>4555.1499999999996</v>
      </c>
      <c r="I2689" s="1">
        <v>46226</v>
      </c>
      <c r="J2689">
        <v>33</v>
      </c>
      <c r="K2689" t="s">
        <v>7737</v>
      </c>
      <c r="L2689" t="s">
        <v>8348</v>
      </c>
      <c r="M2689">
        <v>2</v>
      </c>
      <c r="N2689">
        <v>19</v>
      </c>
      <c r="O2689" t="s">
        <v>1036</v>
      </c>
      <c r="P2689" s="17"/>
      <c r="Q2689" s="17" t="str">
        <f>_xlfn.XLOOKUP(Table2[[#This Row],[buyFromVendorNo]],'Next Day Scheduled'!A:A,'Pending Returns'!O:O,"NOT_FOUND")</f>
        <v>NOT_FOUND</v>
      </c>
    </row>
    <row r="2690" spans="1:17" x14ac:dyDescent="0.3">
      <c r="A2690" s="1">
        <v>46226</v>
      </c>
      <c r="B2690" t="s">
        <v>642</v>
      </c>
      <c r="C2690" t="s">
        <v>2326</v>
      </c>
      <c r="D2690" t="s">
        <v>2327</v>
      </c>
      <c r="E2690" t="s">
        <v>8</v>
      </c>
      <c r="F2690" t="s">
        <v>38</v>
      </c>
      <c r="G2690" s="16">
        <v>730</v>
      </c>
      <c r="H2690" s="16">
        <v>839.5</v>
      </c>
      <c r="I2690" s="1">
        <v>46225</v>
      </c>
      <c r="J2690">
        <v>33</v>
      </c>
      <c r="K2690" t="s">
        <v>6115</v>
      </c>
      <c r="L2690" t="s">
        <v>8366</v>
      </c>
      <c r="M2690">
        <v>5</v>
      </c>
      <c r="N2690">
        <v>5</v>
      </c>
      <c r="O2690" t="s">
        <v>1036</v>
      </c>
      <c r="P2690" s="17"/>
      <c r="Q2690" s="17" t="str">
        <f>_xlfn.XLOOKUP(Table2[[#This Row],[buyFromVendorNo]],'Next Day Scheduled'!A:A,'Pending Returns'!O:O,"NOT_FOUND")</f>
        <v>NOT_FOUND</v>
      </c>
    </row>
    <row r="2691" spans="1:17" x14ac:dyDescent="0.3">
      <c r="A2691" s="1">
        <v>46228</v>
      </c>
      <c r="B2691" t="s">
        <v>2655</v>
      </c>
      <c r="C2691" t="s">
        <v>1593</v>
      </c>
      <c r="D2691" t="s">
        <v>1594</v>
      </c>
      <c r="E2691" t="s">
        <v>8</v>
      </c>
      <c r="F2691" t="s">
        <v>10</v>
      </c>
      <c r="G2691" s="16">
        <v>1646.6</v>
      </c>
      <c r="H2691" s="16">
        <v>1893.59</v>
      </c>
      <c r="I2691" s="1">
        <v>46223</v>
      </c>
      <c r="J2691">
        <v>31</v>
      </c>
      <c r="K2691" t="s">
        <v>6648</v>
      </c>
      <c r="L2691" t="s">
        <v>8396</v>
      </c>
      <c r="M2691">
        <v>5</v>
      </c>
      <c r="N2691">
        <v>2</v>
      </c>
      <c r="O2691" t="s">
        <v>1036</v>
      </c>
      <c r="P2691" s="17"/>
      <c r="Q2691" s="17" t="str">
        <f>_xlfn.XLOOKUP(Table2[[#This Row],[buyFromVendorNo]],'Next Day Scheduled'!A:A,'Pending Returns'!O:O,"NOT_FOUND")</f>
        <v>NOT_FOUND</v>
      </c>
    </row>
    <row r="2692" spans="1:17" x14ac:dyDescent="0.3">
      <c r="A2692" s="1">
        <v>46228</v>
      </c>
      <c r="B2692" t="s">
        <v>7553</v>
      </c>
      <c r="C2692" t="s">
        <v>1593</v>
      </c>
      <c r="D2692" t="s">
        <v>1594</v>
      </c>
      <c r="E2692" t="s">
        <v>8</v>
      </c>
      <c r="F2692" t="s">
        <v>10</v>
      </c>
      <c r="G2692" s="16">
        <v>91</v>
      </c>
      <c r="H2692" s="16">
        <v>104.65</v>
      </c>
      <c r="I2692" s="1">
        <v>46223</v>
      </c>
      <c r="J2692">
        <v>31</v>
      </c>
      <c r="K2692" t="s">
        <v>7554</v>
      </c>
      <c r="L2692" t="s">
        <v>8395</v>
      </c>
      <c r="M2692">
        <v>5</v>
      </c>
      <c r="N2692">
        <v>2</v>
      </c>
      <c r="O2692" t="s">
        <v>1036</v>
      </c>
      <c r="P2692" s="17"/>
      <c r="Q2692" s="17" t="str">
        <f>_xlfn.XLOOKUP(Table2[[#This Row],[buyFromVendorNo]],'Next Day Scheduled'!A:A,'Pending Returns'!O:O,"NOT_FOUND")</f>
        <v>NOT_FOUND</v>
      </c>
    </row>
    <row r="2693" spans="1:17" x14ac:dyDescent="0.3">
      <c r="A2693" s="1">
        <v>46228</v>
      </c>
      <c r="B2693" t="s">
        <v>7236</v>
      </c>
      <c r="C2693" t="s">
        <v>71</v>
      </c>
      <c r="D2693" t="s">
        <v>72</v>
      </c>
      <c r="E2693" t="s">
        <v>8</v>
      </c>
      <c r="F2693" t="s">
        <v>10</v>
      </c>
      <c r="G2693" s="16">
        <v>2748.9683</v>
      </c>
      <c r="H2693" s="16">
        <v>3161.3135000000002</v>
      </c>
      <c r="I2693" s="1">
        <v>46228</v>
      </c>
      <c r="J2693">
        <v>31</v>
      </c>
      <c r="K2693" t="s">
        <v>7237</v>
      </c>
      <c r="L2693" t="s">
        <v>8416</v>
      </c>
      <c r="M2693">
        <v>3</v>
      </c>
      <c r="N2693">
        <v>8</v>
      </c>
      <c r="O2693" t="s">
        <v>1036</v>
      </c>
      <c r="P2693" s="17"/>
      <c r="Q2693" s="17" t="str">
        <f>_xlfn.XLOOKUP(Table2[[#This Row],[buyFromVendorNo]],'Next Day Scheduled'!A:A,'Pending Returns'!O:O,"NOT_FOUND")</f>
        <v>Posted Credit Note</v>
      </c>
    </row>
    <row r="2694" spans="1:17" x14ac:dyDescent="0.3">
      <c r="A2694" s="1">
        <v>46228</v>
      </c>
      <c r="B2694" t="s">
        <v>394</v>
      </c>
      <c r="C2694" t="s">
        <v>633</v>
      </c>
      <c r="D2694" t="s">
        <v>690</v>
      </c>
      <c r="E2694" t="s">
        <v>8</v>
      </c>
      <c r="F2694" t="s">
        <v>10</v>
      </c>
      <c r="G2694" s="16">
        <v>1974.7175</v>
      </c>
      <c r="H2694" s="16">
        <v>2270.9250000000002</v>
      </c>
      <c r="I2694" s="1">
        <v>46212</v>
      </c>
      <c r="J2694">
        <v>31</v>
      </c>
      <c r="K2694" t="s">
        <v>6950</v>
      </c>
      <c r="L2694" t="s">
        <v>8415</v>
      </c>
      <c r="M2694">
        <v>4</v>
      </c>
      <c r="N2694">
        <v>6</v>
      </c>
      <c r="O2694" t="s">
        <v>1036</v>
      </c>
      <c r="P2694" s="17"/>
      <c r="Q2694" s="17" t="str">
        <f>_xlfn.XLOOKUP(Table2[[#This Row],[buyFromVendorNo]],'Next Day Scheduled'!A:A,'Pending Returns'!O:O,"NOT_FOUND")</f>
        <v>NOT_FOUND</v>
      </c>
    </row>
    <row r="2695" spans="1:17" x14ac:dyDescent="0.3">
      <c r="A2695" s="1">
        <v>46228</v>
      </c>
      <c r="B2695" t="s">
        <v>3445</v>
      </c>
      <c r="C2695" t="s">
        <v>107</v>
      </c>
      <c r="D2695" t="s">
        <v>3864</v>
      </c>
      <c r="E2695" t="s">
        <v>8</v>
      </c>
      <c r="F2695" t="s">
        <v>10</v>
      </c>
      <c r="G2695" s="16">
        <v>955.78</v>
      </c>
      <c r="H2695" s="16">
        <v>1099.1469999999999</v>
      </c>
      <c r="I2695" s="1">
        <v>46220</v>
      </c>
      <c r="J2695">
        <v>31</v>
      </c>
      <c r="K2695" t="s">
        <v>7616</v>
      </c>
      <c r="L2695" t="s">
        <v>8406</v>
      </c>
      <c r="M2695">
        <v>4</v>
      </c>
      <c r="N2695">
        <v>5</v>
      </c>
      <c r="O2695" t="s">
        <v>1036</v>
      </c>
      <c r="P2695" s="17"/>
      <c r="Q2695" s="17" t="str">
        <f>_xlfn.XLOOKUP(Table2[[#This Row],[buyFromVendorNo]],'Next Day Scheduled'!A:A,'Pending Returns'!O:O,"NOT_FOUND")</f>
        <v>NOT_FOUND</v>
      </c>
    </row>
    <row r="2696" spans="1:17" x14ac:dyDescent="0.3">
      <c r="A2696" s="1">
        <v>46228</v>
      </c>
      <c r="B2696" t="s">
        <v>8065</v>
      </c>
      <c r="C2696" t="s">
        <v>191</v>
      </c>
      <c r="D2696" t="s">
        <v>192</v>
      </c>
      <c r="E2696" t="s">
        <v>8</v>
      </c>
      <c r="F2696" t="s">
        <v>10</v>
      </c>
      <c r="G2696" s="16">
        <v>246.35</v>
      </c>
      <c r="H2696" s="16">
        <v>283.30250000000001</v>
      </c>
      <c r="I2696" s="1">
        <v>46226</v>
      </c>
      <c r="J2696">
        <v>31</v>
      </c>
      <c r="K2696" t="s">
        <v>8066</v>
      </c>
      <c r="L2696" t="s">
        <v>8394</v>
      </c>
      <c r="M2696">
        <v>4</v>
      </c>
      <c r="N2696">
        <v>3</v>
      </c>
      <c r="O2696" t="s">
        <v>1036</v>
      </c>
      <c r="P2696" s="17"/>
      <c r="Q2696" s="17" t="str">
        <f>_xlfn.XLOOKUP(Table2[[#This Row],[buyFromVendorNo]],'Next Day Scheduled'!A:A,'Pending Returns'!O:O,"NOT_FOUND")</f>
        <v>NOT_FOUND</v>
      </c>
    </row>
    <row r="2697" spans="1:17" x14ac:dyDescent="0.3">
      <c r="A2697" s="1">
        <v>46228</v>
      </c>
      <c r="B2697" t="s">
        <v>3293</v>
      </c>
      <c r="C2697" t="s">
        <v>71</v>
      </c>
      <c r="D2697" t="s">
        <v>72</v>
      </c>
      <c r="E2697" t="s">
        <v>8</v>
      </c>
      <c r="F2697" t="s">
        <v>10</v>
      </c>
      <c r="G2697" s="16">
        <v>614.81799999999998</v>
      </c>
      <c r="H2697" s="16">
        <v>707.04070000000002</v>
      </c>
      <c r="I2697" s="1">
        <v>46225</v>
      </c>
      <c r="J2697">
        <v>31</v>
      </c>
      <c r="K2697" t="s">
        <v>7495</v>
      </c>
      <c r="L2697" t="s">
        <v>8412</v>
      </c>
      <c r="M2697">
        <v>3</v>
      </c>
      <c r="N2697">
        <v>8</v>
      </c>
      <c r="O2697" t="s">
        <v>1036</v>
      </c>
      <c r="P2697" s="17"/>
      <c r="Q2697" s="17" t="str">
        <f>_xlfn.XLOOKUP(Table2[[#This Row],[buyFromVendorNo]],'Next Day Scheduled'!A:A,'Pending Returns'!O:O,"NOT_FOUND")</f>
        <v>Posted Credit Note</v>
      </c>
    </row>
    <row r="2698" spans="1:17" x14ac:dyDescent="0.3">
      <c r="A2698" s="1">
        <v>46228</v>
      </c>
      <c r="B2698" t="s">
        <v>7142</v>
      </c>
      <c r="C2698" t="s">
        <v>107</v>
      </c>
      <c r="D2698" t="s">
        <v>3864</v>
      </c>
      <c r="E2698" t="s">
        <v>8</v>
      </c>
      <c r="F2698" t="s">
        <v>10</v>
      </c>
      <c r="G2698" s="16">
        <v>778.74614999999994</v>
      </c>
      <c r="H2698" s="16">
        <v>895.55809999999997</v>
      </c>
      <c r="I2698" s="1">
        <v>46220</v>
      </c>
      <c r="J2698">
        <v>31</v>
      </c>
      <c r="K2698" t="s">
        <v>7143</v>
      </c>
      <c r="L2698" t="s">
        <v>8400</v>
      </c>
      <c r="M2698">
        <v>4</v>
      </c>
      <c r="N2698">
        <v>5</v>
      </c>
      <c r="O2698" t="s">
        <v>1036</v>
      </c>
      <c r="P2698" s="17"/>
      <c r="Q2698" s="17" t="str">
        <f>_xlfn.XLOOKUP(Table2[[#This Row],[buyFromVendorNo]],'Next Day Scheduled'!A:A,'Pending Returns'!O:O,"NOT_FOUND")</f>
        <v>NOT_FOUND</v>
      </c>
    </row>
    <row r="2699" spans="1:17" x14ac:dyDescent="0.3">
      <c r="A2699" s="1">
        <v>46228</v>
      </c>
      <c r="B2699" t="s">
        <v>3001</v>
      </c>
      <c r="C2699" t="s">
        <v>191</v>
      </c>
      <c r="D2699" t="s">
        <v>192</v>
      </c>
      <c r="E2699" t="s">
        <v>8</v>
      </c>
      <c r="F2699" t="s">
        <v>10</v>
      </c>
      <c r="G2699" s="16">
        <v>1275.9000000000001</v>
      </c>
      <c r="H2699" s="16">
        <v>1467.2850000000001</v>
      </c>
      <c r="I2699" s="1">
        <v>46226</v>
      </c>
      <c r="J2699">
        <v>31</v>
      </c>
      <c r="K2699" t="s">
        <v>7743</v>
      </c>
      <c r="L2699" t="s">
        <v>8393</v>
      </c>
      <c r="M2699">
        <v>4</v>
      </c>
      <c r="N2699">
        <v>3</v>
      </c>
      <c r="O2699" t="s">
        <v>1036</v>
      </c>
      <c r="P2699" s="17"/>
      <c r="Q2699" s="17" t="str">
        <f>_xlfn.XLOOKUP(Table2[[#This Row],[buyFromVendorNo]],'Next Day Scheduled'!A:A,'Pending Returns'!O:O,"NOT_FOUND")</f>
        <v>NOT_FOUND</v>
      </c>
    </row>
    <row r="2700" spans="1:17" x14ac:dyDescent="0.3">
      <c r="A2700" s="1">
        <v>46228</v>
      </c>
      <c r="B2700" t="s">
        <v>2175</v>
      </c>
      <c r="C2700" t="s">
        <v>158</v>
      </c>
      <c r="D2700" t="s">
        <v>159</v>
      </c>
      <c r="E2700" t="s">
        <v>8</v>
      </c>
      <c r="F2700" t="s">
        <v>10</v>
      </c>
      <c r="G2700" s="16">
        <v>1326.8879999999999</v>
      </c>
      <c r="H2700" s="16">
        <v>1525.9211</v>
      </c>
      <c r="I2700" s="1">
        <v>46212</v>
      </c>
      <c r="J2700">
        <v>31</v>
      </c>
      <c r="K2700" t="s">
        <v>6568</v>
      </c>
      <c r="L2700" t="s">
        <v>8402</v>
      </c>
      <c r="M2700">
        <v>3</v>
      </c>
      <c r="N2700">
        <v>6</v>
      </c>
      <c r="O2700" t="s">
        <v>1036</v>
      </c>
      <c r="P2700" s="17"/>
      <c r="Q2700" s="17" t="str">
        <f>_xlfn.XLOOKUP(Table2[[#This Row],[buyFromVendorNo]],'Next Day Scheduled'!A:A,'Pending Returns'!O:O,"NOT_FOUND")</f>
        <v>Posted Credit Note</v>
      </c>
    </row>
    <row r="2701" spans="1:17" x14ac:dyDescent="0.3">
      <c r="A2701" s="1">
        <v>46228</v>
      </c>
      <c r="B2701" t="s">
        <v>3255</v>
      </c>
      <c r="C2701" t="s">
        <v>71</v>
      </c>
      <c r="D2701" t="s">
        <v>72</v>
      </c>
      <c r="E2701" t="s">
        <v>8</v>
      </c>
      <c r="F2701" t="s">
        <v>10</v>
      </c>
      <c r="G2701" s="16">
        <v>435.63193000000001</v>
      </c>
      <c r="H2701" s="16">
        <v>500.97669999999999</v>
      </c>
      <c r="I2701" s="1">
        <v>46225</v>
      </c>
      <c r="J2701">
        <v>31</v>
      </c>
      <c r="K2701" t="s">
        <v>7606</v>
      </c>
      <c r="L2701" t="s">
        <v>8410</v>
      </c>
      <c r="M2701">
        <v>3</v>
      </c>
      <c r="N2701">
        <v>8</v>
      </c>
      <c r="O2701" t="s">
        <v>1036</v>
      </c>
      <c r="P2701" s="17"/>
      <c r="Q2701" s="17" t="str">
        <f>_xlfn.XLOOKUP(Table2[[#This Row],[buyFromVendorNo]],'Next Day Scheduled'!A:A,'Pending Returns'!O:O,"NOT_FOUND")</f>
        <v>Posted Credit Note</v>
      </c>
    </row>
    <row r="2702" spans="1:17" x14ac:dyDescent="0.3">
      <c r="A2702" s="1">
        <v>46228</v>
      </c>
      <c r="B2702" t="s">
        <v>642</v>
      </c>
      <c r="C2702" t="s">
        <v>618</v>
      </c>
      <c r="D2702" t="s">
        <v>6379</v>
      </c>
      <c r="E2702" t="s">
        <v>8</v>
      </c>
      <c r="F2702" t="s">
        <v>38</v>
      </c>
      <c r="G2702" s="16">
        <v>1135.3979999999999</v>
      </c>
      <c r="H2702" s="16">
        <v>1135.3979999999999</v>
      </c>
      <c r="I2702" s="1">
        <v>46226</v>
      </c>
      <c r="J2702">
        <v>31</v>
      </c>
      <c r="K2702" t="s">
        <v>8152</v>
      </c>
      <c r="L2702" t="s">
        <v>8401</v>
      </c>
      <c r="M2702">
        <v>32</v>
      </c>
      <c r="N2702">
        <v>0</v>
      </c>
      <c r="O2702" t="s">
        <v>1036</v>
      </c>
      <c r="P2702" s="17"/>
      <c r="Q2702" s="17" t="str">
        <f>_xlfn.XLOOKUP(Table2[[#This Row],[buyFromVendorNo]],'Next Day Scheduled'!A:A,'Pending Returns'!O:O,"NOT_FOUND")</f>
        <v>NOT_FOUND</v>
      </c>
    </row>
    <row r="2703" spans="1:17" x14ac:dyDescent="0.3">
      <c r="A2703" s="1">
        <v>46228</v>
      </c>
      <c r="B2703" t="s">
        <v>763</v>
      </c>
      <c r="C2703" t="s">
        <v>633</v>
      </c>
      <c r="D2703" t="s">
        <v>690</v>
      </c>
      <c r="E2703" t="s">
        <v>8</v>
      </c>
      <c r="F2703" t="s">
        <v>10</v>
      </c>
      <c r="G2703" s="16">
        <v>372.375</v>
      </c>
      <c r="H2703" s="16">
        <v>428.23122999999998</v>
      </c>
      <c r="I2703" s="1">
        <v>46219</v>
      </c>
      <c r="J2703">
        <v>31</v>
      </c>
      <c r="K2703" t="s">
        <v>7073</v>
      </c>
      <c r="L2703" t="s">
        <v>8408</v>
      </c>
      <c r="M2703">
        <v>4</v>
      </c>
      <c r="N2703">
        <v>6</v>
      </c>
      <c r="O2703" t="s">
        <v>1036</v>
      </c>
      <c r="P2703" s="17"/>
      <c r="Q2703" s="17" t="str">
        <f>_xlfn.XLOOKUP(Table2[[#This Row],[buyFromVendorNo]],'Next Day Scheduled'!A:A,'Pending Returns'!O:O,"NOT_FOUND")</f>
        <v>NOT_FOUND</v>
      </c>
    </row>
    <row r="2704" spans="1:17" x14ac:dyDescent="0.3">
      <c r="A2704" s="1">
        <v>46228</v>
      </c>
      <c r="B2704" t="s">
        <v>3387</v>
      </c>
      <c r="C2704" t="s">
        <v>2373</v>
      </c>
      <c r="D2704" t="s">
        <v>2374</v>
      </c>
      <c r="E2704" t="s">
        <v>8</v>
      </c>
      <c r="F2704" t="s">
        <v>10</v>
      </c>
      <c r="G2704" s="16">
        <v>36.6</v>
      </c>
      <c r="H2704" s="16">
        <v>42.09</v>
      </c>
      <c r="I2704" s="1">
        <v>46221</v>
      </c>
      <c r="J2704">
        <v>31</v>
      </c>
      <c r="K2704" t="s">
        <v>7349</v>
      </c>
      <c r="L2704" t="s">
        <v>8403</v>
      </c>
      <c r="M2704">
        <v>5</v>
      </c>
      <c r="N2704">
        <v>5</v>
      </c>
      <c r="O2704" t="s">
        <v>1036</v>
      </c>
      <c r="P2704" s="17"/>
      <c r="Q2704" s="17" t="str">
        <f>_xlfn.XLOOKUP(Table2[[#This Row],[buyFromVendorNo]],'Next Day Scheduled'!A:A,'Pending Returns'!O:O,"NOT_FOUND")</f>
        <v>NOT_FOUND</v>
      </c>
    </row>
    <row r="2705" spans="1:17" x14ac:dyDescent="0.3">
      <c r="A2705" s="1">
        <v>46228</v>
      </c>
      <c r="B2705" t="s">
        <v>1098</v>
      </c>
      <c r="C2705" t="s">
        <v>71</v>
      </c>
      <c r="D2705" t="s">
        <v>72</v>
      </c>
      <c r="E2705" t="s">
        <v>8</v>
      </c>
      <c r="F2705" t="s">
        <v>38</v>
      </c>
      <c r="G2705" s="16">
        <v>128.84</v>
      </c>
      <c r="H2705" s="16">
        <v>148.166</v>
      </c>
      <c r="I2705" s="1">
        <v>46225</v>
      </c>
      <c r="J2705">
        <v>31</v>
      </c>
      <c r="K2705" t="s">
        <v>7346</v>
      </c>
      <c r="L2705" t="s">
        <v>8404</v>
      </c>
      <c r="M2705">
        <v>5</v>
      </c>
      <c r="N2705">
        <v>7</v>
      </c>
      <c r="O2705" t="s">
        <v>1036</v>
      </c>
      <c r="P2705" s="17"/>
      <c r="Q2705" s="17" t="str">
        <f>_xlfn.XLOOKUP(Table2[[#This Row],[buyFromVendorNo]],'Next Day Scheduled'!A:A,'Pending Returns'!O:O,"NOT_FOUND")</f>
        <v>Posted Credit Note</v>
      </c>
    </row>
    <row r="2706" spans="1:17" x14ac:dyDescent="0.3">
      <c r="A2706" s="1">
        <v>46228</v>
      </c>
      <c r="B2706" t="s">
        <v>5063</v>
      </c>
      <c r="C2706" t="s">
        <v>71</v>
      </c>
      <c r="D2706" t="s">
        <v>72</v>
      </c>
      <c r="E2706" t="s">
        <v>8</v>
      </c>
      <c r="F2706" t="s">
        <v>10</v>
      </c>
      <c r="G2706" s="16">
        <v>4098.6850000000004</v>
      </c>
      <c r="H2706" s="16">
        <v>4713.4880000000003</v>
      </c>
      <c r="I2706" s="1">
        <v>46225</v>
      </c>
      <c r="J2706">
        <v>31</v>
      </c>
      <c r="K2706" t="s">
        <v>6592</v>
      </c>
      <c r="L2706" t="s">
        <v>8411</v>
      </c>
      <c r="M2706">
        <v>3</v>
      </c>
      <c r="N2706">
        <v>8</v>
      </c>
      <c r="O2706" t="s">
        <v>1036</v>
      </c>
      <c r="P2706" s="17"/>
      <c r="Q2706" s="17" t="str">
        <f>_xlfn.XLOOKUP(Table2[[#This Row],[buyFromVendorNo]],'Next Day Scheduled'!A:A,'Pending Returns'!O:O,"NOT_FOUND")</f>
        <v>Posted Credit Note</v>
      </c>
    </row>
    <row r="2707" spans="1:17" x14ac:dyDescent="0.3">
      <c r="A2707" s="1">
        <v>46229</v>
      </c>
      <c r="B2707" t="s">
        <v>2868</v>
      </c>
      <c r="C2707" t="s">
        <v>11</v>
      </c>
      <c r="D2707" t="s">
        <v>12</v>
      </c>
      <c r="E2707" t="s">
        <v>8</v>
      </c>
      <c r="F2707" t="s">
        <v>10</v>
      </c>
      <c r="G2707" s="16">
        <v>184</v>
      </c>
      <c r="H2707" s="16">
        <v>211.6</v>
      </c>
      <c r="J2707">
        <v>30</v>
      </c>
      <c r="K2707" t="s">
        <v>8446</v>
      </c>
      <c r="M2707">
        <v>0</v>
      </c>
      <c r="N2707">
        <v>178</v>
      </c>
      <c r="O2707" t="s">
        <v>216</v>
      </c>
      <c r="P2707" s="17"/>
      <c r="Q2707" s="17" t="str">
        <f>_xlfn.XLOOKUP(Table2[[#This Row],[buyFromVendorNo]],'Next Day Scheduled'!A:A,'Pending Returns'!O:O,"NOT_FOUND")</f>
        <v>NOT_FOUND</v>
      </c>
    </row>
    <row r="2708" spans="1:17" x14ac:dyDescent="0.3">
      <c r="A2708" s="1">
        <v>46229</v>
      </c>
      <c r="B2708" t="s">
        <v>3574</v>
      </c>
      <c r="C2708" t="s">
        <v>632</v>
      </c>
      <c r="D2708" t="s">
        <v>682</v>
      </c>
      <c r="E2708" t="s">
        <v>8</v>
      </c>
      <c r="F2708" t="s">
        <v>10</v>
      </c>
      <c r="G2708" s="16">
        <v>318.5</v>
      </c>
      <c r="H2708" s="16">
        <v>366.27499999999998</v>
      </c>
      <c r="I2708" s="1">
        <v>46229</v>
      </c>
      <c r="J2708">
        <v>30</v>
      </c>
      <c r="K2708" t="s">
        <v>8136</v>
      </c>
      <c r="L2708" t="s">
        <v>8450</v>
      </c>
      <c r="M2708">
        <v>5</v>
      </c>
      <c r="N2708">
        <v>1</v>
      </c>
      <c r="O2708" t="s">
        <v>1036</v>
      </c>
      <c r="P2708" s="17"/>
      <c r="Q2708" s="17" t="str">
        <f>_xlfn.XLOOKUP(Table2[[#This Row],[buyFromVendorNo]],'Next Day Scheduled'!A:A,'Pending Returns'!O:O,"NOT_FOUND")</f>
        <v>NOT_FOUND</v>
      </c>
    </row>
    <row r="2709" spans="1:17" x14ac:dyDescent="0.3">
      <c r="A2709" s="1">
        <v>46229</v>
      </c>
      <c r="B2709" t="s">
        <v>3289</v>
      </c>
      <c r="C2709" t="s">
        <v>3946</v>
      </c>
      <c r="D2709" t="s">
        <v>4628</v>
      </c>
      <c r="E2709" t="s">
        <v>8</v>
      </c>
      <c r="F2709" t="s">
        <v>10</v>
      </c>
      <c r="G2709" s="16">
        <v>38.5</v>
      </c>
      <c r="H2709" s="16">
        <v>44.274999999999999</v>
      </c>
      <c r="I2709" s="1">
        <v>46229</v>
      </c>
      <c r="J2709">
        <v>30</v>
      </c>
      <c r="K2709" t="s">
        <v>7783</v>
      </c>
      <c r="L2709" t="s">
        <v>8417</v>
      </c>
      <c r="M2709">
        <v>5</v>
      </c>
      <c r="N2709">
        <v>1</v>
      </c>
      <c r="O2709" t="s">
        <v>1036</v>
      </c>
      <c r="P2709" s="17"/>
      <c r="Q2709" s="17" t="str">
        <f>_xlfn.XLOOKUP(Table2[[#This Row],[buyFromVendorNo]],'Next Day Scheduled'!A:A,'Pending Returns'!O:O,"NOT_FOUND")</f>
        <v>NOT_FOUND</v>
      </c>
    </row>
    <row r="2710" spans="1:17" x14ac:dyDescent="0.3">
      <c r="A2710" s="1">
        <v>46229</v>
      </c>
      <c r="B2710" t="s">
        <v>5334</v>
      </c>
      <c r="C2710" t="s">
        <v>151</v>
      </c>
      <c r="D2710" t="s">
        <v>152</v>
      </c>
      <c r="E2710" t="s">
        <v>8</v>
      </c>
      <c r="F2710" t="s">
        <v>10</v>
      </c>
      <c r="G2710" s="16">
        <v>1402.6025</v>
      </c>
      <c r="H2710" s="16">
        <v>1612.9929</v>
      </c>
      <c r="I2710" s="1">
        <v>46230</v>
      </c>
      <c r="J2710">
        <v>30</v>
      </c>
      <c r="K2710" t="s">
        <v>8299</v>
      </c>
      <c r="L2710" t="s">
        <v>8474</v>
      </c>
      <c r="M2710">
        <v>3</v>
      </c>
      <c r="N2710">
        <v>2</v>
      </c>
      <c r="O2710" t="s">
        <v>223</v>
      </c>
      <c r="P2710" s="17"/>
      <c r="Q2710" s="17" t="str">
        <f>_xlfn.XLOOKUP(Table2[[#This Row],[buyFromVendorNo]],'Next Day Scheduled'!A:A,'Pending Returns'!O:O,"NOT_FOUND")</f>
        <v>NOT_FOUND</v>
      </c>
    </row>
    <row r="2711" spans="1:17" x14ac:dyDescent="0.3">
      <c r="A2711" s="1">
        <v>46229</v>
      </c>
      <c r="B2711" t="s">
        <v>4460</v>
      </c>
      <c r="C2711" t="s">
        <v>4365</v>
      </c>
      <c r="D2711" t="s">
        <v>4366</v>
      </c>
      <c r="E2711" t="s">
        <v>8</v>
      </c>
      <c r="F2711" t="s">
        <v>169</v>
      </c>
      <c r="G2711" s="16">
        <v>112.08335</v>
      </c>
      <c r="H2711" s="16">
        <v>128.89583999999999</v>
      </c>
      <c r="I2711" s="1">
        <v>46221</v>
      </c>
      <c r="J2711">
        <v>30</v>
      </c>
      <c r="K2711" t="s">
        <v>7764</v>
      </c>
      <c r="L2711" t="s">
        <v>8476</v>
      </c>
      <c r="M2711">
        <v>4</v>
      </c>
      <c r="N2711">
        <v>3</v>
      </c>
      <c r="O2711" t="s">
        <v>1036</v>
      </c>
      <c r="P2711" s="17"/>
      <c r="Q2711" s="17" t="str">
        <f>_xlfn.XLOOKUP(Table2[[#This Row],[buyFromVendorNo]],'Next Day Scheduled'!A:A,'Pending Returns'!O:O,"NOT_FOUND")</f>
        <v>NOT_FOUND</v>
      </c>
    </row>
    <row r="2712" spans="1:17" x14ac:dyDescent="0.3">
      <c r="A2712" s="1">
        <v>46229</v>
      </c>
      <c r="B2712" t="s">
        <v>4460</v>
      </c>
      <c r="C2712" t="s">
        <v>6373</v>
      </c>
      <c r="D2712" t="s">
        <v>6374</v>
      </c>
      <c r="E2712" t="s">
        <v>8</v>
      </c>
      <c r="F2712" t="s">
        <v>169</v>
      </c>
      <c r="G2712" s="16">
        <v>71.2</v>
      </c>
      <c r="H2712" s="16">
        <v>81.88</v>
      </c>
      <c r="I2712" s="1">
        <v>46226</v>
      </c>
      <c r="J2712">
        <v>30</v>
      </c>
      <c r="K2712" t="s">
        <v>7984</v>
      </c>
      <c r="L2712" t="s">
        <v>8467</v>
      </c>
      <c r="M2712">
        <v>5</v>
      </c>
      <c r="N2712">
        <v>3</v>
      </c>
      <c r="O2712" t="s">
        <v>1036</v>
      </c>
      <c r="P2712" s="17"/>
      <c r="Q2712" s="17" t="str">
        <f>_xlfn.XLOOKUP(Table2[[#This Row],[buyFromVendorNo]],'Next Day Scheduled'!A:A,'Pending Returns'!O:O,"NOT_FOUND")</f>
        <v>NOT_FOUND</v>
      </c>
    </row>
    <row r="2713" spans="1:17" x14ac:dyDescent="0.3">
      <c r="A2713" s="1">
        <v>46229</v>
      </c>
      <c r="B2713" t="s">
        <v>763</v>
      </c>
      <c r="C2713" t="s">
        <v>39</v>
      </c>
      <c r="D2713" t="s">
        <v>40</v>
      </c>
      <c r="E2713" t="s">
        <v>8</v>
      </c>
      <c r="F2713" t="s">
        <v>10</v>
      </c>
      <c r="G2713" s="16">
        <v>2278.9848999999999</v>
      </c>
      <c r="H2713" s="16">
        <v>2620.8325</v>
      </c>
      <c r="J2713">
        <v>30</v>
      </c>
      <c r="K2713" t="s">
        <v>8428</v>
      </c>
      <c r="M2713">
        <v>8</v>
      </c>
      <c r="N2713">
        <v>1</v>
      </c>
      <c r="O2713" t="s">
        <v>216</v>
      </c>
      <c r="P2713" s="17"/>
      <c r="Q2713" s="17" t="str">
        <f>_xlfn.XLOOKUP(Table2[[#This Row],[buyFromVendorNo]],'Next Day Scheduled'!A:A,'Pending Returns'!O:O,"NOT_FOUND")</f>
        <v>Posted Credit Note</v>
      </c>
    </row>
    <row r="2714" spans="1:17" x14ac:dyDescent="0.3">
      <c r="A2714" s="1">
        <v>46229</v>
      </c>
      <c r="B2714" t="s">
        <v>2615</v>
      </c>
      <c r="C2714" t="s">
        <v>422</v>
      </c>
      <c r="D2714" t="s">
        <v>490</v>
      </c>
      <c r="E2714" t="s">
        <v>8</v>
      </c>
      <c r="F2714" t="s">
        <v>10</v>
      </c>
      <c r="G2714" s="16">
        <v>12916.653</v>
      </c>
      <c r="H2714" s="16">
        <v>14854.151</v>
      </c>
      <c r="I2714" s="1">
        <v>46226</v>
      </c>
      <c r="J2714">
        <v>30</v>
      </c>
      <c r="K2714" t="s">
        <v>7031</v>
      </c>
      <c r="L2714" t="s">
        <v>8454</v>
      </c>
      <c r="M2714">
        <v>4</v>
      </c>
      <c r="N2714">
        <v>3</v>
      </c>
      <c r="O2714" t="s">
        <v>1036</v>
      </c>
      <c r="P2714" s="17"/>
      <c r="Q2714" s="17" t="str">
        <f>_xlfn.XLOOKUP(Table2[[#This Row],[buyFromVendorNo]],'Next Day Scheduled'!A:A,'Pending Returns'!O:O,"NOT_FOUND")</f>
        <v>NOT_FOUND</v>
      </c>
    </row>
    <row r="2715" spans="1:17" x14ac:dyDescent="0.3">
      <c r="A2715" s="1">
        <v>46229</v>
      </c>
      <c r="B2715" t="s">
        <v>5061</v>
      </c>
      <c r="C2715" t="s">
        <v>358</v>
      </c>
      <c r="D2715" t="s">
        <v>359</v>
      </c>
      <c r="E2715" t="s">
        <v>8</v>
      </c>
      <c r="F2715" t="s">
        <v>10</v>
      </c>
      <c r="G2715" s="16">
        <v>56.5</v>
      </c>
      <c r="H2715" s="16">
        <v>64.974999999999994</v>
      </c>
      <c r="J2715">
        <v>30</v>
      </c>
      <c r="K2715" t="s">
        <v>8426</v>
      </c>
      <c r="M2715">
        <v>4</v>
      </c>
      <c r="N2715">
        <v>1</v>
      </c>
      <c r="O2715" t="s">
        <v>216</v>
      </c>
      <c r="P2715" s="17"/>
      <c r="Q2715" s="17" t="str">
        <f>_xlfn.XLOOKUP(Table2[[#This Row],[buyFromVendorNo]],'Next Day Scheduled'!A:A,'Pending Returns'!O:O,"NOT_FOUND")</f>
        <v>NOT_FOUND</v>
      </c>
    </row>
    <row r="2716" spans="1:17" x14ac:dyDescent="0.3">
      <c r="A2716" s="1">
        <v>46229</v>
      </c>
      <c r="B2716" t="s">
        <v>2857</v>
      </c>
      <c r="C2716" t="s">
        <v>880</v>
      </c>
      <c r="D2716" t="s">
        <v>881</v>
      </c>
      <c r="E2716" t="s">
        <v>8</v>
      </c>
      <c r="F2716" t="s">
        <v>10</v>
      </c>
      <c r="G2716" s="16">
        <v>301.89999999999998</v>
      </c>
      <c r="H2716" s="16">
        <v>347.185</v>
      </c>
      <c r="I2716" s="1">
        <v>46229</v>
      </c>
      <c r="J2716">
        <v>30</v>
      </c>
      <c r="K2716" t="s">
        <v>8246</v>
      </c>
      <c r="L2716" t="s">
        <v>8468</v>
      </c>
      <c r="M2716">
        <v>2</v>
      </c>
      <c r="N2716">
        <v>13</v>
      </c>
      <c r="O2716" t="s">
        <v>1036</v>
      </c>
      <c r="P2716" s="17"/>
      <c r="Q2716" s="17" t="str">
        <f>_xlfn.XLOOKUP(Table2[[#This Row],[buyFromVendorNo]],'Next Day Scheduled'!A:A,'Pending Returns'!O:O,"NOT_FOUND")</f>
        <v>NOT_FOUND</v>
      </c>
    </row>
    <row r="2717" spans="1:17" x14ac:dyDescent="0.3">
      <c r="A2717" s="1">
        <v>46229</v>
      </c>
      <c r="B2717" t="s">
        <v>6392</v>
      </c>
      <c r="C2717" t="s">
        <v>1018</v>
      </c>
      <c r="D2717" t="s">
        <v>1019</v>
      </c>
      <c r="E2717" t="s">
        <v>8</v>
      </c>
      <c r="F2717" t="s">
        <v>10</v>
      </c>
      <c r="G2717" s="16">
        <v>785.36320000000001</v>
      </c>
      <c r="H2717" s="16">
        <v>903.16769999999997</v>
      </c>
      <c r="I2717" s="1">
        <v>46229</v>
      </c>
      <c r="J2717">
        <v>30</v>
      </c>
      <c r="K2717" t="s">
        <v>8259</v>
      </c>
      <c r="L2717" t="s">
        <v>8478</v>
      </c>
      <c r="M2717">
        <v>4</v>
      </c>
      <c r="N2717">
        <v>3</v>
      </c>
      <c r="O2717" t="s">
        <v>1036</v>
      </c>
      <c r="P2717" s="17"/>
      <c r="Q2717" s="17" t="str">
        <f>_xlfn.XLOOKUP(Table2[[#This Row],[buyFromVendorNo]],'Next Day Scheduled'!A:A,'Pending Returns'!O:O,"NOT_FOUND")</f>
        <v>NOT_FOUND</v>
      </c>
    </row>
    <row r="2718" spans="1:17" x14ac:dyDescent="0.3">
      <c r="A2718" s="1">
        <v>46229</v>
      </c>
      <c r="B2718" t="s">
        <v>5064</v>
      </c>
      <c r="C2718" t="s">
        <v>151</v>
      </c>
      <c r="D2718" t="s">
        <v>152</v>
      </c>
      <c r="E2718" t="s">
        <v>8</v>
      </c>
      <c r="F2718" t="s">
        <v>10</v>
      </c>
      <c r="G2718" s="16">
        <v>2931.3325</v>
      </c>
      <c r="H2718" s="16">
        <v>3371.0324999999998</v>
      </c>
      <c r="I2718" s="1">
        <v>46230</v>
      </c>
      <c r="J2718">
        <v>30</v>
      </c>
      <c r="K2718" t="s">
        <v>7801</v>
      </c>
      <c r="L2718" t="s">
        <v>8459</v>
      </c>
      <c r="M2718">
        <v>3</v>
      </c>
      <c r="N2718">
        <v>2</v>
      </c>
      <c r="O2718" t="s">
        <v>223</v>
      </c>
      <c r="P2718" s="17"/>
      <c r="Q2718" s="17" t="str">
        <f>_xlfn.XLOOKUP(Table2[[#This Row],[buyFromVendorNo]],'Next Day Scheduled'!A:A,'Pending Returns'!O:O,"NOT_FOUND")</f>
        <v>NOT_FOUND</v>
      </c>
    </row>
    <row r="2719" spans="1:17" x14ac:dyDescent="0.3">
      <c r="A2719" s="1">
        <v>46229</v>
      </c>
      <c r="B2719" t="s">
        <v>2747</v>
      </c>
      <c r="C2719" t="s">
        <v>632</v>
      </c>
      <c r="D2719" t="s">
        <v>682</v>
      </c>
      <c r="E2719" t="s">
        <v>8</v>
      </c>
      <c r="F2719" t="s">
        <v>10</v>
      </c>
      <c r="G2719" s="16">
        <v>199.65</v>
      </c>
      <c r="H2719" s="16">
        <v>229.5975</v>
      </c>
      <c r="I2719" s="1">
        <v>46225</v>
      </c>
      <c r="J2719">
        <v>30</v>
      </c>
      <c r="K2719" t="s">
        <v>6695</v>
      </c>
      <c r="L2719" t="s">
        <v>8460</v>
      </c>
      <c r="M2719">
        <v>5</v>
      </c>
      <c r="N2719">
        <v>1</v>
      </c>
      <c r="O2719" t="s">
        <v>1036</v>
      </c>
      <c r="P2719" s="17"/>
      <c r="Q2719" s="17" t="str">
        <f>_xlfn.XLOOKUP(Table2[[#This Row],[buyFromVendorNo]],'Next Day Scheduled'!A:A,'Pending Returns'!O:O,"NOT_FOUND")</f>
        <v>NOT_FOUND</v>
      </c>
    </row>
    <row r="2720" spans="1:17" x14ac:dyDescent="0.3">
      <c r="A2720" s="1">
        <v>46229</v>
      </c>
      <c r="B2720" t="s">
        <v>2899</v>
      </c>
      <c r="C2720" t="s">
        <v>877</v>
      </c>
      <c r="D2720" t="s">
        <v>2343</v>
      </c>
      <c r="E2720" t="s">
        <v>8</v>
      </c>
      <c r="F2720" t="s">
        <v>10</v>
      </c>
      <c r="G2720" s="16">
        <v>151.19999999999999</v>
      </c>
      <c r="H2720" s="16">
        <v>173.88</v>
      </c>
      <c r="I2720" s="1">
        <v>46230</v>
      </c>
      <c r="J2720">
        <v>30</v>
      </c>
      <c r="K2720" t="s">
        <v>6564</v>
      </c>
      <c r="L2720" t="s">
        <v>8461</v>
      </c>
      <c r="M2720">
        <v>5</v>
      </c>
      <c r="N2720">
        <v>2</v>
      </c>
      <c r="O2720" t="s">
        <v>223</v>
      </c>
      <c r="P2720" s="17"/>
      <c r="Q2720" s="17" t="str">
        <f>_xlfn.XLOOKUP(Table2[[#This Row],[buyFromVendorNo]],'Next Day Scheduled'!A:A,'Pending Returns'!O:O,"NOT_FOUND")</f>
        <v>NOT_FOUND</v>
      </c>
    </row>
    <row r="2721" spans="1:17" x14ac:dyDescent="0.3">
      <c r="A2721" s="1">
        <v>46229</v>
      </c>
      <c r="B2721" t="s">
        <v>6775</v>
      </c>
      <c r="C2721" t="s">
        <v>34</v>
      </c>
      <c r="D2721" t="s">
        <v>35</v>
      </c>
      <c r="E2721" t="s">
        <v>8</v>
      </c>
      <c r="F2721" t="s">
        <v>169</v>
      </c>
      <c r="G2721" s="16">
        <v>165.11</v>
      </c>
      <c r="H2721" s="16">
        <v>189.87649999999999</v>
      </c>
      <c r="I2721" s="1">
        <v>46221</v>
      </c>
      <c r="J2721">
        <v>30</v>
      </c>
      <c r="K2721" t="s">
        <v>6776</v>
      </c>
      <c r="L2721" t="s">
        <v>8462</v>
      </c>
      <c r="M2721">
        <v>3</v>
      </c>
      <c r="N2721">
        <v>3</v>
      </c>
      <c r="O2721" t="s">
        <v>1036</v>
      </c>
      <c r="P2721" s="17"/>
      <c r="Q2721" s="17" t="str">
        <f>_xlfn.XLOOKUP(Table2[[#This Row],[buyFromVendorNo]],'Next Day Scheduled'!A:A,'Pending Returns'!O:O,"NOT_FOUND")</f>
        <v>Posted Credit Note</v>
      </c>
    </row>
    <row r="2722" spans="1:17" x14ac:dyDescent="0.3">
      <c r="A2722" s="1">
        <v>46229</v>
      </c>
      <c r="B2722" t="s">
        <v>4460</v>
      </c>
      <c r="C2722" t="s">
        <v>422</v>
      </c>
      <c r="D2722" t="s">
        <v>490</v>
      </c>
      <c r="E2722" t="s">
        <v>8</v>
      </c>
      <c r="F2722" t="s">
        <v>169</v>
      </c>
      <c r="G2722" s="16">
        <v>122.67901999999999</v>
      </c>
      <c r="H2722" s="16">
        <v>141.08089000000001</v>
      </c>
      <c r="I2722" s="1">
        <v>46226</v>
      </c>
      <c r="J2722">
        <v>30</v>
      </c>
      <c r="K2722" t="s">
        <v>7990</v>
      </c>
      <c r="L2722" t="s">
        <v>8451</v>
      </c>
      <c r="M2722">
        <v>4</v>
      </c>
      <c r="N2722">
        <v>3</v>
      </c>
      <c r="O2722" t="s">
        <v>1036</v>
      </c>
      <c r="P2722" s="17"/>
      <c r="Q2722" s="17" t="str">
        <f>_xlfn.XLOOKUP(Table2[[#This Row],[buyFromVendorNo]],'Next Day Scheduled'!A:A,'Pending Returns'!O:O,"NOT_FOUND")</f>
        <v>NOT_FOUND</v>
      </c>
    </row>
    <row r="2723" spans="1:17" x14ac:dyDescent="0.3">
      <c r="A2723" s="1">
        <v>46229</v>
      </c>
      <c r="B2723" t="s">
        <v>642</v>
      </c>
      <c r="C2723" t="s">
        <v>5007</v>
      </c>
      <c r="D2723" t="s">
        <v>5008</v>
      </c>
      <c r="E2723" t="s">
        <v>8</v>
      </c>
      <c r="F2723" t="s">
        <v>38</v>
      </c>
      <c r="G2723" s="16">
        <v>144.001</v>
      </c>
      <c r="H2723" s="16">
        <v>165.60114999999999</v>
      </c>
      <c r="I2723" s="1">
        <v>46229</v>
      </c>
      <c r="J2723">
        <v>30</v>
      </c>
      <c r="K2723" t="s">
        <v>7985</v>
      </c>
      <c r="L2723" t="s">
        <v>8473</v>
      </c>
      <c r="M2723">
        <v>4</v>
      </c>
      <c r="N2723">
        <v>7</v>
      </c>
      <c r="O2723" t="s">
        <v>1036</v>
      </c>
      <c r="P2723" s="17"/>
      <c r="Q2723" s="17" t="str">
        <f>_xlfn.XLOOKUP(Table2[[#This Row],[buyFromVendorNo]],'Next Day Scheduled'!A:A,'Pending Returns'!O:O,"NOT_FOUND")</f>
        <v>NOT_FOUND</v>
      </c>
    </row>
    <row r="2724" spans="1:17" x14ac:dyDescent="0.3">
      <c r="A2724" s="1">
        <v>46229</v>
      </c>
      <c r="B2724" t="s">
        <v>5609</v>
      </c>
      <c r="C2724" t="s">
        <v>6373</v>
      </c>
      <c r="D2724" t="s">
        <v>6374</v>
      </c>
      <c r="E2724" t="s">
        <v>8</v>
      </c>
      <c r="F2724" t="s">
        <v>169</v>
      </c>
      <c r="G2724" s="16">
        <v>427.2</v>
      </c>
      <c r="H2724" s="16">
        <v>491.28</v>
      </c>
      <c r="I2724" s="1">
        <v>46226</v>
      </c>
      <c r="J2724">
        <v>30</v>
      </c>
      <c r="K2724" t="s">
        <v>7697</v>
      </c>
      <c r="L2724" t="s">
        <v>8452</v>
      </c>
      <c r="M2724">
        <v>5</v>
      </c>
      <c r="N2724">
        <v>3</v>
      </c>
      <c r="O2724" t="s">
        <v>1036</v>
      </c>
      <c r="P2724" s="17"/>
      <c r="Q2724" s="17" t="str">
        <f>_xlfn.XLOOKUP(Table2[[#This Row],[buyFromVendorNo]],'Next Day Scheduled'!A:A,'Pending Returns'!O:O,"NOT_FOUND")</f>
        <v>NOT_FOUND</v>
      </c>
    </row>
    <row r="2725" spans="1:17" x14ac:dyDescent="0.3">
      <c r="A2725" s="1">
        <v>46229</v>
      </c>
      <c r="B2725" t="s">
        <v>642</v>
      </c>
      <c r="C2725" t="s">
        <v>582</v>
      </c>
      <c r="D2725" t="s">
        <v>583</v>
      </c>
      <c r="E2725" t="s">
        <v>8</v>
      </c>
      <c r="F2725" t="s">
        <v>38</v>
      </c>
      <c r="G2725" s="16">
        <v>394.34</v>
      </c>
      <c r="H2725" s="16">
        <v>453.49099999999999</v>
      </c>
      <c r="I2725" s="1">
        <v>46229</v>
      </c>
      <c r="J2725">
        <v>30</v>
      </c>
      <c r="K2725" t="s">
        <v>8062</v>
      </c>
      <c r="L2725" t="s">
        <v>8453</v>
      </c>
      <c r="M2725">
        <v>6</v>
      </c>
      <c r="N2725">
        <v>6</v>
      </c>
      <c r="O2725" t="s">
        <v>1036</v>
      </c>
      <c r="P2725" s="17"/>
      <c r="Q2725" s="17" t="str">
        <f>_xlfn.XLOOKUP(Table2[[#This Row],[buyFromVendorNo]],'Next Day Scheduled'!A:A,'Pending Returns'!O:O,"NOT_FOUND")</f>
        <v>NOT_FOUND</v>
      </c>
    </row>
    <row r="2726" spans="1:17" x14ac:dyDescent="0.3">
      <c r="A2726" s="1">
        <v>46229</v>
      </c>
      <c r="B2726" t="s">
        <v>3333</v>
      </c>
      <c r="C2726" t="s">
        <v>884</v>
      </c>
      <c r="D2726" t="s">
        <v>885</v>
      </c>
      <c r="E2726" t="s">
        <v>8</v>
      </c>
      <c r="F2726" t="s">
        <v>10</v>
      </c>
      <c r="G2726" s="16">
        <v>633.88</v>
      </c>
      <c r="H2726" s="16">
        <v>728.96199999999999</v>
      </c>
      <c r="I2726" s="1">
        <v>46229</v>
      </c>
      <c r="J2726">
        <v>30</v>
      </c>
      <c r="K2726" t="s">
        <v>7193</v>
      </c>
      <c r="L2726" t="s">
        <v>8470</v>
      </c>
      <c r="M2726">
        <v>0</v>
      </c>
      <c r="N2726">
        <v>226</v>
      </c>
      <c r="O2726" t="s">
        <v>1036</v>
      </c>
      <c r="P2726" s="17"/>
      <c r="Q2726" s="17" t="str">
        <f>_xlfn.XLOOKUP(Table2[[#This Row],[buyFromVendorNo]],'Next Day Scheduled'!A:A,'Pending Returns'!O:O,"NOT_FOUND")</f>
        <v>NOT_FOUND</v>
      </c>
    </row>
    <row r="2727" spans="1:17" x14ac:dyDescent="0.3">
      <c r="A2727" s="1">
        <v>46229</v>
      </c>
      <c r="B2727" t="s">
        <v>8389</v>
      </c>
      <c r="C2727" t="s">
        <v>632</v>
      </c>
      <c r="D2727" t="s">
        <v>682</v>
      </c>
      <c r="E2727" t="s">
        <v>8</v>
      </c>
      <c r="F2727" t="s">
        <v>10</v>
      </c>
      <c r="G2727" s="16">
        <v>213</v>
      </c>
      <c r="H2727" s="16">
        <v>244.95</v>
      </c>
      <c r="I2727" s="1">
        <v>46229</v>
      </c>
      <c r="J2727">
        <v>30</v>
      </c>
      <c r="K2727" t="s">
        <v>8390</v>
      </c>
      <c r="L2727" t="s">
        <v>8465</v>
      </c>
      <c r="M2727">
        <v>5</v>
      </c>
      <c r="N2727">
        <v>1</v>
      </c>
      <c r="O2727" t="s">
        <v>1036</v>
      </c>
      <c r="P2727" s="17"/>
      <c r="Q2727" s="17" t="str">
        <f>_xlfn.XLOOKUP(Table2[[#This Row],[buyFromVendorNo]],'Next Day Scheduled'!A:A,'Pending Returns'!O:O,"NOT_FOUND")</f>
        <v>NOT_FOUND</v>
      </c>
    </row>
    <row r="2728" spans="1:17" x14ac:dyDescent="0.3">
      <c r="A2728" s="1">
        <v>46229</v>
      </c>
      <c r="B2728" t="s">
        <v>7622</v>
      </c>
      <c r="C2728" t="s">
        <v>884</v>
      </c>
      <c r="D2728" t="s">
        <v>885</v>
      </c>
      <c r="E2728" t="s">
        <v>8</v>
      </c>
      <c r="F2728" t="s">
        <v>10</v>
      </c>
      <c r="G2728" s="16">
        <v>50.6</v>
      </c>
      <c r="H2728" s="16">
        <v>58.19</v>
      </c>
      <c r="I2728" s="1">
        <v>46229</v>
      </c>
      <c r="J2728">
        <v>30</v>
      </c>
      <c r="K2728" t="s">
        <v>7623</v>
      </c>
      <c r="L2728" t="s">
        <v>8477</v>
      </c>
      <c r="M2728">
        <v>0</v>
      </c>
      <c r="N2728">
        <v>226</v>
      </c>
      <c r="O2728" t="s">
        <v>1036</v>
      </c>
      <c r="P2728" s="17"/>
      <c r="Q2728" s="17" t="str">
        <f>_xlfn.XLOOKUP(Table2[[#This Row],[buyFromVendorNo]],'Next Day Scheduled'!A:A,'Pending Returns'!O:O,"NOT_FOUND")</f>
        <v>NOT_FOUND</v>
      </c>
    </row>
    <row r="2729" spans="1:17" x14ac:dyDescent="0.3">
      <c r="A2729" s="1">
        <v>46229</v>
      </c>
      <c r="B2729" t="s">
        <v>1490</v>
      </c>
      <c r="C2729" t="s">
        <v>2289</v>
      </c>
      <c r="D2729" t="s">
        <v>2403</v>
      </c>
      <c r="E2729" t="s">
        <v>8</v>
      </c>
      <c r="F2729" t="s">
        <v>10</v>
      </c>
      <c r="G2729" s="16">
        <v>2166.0100000000002</v>
      </c>
      <c r="H2729" s="16">
        <v>2490.9115999999999</v>
      </c>
      <c r="I2729" s="1">
        <v>46214</v>
      </c>
      <c r="J2729">
        <v>30</v>
      </c>
      <c r="K2729" t="s">
        <v>2404</v>
      </c>
      <c r="L2729" t="s">
        <v>8457</v>
      </c>
      <c r="M2729">
        <v>6</v>
      </c>
      <c r="N2729">
        <v>7</v>
      </c>
      <c r="O2729" t="s">
        <v>1036</v>
      </c>
      <c r="P2729" s="17"/>
      <c r="Q2729" s="17" t="str">
        <f>_xlfn.XLOOKUP(Table2[[#This Row],[buyFromVendorNo]],'Next Day Scheduled'!A:A,'Pending Returns'!O:O,"NOT_FOUND")</f>
        <v>NOT_FOUND</v>
      </c>
    </row>
    <row r="2730" spans="1:17" x14ac:dyDescent="0.3">
      <c r="A2730" s="1">
        <v>46229</v>
      </c>
      <c r="B2730" t="s">
        <v>642</v>
      </c>
      <c r="C2730" t="s">
        <v>69</v>
      </c>
      <c r="D2730" t="s">
        <v>70</v>
      </c>
      <c r="E2730" t="s">
        <v>8</v>
      </c>
      <c r="F2730" t="s">
        <v>38</v>
      </c>
      <c r="G2730" s="16">
        <v>294.68</v>
      </c>
      <c r="H2730" s="16">
        <v>338.88200000000001</v>
      </c>
      <c r="I2730" s="1">
        <v>46229</v>
      </c>
      <c r="J2730">
        <v>30</v>
      </c>
      <c r="K2730" t="s">
        <v>8463</v>
      </c>
      <c r="L2730" t="s">
        <v>8464</v>
      </c>
      <c r="M2730">
        <v>12</v>
      </c>
      <c r="N2730">
        <v>2</v>
      </c>
      <c r="O2730" t="s">
        <v>1036</v>
      </c>
      <c r="P2730" s="17"/>
      <c r="Q2730" s="17" t="str">
        <f>_xlfn.XLOOKUP(Table2[[#This Row],[buyFromVendorNo]],'Next Day Scheduled'!A:A,'Pending Returns'!O:O,"NOT_FOUND")</f>
        <v>Posted Credit Note</v>
      </c>
    </row>
    <row r="2731" spans="1:17" x14ac:dyDescent="0.3">
      <c r="A2731" s="1">
        <v>46229</v>
      </c>
      <c r="B2731" t="s">
        <v>642</v>
      </c>
      <c r="C2731" t="s">
        <v>812</v>
      </c>
      <c r="D2731" t="s">
        <v>2394</v>
      </c>
      <c r="E2731" t="s">
        <v>8</v>
      </c>
      <c r="F2731" t="s">
        <v>38</v>
      </c>
      <c r="G2731" s="16">
        <v>1903</v>
      </c>
      <c r="H2731" s="16">
        <v>2188.4499999999998</v>
      </c>
      <c r="I2731" s="1">
        <v>46215</v>
      </c>
      <c r="J2731">
        <v>30</v>
      </c>
      <c r="K2731" t="s">
        <v>6852</v>
      </c>
      <c r="L2731" t="s">
        <v>8472</v>
      </c>
      <c r="M2731">
        <v>5</v>
      </c>
      <c r="N2731">
        <v>6</v>
      </c>
      <c r="O2731" t="s">
        <v>1036</v>
      </c>
      <c r="P2731" s="17"/>
      <c r="Q2731" s="17" t="str">
        <f>_xlfn.XLOOKUP(Table2[[#This Row],[buyFromVendorNo]],'Next Day Scheduled'!A:A,'Pending Returns'!O:O,"NOT_FOUND")</f>
        <v>NOT_FOUND</v>
      </c>
    </row>
    <row r="2732" spans="1:17" x14ac:dyDescent="0.3">
      <c r="A2732" s="1">
        <v>46229</v>
      </c>
      <c r="B2732" t="s">
        <v>4031</v>
      </c>
      <c r="C2732" t="s">
        <v>422</v>
      </c>
      <c r="D2732" t="s">
        <v>490</v>
      </c>
      <c r="E2732" t="s">
        <v>8</v>
      </c>
      <c r="F2732" t="s">
        <v>169</v>
      </c>
      <c r="G2732" s="16">
        <v>129.65118000000001</v>
      </c>
      <c r="H2732" s="16">
        <v>149.09888000000001</v>
      </c>
      <c r="I2732" s="1">
        <v>46226</v>
      </c>
      <c r="J2732">
        <v>30</v>
      </c>
      <c r="K2732" t="s">
        <v>8346</v>
      </c>
      <c r="L2732" t="s">
        <v>8469</v>
      </c>
      <c r="M2732">
        <v>4</v>
      </c>
      <c r="N2732">
        <v>3</v>
      </c>
      <c r="O2732" t="s">
        <v>1036</v>
      </c>
      <c r="P2732" s="17"/>
      <c r="Q2732" s="17" t="str">
        <f>_xlfn.XLOOKUP(Table2[[#This Row],[buyFromVendorNo]],'Next Day Scheduled'!A:A,'Pending Returns'!O:O,"NOT_FOUND")</f>
        <v>NOT_FOUND</v>
      </c>
    </row>
    <row r="2733" spans="1:17" x14ac:dyDescent="0.3">
      <c r="A2733" s="1">
        <v>46229</v>
      </c>
      <c r="B2733" t="s">
        <v>2723</v>
      </c>
      <c r="C2733" t="s">
        <v>422</v>
      </c>
      <c r="D2733" t="s">
        <v>490</v>
      </c>
      <c r="E2733" t="s">
        <v>8</v>
      </c>
      <c r="F2733" t="s">
        <v>10</v>
      </c>
      <c r="G2733" s="16">
        <v>6402.85</v>
      </c>
      <c r="H2733" s="16">
        <v>7363.2772999999997</v>
      </c>
      <c r="I2733" s="1">
        <v>46226</v>
      </c>
      <c r="J2733">
        <v>30</v>
      </c>
      <c r="K2733" t="s">
        <v>6680</v>
      </c>
      <c r="L2733" t="s">
        <v>8456</v>
      </c>
      <c r="M2733">
        <v>4</v>
      </c>
      <c r="N2733">
        <v>3</v>
      </c>
      <c r="O2733" t="s">
        <v>1036</v>
      </c>
      <c r="P2733" s="17"/>
      <c r="Q2733" s="17" t="str">
        <f>_xlfn.XLOOKUP(Table2[[#This Row],[buyFromVendorNo]],'Next Day Scheduled'!A:A,'Pending Returns'!O:O,"NOT_FOUND")</f>
        <v>NOT_FOUND</v>
      </c>
    </row>
    <row r="2734" spans="1:17" x14ac:dyDescent="0.3">
      <c r="A2734" s="1">
        <v>46229</v>
      </c>
      <c r="B2734" t="s">
        <v>6744</v>
      </c>
      <c r="C2734" t="s">
        <v>57</v>
      </c>
      <c r="D2734" t="s">
        <v>58</v>
      </c>
      <c r="E2734" t="s">
        <v>8</v>
      </c>
      <c r="F2734" t="s">
        <v>38</v>
      </c>
      <c r="G2734" s="16">
        <v>30</v>
      </c>
      <c r="H2734" s="16">
        <v>34.5</v>
      </c>
      <c r="I2734" s="1">
        <v>46229</v>
      </c>
      <c r="J2734">
        <v>30</v>
      </c>
      <c r="K2734" t="s">
        <v>6745</v>
      </c>
      <c r="L2734" t="s">
        <v>8466</v>
      </c>
      <c r="M2734">
        <v>0</v>
      </c>
      <c r="N2734">
        <v>191</v>
      </c>
      <c r="O2734" t="s">
        <v>1036</v>
      </c>
      <c r="P2734" s="17"/>
      <c r="Q2734" s="17" t="str">
        <f>_xlfn.XLOOKUP(Table2[[#This Row],[buyFromVendorNo]],'Next Day Scheduled'!A:A,'Pending Returns'!O:O,"NOT_FOUND")</f>
        <v>Posted Credit Note</v>
      </c>
    </row>
    <row r="2735" spans="1:17" x14ac:dyDescent="0.3">
      <c r="A2735" s="1">
        <v>46229</v>
      </c>
      <c r="B2735" t="s">
        <v>5432</v>
      </c>
      <c r="C2735" t="s">
        <v>422</v>
      </c>
      <c r="D2735" t="s">
        <v>490</v>
      </c>
      <c r="E2735" t="s">
        <v>8</v>
      </c>
      <c r="F2735" t="s">
        <v>10</v>
      </c>
      <c r="G2735" s="16">
        <v>2280.4931999999999</v>
      </c>
      <c r="H2735" s="16">
        <v>2622.5671000000002</v>
      </c>
      <c r="I2735" s="1">
        <v>46226</v>
      </c>
      <c r="J2735">
        <v>30</v>
      </c>
      <c r="K2735" t="s">
        <v>7776</v>
      </c>
      <c r="L2735" t="s">
        <v>8458</v>
      </c>
      <c r="M2735">
        <v>4</v>
      </c>
      <c r="N2735">
        <v>3</v>
      </c>
      <c r="O2735" t="s">
        <v>1036</v>
      </c>
      <c r="P2735" s="17"/>
      <c r="Q2735" s="17" t="str">
        <f>_xlfn.XLOOKUP(Table2[[#This Row],[buyFromVendorNo]],'Next Day Scheduled'!A:A,'Pending Returns'!O:O,"NOT_FOUND")</f>
        <v>NOT_FOUND</v>
      </c>
    </row>
    <row r="2736" spans="1:17" x14ac:dyDescent="0.3">
      <c r="A2736" s="1">
        <v>46229</v>
      </c>
      <c r="B2736" t="s">
        <v>800</v>
      </c>
      <c r="C2736" t="s">
        <v>562</v>
      </c>
      <c r="D2736" t="s">
        <v>563</v>
      </c>
      <c r="E2736" t="s">
        <v>8</v>
      </c>
      <c r="F2736" t="s">
        <v>10</v>
      </c>
      <c r="G2736" s="16">
        <v>697.68</v>
      </c>
      <c r="H2736" s="16">
        <v>802.33199999999999</v>
      </c>
      <c r="I2736" s="1">
        <v>46219</v>
      </c>
      <c r="J2736">
        <v>30</v>
      </c>
      <c r="K2736" t="s">
        <v>7724</v>
      </c>
      <c r="L2736" t="s">
        <v>8418</v>
      </c>
      <c r="M2736">
        <v>14</v>
      </c>
      <c r="N2736">
        <v>1</v>
      </c>
      <c r="O2736" t="s">
        <v>1036</v>
      </c>
      <c r="P2736" s="17"/>
      <c r="Q2736" s="17" t="str">
        <f>_xlfn.XLOOKUP(Table2[[#This Row],[buyFromVendorNo]],'Next Day Scheduled'!A:A,'Pending Returns'!O:O,"NOT_FOUND")</f>
        <v>NOT_FOUND</v>
      </c>
    </row>
    <row r="2737" spans="1:17" x14ac:dyDescent="0.3">
      <c r="A2737" s="1">
        <v>46230</v>
      </c>
      <c r="B2737" t="s">
        <v>800</v>
      </c>
      <c r="C2737" t="s">
        <v>548</v>
      </c>
      <c r="D2737" t="s">
        <v>549</v>
      </c>
      <c r="E2737" t="s">
        <v>8</v>
      </c>
      <c r="F2737" t="s">
        <v>10</v>
      </c>
      <c r="G2737" s="16">
        <v>1712.4019000000001</v>
      </c>
      <c r="H2737" s="16">
        <v>1969.2621999999999</v>
      </c>
      <c r="I2737" s="1">
        <v>46216</v>
      </c>
      <c r="J2737">
        <v>29</v>
      </c>
      <c r="K2737" t="s">
        <v>7426</v>
      </c>
      <c r="L2737" t="s">
        <v>8530</v>
      </c>
      <c r="M2737">
        <v>4</v>
      </c>
      <c r="N2737">
        <v>3</v>
      </c>
      <c r="O2737" t="s">
        <v>1036</v>
      </c>
      <c r="P2737" s="17"/>
      <c r="Q2737" s="17" t="str">
        <f>_xlfn.XLOOKUP(Table2[[#This Row],[buyFromVendorNo]],'Next Day Scheduled'!A:A,'Pending Returns'!O:O,"NOT_FOUND")</f>
        <v>NOT_FOUND</v>
      </c>
    </row>
    <row r="2738" spans="1:17" x14ac:dyDescent="0.3">
      <c r="A2738" s="1">
        <v>46230</v>
      </c>
      <c r="B2738" t="s">
        <v>763</v>
      </c>
      <c r="C2738" t="s">
        <v>381</v>
      </c>
      <c r="D2738" t="s">
        <v>382</v>
      </c>
      <c r="E2738" t="s">
        <v>8</v>
      </c>
      <c r="F2738" t="s">
        <v>10</v>
      </c>
      <c r="G2738" s="16">
        <v>142.25</v>
      </c>
      <c r="H2738" s="16">
        <v>163.58750000000001</v>
      </c>
      <c r="I2738" s="1">
        <v>46229</v>
      </c>
      <c r="J2738">
        <v>29</v>
      </c>
      <c r="K2738" t="s">
        <v>8121</v>
      </c>
      <c r="L2738" t="s">
        <v>8517</v>
      </c>
      <c r="M2738">
        <v>4</v>
      </c>
      <c r="N2738">
        <v>3</v>
      </c>
      <c r="O2738" t="s">
        <v>1036</v>
      </c>
      <c r="P2738" s="17"/>
      <c r="Q2738" s="17" t="str">
        <f>_xlfn.XLOOKUP(Table2[[#This Row],[buyFromVendorNo]],'Next Day Scheduled'!A:A,'Pending Returns'!O:O,"NOT_FOUND")</f>
        <v>NOT_FOUND</v>
      </c>
    </row>
    <row r="2739" spans="1:17" x14ac:dyDescent="0.3">
      <c r="A2739" s="1">
        <v>46230</v>
      </c>
      <c r="B2739" t="s">
        <v>2617</v>
      </c>
      <c r="C2739" t="s">
        <v>65</v>
      </c>
      <c r="D2739" t="s">
        <v>66</v>
      </c>
      <c r="E2739" t="s">
        <v>8</v>
      </c>
      <c r="F2739" t="s">
        <v>10</v>
      </c>
      <c r="G2739" s="16">
        <v>946.00699999999995</v>
      </c>
      <c r="H2739" s="16">
        <v>1087.9081000000001</v>
      </c>
      <c r="J2739">
        <v>29</v>
      </c>
      <c r="K2739" t="s">
        <v>8564</v>
      </c>
      <c r="M2739">
        <v>10</v>
      </c>
      <c r="N2739">
        <v>5</v>
      </c>
      <c r="O2739" t="s">
        <v>216</v>
      </c>
      <c r="P2739" s="17"/>
      <c r="Q2739" s="17" t="str">
        <f>_xlfn.XLOOKUP(Table2[[#This Row],[buyFromVendorNo]],'Next Day Scheduled'!A:A,'Pending Returns'!O:O,"NOT_FOUND")</f>
        <v>Posted Credit Note</v>
      </c>
    </row>
    <row r="2740" spans="1:17" x14ac:dyDescent="0.3">
      <c r="A2740" s="1">
        <v>46230</v>
      </c>
      <c r="B2740" t="s">
        <v>1741</v>
      </c>
      <c r="C2740" t="s">
        <v>776</v>
      </c>
      <c r="D2740" t="s">
        <v>777</v>
      </c>
      <c r="E2740" t="s">
        <v>8</v>
      </c>
      <c r="F2740" t="s">
        <v>10</v>
      </c>
      <c r="G2740" s="16">
        <v>194.33</v>
      </c>
      <c r="H2740" s="16">
        <v>223.4795</v>
      </c>
      <c r="I2740" s="1">
        <v>46230</v>
      </c>
      <c r="J2740">
        <v>29</v>
      </c>
      <c r="K2740" t="s">
        <v>8274</v>
      </c>
      <c r="L2740" t="s">
        <v>8487</v>
      </c>
      <c r="M2740">
        <v>10</v>
      </c>
      <c r="N2740">
        <v>2</v>
      </c>
      <c r="O2740" t="s">
        <v>1036</v>
      </c>
      <c r="P2740" s="17"/>
      <c r="Q2740" s="17" t="str">
        <f>_xlfn.XLOOKUP(Table2[[#This Row],[buyFromVendorNo]],'Next Day Scheduled'!A:A,'Pending Returns'!O:O,"NOT_FOUND")</f>
        <v>Posted Credit Note</v>
      </c>
    </row>
    <row r="2741" spans="1:17" x14ac:dyDescent="0.3">
      <c r="A2741" s="1">
        <v>46230</v>
      </c>
      <c r="B2741" t="s">
        <v>5276</v>
      </c>
      <c r="C2741" t="s">
        <v>199</v>
      </c>
      <c r="D2741" t="s">
        <v>200</v>
      </c>
      <c r="E2741" t="s">
        <v>8</v>
      </c>
      <c r="F2741" t="s">
        <v>10</v>
      </c>
      <c r="G2741" s="16">
        <v>1117.2</v>
      </c>
      <c r="H2741" s="16">
        <v>1284.78</v>
      </c>
      <c r="I2741" s="1">
        <v>46211</v>
      </c>
      <c r="J2741">
        <v>29</v>
      </c>
      <c r="K2741" t="s">
        <v>6432</v>
      </c>
      <c r="L2741" t="s">
        <v>8488</v>
      </c>
      <c r="M2741">
        <v>4</v>
      </c>
      <c r="N2741">
        <v>6</v>
      </c>
      <c r="O2741" t="s">
        <v>1036</v>
      </c>
      <c r="P2741" s="17"/>
      <c r="Q2741" s="17" t="str">
        <f>_xlfn.XLOOKUP(Table2[[#This Row],[buyFromVendorNo]],'Next Day Scheduled'!A:A,'Pending Returns'!O:O,"NOT_FOUND")</f>
        <v>NOT_FOUND</v>
      </c>
    </row>
    <row r="2742" spans="1:17" x14ac:dyDescent="0.3">
      <c r="A2742" s="1">
        <v>46230</v>
      </c>
      <c r="B2742" t="s">
        <v>312</v>
      </c>
      <c r="C2742" t="s">
        <v>199</v>
      </c>
      <c r="D2742" t="s">
        <v>200</v>
      </c>
      <c r="E2742" t="s">
        <v>8</v>
      </c>
      <c r="F2742" t="s">
        <v>10</v>
      </c>
      <c r="G2742" s="16">
        <v>600.70000000000005</v>
      </c>
      <c r="H2742" s="16">
        <v>690.80499999999995</v>
      </c>
      <c r="I2742" s="1">
        <v>46205</v>
      </c>
      <c r="J2742">
        <v>29</v>
      </c>
      <c r="K2742" t="s">
        <v>4400</v>
      </c>
      <c r="L2742" t="s">
        <v>8489</v>
      </c>
      <c r="M2742">
        <v>4</v>
      </c>
      <c r="N2742">
        <v>6</v>
      </c>
      <c r="O2742" t="s">
        <v>1036</v>
      </c>
      <c r="P2742" s="17"/>
      <c r="Q2742" s="17" t="str">
        <f>_xlfn.XLOOKUP(Table2[[#This Row],[buyFromVendorNo]],'Next Day Scheduled'!A:A,'Pending Returns'!O:O,"NOT_FOUND")</f>
        <v>NOT_FOUND</v>
      </c>
    </row>
    <row r="2743" spans="1:17" x14ac:dyDescent="0.3">
      <c r="A2743" s="1">
        <v>46230</v>
      </c>
      <c r="B2743" t="s">
        <v>3339</v>
      </c>
      <c r="C2743" t="s">
        <v>69</v>
      </c>
      <c r="D2743" t="s">
        <v>70</v>
      </c>
      <c r="E2743" t="s">
        <v>8</v>
      </c>
      <c r="F2743" t="s">
        <v>10</v>
      </c>
      <c r="G2743" s="16">
        <v>760.99</v>
      </c>
      <c r="H2743" s="16">
        <v>875.13850000000002</v>
      </c>
      <c r="J2743">
        <v>29</v>
      </c>
      <c r="K2743" t="s">
        <v>8556</v>
      </c>
      <c r="M2743">
        <v>22</v>
      </c>
      <c r="N2743">
        <v>1</v>
      </c>
      <c r="O2743" t="s">
        <v>216</v>
      </c>
      <c r="P2743" s="17"/>
      <c r="Q2743" s="17" t="str">
        <f>_xlfn.XLOOKUP(Table2[[#This Row],[buyFromVendorNo]],'Next Day Scheduled'!A:A,'Pending Returns'!O:O,"NOT_FOUND")</f>
        <v>Posted Credit Note</v>
      </c>
    </row>
    <row r="2744" spans="1:17" x14ac:dyDescent="0.3">
      <c r="A2744" s="1">
        <v>46230</v>
      </c>
      <c r="B2744" t="s">
        <v>3001</v>
      </c>
      <c r="C2744" t="s">
        <v>199</v>
      </c>
      <c r="D2744" t="s">
        <v>200</v>
      </c>
      <c r="E2744" t="s">
        <v>8</v>
      </c>
      <c r="F2744" t="s">
        <v>10</v>
      </c>
      <c r="G2744" s="16">
        <v>895</v>
      </c>
      <c r="H2744" s="16">
        <v>1029.25</v>
      </c>
      <c r="I2744" s="1">
        <v>46211</v>
      </c>
      <c r="J2744">
        <v>29</v>
      </c>
      <c r="K2744" t="s">
        <v>6702</v>
      </c>
      <c r="L2744" t="s">
        <v>8503</v>
      </c>
      <c r="M2744">
        <v>4</v>
      </c>
      <c r="N2744">
        <v>6</v>
      </c>
      <c r="O2744" t="s">
        <v>1036</v>
      </c>
      <c r="P2744" s="17"/>
      <c r="Q2744" s="17" t="str">
        <f>_xlfn.XLOOKUP(Table2[[#This Row],[buyFromVendorNo]],'Next Day Scheduled'!A:A,'Pending Returns'!O:O,"NOT_FOUND")</f>
        <v>NOT_FOUND</v>
      </c>
    </row>
    <row r="2745" spans="1:17" x14ac:dyDescent="0.3">
      <c r="A2745" s="1">
        <v>46230</v>
      </c>
      <c r="B2745" t="s">
        <v>392</v>
      </c>
      <c r="C2745" t="s">
        <v>199</v>
      </c>
      <c r="D2745" t="s">
        <v>200</v>
      </c>
      <c r="E2745" t="s">
        <v>8</v>
      </c>
      <c r="F2745" t="s">
        <v>10</v>
      </c>
      <c r="G2745" s="16">
        <v>718.5</v>
      </c>
      <c r="H2745" s="16">
        <v>826.27499999999998</v>
      </c>
      <c r="I2745" s="1">
        <v>46205</v>
      </c>
      <c r="J2745">
        <v>29</v>
      </c>
      <c r="K2745" t="s">
        <v>5811</v>
      </c>
      <c r="L2745" t="s">
        <v>8534</v>
      </c>
      <c r="M2745">
        <v>4</v>
      </c>
      <c r="N2745">
        <v>6</v>
      </c>
      <c r="O2745" t="s">
        <v>1036</v>
      </c>
      <c r="P2745" s="17"/>
      <c r="Q2745" s="17" t="str">
        <f>_xlfn.XLOOKUP(Table2[[#This Row],[buyFromVendorNo]],'Next Day Scheduled'!A:A,'Pending Returns'!O:O,"NOT_FOUND")</f>
        <v>NOT_FOUND</v>
      </c>
    </row>
    <row r="2746" spans="1:17" x14ac:dyDescent="0.3">
      <c r="A2746" s="1">
        <v>46230</v>
      </c>
      <c r="B2746" t="s">
        <v>4460</v>
      </c>
      <c r="C2746" t="s">
        <v>65</v>
      </c>
      <c r="D2746" t="s">
        <v>66</v>
      </c>
      <c r="E2746" t="s">
        <v>8</v>
      </c>
      <c r="F2746" t="s">
        <v>169</v>
      </c>
      <c r="G2746" s="16">
        <v>68.37</v>
      </c>
      <c r="H2746" s="16">
        <v>78.625500000000002</v>
      </c>
      <c r="I2746" s="1">
        <v>46221</v>
      </c>
      <c r="J2746">
        <v>29</v>
      </c>
      <c r="K2746" t="s">
        <v>7763</v>
      </c>
      <c r="L2746" t="s">
        <v>8520</v>
      </c>
      <c r="M2746">
        <v>8</v>
      </c>
      <c r="N2746">
        <v>5</v>
      </c>
      <c r="O2746" t="s">
        <v>1036</v>
      </c>
      <c r="P2746" s="17"/>
      <c r="Q2746" s="17" t="str">
        <f>_xlfn.XLOOKUP(Table2[[#This Row],[buyFromVendorNo]],'Next Day Scheduled'!A:A,'Pending Returns'!O:O,"NOT_FOUND")</f>
        <v>Posted Credit Note</v>
      </c>
    </row>
    <row r="2747" spans="1:17" x14ac:dyDescent="0.3">
      <c r="A2747" s="1">
        <v>46230</v>
      </c>
      <c r="B2747" t="s">
        <v>5454</v>
      </c>
      <c r="C2747" t="s">
        <v>65</v>
      </c>
      <c r="D2747" t="s">
        <v>66</v>
      </c>
      <c r="E2747" t="s">
        <v>8</v>
      </c>
      <c r="F2747" t="s">
        <v>10</v>
      </c>
      <c r="G2747" s="16">
        <v>3478.1995000000002</v>
      </c>
      <c r="H2747" s="16">
        <v>3999.9292</v>
      </c>
      <c r="I2747" s="1">
        <v>46221</v>
      </c>
      <c r="J2747">
        <v>29</v>
      </c>
      <c r="K2747" t="s">
        <v>6528</v>
      </c>
      <c r="L2747" t="s">
        <v>8521</v>
      </c>
      <c r="M2747">
        <v>10</v>
      </c>
      <c r="N2747">
        <v>5</v>
      </c>
      <c r="O2747" t="s">
        <v>1036</v>
      </c>
      <c r="P2747" s="17"/>
      <c r="Q2747" s="17" t="str">
        <f>_xlfn.XLOOKUP(Table2[[#This Row],[buyFromVendorNo]],'Next Day Scheduled'!A:A,'Pending Returns'!O:O,"NOT_FOUND")</f>
        <v>Posted Credit Note</v>
      </c>
    </row>
    <row r="2748" spans="1:17" x14ac:dyDescent="0.3">
      <c r="A2748" s="1">
        <v>46230</v>
      </c>
      <c r="B2748" t="s">
        <v>3332</v>
      </c>
      <c r="C2748" t="s">
        <v>1472</v>
      </c>
      <c r="D2748" t="s">
        <v>1473</v>
      </c>
      <c r="E2748" t="s">
        <v>8</v>
      </c>
      <c r="F2748" t="s">
        <v>10</v>
      </c>
      <c r="G2748" s="16">
        <v>288.98259999999999</v>
      </c>
      <c r="H2748" s="16">
        <v>332.33</v>
      </c>
      <c r="J2748">
        <v>29</v>
      </c>
      <c r="K2748" t="s">
        <v>8567</v>
      </c>
      <c r="M2748">
        <v>1</v>
      </c>
      <c r="N2748">
        <v>20</v>
      </c>
      <c r="O2748" t="s">
        <v>216</v>
      </c>
      <c r="P2748" s="17"/>
      <c r="Q2748" s="17" t="str">
        <f>_xlfn.XLOOKUP(Table2[[#This Row],[buyFromVendorNo]],'Next Day Scheduled'!A:A,'Pending Returns'!O:O,"NOT_FOUND")</f>
        <v>Posted Credit Note</v>
      </c>
    </row>
    <row r="2749" spans="1:17" x14ac:dyDescent="0.3">
      <c r="A2749" s="1">
        <v>46230</v>
      </c>
      <c r="B2749" t="s">
        <v>257</v>
      </c>
      <c r="C2749" t="s">
        <v>4620</v>
      </c>
      <c r="D2749" t="s">
        <v>4621</v>
      </c>
      <c r="E2749" t="s">
        <v>8</v>
      </c>
      <c r="F2749" t="s">
        <v>10</v>
      </c>
      <c r="G2749" s="16">
        <v>408</v>
      </c>
      <c r="H2749" s="16">
        <v>469.2</v>
      </c>
      <c r="I2749" s="1">
        <v>46230</v>
      </c>
      <c r="J2749">
        <v>29</v>
      </c>
      <c r="K2749" t="s">
        <v>8523</v>
      </c>
      <c r="L2749" t="s">
        <v>8524</v>
      </c>
      <c r="M2749">
        <v>3</v>
      </c>
      <c r="N2749">
        <v>14</v>
      </c>
      <c r="O2749" t="s">
        <v>1036</v>
      </c>
      <c r="P2749" s="17"/>
      <c r="Q2749" s="17" t="str">
        <f>_xlfn.XLOOKUP(Table2[[#This Row],[buyFromVendorNo]],'Next Day Scheduled'!A:A,'Pending Returns'!O:O,"NOT_FOUND")</f>
        <v>NOT_FOUND</v>
      </c>
    </row>
    <row r="2750" spans="1:17" x14ac:dyDescent="0.3">
      <c r="A2750" s="1">
        <v>46230</v>
      </c>
      <c r="B2750" t="s">
        <v>3293</v>
      </c>
      <c r="C2750" t="s">
        <v>710</v>
      </c>
      <c r="D2750" t="s">
        <v>711</v>
      </c>
      <c r="E2750" t="s">
        <v>8</v>
      </c>
      <c r="F2750" t="s">
        <v>10</v>
      </c>
      <c r="G2750" s="16">
        <v>84</v>
      </c>
      <c r="H2750" s="16">
        <v>96.6</v>
      </c>
      <c r="J2750">
        <v>29</v>
      </c>
      <c r="K2750" t="s">
        <v>8576</v>
      </c>
      <c r="M2750">
        <v>3</v>
      </c>
      <c r="N2750">
        <v>1</v>
      </c>
      <c r="O2750" t="s">
        <v>216</v>
      </c>
      <c r="P2750" s="17"/>
      <c r="Q2750" s="17" t="str">
        <f>_xlfn.XLOOKUP(Table2[[#This Row],[buyFromVendorNo]],'Next Day Scheduled'!A:A,'Pending Returns'!O:O,"NOT_FOUND")</f>
        <v>NOT_FOUND</v>
      </c>
    </row>
    <row r="2751" spans="1:17" x14ac:dyDescent="0.3">
      <c r="A2751" s="1">
        <v>46230</v>
      </c>
      <c r="B2751" t="s">
        <v>5353</v>
      </c>
      <c r="C2751" t="s">
        <v>297</v>
      </c>
      <c r="D2751" t="s">
        <v>298</v>
      </c>
      <c r="E2751" t="s">
        <v>8</v>
      </c>
      <c r="F2751" t="s">
        <v>10</v>
      </c>
      <c r="G2751" s="16">
        <v>53.6</v>
      </c>
      <c r="H2751" s="16">
        <v>61.64</v>
      </c>
      <c r="I2751" s="1">
        <v>46223</v>
      </c>
      <c r="J2751">
        <v>29</v>
      </c>
      <c r="K2751" t="s">
        <v>7591</v>
      </c>
      <c r="L2751" t="s">
        <v>8541</v>
      </c>
      <c r="M2751">
        <v>4</v>
      </c>
      <c r="N2751">
        <v>7</v>
      </c>
      <c r="O2751" t="s">
        <v>1036</v>
      </c>
      <c r="P2751" s="17"/>
      <c r="Q2751" s="17" t="str">
        <f>_xlfn.XLOOKUP(Table2[[#This Row],[buyFromVendorNo]],'Next Day Scheduled'!A:A,'Pending Returns'!O:O,"NOT_FOUND")</f>
        <v>NOT_FOUND</v>
      </c>
    </row>
    <row r="2752" spans="1:17" x14ac:dyDescent="0.3">
      <c r="A2752" s="1">
        <v>46230</v>
      </c>
      <c r="B2752" t="s">
        <v>800</v>
      </c>
      <c r="C2752" t="s">
        <v>139</v>
      </c>
      <c r="D2752" t="s">
        <v>140</v>
      </c>
      <c r="E2752" t="s">
        <v>8</v>
      </c>
      <c r="F2752" t="s">
        <v>10</v>
      </c>
      <c r="G2752" s="16">
        <v>95.591999999999999</v>
      </c>
      <c r="H2752" s="16">
        <v>109.9308</v>
      </c>
      <c r="I2752" s="1">
        <v>46218</v>
      </c>
      <c r="J2752">
        <v>29</v>
      </c>
      <c r="K2752" t="s">
        <v>7537</v>
      </c>
      <c r="L2752" t="s">
        <v>8544</v>
      </c>
      <c r="M2752">
        <v>6</v>
      </c>
      <c r="N2752">
        <v>7</v>
      </c>
      <c r="O2752" t="s">
        <v>1036</v>
      </c>
      <c r="P2752" s="17"/>
      <c r="Q2752" s="17" t="str">
        <f>_xlfn.XLOOKUP(Table2[[#This Row],[buyFromVendorNo]],'Next Day Scheduled'!A:A,'Pending Returns'!O:O,"NOT_FOUND")</f>
        <v>NOT_FOUND</v>
      </c>
    </row>
    <row r="2753" spans="1:17" x14ac:dyDescent="0.3">
      <c r="A2753" s="1">
        <v>46230</v>
      </c>
      <c r="B2753" t="s">
        <v>642</v>
      </c>
      <c r="C2753" t="s">
        <v>39</v>
      </c>
      <c r="D2753" t="s">
        <v>40</v>
      </c>
      <c r="E2753" t="s">
        <v>8</v>
      </c>
      <c r="F2753" t="s">
        <v>38</v>
      </c>
      <c r="G2753" s="16">
        <v>2404.9045000000001</v>
      </c>
      <c r="H2753" s="16">
        <v>2765.6404000000002</v>
      </c>
      <c r="J2753">
        <v>29</v>
      </c>
      <c r="K2753" t="s">
        <v>8498</v>
      </c>
      <c r="M2753">
        <v>5</v>
      </c>
      <c r="N2753">
        <v>22</v>
      </c>
      <c r="O2753" t="s">
        <v>216</v>
      </c>
      <c r="P2753" s="17"/>
      <c r="Q2753" s="17" t="str">
        <f>_xlfn.XLOOKUP(Table2[[#This Row],[buyFromVendorNo]],'Next Day Scheduled'!A:A,'Pending Returns'!O:O,"NOT_FOUND")</f>
        <v>Posted Credit Note</v>
      </c>
    </row>
    <row r="2754" spans="1:17" x14ac:dyDescent="0.3">
      <c r="A2754" s="1">
        <v>46230</v>
      </c>
      <c r="B2754" t="s">
        <v>3441</v>
      </c>
      <c r="C2754" t="s">
        <v>173</v>
      </c>
      <c r="D2754" t="s">
        <v>174</v>
      </c>
      <c r="E2754" t="s">
        <v>8</v>
      </c>
      <c r="F2754" t="s">
        <v>10</v>
      </c>
      <c r="G2754" s="16">
        <v>814.38</v>
      </c>
      <c r="H2754" s="16">
        <v>936.53700000000003</v>
      </c>
      <c r="J2754">
        <v>29</v>
      </c>
      <c r="K2754" t="s">
        <v>8565</v>
      </c>
      <c r="M2754">
        <v>11</v>
      </c>
      <c r="N2754">
        <v>1</v>
      </c>
      <c r="O2754" t="s">
        <v>216</v>
      </c>
      <c r="P2754" s="17"/>
      <c r="Q2754" s="17" t="str">
        <f>_xlfn.XLOOKUP(Table2[[#This Row],[buyFromVendorNo]],'Next Day Scheduled'!A:A,'Pending Returns'!O:O,"NOT_FOUND")</f>
        <v>NOT_FOUND</v>
      </c>
    </row>
    <row r="2755" spans="1:17" x14ac:dyDescent="0.3">
      <c r="A2755" s="1">
        <v>46230</v>
      </c>
      <c r="B2755" t="s">
        <v>5459</v>
      </c>
      <c r="C2755" t="s">
        <v>7245</v>
      </c>
      <c r="D2755" t="s">
        <v>7246</v>
      </c>
      <c r="E2755" t="s">
        <v>8</v>
      </c>
      <c r="F2755" t="s">
        <v>10</v>
      </c>
      <c r="G2755" s="16">
        <v>636.64</v>
      </c>
      <c r="H2755" s="16">
        <v>732.13599999999997</v>
      </c>
      <c r="J2755">
        <v>29</v>
      </c>
      <c r="K2755" t="s">
        <v>8559</v>
      </c>
      <c r="M2755">
        <v>0</v>
      </c>
      <c r="N2755">
        <v>164</v>
      </c>
      <c r="O2755" t="s">
        <v>216</v>
      </c>
      <c r="P2755" s="17"/>
      <c r="Q2755" s="17" t="str">
        <f>_xlfn.XLOOKUP(Table2[[#This Row],[buyFromVendorNo]],'Next Day Scheduled'!A:A,'Pending Returns'!O:O,"NOT_FOUND")</f>
        <v>NOT_FOUND</v>
      </c>
    </row>
    <row r="2756" spans="1:17" x14ac:dyDescent="0.3">
      <c r="A2756" s="1">
        <v>46230</v>
      </c>
      <c r="B2756" t="s">
        <v>250</v>
      </c>
      <c r="C2756" t="s">
        <v>65</v>
      </c>
      <c r="D2756" t="s">
        <v>66</v>
      </c>
      <c r="E2756" t="s">
        <v>8</v>
      </c>
      <c r="F2756" t="s">
        <v>10</v>
      </c>
      <c r="G2756" s="16">
        <v>6589.0146000000004</v>
      </c>
      <c r="H2756" s="16">
        <v>7577.3666999999996</v>
      </c>
      <c r="I2756" s="1">
        <v>46221</v>
      </c>
      <c r="J2756">
        <v>29</v>
      </c>
      <c r="K2756" t="s">
        <v>6401</v>
      </c>
      <c r="L2756" t="s">
        <v>8514</v>
      </c>
      <c r="M2756">
        <v>10</v>
      </c>
      <c r="N2756">
        <v>5</v>
      </c>
      <c r="O2756" t="s">
        <v>1036</v>
      </c>
      <c r="P2756" s="17"/>
      <c r="Q2756" s="17" t="str">
        <f>_xlfn.XLOOKUP(Table2[[#This Row],[buyFromVendorNo]],'Next Day Scheduled'!A:A,'Pending Returns'!O:O,"NOT_FOUND")</f>
        <v>Posted Credit Note</v>
      </c>
    </row>
    <row r="2757" spans="1:17" x14ac:dyDescent="0.3">
      <c r="A2757" s="1">
        <v>46230</v>
      </c>
      <c r="B2757" t="s">
        <v>5527</v>
      </c>
      <c r="C2757" t="s">
        <v>512</v>
      </c>
      <c r="D2757" t="s">
        <v>513</v>
      </c>
      <c r="E2757" t="s">
        <v>8</v>
      </c>
      <c r="F2757" t="s">
        <v>10</v>
      </c>
      <c r="G2757" s="16">
        <v>231.75693999999999</v>
      </c>
      <c r="H2757" s="16">
        <v>266.52048000000002</v>
      </c>
      <c r="I2757" s="1">
        <v>46223</v>
      </c>
      <c r="J2757">
        <v>29</v>
      </c>
      <c r="K2757" t="s">
        <v>6446</v>
      </c>
      <c r="L2757" t="s">
        <v>8480</v>
      </c>
      <c r="M2757">
        <v>4</v>
      </c>
      <c r="N2757">
        <v>3</v>
      </c>
      <c r="O2757" t="s">
        <v>1036</v>
      </c>
      <c r="P2757" s="17"/>
      <c r="Q2757" s="17" t="str">
        <f>_xlfn.XLOOKUP(Table2[[#This Row],[buyFromVendorNo]],'Next Day Scheduled'!A:A,'Pending Returns'!O:O,"NOT_FOUND")</f>
        <v>NOT_FOUND</v>
      </c>
    </row>
    <row r="2758" spans="1:17" x14ac:dyDescent="0.3">
      <c r="A2758" s="1">
        <v>46230</v>
      </c>
      <c r="B2758" t="s">
        <v>642</v>
      </c>
      <c r="C2758" t="s">
        <v>2505</v>
      </c>
      <c r="D2758" t="s">
        <v>2758</v>
      </c>
      <c r="E2758" t="s">
        <v>8</v>
      </c>
      <c r="F2758" t="s">
        <v>38</v>
      </c>
      <c r="G2758" s="16">
        <v>9947.4</v>
      </c>
      <c r="H2758" s="16">
        <v>11439.51</v>
      </c>
      <c r="I2758" s="1">
        <v>46226</v>
      </c>
      <c r="J2758">
        <v>29</v>
      </c>
      <c r="K2758" t="s">
        <v>7973</v>
      </c>
      <c r="L2758" t="s">
        <v>8500</v>
      </c>
      <c r="M2758">
        <v>0</v>
      </c>
      <c r="N2758">
        <v>212</v>
      </c>
      <c r="O2758" t="s">
        <v>1036</v>
      </c>
      <c r="P2758" s="17"/>
      <c r="Q2758" s="17" t="str">
        <f>_xlfn.XLOOKUP(Table2[[#This Row],[buyFromVendorNo]],'Next Day Scheduled'!A:A,'Pending Returns'!O:O,"NOT_FOUND")</f>
        <v>Posted Credit Note</v>
      </c>
    </row>
    <row r="2759" spans="1:17" x14ac:dyDescent="0.3">
      <c r="A2759" s="1">
        <v>46230</v>
      </c>
      <c r="B2759" t="s">
        <v>8266</v>
      </c>
      <c r="C2759" t="s">
        <v>1020</v>
      </c>
      <c r="D2759" t="s">
        <v>1021</v>
      </c>
      <c r="E2759" t="s">
        <v>8</v>
      </c>
      <c r="F2759" t="s">
        <v>10</v>
      </c>
      <c r="G2759" s="16">
        <v>14.76782</v>
      </c>
      <c r="H2759" s="16">
        <v>16.982990000000001</v>
      </c>
      <c r="I2759" s="1">
        <v>46226</v>
      </c>
      <c r="J2759">
        <v>29</v>
      </c>
      <c r="K2759" t="s">
        <v>8267</v>
      </c>
      <c r="L2759" t="s">
        <v>8502</v>
      </c>
      <c r="M2759">
        <v>4</v>
      </c>
      <c r="N2759">
        <v>2</v>
      </c>
      <c r="O2759" t="s">
        <v>1036</v>
      </c>
      <c r="P2759" s="17"/>
      <c r="Q2759" s="17" t="str">
        <f>_xlfn.XLOOKUP(Table2[[#This Row],[buyFromVendorNo]],'Next Day Scheduled'!A:A,'Pending Returns'!O:O,"NOT_FOUND")</f>
        <v>NOT_FOUND</v>
      </c>
    </row>
    <row r="2760" spans="1:17" x14ac:dyDescent="0.3">
      <c r="A2760" s="1">
        <v>46230</v>
      </c>
      <c r="B2760" t="s">
        <v>2802</v>
      </c>
      <c r="C2760" t="s">
        <v>144</v>
      </c>
      <c r="D2760" t="s">
        <v>145</v>
      </c>
      <c r="E2760" t="s">
        <v>8</v>
      </c>
      <c r="F2760" t="s">
        <v>10</v>
      </c>
      <c r="G2760" s="16">
        <v>65.87</v>
      </c>
      <c r="H2760" s="16">
        <v>75.750500000000002</v>
      </c>
      <c r="J2760">
        <v>29</v>
      </c>
      <c r="K2760" t="s">
        <v>8578</v>
      </c>
      <c r="M2760">
        <v>0</v>
      </c>
      <c r="N2760">
        <v>411</v>
      </c>
      <c r="O2760" t="s">
        <v>216</v>
      </c>
      <c r="P2760" s="17"/>
      <c r="Q2760" s="17" t="str">
        <f>_xlfn.XLOOKUP(Table2[[#This Row],[buyFromVendorNo]],'Next Day Scheduled'!A:A,'Pending Returns'!O:O,"NOT_FOUND")</f>
        <v>NOT_FOUND</v>
      </c>
    </row>
    <row r="2761" spans="1:17" x14ac:dyDescent="0.3">
      <c r="A2761" s="1">
        <v>46230</v>
      </c>
      <c r="B2761" t="s">
        <v>761</v>
      </c>
      <c r="C2761" t="s">
        <v>199</v>
      </c>
      <c r="D2761" t="s">
        <v>200</v>
      </c>
      <c r="E2761" t="s">
        <v>8</v>
      </c>
      <c r="F2761" t="s">
        <v>10</v>
      </c>
      <c r="G2761" s="16">
        <v>144.30000000000001</v>
      </c>
      <c r="H2761" s="16">
        <v>165.94499999999999</v>
      </c>
      <c r="I2761" s="1">
        <v>46205</v>
      </c>
      <c r="J2761">
        <v>29</v>
      </c>
      <c r="K2761" t="s">
        <v>5984</v>
      </c>
      <c r="L2761" t="s">
        <v>8532</v>
      </c>
      <c r="M2761">
        <v>4</v>
      </c>
      <c r="N2761">
        <v>6</v>
      </c>
      <c r="O2761" t="s">
        <v>1036</v>
      </c>
      <c r="P2761" s="17"/>
      <c r="Q2761" s="17" t="str">
        <f>_xlfn.XLOOKUP(Table2[[#This Row],[buyFromVendorNo]],'Next Day Scheduled'!A:A,'Pending Returns'!O:O,"NOT_FOUND")</f>
        <v>NOT_FOUND</v>
      </c>
    </row>
    <row r="2762" spans="1:17" x14ac:dyDescent="0.3">
      <c r="A2762" s="1">
        <v>46230</v>
      </c>
      <c r="B2762" t="s">
        <v>3240</v>
      </c>
      <c r="C2762" t="s">
        <v>491</v>
      </c>
      <c r="D2762" t="s">
        <v>492</v>
      </c>
      <c r="E2762" t="s">
        <v>8</v>
      </c>
      <c r="F2762" t="s">
        <v>10</v>
      </c>
      <c r="G2762" s="16">
        <v>152.25</v>
      </c>
      <c r="H2762" s="16">
        <v>175.08750000000001</v>
      </c>
      <c r="I2762" s="1">
        <v>46230</v>
      </c>
      <c r="J2762">
        <v>29</v>
      </c>
      <c r="K2762" t="s">
        <v>8384</v>
      </c>
      <c r="L2762" t="s">
        <v>8490</v>
      </c>
      <c r="M2762">
        <v>4</v>
      </c>
      <c r="N2762">
        <v>2</v>
      </c>
      <c r="O2762" t="s">
        <v>1036</v>
      </c>
      <c r="P2762" s="17"/>
      <c r="Q2762" s="17" t="str">
        <f>_xlfn.XLOOKUP(Table2[[#This Row],[buyFromVendorNo]],'Next Day Scheduled'!A:A,'Pending Returns'!O:O,"NOT_FOUND")</f>
        <v>NOT_FOUND</v>
      </c>
    </row>
    <row r="2763" spans="1:17" x14ac:dyDescent="0.3">
      <c r="A2763" s="1">
        <v>46230</v>
      </c>
      <c r="B2763" t="s">
        <v>2973</v>
      </c>
      <c r="C2763" t="s">
        <v>199</v>
      </c>
      <c r="D2763" t="s">
        <v>200</v>
      </c>
      <c r="E2763" t="s">
        <v>8</v>
      </c>
      <c r="F2763" t="s">
        <v>10</v>
      </c>
      <c r="G2763" s="16">
        <v>296.3</v>
      </c>
      <c r="H2763" s="16">
        <v>340.745</v>
      </c>
      <c r="I2763" s="1">
        <v>46205</v>
      </c>
      <c r="J2763">
        <v>29</v>
      </c>
      <c r="K2763" t="s">
        <v>5026</v>
      </c>
      <c r="L2763" t="s">
        <v>8491</v>
      </c>
      <c r="M2763">
        <v>4</v>
      </c>
      <c r="N2763">
        <v>6</v>
      </c>
      <c r="O2763" t="s">
        <v>1036</v>
      </c>
      <c r="P2763" s="17"/>
      <c r="Q2763" s="17" t="str">
        <f>_xlfn.XLOOKUP(Table2[[#This Row],[buyFromVendorNo]],'Next Day Scheduled'!A:A,'Pending Returns'!O:O,"NOT_FOUND")</f>
        <v>NOT_FOUND</v>
      </c>
    </row>
    <row r="2764" spans="1:17" x14ac:dyDescent="0.3">
      <c r="A2764" s="1">
        <v>46230</v>
      </c>
      <c r="B2764" t="s">
        <v>3275</v>
      </c>
      <c r="C2764" t="s">
        <v>183</v>
      </c>
      <c r="D2764" t="s">
        <v>184</v>
      </c>
      <c r="E2764" t="s">
        <v>8</v>
      </c>
      <c r="F2764" t="s">
        <v>10</v>
      </c>
      <c r="G2764" s="16">
        <v>63</v>
      </c>
      <c r="H2764" s="16">
        <v>72.45</v>
      </c>
      <c r="J2764">
        <v>29</v>
      </c>
      <c r="K2764" t="s">
        <v>8569</v>
      </c>
      <c r="M2764">
        <v>0</v>
      </c>
      <c r="N2764">
        <v>195</v>
      </c>
      <c r="O2764" t="s">
        <v>216</v>
      </c>
      <c r="P2764" s="17"/>
      <c r="Q2764" s="17" t="str">
        <f>_xlfn.XLOOKUP(Table2[[#This Row],[buyFromVendorNo]],'Next Day Scheduled'!A:A,'Pending Returns'!O:O,"NOT_FOUND")</f>
        <v>NOT_FOUND</v>
      </c>
    </row>
    <row r="2765" spans="1:17" x14ac:dyDescent="0.3">
      <c r="A2765" s="1">
        <v>46230</v>
      </c>
      <c r="B2765" t="s">
        <v>642</v>
      </c>
      <c r="C2765" t="s">
        <v>2505</v>
      </c>
      <c r="D2765" t="s">
        <v>2758</v>
      </c>
      <c r="E2765" t="s">
        <v>8</v>
      </c>
      <c r="F2765" t="s">
        <v>38</v>
      </c>
      <c r="G2765" s="16">
        <v>15694</v>
      </c>
      <c r="H2765" s="16">
        <v>18048.099999999999</v>
      </c>
      <c r="I2765" s="1">
        <v>46230</v>
      </c>
      <c r="J2765">
        <v>29</v>
      </c>
      <c r="K2765" t="s">
        <v>8072</v>
      </c>
      <c r="L2765" t="s">
        <v>8535</v>
      </c>
      <c r="M2765">
        <v>0</v>
      </c>
      <c r="N2765">
        <v>212</v>
      </c>
      <c r="O2765" t="s">
        <v>1036</v>
      </c>
      <c r="P2765" s="17"/>
      <c r="Q2765" s="17" t="str">
        <f>_xlfn.XLOOKUP(Table2[[#This Row],[buyFromVendorNo]],'Next Day Scheduled'!A:A,'Pending Returns'!O:O,"NOT_FOUND")</f>
        <v>Posted Credit Note</v>
      </c>
    </row>
    <row r="2766" spans="1:17" x14ac:dyDescent="0.3">
      <c r="A2766" s="1">
        <v>46230</v>
      </c>
      <c r="B2766" t="s">
        <v>800</v>
      </c>
      <c r="C2766" t="s">
        <v>199</v>
      </c>
      <c r="D2766" t="s">
        <v>200</v>
      </c>
      <c r="E2766" t="s">
        <v>8</v>
      </c>
      <c r="F2766" t="s">
        <v>10</v>
      </c>
      <c r="G2766" s="16">
        <v>1061.9000000000001</v>
      </c>
      <c r="H2766" s="16">
        <v>1221.1849999999999</v>
      </c>
      <c r="I2766" s="1">
        <v>46218</v>
      </c>
      <c r="J2766">
        <v>29</v>
      </c>
      <c r="K2766" t="s">
        <v>7425</v>
      </c>
      <c r="L2766" t="s">
        <v>8504</v>
      </c>
      <c r="M2766">
        <v>4</v>
      </c>
      <c r="N2766">
        <v>6</v>
      </c>
      <c r="O2766" t="s">
        <v>1036</v>
      </c>
      <c r="P2766" s="17"/>
      <c r="Q2766" s="17" t="str">
        <f>_xlfn.XLOOKUP(Table2[[#This Row],[buyFromVendorNo]],'Next Day Scheduled'!A:A,'Pending Returns'!O:O,"NOT_FOUND")</f>
        <v>NOT_FOUND</v>
      </c>
    </row>
    <row r="2767" spans="1:17" x14ac:dyDescent="0.3">
      <c r="A2767" s="1">
        <v>46230</v>
      </c>
      <c r="B2767" t="s">
        <v>642</v>
      </c>
      <c r="C2767" t="s">
        <v>69</v>
      </c>
      <c r="D2767" t="s">
        <v>70</v>
      </c>
      <c r="E2767" t="s">
        <v>8</v>
      </c>
      <c r="F2767" t="s">
        <v>38</v>
      </c>
      <c r="G2767" s="16">
        <v>5521.78</v>
      </c>
      <c r="H2767" s="16">
        <v>6350.0469999999996</v>
      </c>
      <c r="J2767">
        <v>29</v>
      </c>
      <c r="K2767" t="s">
        <v>8536</v>
      </c>
      <c r="M2767">
        <v>11</v>
      </c>
      <c r="N2767">
        <v>2</v>
      </c>
      <c r="O2767" t="s">
        <v>216</v>
      </c>
      <c r="P2767" s="17"/>
      <c r="Q2767" s="17" t="str">
        <f>_xlfn.XLOOKUP(Table2[[#This Row],[buyFromVendorNo]],'Next Day Scheduled'!A:A,'Pending Returns'!O:O,"NOT_FOUND")</f>
        <v>Posted Credit Note</v>
      </c>
    </row>
    <row r="2768" spans="1:17" x14ac:dyDescent="0.3">
      <c r="A2768" s="1">
        <v>46230</v>
      </c>
      <c r="B2768" t="s">
        <v>2090</v>
      </c>
      <c r="C2768" t="s">
        <v>776</v>
      </c>
      <c r="D2768" t="s">
        <v>777</v>
      </c>
      <c r="E2768" t="s">
        <v>8</v>
      </c>
      <c r="F2768" t="s">
        <v>38</v>
      </c>
      <c r="G2768" s="16">
        <v>126.72</v>
      </c>
      <c r="H2768" s="16">
        <v>145.72800000000001</v>
      </c>
      <c r="I2768" s="1">
        <v>46230</v>
      </c>
      <c r="J2768">
        <v>29</v>
      </c>
      <c r="K2768" t="s">
        <v>8319</v>
      </c>
      <c r="L2768" t="s">
        <v>8519</v>
      </c>
      <c r="M2768">
        <v>4</v>
      </c>
      <c r="N2768">
        <v>2</v>
      </c>
      <c r="O2768" t="s">
        <v>1036</v>
      </c>
      <c r="P2768" s="17"/>
      <c r="Q2768" s="17" t="str">
        <f>_xlfn.XLOOKUP(Table2[[#This Row],[buyFromVendorNo]],'Next Day Scheduled'!A:A,'Pending Returns'!O:O,"NOT_FOUND")</f>
        <v>Posted Credit Note</v>
      </c>
    </row>
    <row r="2769" spans="1:17" x14ac:dyDescent="0.3">
      <c r="A2769" s="1">
        <v>46230</v>
      </c>
      <c r="B2769" t="s">
        <v>2566</v>
      </c>
      <c r="C2769" t="s">
        <v>199</v>
      </c>
      <c r="D2769" t="s">
        <v>200</v>
      </c>
      <c r="E2769" t="s">
        <v>8</v>
      </c>
      <c r="F2769" t="s">
        <v>10</v>
      </c>
      <c r="G2769" s="16">
        <v>981.4</v>
      </c>
      <c r="H2769" s="16">
        <v>1128.6099999999999</v>
      </c>
      <c r="I2769" s="1">
        <v>46205</v>
      </c>
      <c r="J2769">
        <v>29</v>
      </c>
      <c r="K2769" t="s">
        <v>6276</v>
      </c>
      <c r="L2769" t="s">
        <v>8506</v>
      </c>
      <c r="M2769">
        <v>4</v>
      </c>
      <c r="N2769">
        <v>6</v>
      </c>
      <c r="O2769" t="s">
        <v>1036</v>
      </c>
      <c r="P2769" s="17"/>
      <c r="Q2769" s="17" t="str">
        <f>_xlfn.XLOOKUP(Table2[[#This Row],[buyFromVendorNo]],'Next Day Scheduled'!A:A,'Pending Returns'!O:O,"NOT_FOUND")</f>
        <v>NOT_FOUND</v>
      </c>
    </row>
    <row r="2770" spans="1:17" x14ac:dyDescent="0.3">
      <c r="A2770" s="1">
        <v>46230</v>
      </c>
      <c r="B2770" t="s">
        <v>642</v>
      </c>
      <c r="C2770" t="s">
        <v>1161</v>
      </c>
      <c r="D2770" t="s">
        <v>1162</v>
      </c>
      <c r="E2770" t="s">
        <v>8</v>
      </c>
      <c r="F2770" t="s">
        <v>38</v>
      </c>
      <c r="G2770" s="16">
        <v>2226.35</v>
      </c>
      <c r="H2770" s="16">
        <v>2560.3024999999998</v>
      </c>
      <c r="I2770" s="1">
        <v>46228</v>
      </c>
      <c r="J2770">
        <v>29</v>
      </c>
      <c r="K2770" t="s">
        <v>8175</v>
      </c>
      <c r="L2770" t="s">
        <v>8507</v>
      </c>
      <c r="M2770">
        <v>3</v>
      </c>
      <c r="N2770">
        <v>7</v>
      </c>
      <c r="O2770" t="s">
        <v>1036</v>
      </c>
      <c r="P2770" s="17"/>
      <c r="Q2770" s="17" t="str">
        <f>_xlfn.XLOOKUP(Table2[[#This Row],[buyFromVendorNo]],'Next Day Scheduled'!A:A,'Pending Returns'!O:O,"NOT_FOUND")</f>
        <v>NOT_FOUND</v>
      </c>
    </row>
    <row r="2771" spans="1:17" x14ac:dyDescent="0.3">
      <c r="A2771" s="1">
        <v>46230</v>
      </c>
      <c r="B2771" t="s">
        <v>8167</v>
      </c>
      <c r="C2771" t="s">
        <v>491</v>
      </c>
      <c r="D2771" t="s">
        <v>492</v>
      </c>
      <c r="E2771" t="s">
        <v>8</v>
      </c>
      <c r="F2771" t="s">
        <v>10</v>
      </c>
      <c r="G2771" s="16">
        <v>239.25</v>
      </c>
      <c r="H2771" s="16">
        <v>275.13749999999999</v>
      </c>
      <c r="I2771" s="1">
        <v>46230</v>
      </c>
      <c r="J2771">
        <v>29</v>
      </c>
      <c r="K2771" t="s">
        <v>8168</v>
      </c>
      <c r="L2771" t="s">
        <v>8508</v>
      </c>
      <c r="M2771">
        <v>4</v>
      </c>
      <c r="N2771">
        <v>2</v>
      </c>
      <c r="O2771" t="s">
        <v>1036</v>
      </c>
      <c r="P2771" s="17"/>
      <c r="Q2771" s="17" t="str">
        <f>_xlfn.XLOOKUP(Table2[[#This Row],[buyFromVendorNo]],'Next Day Scheduled'!A:A,'Pending Returns'!O:O,"NOT_FOUND")</f>
        <v>NOT_FOUND</v>
      </c>
    </row>
    <row r="2772" spans="1:17" x14ac:dyDescent="0.3">
      <c r="A2772" s="1">
        <v>46230</v>
      </c>
      <c r="B2772" t="s">
        <v>5432</v>
      </c>
      <c r="C2772" t="s">
        <v>65</v>
      </c>
      <c r="D2772" t="s">
        <v>66</v>
      </c>
      <c r="E2772" t="s">
        <v>8</v>
      </c>
      <c r="F2772" t="s">
        <v>10</v>
      </c>
      <c r="G2772" s="16">
        <v>3650.0178000000001</v>
      </c>
      <c r="H2772" s="16">
        <v>4197.5204999999996</v>
      </c>
      <c r="I2772" s="1">
        <v>46221</v>
      </c>
      <c r="J2772">
        <v>29</v>
      </c>
      <c r="K2772" t="s">
        <v>6283</v>
      </c>
      <c r="L2772" t="s">
        <v>8496</v>
      </c>
      <c r="M2772">
        <v>10</v>
      </c>
      <c r="N2772">
        <v>5</v>
      </c>
      <c r="O2772" t="s">
        <v>1036</v>
      </c>
      <c r="P2772" s="17"/>
      <c r="Q2772" s="17" t="str">
        <f>_xlfn.XLOOKUP(Table2[[#This Row],[buyFromVendorNo]],'Next Day Scheduled'!A:A,'Pending Returns'!O:O,"NOT_FOUND")</f>
        <v>Posted Credit Note</v>
      </c>
    </row>
    <row r="2773" spans="1:17" x14ac:dyDescent="0.3">
      <c r="A2773" s="1">
        <v>46230</v>
      </c>
      <c r="B2773" t="s">
        <v>8589</v>
      </c>
      <c r="C2773" t="s">
        <v>4575</v>
      </c>
      <c r="D2773" t="s">
        <v>4576</v>
      </c>
      <c r="E2773" t="s">
        <v>8</v>
      </c>
      <c r="F2773" t="s">
        <v>10</v>
      </c>
      <c r="G2773" s="16">
        <v>73.043480000000002</v>
      </c>
      <c r="H2773" s="16">
        <v>84</v>
      </c>
      <c r="J2773">
        <v>29</v>
      </c>
      <c r="K2773" t="s">
        <v>8574</v>
      </c>
      <c r="M2773">
        <v>0</v>
      </c>
      <c r="N2773">
        <v>174</v>
      </c>
      <c r="O2773" t="s">
        <v>216</v>
      </c>
      <c r="P2773" s="17"/>
      <c r="Q2773" s="17" t="str">
        <f>_xlfn.XLOOKUP(Table2[[#This Row],[buyFromVendorNo]],'Next Day Scheduled'!A:A,'Pending Returns'!O:O,"NOT_FOUND")</f>
        <v>NOT_FOUND</v>
      </c>
    </row>
    <row r="2774" spans="1:17" x14ac:dyDescent="0.3">
      <c r="A2774" s="1">
        <v>46230</v>
      </c>
      <c r="B2774" t="s">
        <v>2641</v>
      </c>
      <c r="C2774" t="s">
        <v>65</v>
      </c>
      <c r="D2774" t="s">
        <v>66</v>
      </c>
      <c r="E2774" t="s">
        <v>8</v>
      </c>
      <c r="F2774" t="s">
        <v>10</v>
      </c>
      <c r="G2774" s="16">
        <v>3198.0111999999999</v>
      </c>
      <c r="H2774" s="16">
        <v>3677.7130000000002</v>
      </c>
      <c r="I2774" s="1">
        <v>46221</v>
      </c>
      <c r="J2774">
        <v>29</v>
      </c>
      <c r="K2774" t="s">
        <v>6348</v>
      </c>
      <c r="L2774" t="s">
        <v>8526</v>
      </c>
      <c r="M2774">
        <v>10</v>
      </c>
      <c r="N2774">
        <v>5</v>
      </c>
      <c r="O2774" t="s">
        <v>1036</v>
      </c>
      <c r="P2774" s="17"/>
      <c r="Q2774" s="17" t="str">
        <f>_xlfn.XLOOKUP(Table2[[#This Row],[buyFromVendorNo]],'Next Day Scheduled'!A:A,'Pending Returns'!O:O,"NOT_FOUND")</f>
        <v>Posted Credit Note</v>
      </c>
    </row>
    <row r="2775" spans="1:17" x14ac:dyDescent="0.3">
      <c r="A2775" s="1">
        <v>46230</v>
      </c>
      <c r="B2775" t="s">
        <v>2583</v>
      </c>
      <c r="C2775" t="s">
        <v>2344</v>
      </c>
      <c r="D2775" t="s">
        <v>2345</v>
      </c>
      <c r="E2775" t="s">
        <v>8</v>
      </c>
      <c r="F2775" t="s">
        <v>10</v>
      </c>
      <c r="G2775" s="16">
        <v>84.5</v>
      </c>
      <c r="H2775" s="16">
        <v>97.174999999999997</v>
      </c>
      <c r="I2775" s="1">
        <v>46229</v>
      </c>
      <c r="J2775">
        <v>29</v>
      </c>
      <c r="K2775" t="s">
        <v>6550</v>
      </c>
      <c r="L2775" t="s">
        <v>8515</v>
      </c>
      <c r="M2775">
        <v>3</v>
      </c>
      <c r="N2775">
        <v>1</v>
      </c>
      <c r="O2775" t="s">
        <v>1036</v>
      </c>
      <c r="P2775" s="17"/>
      <c r="Q2775" s="17" t="str">
        <f>_xlfn.XLOOKUP(Table2[[#This Row],[buyFromVendorNo]],'Next Day Scheduled'!A:A,'Pending Returns'!O:O,"NOT_FOUND")</f>
        <v>NOT_FOUND</v>
      </c>
    </row>
    <row r="2776" spans="1:17" x14ac:dyDescent="0.3">
      <c r="A2776" s="1">
        <v>46230</v>
      </c>
      <c r="B2776" t="s">
        <v>4463</v>
      </c>
      <c r="C2776" t="s">
        <v>3686</v>
      </c>
      <c r="D2776" t="s">
        <v>3687</v>
      </c>
      <c r="E2776" t="s">
        <v>8</v>
      </c>
      <c r="F2776" t="s">
        <v>10</v>
      </c>
      <c r="G2776" s="16">
        <v>116.08695</v>
      </c>
      <c r="H2776" s="16">
        <v>133.5</v>
      </c>
      <c r="I2776" s="1">
        <v>46204</v>
      </c>
      <c r="J2776">
        <v>29</v>
      </c>
      <c r="K2776" t="s">
        <v>4464</v>
      </c>
      <c r="L2776" t="s">
        <v>8584</v>
      </c>
      <c r="M2776">
        <v>3</v>
      </c>
      <c r="N2776">
        <v>13</v>
      </c>
      <c r="O2776" t="s">
        <v>1036</v>
      </c>
      <c r="P2776" s="17"/>
      <c r="Q2776" s="17" t="str">
        <f>_xlfn.XLOOKUP(Table2[[#This Row],[buyFromVendorNo]],'Next Day Scheduled'!A:A,'Pending Returns'!O:O,"NOT_FOUND")</f>
        <v>NOT_FOUND</v>
      </c>
    </row>
    <row r="2777" spans="1:17" x14ac:dyDescent="0.3">
      <c r="A2777" s="1">
        <v>46230</v>
      </c>
      <c r="B2777" t="s">
        <v>2925</v>
      </c>
      <c r="C2777" t="s">
        <v>381</v>
      </c>
      <c r="D2777" t="s">
        <v>382</v>
      </c>
      <c r="E2777" t="s">
        <v>8</v>
      </c>
      <c r="F2777" t="s">
        <v>10</v>
      </c>
      <c r="G2777" s="16">
        <v>189.5</v>
      </c>
      <c r="H2777" s="16">
        <v>217.92500000000001</v>
      </c>
      <c r="I2777" s="1">
        <v>46229</v>
      </c>
      <c r="J2777">
        <v>29</v>
      </c>
      <c r="K2777" t="s">
        <v>7954</v>
      </c>
      <c r="L2777" t="s">
        <v>8518</v>
      </c>
      <c r="M2777">
        <v>4</v>
      </c>
      <c r="N2777">
        <v>3</v>
      </c>
      <c r="O2777" t="s">
        <v>1036</v>
      </c>
      <c r="P2777" s="17"/>
      <c r="Q2777" s="17" t="str">
        <f>_xlfn.XLOOKUP(Table2[[#This Row],[buyFromVendorNo]],'Next Day Scheduled'!A:A,'Pending Returns'!O:O,"NOT_FOUND")</f>
        <v>NOT_FOUND</v>
      </c>
    </row>
    <row r="2778" spans="1:17" x14ac:dyDescent="0.3">
      <c r="A2778" s="1">
        <v>46230</v>
      </c>
      <c r="B2778" t="s">
        <v>315</v>
      </c>
      <c r="C2778" t="s">
        <v>57</v>
      </c>
      <c r="D2778" t="s">
        <v>58</v>
      </c>
      <c r="E2778" t="s">
        <v>8</v>
      </c>
      <c r="F2778" t="s">
        <v>10</v>
      </c>
      <c r="G2778" s="16">
        <v>462.91</v>
      </c>
      <c r="H2778" s="16">
        <v>532.34649999999999</v>
      </c>
      <c r="I2778" s="1">
        <v>46229</v>
      </c>
      <c r="J2778">
        <v>29</v>
      </c>
      <c r="K2778" t="s">
        <v>8381</v>
      </c>
      <c r="L2778" t="s">
        <v>8492</v>
      </c>
      <c r="M2778">
        <v>3</v>
      </c>
      <c r="N2778">
        <v>8</v>
      </c>
      <c r="O2778" t="s">
        <v>1036</v>
      </c>
      <c r="P2778" s="17"/>
      <c r="Q2778" s="17" t="str">
        <f>_xlfn.XLOOKUP(Table2[[#This Row],[buyFromVendorNo]],'Next Day Scheduled'!A:A,'Pending Returns'!O:O,"NOT_FOUND")</f>
        <v>Posted Credit Note</v>
      </c>
    </row>
    <row r="2779" spans="1:17" x14ac:dyDescent="0.3">
      <c r="A2779" s="1">
        <v>46230</v>
      </c>
      <c r="B2779" t="s">
        <v>2175</v>
      </c>
      <c r="C2779" t="s">
        <v>181</v>
      </c>
      <c r="D2779" t="s">
        <v>182</v>
      </c>
      <c r="E2779" t="s">
        <v>8</v>
      </c>
      <c r="F2779" t="s">
        <v>10</v>
      </c>
      <c r="G2779" s="16">
        <v>808.54750000000001</v>
      </c>
      <c r="H2779" s="16">
        <v>929.82960000000003</v>
      </c>
      <c r="I2779" s="1">
        <v>46223</v>
      </c>
      <c r="J2779">
        <v>29</v>
      </c>
      <c r="K2779" t="s">
        <v>7287</v>
      </c>
      <c r="L2779" t="s">
        <v>8479</v>
      </c>
      <c r="M2779">
        <v>7</v>
      </c>
      <c r="N2779">
        <v>2</v>
      </c>
      <c r="O2779" t="s">
        <v>1036</v>
      </c>
      <c r="P2779" s="17"/>
      <c r="Q2779" s="17" t="str">
        <f>_xlfn.XLOOKUP(Table2[[#This Row],[buyFromVendorNo]],'Next Day Scheduled'!A:A,'Pending Returns'!O:O,"NOT_FOUND")</f>
        <v>NOT_FOUND</v>
      </c>
    </row>
    <row r="2780" spans="1:17" x14ac:dyDescent="0.3">
      <c r="A2780" s="1">
        <v>46230</v>
      </c>
      <c r="B2780" t="s">
        <v>3356</v>
      </c>
      <c r="C2780" t="s">
        <v>1020</v>
      </c>
      <c r="D2780" t="s">
        <v>1021</v>
      </c>
      <c r="E2780" t="s">
        <v>8</v>
      </c>
      <c r="F2780" t="s">
        <v>10</v>
      </c>
      <c r="G2780" s="16">
        <v>48.086979999999997</v>
      </c>
      <c r="H2780" s="16">
        <v>55.300020000000004</v>
      </c>
      <c r="I2780" s="1">
        <v>46226</v>
      </c>
      <c r="J2780">
        <v>29</v>
      </c>
      <c r="K2780" t="s">
        <v>7328</v>
      </c>
      <c r="L2780" t="s">
        <v>8537</v>
      </c>
      <c r="M2780">
        <v>4</v>
      </c>
      <c r="N2780">
        <v>2</v>
      </c>
      <c r="O2780" t="s">
        <v>1036</v>
      </c>
      <c r="P2780" s="17"/>
      <c r="Q2780" s="17" t="str">
        <f>_xlfn.XLOOKUP(Table2[[#This Row],[buyFromVendorNo]],'Next Day Scheduled'!A:A,'Pending Returns'!O:O,"NOT_FOUND")</f>
        <v>NOT_FOUND</v>
      </c>
    </row>
    <row r="2781" spans="1:17" x14ac:dyDescent="0.3">
      <c r="A2781" s="1">
        <v>46230</v>
      </c>
      <c r="B2781" t="s">
        <v>282</v>
      </c>
      <c r="C2781" t="s">
        <v>199</v>
      </c>
      <c r="D2781" t="s">
        <v>200</v>
      </c>
      <c r="E2781" t="s">
        <v>8</v>
      </c>
      <c r="F2781" t="s">
        <v>10</v>
      </c>
      <c r="G2781" s="16">
        <v>938.7</v>
      </c>
      <c r="H2781" s="16">
        <v>1079.5050000000001</v>
      </c>
      <c r="I2781" s="1">
        <v>46211</v>
      </c>
      <c r="J2781">
        <v>29</v>
      </c>
      <c r="K2781" t="s">
        <v>6869</v>
      </c>
      <c r="L2781" t="s">
        <v>8493</v>
      </c>
      <c r="M2781">
        <v>4</v>
      </c>
      <c r="N2781">
        <v>6</v>
      </c>
      <c r="O2781" t="s">
        <v>1036</v>
      </c>
      <c r="P2781" s="17"/>
      <c r="Q2781" s="17" t="str">
        <f>_xlfn.XLOOKUP(Table2[[#This Row],[buyFromVendorNo]],'Next Day Scheduled'!A:A,'Pending Returns'!O:O,"NOT_FOUND")</f>
        <v>NOT_FOUND</v>
      </c>
    </row>
    <row r="2782" spans="1:17" x14ac:dyDescent="0.3">
      <c r="A2782" s="1">
        <v>46230</v>
      </c>
      <c r="B2782" t="s">
        <v>3245</v>
      </c>
      <c r="C2782" t="s">
        <v>921</v>
      </c>
      <c r="D2782" t="s">
        <v>922</v>
      </c>
      <c r="E2782" t="s">
        <v>8</v>
      </c>
      <c r="F2782" t="s">
        <v>10</v>
      </c>
      <c r="G2782" s="16">
        <v>21.747499999999999</v>
      </c>
      <c r="H2782" s="16">
        <v>25.009620000000002</v>
      </c>
      <c r="I2782" s="1">
        <v>46225</v>
      </c>
      <c r="J2782">
        <v>29</v>
      </c>
      <c r="K2782" t="s">
        <v>7774</v>
      </c>
      <c r="L2782" t="s">
        <v>8715</v>
      </c>
      <c r="M2782">
        <v>5</v>
      </c>
      <c r="N2782">
        <v>1</v>
      </c>
      <c r="O2782" t="s">
        <v>1036</v>
      </c>
      <c r="P2782" s="17"/>
      <c r="Q2782" s="17" t="str">
        <f>_xlfn.XLOOKUP(Table2[[#This Row],[buyFromVendorNo]],'Next Day Scheduled'!A:A,'Pending Returns'!O:O,"NOT_FOUND")</f>
        <v>Posted Credit Note</v>
      </c>
    </row>
    <row r="2783" spans="1:17" x14ac:dyDescent="0.3">
      <c r="A2783" s="1">
        <v>46230</v>
      </c>
      <c r="B2783" t="s">
        <v>3336</v>
      </c>
      <c r="C2783" t="s">
        <v>183</v>
      </c>
      <c r="D2783" t="s">
        <v>184</v>
      </c>
      <c r="E2783" t="s">
        <v>8</v>
      </c>
      <c r="F2783" t="s">
        <v>10</v>
      </c>
      <c r="G2783" s="16">
        <v>98</v>
      </c>
      <c r="H2783" s="16">
        <v>112.7</v>
      </c>
      <c r="J2783">
        <v>29</v>
      </c>
      <c r="K2783" t="s">
        <v>8548</v>
      </c>
      <c r="M2783">
        <v>0</v>
      </c>
      <c r="N2783">
        <v>195</v>
      </c>
      <c r="O2783" t="s">
        <v>216</v>
      </c>
      <c r="P2783" s="17"/>
      <c r="Q2783" s="17" t="str">
        <f>_xlfn.XLOOKUP(Table2[[#This Row],[buyFromVendorNo]],'Next Day Scheduled'!A:A,'Pending Returns'!O:O,"NOT_FOUND")</f>
        <v>NOT_FOUND</v>
      </c>
    </row>
    <row r="2784" spans="1:17" x14ac:dyDescent="0.3">
      <c r="A2784" s="1">
        <v>46230</v>
      </c>
      <c r="B2784" t="s">
        <v>2207</v>
      </c>
      <c r="C2784" t="s">
        <v>65</v>
      </c>
      <c r="D2784" t="s">
        <v>66</v>
      </c>
      <c r="E2784" t="s">
        <v>8</v>
      </c>
      <c r="F2784" t="s">
        <v>10</v>
      </c>
      <c r="G2784" s="16">
        <v>3478.1995000000002</v>
      </c>
      <c r="H2784" s="16">
        <v>3999.9292</v>
      </c>
      <c r="I2784" s="1">
        <v>46221</v>
      </c>
      <c r="J2784">
        <v>29</v>
      </c>
      <c r="K2784" t="s">
        <v>6545</v>
      </c>
      <c r="L2784" t="s">
        <v>8540</v>
      </c>
      <c r="M2784">
        <v>10</v>
      </c>
      <c r="N2784">
        <v>5</v>
      </c>
      <c r="O2784" t="s">
        <v>1036</v>
      </c>
      <c r="P2784" s="17"/>
      <c r="Q2784" s="17" t="str">
        <f>_xlfn.XLOOKUP(Table2[[#This Row],[buyFromVendorNo]],'Next Day Scheduled'!A:A,'Pending Returns'!O:O,"NOT_FOUND")</f>
        <v>Posted Credit Note</v>
      </c>
    </row>
    <row r="2785" spans="1:17" x14ac:dyDescent="0.3">
      <c r="A2785" s="1">
        <v>46230</v>
      </c>
      <c r="B2785" t="s">
        <v>2837</v>
      </c>
      <c r="C2785" t="s">
        <v>98</v>
      </c>
      <c r="D2785" t="s">
        <v>99</v>
      </c>
      <c r="E2785" t="s">
        <v>8</v>
      </c>
      <c r="F2785" t="s">
        <v>10</v>
      </c>
      <c r="G2785" s="16">
        <v>196.08</v>
      </c>
      <c r="H2785" s="16">
        <v>225.49199999999999</v>
      </c>
      <c r="I2785" s="1">
        <v>46230</v>
      </c>
      <c r="J2785">
        <v>29</v>
      </c>
      <c r="K2785" t="s">
        <v>7526</v>
      </c>
      <c r="L2785" t="s">
        <v>8542</v>
      </c>
      <c r="M2785">
        <v>3</v>
      </c>
      <c r="N2785">
        <v>6</v>
      </c>
      <c r="O2785" t="s">
        <v>1036</v>
      </c>
      <c r="P2785" s="17"/>
      <c r="Q2785" s="17" t="str">
        <f>_xlfn.XLOOKUP(Table2[[#This Row],[buyFromVendorNo]],'Next Day Scheduled'!A:A,'Pending Returns'!O:O,"NOT_FOUND")</f>
        <v>NOT_FOUND</v>
      </c>
    </row>
    <row r="2786" spans="1:17" x14ac:dyDescent="0.3">
      <c r="A2786" s="1">
        <v>46230</v>
      </c>
      <c r="B2786" t="s">
        <v>3402</v>
      </c>
      <c r="C2786" t="s">
        <v>2166</v>
      </c>
      <c r="D2786" t="s">
        <v>2167</v>
      </c>
      <c r="E2786" t="s">
        <v>8</v>
      </c>
      <c r="F2786" t="s">
        <v>10</v>
      </c>
      <c r="G2786" s="16">
        <v>793.19</v>
      </c>
      <c r="H2786" s="16">
        <v>912.16849999999999</v>
      </c>
      <c r="J2786">
        <v>29</v>
      </c>
      <c r="K2786" t="s">
        <v>8577</v>
      </c>
      <c r="M2786">
        <v>1</v>
      </c>
      <c r="N2786">
        <v>8</v>
      </c>
      <c r="O2786" t="s">
        <v>216</v>
      </c>
      <c r="P2786" s="17"/>
      <c r="Q2786" s="17" t="str">
        <f>_xlfn.XLOOKUP(Table2[[#This Row],[buyFromVendorNo]],'Next Day Scheduled'!A:A,'Pending Returns'!O:O,"NOT_FOUND")</f>
        <v>NOT_FOUND</v>
      </c>
    </row>
    <row r="2787" spans="1:17" x14ac:dyDescent="0.3">
      <c r="A2787" s="1">
        <v>46230</v>
      </c>
      <c r="B2787" t="s">
        <v>800</v>
      </c>
      <c r="C2787" t="s">
        <v>812</v>
      </c>
      <c r="D2787" t="s">
        <v>2394</v>
      </c>
      <c r="E2787" t="s">
        <v>8</v>
      </c>
      <c r="F2787" t="s">
        <v>38</v>
      </c>
      <c r="G2787" s="16">
        <v>37</v>
      </c>
      <c r="H2787" s="16">
        <v>42.55</v>
      </c>
      <c r="I2787" s="1">
        <v>46219</v>
      </c>
      <c r="J2787">
        <v>29</v>
      </c>
      <c r="K2787" t="s">
        <v>7729</v>
      </c>
      <c r="L2787" t="s">
        <v>8529</v>
      </c>
      <c r="M2787">
        <v>5</v>
      </c>
      <c r="N2787">
        <v>6</v>
      </c>
      <c r="O2787" t="s">
        <v>1036</v>
      </c>
      <c r="P2787" s="17"/>
      <c r="Q2787" s="17" t="str">
        <f>_xlfn.XLOOKUP(Table2[[#This Row],[buyFromVendorNo]],'Next Day Scheduled'!A:A,'Pending Returns'!O:O,"NOT_FOUND")</f>
        <v>NOT_FOUND</v>
      </c>
    </row>
    <row r="2788" spans="1:17" x14ac:dyDescent="0.3">
      <c r="A2788" s="1">
        <v>46230</v>
      </c>
      <c r="B2788" t="s">
        <v>6933</v>
      </c>
      <c r="C2788" t="s">
        <v>2344</v>
      </c>
      <c r="D2788" t="s">
        <v>2345</v>
      </c>
      <c r="E2788" t="s">
        <v>8</v>
      </c>
      <c r="F2788" t="s">
        <v>10</v>
      </c>
      <c r="G2788" s="16">
        <v>4</v>
      </c>
      <c r="H2788" s="16">
        <v>4.5999999999999996</v>
      </c>
      <c r="I2788" s="1">
        <v>46229</v>
      </c>
      <c r="J2788">
        <v>29</v>
      </c>
      <c r="K2788" t="s">
        <v>7022</v>
      </c>
      <c r="L2788" t="s">
        <v>8501</v>
      </c>
      <c r="M2788">
        <v>3</v>
      </c>
      <c r="N2788">
        <v>1</v>
      </c>
      <c r="O2788" t="s">
        <v>1036</v>
      </c>
      <c r="P2788" s="17"/>
      <c r="Q2788" s="17" t="str">
        <f>_xlfn.XLOOKUP(Table2[[#This Row],[buyFromVendorNo]],'Next Day Scheduled'!A:A,'Pending Returns'!O:O,"NOT_FOUND")</f>
        <v>NOT_FOUND</v>
      </c>
    </row>
    <row r="2789" spans="1:17" x14ac:dyDescent="0.3">
      <c r="A2789" s="1">
        <v>46230</v>
      </c>
      <c r="B2789" t="s">
        <v>7636</v>
      </c>
      <c r="C2789" t="s">
        <v>98</v>
      </c>
      <c r="D2789" t="s">
        <v>99</v>
      </c>
      <c r="E2789" t="s">
        <v>8</v>
      </c>
      <c r="F2789" t="s">
        <v>10</v>
      </c>
      <c r="G2789" s="16">
        <v>956.69</v>
      </c>
      <c r="H2789" s="16">
        <v>1100.1935000000001</v>
      </c>
      <c r="I2789" s="1">
        <v>46230</v>
      </c>
      <c r="J2789">
        <v>29</v>
      </c>
      <c r="K2789" t="s">
        <v>7637</v>
      </c>
      <c r="L2789" t="s">
        <v>8531</v>
      </c>
      <c r="M2789">
        <v>3</v>
      </c>
      <c r="N2789">
        <v>6</v>
      </c>
      <c r="O2789" t="s">
        <v>1036</v>
      </c>
      <c r="P2789" s="17"/>
      <c r="Q2789" s="17" t="str">
        <f>_xlfn.XLOOKUP(Table2[[#This Row],[buyFromVendorNo]],'Next Day Scheduled'!A:A,'Pending Returns'!O:O,"NOT_FOUND")</f>
        <v>NOT_FOUND</v>
      </c>
    </row>
    <row r="2790" spans="1:17" x14ac:dyDescent="0.3">
      <c r="A2790" s="1">
        <v>46230</v>
      </c>
      <c r="B2790" t="s">
        <v>6259</v>
      </c>
      <c r="C2790" t="s">
        <v>65</v>
      </c>
      <c r="D2790" t="s">
        <v>66</v>
      </c>
      <c r="E2790" t="s">
        <v>8</v>
      </c>
      <c r="F2790" t="s">
        <v>10</v>
      </c>
      <c r="G2790" s="16">
        <v>2088.5117</v>
      </c>
      <c r="H2790" s="16">
        <v>2401.7883000000002</v>
      </c>
      <c r="I2790" s="1">
        <v>46221</v>
      </c>
      <c r="J2790">
        <v>29</v>
      </c>
      <c r="K2790" t="s">
        <v>6174</v>
      </c>
      <c r="L2790" t="s">
        <v>8533</v>
      </c>
      <c r="M2790">
        <v>10</v>
      </c>
      <c r="N2790">
        <v>5</v>
      </c>
      <c r="O2790" t="s">
        <v>1036</v>
      </c>
      <c r="P2790" s="17"/>
      <c r="Q2790" s="17" t="str">
        <f>_xlfn.XLOOKUP(Table2[[#This Row],[buyFromVendorNo]],'Next Day Scheduled'!A:A,'Pending Returns'!O:O,"NOT_FOUND")</f>
        <v>Posted Credit Note</v>
      </c>
    </row>
    <row r="2791" spans="1:17" x14ac:dyDescent="0.3">
      <c r="A2791" s="1">
        <v>46230</v>
      </c>
      <c r="B2791" t="s">
        <v>5110</v>
      </c>
      <c r="C2791" t="s">
        <v>2256</v>
      </c>
      <c r="D2791" t="s">
        <v>2257</v>
      </c>
      <c r="E2791" t="s">
        <v>8</v>
      </c>
      <c r="F2791" t="s">
        <v>10</v>
      </c>
      <c r="G2791" s="16">
        <v>9.8000000000000007</v>
      </c>
      <c r="H2791" s="16">
        <v>11.27</v>
      </c>
      <c r="I2791" s="1">
        <v>46229</v>
      </c>
      <c r="J2791">
        <v>29</v>
      </c>
      <c r="K2791" t="s">
        <v>7799</v>
      </c>
      <c r="L2791" t="s">
        <v>8587</v>
      </c>
      <c r="M2791">
        <v>3</v>
      </c>
      <c r="N2791">
        <v>2</v>
      </c>
      <c r="O2791" t="s">
        <v>1036</v>
      </c>
      <c r="P2791" s="17"/>
      <c r="Q2791" s="17" t="str">
        <f>_xlfn.XLOOKUP(Table2[[#This Row],[buyFromVendorNo]],'Next Day Scheduled'!A:A,'Pending Returns'!O:O,"NOT_FOUND")</f>
        <v>NOT_FOUND</v>
      </c>
    </row>
    <row r="2792" spans="1:17" x14ac:dyDescent="0.3">
      <c r="A2792" s="1">
        <v>46230</v>
      </c>
      <c r="B2792" t="s">
        <v>3587</v>
      </c>
      <c r="C2792" t="s">
        <v>491</v>
      </c>
      <c r="D2792" t="s">
        <v>492</v>
      </c>
      <c r="E2792" t="s">
        <v>8</v>
      </c>
      <c r="F2792" t="s">
        <v>10</v>
      </c>
      <c r="G2792" s="16">
        <v>36.75</v>
      </c>
      <c r="H2792" s="16">
        <v>42.262500000000003</v>
      </c>
      <c r="I2792" s="1">
        <v>46230</v>
      </c>
      <c r="J2792">
        <v>29</v>
      </c>
      <c r="K2792" t="s">
        <v>7784</v>
      </c>
      <c r="L2792" t="s">
        <v>8505</v>
      </c>
      <c r="M2792">
        <v>4</v>
      </c>
      <c r="N2792">
        <v>2</v>
      </c>
      <c r="O2792" t="s">
        <v>1036</v>
      </c>
      <c r="P2792" s="17"/>
      <c r="Q2792" s="17" t="str">
        <f>_xlfn.XLOOKUP(Table2[[#This Row],[buyFromVendorNo]],'Next Day Scheduled'!A:A,'Pending Returns'!O:O,"NOT_FOUND")</f>
        <v>NOT_FOUND</v>
      </c>
    </row>
    <row r="2793" spans="1:17" x14ac:dyDescent="0.3">
      <c r="A2793" s="1">
        <v>46230</v>
      </c>
      <c r="B2793" t="s">
        <v>3277</v>
      </c>
      <c r="C2793" t="s">
        <v>177</v>
      </c>
      <c r="D2793" t="s">
        <v>178</v>
      </c>
      <c r="E2793" t="s">
        <v>8</v>
      </c>
      <c r="F2793" t="s">
        <v>10</v>
      </c>
      <c r="G2793" s="16">
        <v>74.484999999999999</v>
      </c>
      <c r="H2793" s="16">
        <v>85.657749999999993</v>
      </c>
      <c r="J2793">
        <v>29</v>
      </c>
      <c r="K2793" t="s">
        <v>8560</v>
      </c>
      <c r="M2793">
        <v>10</v>
      </c>
      <c r="N2793">
        <v>2</v>
      </c>
      <c r="O2793" t="s">
        <v>216</v>
      </c>
      <c r="P2793" s="17"/>
      <c r="Q2793" s="17" t="str">
        <f>_xlfn.XLOOKUP(Table2[[#This Row],[buyFromVendorNo]],'Next Day Scheduled'!A:A,'Pending Returns'!O:O,"NOT_FOUND")</f>
        <v>Posted Credit Note</v>
      </c>
    </row>
    <row r="2794" spans="1:17" x14ac:dyDescent="0.3">
      <c r="A2794" s="1">
        <v>46230</v>
      </c>
      <c r="B2794" t="s">
        <v>5080</v>
      </c>
      <c r="C2794" t="s">
        <v>5202</v>
      </c>
      <c r="D2794" t="s">
        <v>5203</v>
      </c>
      <c r="E2794" t="s">
        <v>8</v>
      </c>
      <c r="F2794" t="s">
        <v>10</v>
      </c>
      <c r="G2794" s="16">
        <v>143.1</v>
      </c>
      <c r="H2794" s="16">
        <v>164.565</v>
      </c>
      <c r="I2794" s="1">
        <v>46230</v>
      </c>
      <c r="J2794">
        <v>29</v>
      </c>
      <c r="K2794" t="s">
        <v>5559</v>
      </c>
      <c r="L2794" t="s">
        <v>8494</v>
      </c>
      <c r="M2794">
        <v>0</v>
      </c>
      <c r="N2794">
        <v>92</v>
      </c>
      <c r="O2794" t="s">
        <v>1036</v>
      </c>
      <c r="P2794" s="17"/>
      <c r="Q2794" s="17" t="str">
        <f>_xlfn.XLOOKUP(Table2[[#This Row],[buyFromVendorNo]],'Next Day Scheduled'!A:A,'Pending Returns'!O:O,"NOT_FOUND")</f>
        <v>NOT_FOUND</v>
      </c>
    </row>
    <row r="2795" spans="1:17" x14ac:dyDescent="0.3">
      <c r="A2795" s="1">
        <v>46230</v>
      </c>
      <c r="B2795" t="s">
        <v>1098</v>
      </c>
      <c r="C2795" t="s">
        <v>43</v>
      </c>
      <c r="D2795" t="s">
        <v>44</v>
      </c>
      <c r="E2795" t="s">
        <v>8</v>
      </c>
      <c r="F2795" t="s">
        <v>38</v>
      </c>
      <c r="G2795" s="16">
        <v>4496.4059999999999</v>
      </c>
      <c r="H2795" s="16">
        <v>5170.8666999999996</v>
      </c>
      <c r="I2795" s="1">
        <v>46229</v>
      </c>
      <c r="J2795">
        <v>29</v>
      </c>
      <c r="K2795" t="s">
        <v>8407</v>
      </c>
      <c r="L2795" t="s">
        <v>8581</v>
      </c>
      <c r="M2795">
        <v>26</v>
      </c>
      <c r="N2795">
        <v>1</v>
      </c>
      <c r="O2795" t="s">
        <v>1036</v>
      </c>
      <c r="P2795" s="17"/>
      <c r="Q2795" s="17" t="str">
        <f>_xlfn.XLOOKUP(Table2[[#This Row],[buyFromVendorNo]],'Next Day Scheduled'!A:A,'Pending Returns'!O:O,"NOT_FOUND")</f>
        <v>Posted Credit Note</v>
      </c>
    </row>
    <row r="2796" spans="1:17" x14ac:dyDescent="0.3">
      <c r="A2796" s="1">
        <v>46230</v>
      </c>
      <c r="B2796" t="s">
        <v>8047</v>
      </c>
      <c r="C2796" t="s">
        <v>98</v>
      </c>
      <c r="D2796" t="s">
        <v>99</v>
      </c>
      <c r="E2796" t="s">
        <v>8</v>
      </c>
      <c r="F2796" t="s">
        <v>10</v>
      </c>
      <c r="G2796" s="16">
        <v>223.77</v>
      </c>
      <c r="H2796" s="16">
        <v>257.33550000000002</v>
      </c>
      <c r="I2796" s="1">
        <v>46230</v>
      </c>
      <c r="J2796">
        <v>29</v>
      </c>
      <c r="K2796" t="s">
        <v>8048</v>
      </c>
      <c r="L2796" t="s">
        <v>8522</v>
      </c>
      <c r="M2796">
        <v>3</v>
      </c>
      <c r="N2796">
        <v>6</v>
      </c>
      <c r="O2796" t="s">
        <v>1036</v>
      </c>
      <c r="P2796" s="17"/>
      <c r="Q2796" s="17" t="str">
        <f>_xlfn.XLOOKUP(Table2[[#This Row],[buyFromVendorNo]],'Next Day Scheduled'!A:A,'Pending Returns'!O:O,"NOT_FOUND")</f>
        <v>NOT_FOUND</v>
      </c>
    </row>
    <row r="2797" spans="1:17" x14ac:dyDescent="0.3">
      <c r="A2797" s="1">
        <v>46230</v>
      </c>
      <c r="B2797" t="s">
        <v>7307</v>
      </c>
      <c r="C2797" t="s">
        <v>491</v>
      </c>
      <c r="D2797" t="s">
        <v>492</v>
      </c>
      <c r="E2797" t="s">
        <v>8</v>
      </c>
      <c r="F2797" t="s">
        <v>10</v>
      </c>
      <c r="G2797" s="16">
        <v>209.5</v>
      </c>
      <c r="H2797" s="16">
        <v>240.92500000000001</v>
      </c>
      <c r="I2797" s="1">
        <v>46230</v>
      </c>
      <c r="J2797">
        <v>29</v>
      </c>
      <c r="K2797" t="s">
        <v>7308</v>
      </c>
      <c r="L2797" t="s">
        <v>8539</v>
      </c>
      <c r="M2797">
        <v>4</v>
      </c>
      <c r="N2797">
        <v>2</v>
      </c>
      <c r="O2797" t="s">
        <v>1036</v>
      </c>
      <c r="P2797" s="17"/>
      <c r="Q2797" s="17" t="str">
        <f>_xlfn.XLOOKUP(Table2[[#This Row],[buyFromVendorNo]],'Next Day Scheduled'!A:A,'Pending Returns'!O:O,"NOT_FOUND")</f>
        <v>NOT_FOUND</v>
      </c>
    </row>
    <row r="2798" spans="1:17" x14ac:dyDescent="0.3">
      <c r="A2798" s="1">
        <v>46230</v>
      </c>
      <c r="B2798" t="s">
        <v>7094</v>
      </c>
      <c r="C2798" t="s">
        <v>57</v>
      </c>
      <c r="D2798" t="s">
        <v>58</v>
      </c>
      <c r="E2798" t="s">
        <v>8</v>
      </c>
      <c r="F2798" t="s">
        <v>10</v>
      </c>
      <c r="G2798" s="16">
        <v>618.82000000000005</v>
      </c>
      <c r="H2798" s="16">
        <v>711.64300000000003</v>
      </c>
      <c r="I2798" s="1">
        <v>46229</v>
      </c>
      <c r="J2798">
        <v>29</v>
      </c>
      <c r="K2798" t="s">
        <v>8045</v>
      </c>
      <c r="L2798" t="s">
        <v>8495</v>
      </c>
      <c r="M2798">
        <v>3</v>
      </c>
      <c r="N2798">
        <v>8</v>
      </c>
      <c r="O2798" t="s">
        <v>1036</v>
      </c>
      <c r="P2798" s="17"/>
      <c r="Q2798" s="17" t="str">
        <f>_xlfn.XLOOKUP(Table2[[#This Row],[buyFromVendorNo]],'Next Day Scheduled'!A:A,'Pending Returns'!O:O,"NOT_FOUND")</f>
        <v>Posted Credit Note</v>
      </c>
    </row>
    <row r="2799" spans="1:17" x14ac:dyDescent="0.3">
      <c r="A2799" s="1">
        <v>46230</v>
      </c>
      <c r="B2799" t="s">
        <v>642</v>
      </c>
      <c r="C2799" t="s">
        <v>69</v>
      </c>
      <c r="D2799" t="s">
        <v>70</v>
      </c>
      <c r="E2799" t="s">
        <v>8</v>
      </c>
      <c r="F2799" t="s">
        <v>38</v>
      </c>
      <c r="G2799" s="16">
        <v>159.68</v>
      </c>
      <c r="H2799" s="16">
        <v>183.63200000000001</v>
      </c>
      <c r="J2799">
        <v>29</v>
      </c>
      <c r="K2799" t="s">
        <v>8525</v>
      </c>
      <c r="M2799">
        <v>11</v>
      </c>
      <c r="N2799">
        <v>2</v>
      </c>
      <c r="O2799" t="s">
        <v>216</v>
      </c>
      <c r="P2799" s="17"/>
      <c r="Q2799" s="17" t="str">
        <f>_xlfn.XLOOKUP(Table2[[#This Row],[buyFromVendorNo]],'Next Day Scheduled'!A:A,'Pending Returns'!O:O,"NOT_FOUND")</f>
        <v>Posted Credit Note</v>
      </c>
    </row>
    <row r="2800" spans="1:17" x14ac:dyDescent="0.3">
      <c r="A2800" s="1">
        <v>46230</v>
      </c>
      <c r="B2800" t="s">
        <v>7803</v>
      </c>
      <c r="C2800" t="s">
        <v>151</v>
      </c>
      <c r="D2800" t="s">
        <v>152</v>
      </c>
      <c r="E2800" t="s">
        <v>8</v>
      </c>
      <c r="F2800" t="s">
        <v>10</v>
      </c>
      <c r="G2800" s="16">
        <v>1690.25</v>
      </c>
      <c r="H2800" s="16">
        <v>1943.7874999999999</v>
      </c>
      <c r="J2800">
        <v>29</v>
      </c>
      <c r="K2800" t="s">
        <v>8554</v>
      </c>
      <c r="M2800">
        <v>2</v>
      </c>
      <c r="N2800">
        <v>2</v>
      </c>
      <c r="O2800" t="s">
        <v>216</v>
      </c>
      <c r="P2800" s="17"/>
      <c r="Q2800" s="17" t="str">
        <f>_xlfn.XLOOKUP(Table2[[#This Row],[buyFromVendorNo]],'Next Day Scheduled'!A:A,'Pending Returns'!O:O,"NOT_FOUND")</f>
        <v>NOT_FOUND</v>
      </c>
    </row>
    <row r="2801" spans="1:17" x14ac:dyDescent="0.3">
      <c r="A2801" s="1">
        <v>46230</v>
      </c>
      <c r="B2801" t="s">
        <v>263</v>
      </c>
      <c r="C2801" t="s">
        <v>65</v>
      </c>
      <c r="D2801" t="s">
        <v>66</v>
      </c>
      <c r="E2801" t="s">
        <v>8</v>
      </c>
      <c r="F2801" t="s">
        <v>10</v>
      </c>
      <c r="G2801" s="16">
        <v>4109.1122999999998</v>
      </c>
      <c r="H2801" s="16">
        <v>4725.4790000000003</v>
      </c>
      <c r="I2801" s="1">
        <v>46221</v>
      </c>
      <c r="J2801">
        <v>29</v>
      </c>
      <c r="K2801" t="s">
        <v>6368</v>
      </c>
      <c r="L2801" t="s">
        <v>8509</v>
      </c>
      <c r="M2801">
        <v>10</v>
      </c>
      <c r="N2801">
        <v>5</v>
      </c>
      <c r="O2801" t="s">
        <v>1036</v>
      </c>
      <c r="P2801" s="17"/>
      <c r="Q2801" s="17" t="str">
        <f>_xlfn.XLOOKUP(Table2[[#This Row],[buyFromVendorNo]],'Next Day Scheduled'!A:A,'Pending Returns'!O:O,"NOT_FOUND")</f>
        <v>Posted Credit Note</v>
      </c>
    </row>
    <row r="2802" spans="1:17" x14ac:dyDescent="0.3">
      <c r="A2802" s="1">
        <v>46230</v>
      </c>
      <c r="B2802" t="s">
        <v>4460</v>
      </c>
      <c r="C2802" t="s">
        <v>65</v>
      </c>
      <c r="D2802" t="s">
        <v>66</v>
      </c>
      <c r="E2802" t="s">
        <v>8</v>
      </c>
      <c r="F2802" t="s">
        <v>169</v>
      </c>
      <c r="G2802" s="16">
        <v>208.11</v>
      </c>
      <c r="H2802" s="16">
        <v>239.32650000000001</v>
      </c>
      <c r="I2802" s="1">
        <v>46225</v>
      </c>
      <c r="J2802">
        <v>29</v>
      </c>
      <c r="K2802" t="s">
        <v>7982</v>
      </c>
      <c r="L2802" t="s">
        <v>8510</v>
      </c>
      <c r="M2802">
        <v>8</v>
      </c>
      <c r="N2802">
        <v>5</v>
      </c>
      <c r="O2802" t="s">
        <v>1036</v>
      </c>
      <c r="P2802" s="17"/>
      <c r="Q2802" s="17" t="str">
        <f>_xlfn.XLOOKUP(Table2[[#This Row],[buyFromVendorNo]],'Next Day Scheduled'!A:A,'Pending Returns'!O:O,"NOT_FOUND")</f>
        <v>Posted Credit Note</v>
      </c>
    </row>
    <row r="2803" spans="1:17" x14ac:dyDescent="0.3">
      <c r="A2803" s="1">
        <v>46230</v>
      </c>
      <c r="B2803" t="s">
        <v>8080</v>
      </c>
      <c r="C2803" t="s">
        <v>3777</v>
      </c>
      <c r="D2803" t="s">
        <v>3778</v>
      </c>
      <c r="E2803" t="s">
        <v>8</v>
      </c>
      <c r="F2803" t="s">
        <v>10</v>
      </c>
      <c r="G2803" s="16">
        <v>242.4</v>
      </c>
      <c r="H2803" s="16">
        <v>278.76</v>
      </c>
      <c r="I2803" s="1">
        <v>46230</v>
      </c>
      <c r="J2803">
        <v>29</v>
      </c>
      <c r="K2803" t="s">
        <v>8081</v>
      </c>
      <c r="L2803" t="s">
        <v>8511</v>
      </c>
      <c r="M2803">
        <v>4</v>
      </c>
      <c r="N2803">
        <v>3</v>
      </c>
      <c r="O2803" t="s">
        <v>1036</v>
      </c>
      <c r="P2803" s="17"/>
      <c r="Q2803" s="17" t="str">
        <f>_xlfn.XLOOKUP(Table2[[#This Row],[buyFromVendorNo]],'Next Day Scheduled'!A:A,'Pending Returns'!O:O,"NOT_FOUND")</f>
        <v>NOT_FOUND</v>
      </c>
    </row>
    <row r="2804" spans="1:17" x14ac:dyDescent="0.3">
      <c r="A2804" s="1">
        <v>46230</v>
      </c>
      <c r="B2804" t="s">
        <v>3252</v>
      </c>
      <c r="C2804" t="s">
        <v>494</v>
      </c>
      <c r="D2804" t="s">
        <v>495</v>
      </c>
      <c r="E2804" t="s">
        <v>8</v>
      </c>
      <c r="F2804" t="s">
        <v>10</v>
      </c>
      <c r="G2804" s="16">
        <v>3132</v>
      </c>
      <c r="H2804" s="16">
        <v>3601.8</v>
      </c>
      <c r="I2804" s="1">
        <v>46229</v>
      </c>
      <c r="J2804">
        <v>29</v>
      </c>
      <c r="K2804" t="s">
        <v>8388</v>
      </c>
      <c r="L2804" t="s">
        <v>8497</v>
      </c>
      <c r="M2804">
        <v>4</v>
      </c>
      <c r="N2804">
        <v>7</v>
      </c>
      <c r="O2804" t="s">
        <v>1036</v>
      </c>
      <c r="P2804" s="17"/>
      <c r="Q2804" s="17" t="str">
        <f>_xlfn.XLOOKUP(Table2[[#This Row],[buyFromVendorNo]],'Next Day Scheduled'!A:A,'Pending Returns'!O:O,"NOT_FOUND")</f>
        <v>Posted Credit Note</v>
      </c>
    </row>
    <row r="2805" spans="1:17" x14ac:dyDescent="0.3">
      <c r="A2805" s="1">
        <v>46230</v>
      </c>
      <c r="B2805" t="s">
        <v>2575</v>
      </c>
      <c r="C2805" t="s">
        <v>1161</v>
      </c>
      <c r="D2805" t="s">
        <v>1162</v>
      </c>
      <c r="E2805" t="s">
        <v>8</v>
      </c>
      <c r="F2805" t="s">
        <v>10</v>
      </c>
      <c r="G2805" s="16">
        <v>2647.26</v>
      </c>
      <c r="H2805" s="16">
        <v>3044.3490000000002</v>
      </c>
      <c r="I2805" s="1">
        <v>46229</v>
      </c>
      <c r="J2805">
        <v>29</v>
      </c>
      <c r="K2805" t="s">
        <v>8161</v>
      </c>
      <c r="L2805" t="s">
        <v>8527</v>
      </c>
      <c r="M2805">
        <v>5</v>
      </c>
      <c r="N2805">
        <v>6</v>
      </c>
      <c r="O2805" t="s">
        <v>1036</v>
      </c>
      <c r="P2805" s="17"/>
      <c r="Q2805" s="17" t="str">
        <f>_xlfn.XLOOKUP(Table2[[#This Row],[buyFromVendorNo]],'Next Day Scheduled'!A:A,'Pending Returns'!O:O,"NOT_FOUND")</f>
        <v>NOT_FOUND</v>
      </c>
    </row>
    <row r="2806" spans="1:17" x14ac:dyDescent="0.3">
      <c r="A2806" s="1">
        <v>46230</v>
      </c>
      <c r="B2806" t="s">
        <v>4460</v>
      </c>
      <c r="C2806" t="s">
        <v>65</v>
      </c>
      <c r="D2806" t="s">
        <v>66</v>
      </c>
      <c r="E2806" t="s">
        <v>8</v>
      </c>
      <c r="F2806" t="s">
        <v>169</v>
      </c>
      <c r="G2806" s="16">
        <v>89.82</v>
      </c>
      <c r="H2806" s="16">
        <v>103.29300000000001</v>
      </c>
      <c r="I2806" s="1">
        <v>46225</v>
      </c>
      <c r="J2806">
        <v>29</v>
      </c>
      <c r="K2806" t="s">
        <v>7885</v>
      </c>
      <c r="L2806" t="s">
        <v>8543</v>
      </c>
      <c r="M2806">
        <v>8</v>
      </c>
      <c r="N2806">
        <v>5</v>
      </c>
      <c r="O2806" t="s">
        <v>1036</v>
      </c>
      <c r="P2806" s="17"/>
      <c r="Q2806" s="17" t="str">
        <f>_xlfn.XLOOKUP(Table2[[#This Row],[buyFromVendorNo]],'Next Day Scheduled'!A:A,'Pending Returns'!O:O,"NOT_FOUND")</f>
        <v>Posted Credit Note</v>
      </c>
    </row>
    <row r="2807" spans="1:17" x14ac:dyDescent="0.3">
      <c r="A2807" s="1">
        <v>46230</v>
      </c>
      <c r="B2807" t="s">
        <v>3720</v>
      </c>
      <c r="C2807" t="s">
        <v>7187</v>
      </c>
      <c r="D2807" t="s">
        <v>7188</v>
      </c>
      <c r="E2807" t="s">
        <v>8</v>
      </c>
      <c r="F2807" t="s">
        <v>10</v>
      </c>
      <c r="G2807" s="16">
        <v>4.34</v>
      </c>
      <c r="H2807" s="16">
        <v>4.9909999999999997</v>
      </c>
      <c r="I2807" s="1">
        <v>46225</v>
      </c>
      <c r="J2807">
        <v>29</v>
      </c>
      <c r="K2807" t="s">
        <v>7189</v>
      </c>
      <c r="L2807" t="s">
        <v>8512</v>
      </c>
      <c r="M2807">
        <v>3</v>
      </c>
      <c r="N2807">
        <v>6</v>
      </c>
      <c r="O2807" t="s">
        <v>1036</v>
      </c>
      <c r="P2807" s="17"/>
      <c r="Q2807" s="17" t="str">
        <f>_xlfn.XLOOKUP(Table2[[#This Row],[buyFromVendorNo]],'Next Day Scheduled'!A:A,'Pending Returns'!O:O,"NOT_FOUND")</f>
        <v>NOT_FOUND</v>
      </c>
    </row>
    <row r="2808" spans="1:17" x14ac:dyDescent="0.3">
      <c r="A2808" s="1">
        <v>46230</v>
      </c>
      <c r="B2808" t="s">
        <v>3275</v>
      </c>
      <c r="C2808" t="s">
        <v>98</v>
      </c>
      <c r="D2808" t="s">
        <v>99</v>
      </c>
      <c r="E2808" t="s">
        <v>8</v>
      </c>
      <c r="F2808" t="s">
        <v>10</v>
      </c>
      <c r="G2808" s="16">
        <v>377.36</v>
      </c>
      <c r="H2808" s="16">
        <v>433.964</v>
      </c>
      <c r="I2808" s="1">
        <v>46230</v>
      </c>
      <c r="J2808">
        <v>29</v>
      </c>
      <c r="K2808" t="s">
        <v>8392</v>
      </c>
      <c r="L2808" t="s">
        <v>8528</v>
      </c>
      <c r="M2808">
        <v>3</v>
      </c>
      <c r="N2808">
        <v>6</v>
      </c>
      <c r="O2808" t="s">
        <v>1036</v>
      </c>
      <c r="P2808" s="17"/>
      <c r="Q2808" s="17" t="str">
        <f>_xlfn.XLOOKUP(Table2[[#This Row],[buyFromVendorNo]],'Next Day Scheduled'!A:A,'Pending Returns'!O:O,"NOT_FOUND")</f>
        <v>NOT_FOUND</v>
      </c>
    </row>
    <row r="2809" spans="1:17" x14ac:dyDescent="0.3">
      <c r="A2809" s="1">
        <v>46230</v>
      </c>
      <c r="B2809" t="s">
        <v>8583</v>
      </c>
      <c r="C2809" t="s">
        <v>188</v>
      </c>
      <c r="D2809" t="s">
        <v>189</v>
      </c>
      <c r="E2809" t="s">
        <v>8</v>
      </c>
      <c r="F2809" t="s">
        <v>10</v>
      </c>
      <c r="G2809" s="16">
        <v>297.29043999999999</v>
      </c>
      <c r="H2809" s="16">
        <v>341.88403</v>
      </c>
      <c r="J2809">
        <v>29</v>
      </c>
      <c r="K2809" t="s">
        <v>8547</v>
      </c>
      <c r="M2809">
        <v>0</v>
      </c>
      <c r="N2809">
        <v>607</v>
      </c>
      <c r="O2809" t="s">
        <v>216</v>
      </c>
      <c r="P2809" s="17"/>
      <c r="Q2809" s="17" t="str">
        <f>_xlfn.XLOOKUP(Table2[[#This Row],[buyFromVendorNo]],'Next Day Scheduled'!A:A,'Pending Returns'!O:O,"NOT_FOUND")</f>
        <v>NOT_FOUND</v>
      </c>
    </row>
    <row r="2810" spans="1:17" x14ac:dyDescent="0.3">
      <c r="A2810" s="1">
        <v>46230</v>
      </c>
      <c r="B2810" t="s">
        <v>1661</v>
      </c>
      <c r="C2810" t="s">
        <v>199</v>
      </c>
      <c r="D2810" t="s">
        <v>200</v>
      </c>
      <c r="E2810" t="s">
        <v>8</v>
      </c>
      <c r="F2810" t="s">
        <v>10</v>
      </c>
      <c r="G2810" s="16">
        <v>50</v>
      </c>
      <c r="H2810" s="16">
        <v>57.5</v>
      </c>
      <c r="I2810" s="1">
        <v>46205</v>
      </c>
      <c r="J2810">
        <v>29</v>
      </c>
      <c r="K2810" t="s">
        <v>5282</v>
      </c>
      <c r="L2810" t="s">
        <v>8499</v>
      </c>
      <c r="M2810">
        <v>4</v>
      </c>
      <c r="N2810">
        <v>6</v>
      </c>
      <c r="O2810" t="s">
        <v>1036</v>
      </c>
      <c r="P2810" s="17"/>
      <c r="Q2810" s="17" t="str">
        <f>_xlfn.XLOOKUP(Table2[[#This Row],[buyFromVendorNo]],'Next Day Scheduled'!A:A,'Pending Returns'!O:O,"NOT_FOUND")</f>
        <v>NOT_FOUND</v>
      </c>
    </row>
    <row r="2811" spans="1:17" x14ac:dyDescent="0.3">
      <c r="A2811" s="1">
        <v>46231</v>
      </c>
      <c r="B2811" t="s">
        <v>244</v>
      </c>
      <c r="C2811" t="s">
        <v>2993</v>
      </c>
      <c r="D2811" t="s">
        <v>2994</v>
      </c>
      <c r="E2811" t="s">
        <v>8</v>
      </c>
      <c r="F2811" t="s">
        <v>10</v>
      </c>
      <c r="G2811" s="16">
        <v>2622.58</v>
      </c>
      <c r="H2811" s="16">
        <v>3015.9670000000001</v>
      </c>
      <c r="I2811" s="1">
        <v>46231</v>
      </c>
      <c r="J2811">
        <v>28</v>
      </c>
      <c r="K2811" t="s">
        <v>2995</v>
      </c>
      <c r="L2811" t="s">
        <v>8605</v>
      </c>
      <c r="M2811">
        <v>0</v>
      </c>
      <c r="N2811">
        <v>476</v>
      </c>
      <c r="O2811" t="s">
        <v>1036</v>
      </c>
      <c r="P2811" s="17"/>
      <c r="Q2811" s="17" t="str">
        <f>_xlfn.XLOOKUP(Table2[[#This Row],[buyFromVendorNo]],'Next Day Scheduled'!A:A,'Pending Returns'!O:O,"NOT_FOUND")</f>
        <v>NOT_FOUND</v>
      </c>
    </row>
    <row r="2812" spans="1:17" x14ac:dyDescent="0.3">
      <c r="A2812" s="1">
        <v>46231</v>
      </c>
      <c r="B2812" t="s">
        <v>1782</v>
      </c>
      <c r="C2812" t="s">
        <v>2388</v>
      </c>
      <c r="D2812" t="s">
        <v>2389</v>
      </c>
      <c r="E2812" t="s">
        <v>8</v>
      </c>
      <c r="F2812" t="s">
        <v>10</v>
      </c>
      <c r="G2812" s="16">
        <v>114.01999000000001</v>
      </c>
      <c r="H2812" s="16">
        <v>131.12298999999999</v>
      </c>
      <c r="I2812" s="1">
        <v>46204</v>
      </c>
      <c r="J2812">
        <v>28</v>
      </c>
      <c r="K2812" t="s">
        <v>5346</v>
      </c>
      <c r="L2812" t="s">
        <v>8617</v>
      </c>
      <c r="M2812">
        <v>3</v>
      </c>
      <c r="N2812">
        <v>8</v>
      </c>
      <c r="O2812" t="s">
        <v>1036</v>
      </c>
      <c r="P2812" s="17"/>
      <c r="Q2812" s="17" t="str">
        <f>_xlfn.XLOOKUP(Table2[[#This Row],[buyFromVendorNo]],'Next Day Scheduled'!A:A,'Pending Returns'!O:O,"NOT_FOUND")</f>
        <v>NOT_FOUND</v>
      </c>
    </row>
    <row r="2813" spans="1:17" x14ac:dyDescent="0.3">
      <c r="A2813" s="1">
        <v>46231</v>
      </c>
      <c r="B2813" t="s">
        <v>3695</v>
      </c>
      <c r="C2813" t="s">
        <v>778</v>
      </c>
      <c r="D2813" t="s">
        <v>779</v>
      </c>
      <c r="E2813" t="s">
        <v>8</v>
      </c>
      <c r="F2813" t="s">
        <v>10</v>
      </c>
      <c r="G2813" s="16">
        <v>51.38888</v>
      </c>
      <c r="H2813" s="16">
        <v>59.097209999999997</v>
      </c>
      <c r="I2813" s="1">
        <v>46223</v>
      </c>
      <c r="J2813">
        <v>28</v>
      </c>
      <c r="K2813" t="s">
        <v>7639</v>
      </c>
      <c r="L2813" t="s">
        <v>8618</v>
      </c>
      <c r="M2813">
        <v>4</v>
      </c>
      <c r="N2813">
        <v>7</v>
      </c>
      <c r="O2813" t="s">
        <v>1036</v>
      </c>
      <c r="P2813" s="17"/>
      <c r="Q2813" s="17" t="str">
        <f>_xlfn.XLOOKUP(Table2[[#This Row],[buyFromVendorNo]],'Next Day Scheduled'!A:A,'Pending Returns'!O:O,"NOT_FOUND")</f>
        <v>Posted Credit Note</v>
      </c>
    </row>
    <row r="2814" spans="1:17" x14ac:dyDescent="0.3">
      <c r="A2814" s="1">
        <v>46231</v>
      </c>
      <c r="B2814" t="s">
        <v>4045</v>
      </c>
      <c r="C2814" t="s">
        <v>7440</v>
      </c>
      <c r="D2814" t="s">
        <v>7441</v>
      </c>
      <c r="E2814" t="s">
        <v>8</v>
      </c>
      <c r="F2814" t="s">
        <v>38</v>
      </c>
      <c r="G2814" s="16">
        <v>72.463759999999994</v>
      </c>
      <c r="H2814" s="16">
        <v>83.333320000000001</v>
      </c>
      <c r="I2814" s="1">
        <v>46229</v>
      </c>
      <c r="J2814">
        <v>28</v>
      </c>
      <c r="K2814" t="s">
        <v>8329</v>
      </c>
      <c r="L2814" t="s">
        <v>8606</v>
      </c>
      <c r="M2814">
        <v>9</v>
      </c>
      <c r="N2814">
        <v>1</v>
      </c>
      <c r="O2814" t="s">
        <v>1036</v>
      </c>
      <c r="P2814" s="17"/>
      <c r="Q2814" s="17" t="str">
        <f>_xlfn.XLOOKUP(Table2[[#This Row],[buyFromVendorNo]],'Next Day Scheduled'!A:A,'Pending Returns'!O:O,"NOT_FOUND")</f>
        <v>NOT_FOUND</v>
      </c>
    </row>
    <row r="2815" spans="1:17" x14ac:dyDescent="0.3">
      <c r="A2815" s="1">
        <v>46231</v>
      </c>
      <c r="B2815" t="s">
        <v>3394</v>
      </c>
      <c r="C2815" t="s">
        <v>882</v>
      </c>
      <c r="D2815" t="s">
        <v>883</v>
      </c>
      <c r="E2815" t="s">
        <v>8</v>
      </c>
      <c r="F2815" t="s">
        <v>10</v>
      </c>
      <c r="G2815" s="16">
        <v>228</v>
      </c>
      <c r="H2815" s="16">
        <v>262.2</v>
      </c>
      <c r="I2815" s="1">
        <v>46225</v>
      </c>
      <c r="J2815">
        <v>28</v>
      </c>
      <c r="K2815" t="s">
        <v>7035</v>
      </c>
      <c r="L2815" t="s">
        <v>8607</v>
      </c>
      <c r="M2815">
        <v>3</v>
      </c>
      <c r="N2815">
        <v>12</v>
      </c>
      <c r="O2815" t="s">
        <v>1036</v>
      </c>
      <c r="P2815" s="17"/>
      <c r="Q2815" s="17" t="str">
        <f>_xlfn.XLOOKUP(Table2[[#This Row],[buyFromVendorNo]],'Next Day Scheduled'!A:A,'Pending Returns'!O:O,"NOT_FOUND")</f>
        <v>Posted Credit Note</v>
      </c>
    </row>
    <row r="2816" spans="1:17" x14ac:dyDescent="0.3">
      <c r="A2816" s="1">
        <v>46231</v>
      </c>
      <c r="B2816" t="s">
        <v>517</v>
      </c>
      <c r="C2816" t="s">
        <v>2647</v>
      </c>
      <c r="D2816" t="s">
        <v>2648</v>
      </c>
      <c r="E2816" t="s">
        <v>8</v>
      </c>
      <c r="F2816" t="s">
        <v>10</v>
      </c>
      <c r="G2816" s="16">
        <v>88.05</v>
      </c>
      <c r="H2816" s="16">
        <v>101.25749999999999</v>
      </c>
      <c r="I2816" s="1">
        <v>46215</v>
      </c>
      <c r="J2816">
        <v>28</v>
      </c>
      <c r="K2816" t="s">
        <v>7114</v>
      </c>
      <c r="L2816" t="s">
        <v>8622</v>
      </c>
      <c r="M2816">
        <v>2</v>
      </c>
      <c r="N2816">
        <v>3</v>
      </c>
      <c r="O2816" t="s">
        <v>1036</v>
      </c>
      <c r="P2816" s="17"/>
      <c r="Q2816" s="17" t="str">
        <f>_xlfn.XLOOKUP(Table2[[#This Row],[buyFromVendorNo]],'Next Day Scheduled'!A:A,'Pending Returns'!O:O,"NOT_FOUND")</f>
        <v>NOT_FOUND</v>
      </c>
    </row>
    <row r="2817" spans="1:17" x14ac:dyDescent="0.3">
      <c r="A2817" s="1">
        <v>46231</v>
      </c>
      <c r="B2817" t="s">
        <v>5415</v>
      </c>
      <c r="C2817" t="s">
        <v>2775</v>
      </c>
      <c r="D2817" t="s">
        <v>2776</v>
      </c>
      <c r="E2817" t="s">
        <v>8</v>
      </c>
      <c r="F2817" t="s">
        <v>10</v>
      </c>
      <c r="G2817" s="16">
        <v>83.530829999999995</v>
      </c>
      <c r="H2817" s="16">
        <v>96.060450000000003</v>
      </c>
      <c r="I2817" s="1">
        <v>46226</v>
      </c>
      <c r="J2817">
        <v>28</v>
      </c>
      <c r="K2817" t="s">
        <v>8079</v>
      </c>
      <c r="L2817" t="s">
        <v>8623</v>
      </c>
      <c r="M2817">
        <v>4</v>
      </c>
      <c r="N2817">
        <v>6</v>
      </c>
      <c r="O2817" t="s">
        <v>1036</v>
      </c>
      <c r="P2817" s="17"/>
      <c r="Q2817" s="17" t="str">
        <f>_xlfn.XLOOKUP(Table2[[#This Row],[buyFromVendorNo]],'Next Day Scheduled'!A:A,'Pending Returns'!O:O,"NOT_FOUND")</f>
        <v>NOT_FOUND</v>
      </c>
    </row>
    <row r="2818" spans="1:17" x14ac:dyDescent="0.3">
      <c r="A2818" s="1">
        <v>46231</v>
      </c>
      <c r="B2818" t="s">
        <v>3444</v>
      </c>
      <c r="C2818" t="s">
        <v>5256</v>
      </c>
      <c r="D2818" t="s">
        <v>5257</v>
      </c>
      <c r="E2818" t="s">
        <v>8</v>
      </c>
      <c r="F2818" t="s">
        <v>10</v>
      </c>
      <c r="G2818" s="16">
        <v>39</v>
      </c>
      <c r="H2818" s="16">
        <v>44.85</v>
      </c>
      <c r="I2818" s="1">
        <v>46231</v>
      </c>
      <c r="J2818">
        <v>28</v>
      </c>
      <c r="K2818" t="s">
        <v>7255</v>
      </c>
      <c r="L2818" t="s">
        <v>8624</v>
      </c>
      <c r="M2818">
        <v>4</v>
      </c>
      <c r="N2818">
        <v>1</v>
      </c>
      <c r="O2818" t="s">
        <v>1036</v>
      </c>
      <c r="P2818" s="17"/>
      <c r="Q2818" s="17" t="str">
        <f>_xlfn.XLOOKUP(Table2[[#This Row],[buyFromVendorNo]],'Next Day Scheduled'!A:A,'Pending Returns'!O:O,"NOT_FOUND")</f>
        <v>NOT_FOUND</v>
      </c>
    </row>
    <row r="2819" spans="1:17" x14ac:dyDescent="0.3">
      <c r="A2819" s="1">
        <v>46231</v>
      </c>
      <c r="B2819" t="s">
        <v>2868</v>
      </c>
      <c r="C2819" t="s">
        <v>164</v>
      </c>
      <c r="D2819" t="s">
        <v>165</v>
      </c>
      <c r="E2819" t="s">
        <v>8</v>
      </c>
      <c r="F2819" t="s">
        <v>10</v>
      </c>
      <c r="G2819" s="16">
        <v>365.67667</v>
      </c>
      <c r="H2819" s="16">
        <v>420.52816999999999</v>
      </c>
      <c r="I2819" s="1">
        <v>46217</v>
      </c>
      <c r="J2819">
        <v>28</v>
      </c>
      <c r="K2819" t="s">
        <v>6577</v>
      </c>
      <c r="L2819" t="s">
        <v>8599</v>
      </c>
      <c r="M2819">
        <v>5</v>
      </c>
      <c r="N2819">
        <v>3</v>
      </c>
      <c r="O2819" t="s">
        <v>1036</v>
      </c>
      <c r="P2819" s="17"/>
      <c r="Q2819" s="17" t="str">
        <f>_xlfn.XLOOKUP(Table2[[#This Row],[buyFromVendorNo]],'Next Day Scheduled'!A:A,'Pending Returns'!O:O,"NOT_FOUND")</f>
        <v>NOT_FOUND</v>
      </c>
    </row>
    <row r="2820" spans="1:17" x14ac:dyDescent="0.3">
      <c r="A2820" s="1">
        <v>46231</v>
      </c>
      <c r="B2820" t="s">
        <v>1826</v>
      </c>
      <c r="C2820" t="s">
        <v>596</v>
      </c>
      <c r="D2820" t="s">
        <v>597</v>
      </c>
      <c r="E2820" t="s">
        <v>8</v>
      </c>
      <c r="F2820" t="s">
        <v>10</v>
      </c>
      <c r="G2820" s="16">
        <v>1521.0623000000001</v>
      </c>
      <c r="H2820" s="16">
        <v>1749.2216000000001</v>
      </c>
      <c r="I2820" s="1">
        <v>46216</v>
      </c>
      <c r="J2820">
        <v>28</v>
      </c>
      <c r="K2820" t="s">
        <v>5047</v>
      </c>
      <c r="L2820" t="s">
        <v>8602</v>
      </c>
      <c r="M2820">
        <v>4</v>
      </c>
      <c r="N2820">
        <v>5</v>
      </c>
      <c r="O2820" t="s">
        <v>1036</v>
      </c>
      <c r="P2820" s="17"/>
      <c r="Q2820" s="17" t="str">
        <f>_xlfn.XLOOKUP(Table2[[#This Row],[buyFromVendorNo]],'Next Day Scheduled'!A:A,'Pending Returns'!O:O,"NOT_FOUND")</f>
        <v>NOT_FOUND</v>
      </c>
    </row>
    <row r="2821" spans="1:17" x14ac:dyDescent="0.3">
      <c r="A2821" s="1">
        <v>46231</v>
      </c>
      <c r="B2821" t="s">
        <v>1835</v>
      </c>
      <c r="C2821" t="s">
        <v>882</v>
      </c>
      <c r="D2821" t="s">
        <v>883</v>
      </c>
      <c r="E2821" t="s">
        <v>8</v>
      </c>
      <c r="F2821" t="s">
        <v>10</v>
      </c>
      <c r="G2821" s="16">
        <v>10798.645</v>
      </c>
      <c r="H2821" s="16">
        <v>12418.441000000001</v>
      </c>
      <c r="I2821" s="1">
        <v>46225</v>
      </c>
      <c r="J2821">
        <v>28</v>
      </c>
      <c r="K2821" t="s">
        <v>1836</v>
      </c>
      <c r="L2821" t="s">
        <v>8603</v>
      </c>
      <c r="M2821">
        <v>3</v>
      </c>
      <c r="N2821">
        <v>12</v>
      </c>
      <c r="O2821" t="s">
        <v>1036</v>
      </c>
      <c r="P2821" s="17"/>
      <c r="Q2821" s="17" t="str">
        <f>_xlfn.XLOOKUP(Table2[[#This Row],[buyFromVendorNo]],'Next Day Scheduled'!A:A,'Pending Returns'!O:O,"NOT_FOUND")</f>
        <v>Posted Credit Note</v>
      </c>
    </row>
    <row r="2822" spans="1:17" x14ac:dyDescent="0.3">
      <c r="A2822" s="1">
        <v>46231</v>
      </c>
      <c r="B2822" t="s">
        <v>4078</v>
      </c>
      <c r="C2822" t="s">
        <v>1099</v>
      </c>
      <c r="D2822" t="s">
        <v>1100</v>
      </c>
      <c r="E2822" t="s">
        <v>8</v>
      </c>
      <c r="F2822" t="s">
        <v>38</v>
      </c>
      <c r="G2822" s="16">
        <v>1659.87</v>
      </c>
      <c r="H2822" s="16">
        <v>1908.8505</v>
      </c>
      <c r="I2822" s="1">
        <v>46226</v>
      </c>
      <c r="J2822">
        <v>28</v>
      </c>
      <c r="K2822" t="s">
        <v>7905</v>
      </c>
      <c r="L2822" t="s">
        <v>8626</v>
      </c>
      <c r="M2822">
        <v>3</v>
      </c>
      <c r="N2822">
        <v>5</v>
      </c>
      <c r="O2822" t="s">
        <v>1036</v>
      </c>
      <c r="P2822" s="17"/>
      <c r="Q2822" s="17" t="str">
        <f>_xlfn.XLOOKUP(Table2[[#This Row],[buyFromVendorNo]],'Next Day Scheduled'!A:A,'Pending Returns'!O:O,"NOT_FOUND")</f>
        <v>NOT_FOUND</v>
      </c>
    </row>
    <row r="2823" spans="1:17" x14ac:dyDescent="0.3">
      <c r="A2823" s="1">
        <v>46231</v>
      </c>
      <c r="B2823" t="s">
        <v>1849</v>
      </c>
      <c r="C2823" t="s">
        <v>39</v>
      </c>
      <c r="D2823" t="s">
        <v>40</v>
      </c>
      <c r="E2823" t="s">
        <v>8</v>
      </c>
      <c r="F2823" t="s">
        <v>10</v>
      </c>
      <c r="G2823" s="16">
        <v>3160.5347000000002</v>
      </c>
      <c r="H2823" s="16">
        <v>3634.6147000000001</v>
      </c>
      <c r="J2823">
        <v>28</v>
      </c>
      <c r="K2823" t="s">
        <v>8604</v>
      </c>
      <c r="M2823">
        <v>8</v>
      </c>
      <c r="N2823">
        <v>1</v>
      </c>
      <c r="O2823" t="s">
        <v>216</v>
      </c>
      <c r="P2823" s="17"/>
      <c r="Q2823" s="17" t="str">
        <f>_xlfn.XLOOKUP(Table2[[#This Row],[buyFromVendorNo]],'Next Day Scheduled'!A:A,'Pending Returns'!O:O,"NOT_FOUND")</f>
        <v>Posted Credit Note</v>
      </c>
    </row>
    <row r="2824" spans="1:17" x14ac:dyDescent="0.3">
      <c r="A2824" s="1">
        <v>46231</v>
      </c>
      <c r="B2824" t="s">
        <v>642</v>
      </c>
      <c r="C2824" t="s">
        <v>508</v>
      </c>
      <c r="D2824" t="s">
        <v>509</v>
      </c>
      <c r="E2824" t="s">
        <v>8</v>
      </c>
      <c r="F2824" t="s">
        <v>38</v>
      </c>
      <c r="G2824" s="16">
        <v>83.33</v>
      </c>
      <c r="H2824" s="16">
        <v>95.829499999999996</v>
      </c>
      <c r="I2824" s="1">
        <v>46226</v>
      </c>
      <c r="J2824">
        <v>28</v>
      </c>
      <c r="K2824" t="s">
        <v>7933</v>
      </c>
      <c r="L2824" t="s">
        <v>8614</v>
      </c>
      <c r="M2824">
        <v>4</v>
      </c>
      <c r="N2824">
        <v>9</v>
      </c>
      <c r="O2824" t="s">
        <v>1036</v>
      </c>
      <c r="P2824" s="17"/>
      <c r="Q2824" s="17" t="str">
        <f>_xlfn.XLOOKUP(Table2[[#This Row],[buyFromVendorNo]],'Next Day Scheduled'!A:A,'Pending Returns'!O:O,"NOT_FOUND")</f>
        <v>Posted Credit Note</v>
      </c>
    </row>
    <row r="2825" spans="1:17" x14ac:dyDescent="0.3">
      <c r="A2825" s="1">
        <v>46231</v>
      </c>
      <c r="B2825" t="s">
        <v>642</v>
      </c>
      <c r="C2825" t="s">
        <v>377</v>
      </c>
      <c r="D2825" t="s">
        <v>378</v>
      </c>
      <c r="E2825" t="s">
        <v>8</v>
      </c>
      <c r="F2825" t="s">
        <v>38</v>
      </c>
      <c r="G2825" s="16">
        <v>92.139169999999993</v>
      </c>
      <c r="H2825" s="16">
        <v>105.96004000000001</v>
      </c>
      <c r="I2825" s="1">
        <v>46231</v>
      </c>
      <c r="J2825">
        <v>28</v>
      </c>
      <c r="K2825" t="s">
        <v>8179</v>
      </c>
      <c r="L2825" t="s">
        <v>8615</v>
      </c>
      <c r="M2825">
        <v>4</v>
      </c>
      <c r="N2825">
        <v>3</v>
      </c>
      <c r="O2825" t="s">
        <v>1036</v>
      </c>
      <c r="P2825" s="17"/>
      <c r="Q2825" s="17" t="str">
        <f>_xlfn.XLOOKUP(Table2[[#This Row],[buyFromVendorNo]],'Next Day Scheduled'!A:A,'Pending Returns'!O:O,"NOT_FOUND")</f>
        <v>NOT_FOUND</v>
      </c>
    </row>
    <row r="2826" spans="1:17" x14ac:dyDescent="0.3">
      <c r="A2826" s="1">
        <v>46231</v>
      </c>
      <c r="B2826" t="s">
        <v>5609</v>
      </c>
      <c r="C2826" t="s">
        <v>327</v>
      </c>
      <c r="D2826" t="s">
        <v>328</v>
      </c>
      <c r="E2826" t="s">
        <v>8</v>
      </c>
      <c r="F2826" t="s">
        <v>169</v>
      </c>
      <c r="G2826" s="16">
        <v>1068.43</v>
      </c>
      <c r="H2826" s="16">
        <v>1228.6945000000001</v>
      </c>
      <c r="I2826" s="1">
        <v>46231</v>
      </c>
      <c r="J2826">
        <v>28</v>
      </c>
      <c r="K2826" t="s">
        <v>8414</v>
      </c>
      <c r="L2826" t="s">
        <v>8619</v>
      </c>
      <c r="M2826">
        <v>3</v>
      </c>
      <c r="N2826">
        <v>5</v>
      </c>
      <c r="O2826" t="s">
        <v>1036</v>
      </c>
      <c r="P2826" s="17"/>
      <c r="Q2826" s="17" t="str">
        <f>_xlfn.XLOOKUP(Table2[[#This Row],[buyFromVendorNo]],'Next Day Scheduled'!A:A,'Pending Returns'!O:O,"NOT_FOUND")</f>
        <v>NOT_FOUND</v>
      </c>
    </row>
    <row r="2827" spans="1:17" x14ac:dyDescent="0.3">
      <c r="A2827" s="1">
        <v>46231</v>
      </c>
      <c r="B2827" t="s">
        <v>642</v>
      </c>
      <c r="C2827" t="s">
        <v>377</v>
      </c>
      <c r="D2827" t="s">
        <v>378</v>
      </c>
      <c r="E2827" t="s">
        <v>8</v>
      </c>
      <c r="F2827" t="s">
        <v>38</v>
      </c>
      <c r="G2827" s="16">
        <v>347.4785</v>
      </c>
      <c r="H2827" s="16">
        <v>399.60025000000002</v>
      </c>
      <c r="I2827" s="1">
        <v>46231</v>
      </c>
      <c r="J2827">
        <v>28</v>
      </c>
      <c r="K2827" t="s">
        <v>7628</v>
      </c>
      <c r="L2827" t="s">
        <v>8597</v>
      </c>
      <c r="M2827">
        <v>4</v>
      </c>
      <c r="N2827">
        <v>3</v>
      </c>
      <c r="O2827" t="s">
        <v>1036</v>
      </c>
      <c r="P2827" s="17"/>
      <c r="Q2827" s="17" t="str">
        <f>_xlfn.XLOOKUP(Table2[[#This Row],[buyFromVendorNo]],'Next Day Scheduled'!A:A,'Pending Returns'!O:O,"NOT_FOUND")</f>
        <v>NOT_FOUND</v>
      </c>
    </row>
    <row r="2828" spans="1:17" x14ac:dyDescent="0.3">
      <c r="A2828" s="1">
        <v>46231</v>
      </c>
      <c r="B2828" t="s">
        <v>3289</v>
      </c>
      <c r="C2828" t="s">
        <v>423</v>
      </c>
      <c r="D2828" t="s">
        <v>424</v>
      </c>
      <c r="E2828" t="s">
        <v>8</v>
      </c>
      <c r="F2828" t="s">
        <v>10</v>
      </c>
      <c r="G2828" s="16">
        <v>6</v>
      </c>
      <c r="H2828" s="16">
        <v>6.9</v>
      </c>
      <c r="I2828" s="1">
        <v>46219</v>
      </c>
      <c r="J2828">
        <v>28</v>
      </c>
      <c r="K2828" t="s">
        <v>7146</v>
      </c>
      <c r="L2828" t="s">
        <v>8609</v>
      </c>
      <c r="M2828">
        <v>4</v>
      </c>
      <c r="N2828">
        <v>3</v>
      </c>
      <c r="O2828" t="s">
        <v>1036</v>
      </c>
      <c r="P2828" s="17"/>
      <c r="Q2828" s="17" t="str">
        <f>_xlfn.XLOOKUP(Table2[[#This Row],[buyFromVendorNo]],'Next Day Scheduled'!A:A,'Pending Returns'!O:O,"NOT_FOUND")</f>
        <v>NOT_FOUND</v>
      </c>
    </row>
    <row r="2829" spans="1:17" x14ac:dyDescent="0.3">
      <c r="A2829" s="1">
        <v>46231</v>
      </c>
      <c r="B2829" t="s">
        <v>3357</v>
      </c>
      <c r="C2829" t="s">
        <v>2993</v>
      </c>
      <c r="D2829" t="s">
        <v>2994</v>
      </c>
      <c r="E2829" t="s">
        <v>8</v>
      </c>
      <c r="F2829" t="s">
        <v>10</v>
      </c>
      <c r="G2829" s="16">
        <v>11.010429999999999</v>
      </c>
      <c r="H2829" s="16">
        <v>12.661989999999999</v>
      </c>
      <c r="I2829" s="1">
        <v>46231</v>
      </c>
      <c r="J2829">
        <v>28</v>
      </c>
      <c r="K2829" t="s">
        <v>6454</v>
      </c>
      <c r="L2829" t="s">
        <v>8610</v>
      </c>
      <c r="M2829">
        <v>0</v>
      </c>
      <c r="N2829">
        <v>476</v>
      </c>
      <c r="O2829" t="s">
        <v>1036</v>
      </c>
      <c r="P2829" s="17"/>
      <c r="Q2829" s="17" t="str">
        <f>_xlfn.XLOOKUP(Table2[[#This Row],[buyFromVendorNo]],'Next Day Scheduled'!A:A,'Pending Returns'!O:O,"NOT_FOUND")</f>
        <v>NOT_FOUND</v>
      </c>
    </row>
    <row r="2830" spans="1:17" x14ac:dyDescent="0.3">
      <c r="A2830" s="1">
        <v>46231</v>
      </c>
      <c r="B2830" t="s">
        <v>6536</v>
      </c>
      <c r="C2830" t="s">
        <v>401</v>
      </c>
      <c r="D2830" t="s">
        <v>402</v>
      </c>
      <c r="E2830" t="s">
        <v>8</v>
      </c>
      <c r="F2830" t="s">
        <v>38</v>
      </c>
      <c r="G2830" s="16">
        <v>415.75</v>
      </c>
      <c r="H2830" s="16">
        <v>478.11250000000001</v>
      </c>
      <c r="I2830" s="1">
        <v>46226</v>
      </c>
      <c r="J2830">
        <v>28</v>
      </c>
      <c r="K2830" t="s">
        <v>7883</v>
      </c>
      <c r="L2830" t="s">
        <v>8631</v>
      </c>
      <c r="M2830">
        <v>6</v>
      </c>
      <c r="N2830">
        <v>3</v>
      </c>
      <c r="O2830" t="s">
        <v>1036</v>
      </c>
      <c r="P2830" s="17"/>
      <c r="Q2830" s="17" t="str">
        <f>_xlfn.XLOOKUP(Table2[[#This Row],[buyFromVendorNo]],'Next Day Scheduled'!A:A,'Pending Returns'!O:O,"NOT_FOUND")</f>
        <v>Posted Credit Note</v>
      </c>
    </row>
    <row r="2831" spans="1:17" x14ac:dyDescent="0.3">
      <c r="A2831" s="1">
        <v>46231</v>
      </c>
      <c r="B2831" t="s">
        <v>3351</v>
      </c>
      <c r="C2831" t="s">
        <v>749</v>
      </c>
      <c r="D2831" t="s">
        <v>750</v>
      </c>
      <c r="E2831" t="s">
        <v>8</v>
      </c>
      <c r="F2831" t="s">
        <v>10</v>
      </c>
      <c r="G2831" s="16">
        <v>32.75</v>
      </c>
      <c r="H2831" s="16">
        <v>37.662500000000001</v>
      </c>
      <c r="J2831">
        <v>28</v>
      </c>
      <c r="K2831" t="s">
        <v>6569</v>
      </c>
      <c r="L2831" t="s">
        <v>8634</v>
      </c>
      <c r="M2831">
        <v>3</v>
      </c>
      <c r="N2831">
        <v>10</v>
      </c>
      <c r="O2831" t="s">
        <v>216</v>
      </c>
      <c r="P2831" s="17"/>
      <c r="Q2831" s="17" t="str">
        <f>_xlfn.XLOOKUP(Table2[[#This Row],[buyFromVendorNo]],'Next Day Scheduled'!A:A,'Pending Returns'!O:O,"NOT_FOUND")</f>
        <v>NOT_FOUND</v>
      </c>
    </row>
    <row r="2832" spans="1:17" x14ac:dyDescent="0.3">
      <c r="A2832" s="1">
        <v>46231</v>
      </c>
      <c r="B2832" t="s">
        <v>2531</v>
      </c>
      <c r="C2832" t="s">
        <v>164</v>
      </c>
      <c r="D2832" t="s">
        <v>165</v>
      </c>
      <c r="E2832" t="s">
        <v>8</v>
      </c>
      <c r="F2832" t="s">
        <v>10</v>
      </c>
      <c r="G2832" s="16">
        <v>1342.115</v>
      </c>
      <c r="H2832" s="16">
        <v>1543.4322999999999</v>
      </c>
      <c r="I2832" s="1">
        <v>46217</v>
      </c>
      <c r="J2832">
        <v>28</v>
      </c>
      <c r="K2832" t="s">
        <v>4704</v>
      </c>
      <c r="L2832" t="s">
        <v>8628</v>
      </c>
      <c r="M2832">
        <v>5</v>
      </c>
      <c r="N2832">
        <v>3</v>
      </c>
      <c r="O2832" t="s">
        <v>1036</v>
      </c>
      <c r="P2832" s="17"/>
      <c r="Q2832" s="17" t="str">
        <f>_xlfn.XLOOKUP(Table2[[#This Row],[buyFromVendorNo]],'Next Day Scheduled'!A:A,'Pending Returns'!O:O,"NOT_FOUND")</f>
        <v>NOT_FOUND</v>
      </c>
    </row>
    <row r="2833" spans="1:17" x14ac:dyDescent="0.3">
      <c r="A2833" s="1">
        <v>46231</v>
      </c>
      <c r="B2833" t="s">
        <v>5689</v>
      </c>
      <c r="C2833" t="s">
        <v>882</v>
      </c>
      <c r="D2833" t="s">
        <v>883</v>
      </c>
      <c r="E2833" t="s">
        <v>8</v>
      </c>
      <c r="F2833" t="s">
        <v>10</v>
      </c>
      <c r="G2833" s="16">
        <v>1433.73</v>
      </c>
      <c r="H2833" s="16">
        <v>1648.7896000000001</v>
      </c>
      <c r="I2833" s="1">
        <v>46225</v>
      </c>
      <c r="J2833">
        <v>28</v>
      </c>
      <c r="K2833" t="s">
        <v>5512</v>
      </c>
      <c r="L2833" t="s">
        <v>8635</v>
      </c>
      <c r="M2833">
        <v>3</v>
      </c>
      <c r="N2833">
        <v>12</v>
      </c>
      <c r="O2833" t="s">
        <v>1036</v>
      </c>
      <c r="P2833" s="17"/>
      <c r="Q2833" s="17" t="str">
        <f>_xlfn.XLOOKUP(Table2[[#This Row],[buyFromVendorNo]],'Next Day Scheduled'!A:A,'Pending Returns'!O:O,"NOT_FOUND")</f>
        <v>Posted Credit Note</v>
      </c>
    </row>
    <row r="2834" spans="1:17" x14ac:dyDescent="0.3">
      <c r="A2834" s="1">
        <v>46231</v>
      </c>
      <c r="B2834" t="s">
        <v>6260</v>
      </c>
      <c r="C2834" t="s">
        <v>875</v>
      </c>
      <c r="D2834" t="s">
        <v>876</v>
      </c>
      <c r="E2834" t="s">
        <v>8</v>
      </c>
      <c r="F2834" t="s">
        <v>38</v>
      </c>
      <c r="G2834" s="16">
        <v>91.06</v>
      </c>
      <c r="H2834" s="16">
        <v>104.71899999999999</v>
      </c>
      <c r="I2834" s="1">
        <v>46230</v>
      </c>
      <c r="J2834">
        <v>28</v>
      </c>
      <c r="K2834" t="s">
        <v>8368</v>
      </c>
      <c r="L2834" t="s">
        <v>8594</v>
      </c>
      <c r="M2834">
        <v>1</v>
      </c>
      <c r="N2834">
        <v>14</v>
      </c>
      <c r="O2834" t="s">
        <v>1036</v>
      </c>
      <c r="P2834" s="17"/>
      <c r="Q2834" s="17" t="str">
        <f>_xlfn.XLOOKUP(Table2[[#This Row],[buyFromVendorNo]],'Next Day Scheduled'!A:A,'Pending Returns'!O:O,"NOT_FOUND")</f>
        <v>NOT_FOUND</v>
      </c>
    </row>
    <row r="2835" spans="1:17" x14ac:dyDescent="0.3">
      <c r="A2835" s="1">
        <v>46231</v>
      </c>
      <c r="B2835" t="s">
        <v>3037</v>
      </c>
      <c r="C2835" t="s">
        <v>941</v>
      </c>
      <c r="D2835" t="s">
        <v>942</v>
      </c>
      <c r="E2835" t="s">
        <v>8</v>
      </c>
      <c r="F2835" t="s">
        <v>38</v>
      </c>
      <c r="G2835" s="16">
        <v>6193.81</v>
      </c>
      <c r="H2835" s="16">
        <v>7122.8813</v>
      </c>
      <c r="I2835" s="1">
        <v>46225</v>
      </c>
      <c r="J2835">
        <v>28</v>
      </c>
      <c r="K2835" t="s">
        <v>7870</v>
      </c>
      <c r="L2835" t="s">
        <v>8616</v>
      </c>
      <c r="M2835">
        <v>4</v>
      </c>
      <c r="N2835">
        <v>1</v>
      </c>
      <c r="O2835" t="s">
        <v>1036</v>
      </c>
      <c r="P2835" s="17"/>
      <c r="Q2835" s="17" t="str">
        <f>_xlfn.XLOOKUP(Table2[[#This Row],[buyFromVendorNo]],'Next Day Scheduled'!A:A,'Pending Returns'!O:O,"NOT_FOUND")</f>
        <v>NOT_FOUND</v>
      </c>
    </row>
    <row r="2836" spans="1:17" x14ac:dyDescent="0.3">
      <c r="A2836" s="1">
        <v>46231</v>
      </c>
      <c r="B2836" t="s">
        <v>1698</v>
      </c>
      <c r="C2836" t="s">
        <v>576</v>
      </c>
      <c r="D2836" t="s">
        <v>577</v>
      </c>
      <c r="E2836" t="s">
        <v>8</v>
      </c>
      <c r="F2836" t="s">
        <v>10</v>
      </c>
      <c r="G2836" s="16">
        <v>167.64</v>
      </c>
      <c r="H2836" s="16">
        <v>192.786</v>
      </c>
      <c r="I2836" s="1">
        <v>46230</v>
      </c>
      <c r="J2836">
        <v>28</v>
      </c>
      <c r="K2836" t="s">
        <v>8218</v>
      </c>
      <c r="L2836" t="s">
        <v>8629</v>
      </c>
      <c r="M2836">
        <v>5</v>
      </c>
      <c r="N2836">
        <v>3</v>
      </c>
      <c r="O2836" t="s">
        <v>1036</v>
      </c>
      <c r="P2836" s="17"/>
      <c r="Q2836" s="17" t="str">
        <f>_xlfn.XLOOKUP(Table2[[#This Row],[buyFromVendorNo]],'Next Day Scheduled'!A:A,'Pending Returns'!O:O,"NOT_FOUND")</f>
        <v>NOT_FOUND</v>
      </c>
    </row>
    <row r="2837" spans="1:17" x14ac:dyDescent="0.3">
      <c r="A2837" s="1">
        <v>46231</v>
      </c>
      <c r="B2837" t="s">
        <v>642</v>
      </c>
      <c r="C2837" t="s">
        <v>377</v>
      </c>
      <c r="D2837" t="s">
        <v>378</v>
      </c>
      <c r="E2837" t="s">
        <v>8</v>
      </c>
      <c r="F2837" t="s">
        <v>38</v>
      </c>
      <c r="G2837" s="16">
        <v>255.78278</v>
      </c>
      <c r="H2837" s="16">
        <v>294.15017999999998</v>
      </c>
      <c r="I2837" s="1">
        <v>46231</v>
      </c>
      <c r="J2837">
        <v>28</v>
      </c>
      <c r="K2837" t="s">
        <v>7738</v>
      </c>
      <c r="L2837" t="s">
        <v>8620</v>
      </c>
      <c r="M2837">
        <v>4</v>
      </c>
      <c r="N2837">
        <v>3</v>
      </c>
      <c r="O2837" t="s">
        <v>1036</v>
      </c>
      <c r="P2837" s="17"/>
      <c r="Q2837" s="17" t="str">
        <f>_xlfn.XLOOKUP(Table2[[#This Row],[buyFromVendorNo]],'Next Day Scheduled'!A:A,'Pending Returns'!O:O,"NOT_FOUND")</f>
        <v>NOT_FOUND</v>
      </c>
    </row>
    <row r="2838" spans="1:17" x14ac:dyDescent="0.3">
      <c r="A2838" s="1">
        <v>46231</v>
      </c>
      <c r="B2838" t="s">
        <v>7355</v>
      </c>
      <c r="C2838" t="s">
        <v>596</v>
      </c>
      <c r="D2838" t="s">
        <v>597</v>
      </c>
      <c r="E2838" t="s">
        <v>8</v>
      </c>
      <c r="F2838" t="s">
        <v>10</v>
      </c>
      <c r="G2838" s="16">
        <v>21.148299999999999</v>
      </c>
      <c r="H2838" s="16">
        <v>24.320540000000001</v>
      </c>
      <c r="I2838" s="1">
        <v>46225</v>
      </c>
      <c r="J2838">
        <v>28</v>
      </c>
      <c r="K2838" t="s">
        <v>7356</v>
      </c>
      <c r="L2838" t="s">
        <v>8621</v>
      </c>
      <c r="M2838">
        <v>4</v>
      </c>
      <c r="N2838">
        <v>5</v>
      </c>
      <c r="O2838" t="s">
        <v>1036</v>
      </c>
      <c r="P2838" s="17"/>
      <c r="Q2838" s="17" t="str">
        <f>_xlfn.XLOOKUP(Table2[[#This Row],[buyFromVendorNo]],'Next Day Scheduled'!A:A,'Pending Returns'!O:O,"NOT_FOUND")</f>
        <v>NOT_FOUND</v>
      </c>
    </row>
    <row r="2839" spans="1:17" x14ac:dyDescent="0.3">
      <c r="A2839" s="1">
        <v>46231</v>
      </c>
      <c r="B2839" t="s">
        <v>8222</v>
      </c>
      <c r="C2839" t="s">
        <v>164</v>
      </c>
      <c r="D2839" t="s">
        <v>165</v>
      </c>
      <c r="E2839" t="s">
        <v>8</v>
      </c>
      <c r="F2839" t="s">
        <v>10</v>
      </c>
      <c r="G2839" s="16">
        <v>104</v>
      </c>
      <c r="H2839" s="16">
        <v>119.6</v>
      </c>
      <c r="I2839" s="1">
        <v>46231</v>
      </c>
      <c r="J2839">
        <v>28</v>
      </c>
      <c r="K2839" t="s">
        <v>8223</v>
      </c>
      <c r="L2839" t="s">
        <v>8608</v>
      </c>
      <c r="M2839">
        <v>5</v>
      </c>
      <c r="N2839">
        <v>3</v>
      </c>
      <c r="O2839" t="s">
        <v>1036</v>
      </c>
      <c r="P2839" s="17"/>
      <c r="Q2839" s="17" t="str">
        <f>_xlfn.XLOOKUP(Table2[[#This Row],[buyFromVendorNo]],'Next Day Scheduled'!A:A,'Pending Returns'!O:O,"NOT_FOUND")</f>
        <v>NOT_FOUND</v>
      </c>
    </row>
    <row r="2840" spans="1:17" x14ac:dyDescent="0.3">
      <c r="A2840" s="1">
        <v>46231</v>
      </c>
      <c r="B2840" t="s">
        <v>642</v>
      </c>
      <c r="C2840" t="s">
        <v>508</v>
      </c>
      <c r="D2840" t="s">
        <v>509</v>
      </c>
      <c r="E2840" t="s">
        <v>8</v>
      </c>
      <c r="F2840" t="s">
        <v>38</v>
      </c>
      <c r="G2840" s="16">
        <v>101.5</v>
      </c>
      <c r="H2840" s="16">
        <v>116.72499999999999</v>
      </c>
      <c r="I2840" s="1">
        <v>46226</v>
      </c>
      <c r="J2840">
        <v>28</v>
      </c>
      <c r="K2840" t="s">
        <v>7509</v>
      </c>
      <c r="L2840" t="s">
        <v>8611</v>
      </c>
      <c r="M2840">
        <v>4</v>
      </c>
      <c r="N2840">
        <v>9</v>
      </c>
      <c r="O2840" t="s">
        <v>1036</v>
      </c>
      <c r="P2840" s="17"/>
      <c r="Q2840" s="17" t="str">
        <f>_xlfn.XLOOKUP(Table2[[#This Row],[buyFromVendorNo]],'Next Day Scheduled'!A:A,'Pending Returns'!O:O,"NOT_FOUND")</f>
        <v>Posted Credit Note</v>
      </c>
    </row>
    <row r="2841" spans="1:17" x14ac:dyDescent="0.3">
      <c r="A2841" s="1">
        <v>46231</v>
      </c>
      <c r="B2841" t="s">
        <v>4460</v>
      </c>
      <c r="C2841" t="s">
        <v>327</v>
      </c>
      <c r="D2841" t="s">
        <v>328</v>
      </c>
      <c r="E2841" t="s">
        <v>8</v>
      </c>
      <c r="F2841" t="s">
        <v>169</v>
      </c>
      <c r="G2841" s="16">
        <v>1640.23</v>
      </c>
      <c r="H2841" s="16">
        <v>1886.2645</v>
      </c>
      <c r="I2841" s="1">
        <v>46231</v>
      </c>
      <c r="J2841">
        <v>28</v>
      </c>
      <c r="K2841" t="s">
        <v>7972</v>
      </c>
      <c r="L2841" t="s">
        <v>8632</v>
      </c>
      <c r="M2841">
        <v>3</v>
      </c>
      <c r="N2841">
        <v>5</v>
      </c>
      <c r="O2841" t="s">
        <v>1036</v>
      </c>
      <c r="P2841" s="17"/>
      <c r="Q2841" s="17" t="str">
        <f>_xlfn.XLOOKUP(Table2[[#This Row],[buyFromVendorNo]],'Next Day Scheduled'!A:A,'Pending Returns'!O:O,"NOT_FOUND")</f>
        <v>NOT_FOUND</v>
      </c>
    </row>
    <row r="2842" spans="1:17" x14ac:dyDescent="0.3">
      <c r="A2842" s="1">
        <v>46231</v>
      </c>
      <c r="B2842" t="s">
        <v>551</v>
      </c>
      <c r="C2842" t="s">
        <v>941</v>
      </c>
      <c r="D2842" t="s">
        <v>942</v>
      </c>
      <c r="E2842" t="s">
        <v>8</v>
      </c>
      <c r="F2842" t="s">
        <v>38</v>
      </c>
      <c r="G2842" s="16">
        <v>950.94</v>
      </c>
      <c r="H2842" s="16">
        <v>1093.5809999999999</v>
      </c>
      <c r="I2842" s="1">
        <v>46225</v>
      </c>
      <c r="J2842">
        <v>28</v>
      </c>
      <c r="K2842" t="s">
        <v>8031</v>
      </c>
      <c r="L2842" t="s">
        <v>8601</v>
      </c>
      <c r="M2842">
        <v>4</v>
      </c>
      <c r="N2842">
        <v>1</v>
      </c>
      <c r="O2842" t="s">
        <v>1036</v>
      </c>
      <c r="P2842" s="17"/>
      <c r="Q2842" s="17" t="str">
        <f>_xlfn.XLOOKUP(Table2[[#This Row],[buyFromVendorNo]],'Next Day Scheduled'!A:A,'Pending Returns'!O:O,"NOT_FOUND")</f>
        <v>NOT_FOUND</v>
      </c>
    </row>
    <row r="2843" spans="1:17" x14ac:dyDescent="0.3">
      <c r="A2843" s="1">
        <v>46231</v>
      </c>
      <c r="B2843" t="s">
        <v>1776</v>
      </c>
      <c r="C2843" t="s">
        <v>880</v>
      </c>
      <c r="D2843" t="s">
        <v>881</v>
      </c>
      <c r="E2843" t="s">
        <v>8</v>
      </c>
      <c r="F2843" t="s">
        <v>10</v>
      </c>
      <c r="G2843" s="16">
        <v>20</v>
      </c>
      <c r="H2843" s="16">
        <v>23</v>
      </c>
      <c r="I2843" s="1">
        <v>46231</v>
      </c>
      <c r="J2843">
        <v>28</v>
      </c>
      <c r="K2843" t="s">
        <v>8440</v>
      </c>
      <c r="L2843" t="s">
        <v>8600</v>
      </c>
      <c r="M2843">
        <v>2</v>
      </c>
      <c r="N2843">
        <v>13</v>
      </c>
      <c r="O2843" t="s">
        <v>1036</v>
      </c>
      <c r="P2843" s="17"/>
      <c r="Q2843" s="17" t="str">
        <f>_xlfn.XLOOKUP(Table2[[#This Row],[buyFromVendorNo]],'Next Day Scheduled'!A:A,'Pending Returns'!O:O,"NOT_FOUND")</f>
        <v>NOT_FOUND</v>
      </c>
    </row>
    <row r="2844" spans="1:17" x14ac:dyDescent="0.3">
      <c r="A2844" s="1">
        <v>46231</v>
      </c>
      <c r="B2844" t="s">
        <v>800</v>
      </c>
      <c r="C2844" t="s">
        <v>7648</v>
      </c>
      <c r="D2844" t="s">
        <v>7649</v>
      </c>
      <c r="E2844" t="s">
        <v>8</v>
      </c>
      <c r="F2844" t="s">
        <v>38</v>
      </c>
      <c r="G2844" s="16">
        <v>21.15</v>
      </c>
      <c r="H2844" s="16">
        <v>24.322500000000002</v>
      </c>
      <c r="I2844" s="1">
        <v>46223</v>
      </c>
      <c r="J2844">
        <v>28</v>
      </c>
      <c r="K2844" t="s">
        <v>7726</v>
      </c>
      <c r="L2844" t="s">
        <v>8595</v>
      </c>
      <c r="M2844">
        <v>2</v>
      </c>
      <c r="N2844">
        <v>10</v>
      </c>
      <c r="O2844" t="s">
        <v>1036</v>
      </c>
      <c r="P2844" s="17"/>
      <c r="Q2844" s="17" t="str">
        <f>_xlfn.XLOOKUP(Table2[[#This Row],[buyFromVendorNo]],'Next Day Scheduled'!A:A,'Pending Returns'!O:O,"NOT_FOUND")</f>
        <v>NOT_FOUND</v>
      </c>
    </row>
    <row r="2845" spans="1:17" x14ac:dyDescent="0.3">
      <c r="A2845" s="1">
        <v>46231</v>
      </c>
      <c r="B2845" t="s">
        <v>642</v>
      </c>
      <c r="C2845" t="s">
        <v>508</v>
      </c>
      <c r="D2845" t="s">
        <v>509</v>
      </c>
      <c r="E2845" t="s">
        <v>8</v>
      </c>
      <c r="F2845" t="s">
        <v>38</v>
      </c>
      <c r="G2845" s="16">
        <v>281.94</v>
      </c>
      <c r="H2845" s="16">
        <v>324.23099999999999</v>
      </c>
      <c r="I2845" s="1">
        <v>46226</v>
      </c>
      <c r="J2845">
        <v>28</v>
      </c>
      <c r="K2845" t="s">
        <v>6777</v>
      </c>
      <c r="L2845" t="s">
        <v>8630</v>
      </c>
      <c r="M2845">
        <v>4</v>
      </c>
      <c r="N2845">
        <v>9</v>
      </c>
      <c r="O2845" t="s">
        <v>1036</v>
      </c>
      <c r="P2845" s="17"/>
      <c r="Q2845" s="17" t="str">
        <f>_xlfn.XLOOKUP(Table2[[#This Row],[buyFromVendorNo]],'Next Day Scheduled'!A:A,'Pending Returns'!O:O,"NOT_FOUND")</f>
        <v>Posted Credit Note</v>
      </c>
    </row>
    <row r="2846" spans="1:17" x14ac:dyDescent="0.3">
      <c r="A2846" s="1">
        <v>46231</v>
      </c>
      <c r="B2846" t="s">
        <v>2208</v>
      </c>
      <c r="C2846" t="s">
        <v>882</v>
      </c>
      <c r="D2846" t="s">
        <v>883</v>
      </c>
      <c r="E2846" t="s">
        <v>8</v>
      </c>
      <c r="F2846" t="s">
        <v>10</v>
      </c>
      <c r="G2846" s="16">
        <v>2905.0250999999998</v>
      </c>
      <c r="H2846" s="16">
        <v>3340.7788</v>
      </c>
      <c r="I2846" s="1">
        <v>46225</v>
      </c>
      <c r="J2846">
        <v>28</v>
      </c>
      <c r="K2846" t="s">
        <v>2767</v>
      </c>
      <c r="L2846" t="s">
        <v>8633</v>
      </c>
      <c r="M2846">
        <v>3</v>
      </c>
      <c r="N2846">
        <v>12</v>
      </c>
      <c r="O2846" t="s">
        <v>1036</v>
      </c>
      <c r="P2846" s="17"/>
      <c r="Q2846" s="17" t="str">
        <f>_xlfn.XLOOKUP(Table2[[#This Row],[buyFromVendorNo]],'Next Day Scheduled'!A:A,'Pending Returns'!O:O,"NOT_FOUND")</f>
        <v>Posted Credit Note</v>
      </c>
    </row>
    <row r="2847" spans="1:17" x14ac:dyDescent="0.3">
      <c r="A2847" s="1">
        <v>46231</v>
      </c>
      <c r="B2847" t="s">
        <v>4460</v>
      </c>
      <c r="C2847" t="s">
        <v>327</v>
      </c>
      <c r="D2847" t="s">
        <v>328</v>
      </c>
      <c r="E2847" t="s">
        <v>8</v>
      </c>
      <c r="F2847" t="s">
        <v>169</v>
      </c>
      <c r="G2847" s="16">
        <v>610.16</v>
      </c>
      <c r="H2847" s="16">
        <v>701.68399999999997</v>
      </c>
      <c r="I2847" s="1">
        <v>46231</v>
      </c>
      <c r="J2847">
        <v>28</v>
      </c>
      <c r="K2847" t="s">
        <v>7901</v>
      </c>
      <c r="L2847" t="s">
        <v>8612</v>
      </c>
      <c r="M2847">
        <v>3</v>
      </c>
      <c r="N2847">
        <v>5</v>
      </c>
      <c r="O2847" t="s">
        <v>1036</v>
      </c>
      <c r="P2847" s="17"/>
      <c r="Q2847" s="17" t="str">
        <f>_xlfn.XLOOKUP(Table2[[#This Row],[buyFromVendorNo]],'Next Day Scheduled'!A:A,'Pending Returns'!O:O,"NOT_FOUND")</f>
        <v>NOT_FOUND</v>
      </c>
    </row>
    <row r="2848" spans="1:17" x14ac:dyDescent="0.3">
      <c r="A2848" s="1">
        <v>46231</v>
      </c>
      <c r="B2848" t="s">
        <v>2984</v>
      </c>
      <c r="C2848" t="s">
        <v>423</v>
      </c>
      <c r="D2848" t="s">
        <v>424</v>
      </c>
      <c r="E2848" t="s">
        <v>8</v>
      </c>
      <c r="F2848" t="s">
        <v>10</v>
      </c>
      <c r="G2848" s="16">
        <v>1068.6176</v>
      </c>
      <c r="H2848" s="16">
        <v>1228.9103</v>
      </c>
      <c r="I2848" s="1">
        <v>46219</v>
      </c>
      <c r="J2848">
        <v>28</v>
      </c>
      <c r="K2848" t="s">
        <v>7278</v>
      </c>
      <c r="L2848" t="s">
        <v>8613</v>
      </c>
      <c r="M2848">
        <v>4</v>
      </c>
      <c r="N2848">
        <v>3</v>
      </c>
      <c r="O2848" t="s">
        <v>1036</v>
      </c>
      <c r="P2848" s="17"/>
      <c r="Q2848" s="17" t="str">
        <f>_xlfn.XLOOKUP(Table2[[#This Row],[buyFromVendorNo]],'Next Day Scheduled'!A:A,'Pending Returns'!O:O,"NOT_FOUND")</f>
        <v>NOT_FOUND</v>
      </c>
    </row>
    <row r="2849" spans="1:17" x14ac:dyDescent="0.3">
      <c r="A2849" s="1">
        <v>46232</v>
      </c>
      <c r="B2849" t="s">
        <v>3715</v>
      </c>
      <c r="C2849" t="s">
        <v>418</v>
      </c>
      <c r="D2849" t="s">
        <v>419</v>
      </c>
      <c r="E2849" t="s">
        <v>8</v>
      </c>
      <c r="F2849" t="s">
        <v>169</v>
      </c>
      <c r="G2849" s="16">
        <v>96</v>
      </c>
      <c r="H2849" s="16">
        <v>110.4</v>
      </c>
      <c r="I2849" s="1">
        <v>46229</v>
      </c>
      <c r="J2849">
        <v>27</v>
      </c>
      <c r="K2849" t="s">
        <v>8443</v>
      </c>
      <c r="L2849" t="s">
        <v>8645</v>
      </c>
      <c r="M2849">
        <v>3</v>
      </c>
      <c r="N2849">
        <v>3</v>
      </c>
      <c r="O2849" t="s">
        <v>1036</v>
      </c>
      <c r="P2849" s="17"/>
      <c r="Q2849" s="17" t="str">
        <f>_xlfn.XLOOKUP(Table2[[#This Row],[buyFromVendorNo]],'Next Day Scheduled'!A:A,'Pending Returns'!O:O,"NOT_FOUND")</f>
        <v>NOT_FOUND</v>
      </c>
    </row>
    <row r="2850" spans="1:17" x14ac:dyDescent="0.3">
      <c r="A2850" s="1">
        <v>46232</v>
      </c>
      <c r="B2850" t="s">
        <v>269</v>
      </c>
      <c r="C2850" t="s">
        <v>984</v>
      </c>
      <c r="D2850" t="s">
        <v>985</v>
      </c>
      <c r="E2850" t="s">
        <v>8</v>
      </c>
      <c r="F2850" t="s">
        <v>10</v>
      </c>
      <c r="G2850" s="16">
        <v>7696.8</v>
      </c>
      <c r="H2850" s="16">
        <v>8851.32</v>
      </c>
      <c r="I2850" s="1">
        <v>46205</v>
      </c>
      <c r="J2850">
        <v>27</v>
      </c>
      <c r="K2850" t="s">
        <v>2402</v>
      </c>
      <c r="L2850" t="s">
        <v>8770</v>
      </c>
      <c r="M2850">
        <v>2</v>
      </c>
      <c r="N2850">
        <v>1</v>
      </c>
      <c r="O2850" t="s">
        <v>1036</v>
      </c>
      <c r="P2850" s="17"/>
      <c r="Q2850" s="17" t="str">
        <f>_xlfn.XLOOKUP(Table2[[#This Row],[buyFromVendorNo]],'Next Day Scheduled'!A:A,'Pending Returns'!O:O,"NOT_FOUND")</f>
        <v>NOT_FOUND</v>
      </c>
    </row>
    <row r="2851" spans="1:17" x14ac:dyDescent="0.3">
      <c r="A2851" s="1">
        <v>46232</v>
      </c>
      <c r="B2851" t="s">
        <v>1835</v>
      </c>
      <c r="C2851" t="s">
        <v>635</v>
      </c>
      <c r="D2851" t="s">
        <v>636</v>
      </c>
      <c r="E2851" t="s">
        <v>8</v>
      </c>
      <c r="F2851" t="s">
        <v>10</v>
      </c>
      <c r="G2851" s="16">
        <v>37.916710000000002</v>
      </c>
      <c r="H2851" s="16">
        <v>43.604219999999998</v>
      </c>
      <c r="I2851" s="1">
        <v>46229</v>
      </c>
      <c r="J2851">
        <v>27</v>
      </c>
      <c r="K2851" t="s">
        <v>8282</v>
      </c>
      <c r="L2851" t="s">
        <v>8636</v>
      </c>
      <c r="M2851">
        <v>3</v>
      </c>
      <c r="N2851">
        <v>2</v>
      </c>
      <c r="O2851" t="s">
        <v>1036</v>
      </c>
      <c r="P2851" s="17"/>
      <c r="Q2851" s="17" t="str">
        <f>_xlfn.XLOOKUP(Table2[[#This Row],[buyFromVendorNo]],'Next Day Scheduled'!A:A,'Pending Returns'!O:O,"NOT_FOUND")</f>
        <v>NOT_FOUND</v>
      </c>
    </row>
    <row r="2852" spans="1:17" x14ac:dyDescent="0.3">
      <c r="A2852" s="1">
        <v>46232</v>
      </c>
      <c r="B2852" t="s">
        <v>2796</v>
      </c>
      <c r="C2852" t="s">
        <v>2302</v>
      </c>
      <c r="D2852" t="s">
        <v>2303</v>
      </c>
      <c r="E2852" t="s">
        <v>8</v>
      </c>
      <c r="F2852" t="s">
        <v>10</v>
      </c>
      <c r="G2852" s="16">
        <v>28.86</v>
      </c>
      <c r="H2852" s="16">
        <v>33.189</v>
      </c>
      <c r="J2852">
        <v>27</v>
      </c>
      <c r="K2852" t="s">
        <v>8646</v>
      </c>
      <c r="M2852">
        <v>1</v>
      </c>
      <c r="N2852">
        <v>16</v>
      </c>
      <c r="O2852" t="s">
        <v>216</v>
      </c>
      <c r="P2852" s="17"/>
      <c r="Q2852" s="17" t="str">
        <f>_xlfn.XLOOKUP(Table2[[#This Row],[buyFromVendorNo]],'Next Day Scheduled'!A:A,'Pending Returns'!O:O,"NOT_FOUND")</f>
        <v>NOT_FOUND</v>
      </c>
    </row>
    <row r="2853" spans="1:17" x14ac:dyDescent="0.3">
      <c r="A2853" s="1">
        <v>46232</v>
      </c>
      <c r="B2853" t="s">
        <v>3479</v>
      </c>
      <c r="C2853" t="s">
        <v>984</v>
      </c>
      <c r="D2853" t="s">
        <v>985</v>
      </c>
      <c r="E2853" t="s">
        <v>8</v>
      </c>
      <c r="F2853" t="s">
        <v>10</v>
      </c>
      <c r="G2853" s="16">
        <v>850.8</v>
      </c>
      <c r="H2853" s="16">
        <v>978.42</v>
      </c>
      <c r="I2853" s="1">
        <v>46205</v>
      </c>
      <c r="J2853">
        <v>27</v>
      </c>
      <c r="K2853" t="s">
        <v>3480</v>
      </c>
      <c r="L2853" t="s">
        <v>8737</v>
      </c>
      <c r="M2853">
        <v>2</v>
      </c>
      <c r="N2853">
        <v>1</v>
      </c>
      <c r="O2853" t="s">
        <v>1036</v>
      </c>
      <c r="P2853" s="17"/>
      <c r="Q2853" s="17" t="str">
        <f>_xlfn.XLOOKUP(Table2[[#This Row],[buyFromVendorNo]],'Next Day Scheduled'!A:A,'Pending Returns'!O:O,"NOT_FOUND")</f>
        <v>NOT_FOUND</v>
      </c>
    </row>
    <row r="2854" spans="1:17" x14ac:dyDescent="0.3">
      <c r="A2854" s="1">
        <v>46232</v>
      </c>
      <c r="B2854" t="s">
        <v>642</v>
      </c>
      <c r="C2854" t="s">
        <v>173</v>
      </c>
      <c r="D2854" t="s">
        <v>174</v>
      </c>
      <c r="E2854" t="s">
        <v>8</v>
      </c>
      <c r="F2854" t="s">
        <v>38</v>
      </c>
      <c r="G2854" s="16">
        <v>1927.69</v>
      </c>
      <c r="H2854" s="16">
        <v>2216.8434999999999</v>
      </c>
      <c r="I2854" s="1">
        <v>46232</v>
      </c>
      <c r="J2854">
        <v>27</v>
      </c>
      <c r="K2854" t="s">
        <v>7421</v>
      </c>
      <c r="L2854" t="s">
        <v>8738</v>
      </c>
      <c r="M2854">
        <v>3</v>
      </c>
      <c r="N2854">
        <v>24</v>
      </c>
      <c r="O2854" t="s">
        <v>223</v>
      </c>
      <c r="P2854" s="17"/>
      <c r="Q2854" s="17" t="str">
        <f>_xlfn.XLOOKUP(Table2[[#This Row],[buyFromVendorNo]],'Next Day Scheduled'!A:A,'Pending Returns'!O:O,"NOT_FOUND")</f>
        <v>NOT_FOUND</v>
      </c>
    </row>
    <row r="2855" spans="1:17" x14ac:dyDescent="0.3">
      <c r="A2855" s="1">
        <v>46232</v>
      </c>
      <c r="B2855" t="s">
        <v>2623</v>
      </c>
      <c r="C2855" t="s">
        <v>49</v>
      </c>
      <c r="D2855" t="s">
        <v>50</v>
      </c>
      <c r="E2855" t="s">
        <v>8</v>
      </c>
      <c r="F2855" t="s">
        <v>10</v>
      </c>
      <c r="G2855" s="16">
        <v>2586.8000000000002</v>
      </c>
      <c r="H2855" s="16">
        <v>2974.82</v>
      </c>
      <c r="I2855" s="1">
        <v>46223</v>
      </c>
      <c r="J2855">
        <v>27</v>
      </c>
      <c r="K2855" t="s">
        <v>7070</v>
      </c>
      <c r="L2855" t="s">
        <v>8724</v>
      </c>
      <c r="M2855">
        <v>2</v>
      </c>
      <c r="N2855">
        <v>15</v>
      </c>
      <c r="O2855" t="s">
        <v>1036</v>
      </c>
      <c r="P2855" s="17"/>
      <c r="Q2855" s="17" t="str">
        <f>_xlfn.XLOOKUP(Table2[[#This Row],[buyFromVendorNo]],'Next Day Scheduled'!A:A,'Pending Returns'!O:O,"NOT_FOUND")</f>
        <v>NOT_FOUND</v>
      </c>
    </row>
    <row r="2856" spans="1:17" x14ac:dyDescent="0.3">
      <c r="A2856" s="1">
        <v>46232</v>
      </c>
      <c r="B2856" t="s">
        <v>2593</v>
      </c>
      <c r="C2856" t="s">
        <v>139</v>
      </c>
      <c r="D2856" t="s">
        <v>140</v>
      </c>
      <c r="E2856" t="s">
        <v>8</v>
      </c>
      <c r="F2856" t="s">
        <v>10</v>
      </c>
      <c r="G2856" s="16">
        <v>15.9903</v>
      </c>
      <c r="H2856" s="16">
        <v>18.388839999999998</v>
      </c>
      <c r="I2856" s="1">
        <v>46232</v>
      </c>
      <c r="J2856">
        <v>27</v>
      </c>
      <c r="K2856" t="s">
        <v>8284</v>
      </c>
      <c r="L2856" t="s">
        <v>8754</v>
      </c>
      <c r="M2856">
        <v>5</v>
      </c>
      <c r="N2856">
        <v>7</v>
      </c>
      <c r="O2856" t="s">
        <v>1036</v>
      </c>
      <c r="P2856" s="17"/>
      <c r="Q2856" s="17" t="str">
        <f>_xlfn.XLOOKUP(Table2[[#This Row],[buyFromVendorNo]],'Next Day Scheduled'!A:A,'Pending Returns'!O:O,"NOT_FOUND")</f>
        <v>NOT_FOUND</v>
      </c>
    </row>
    <row r="2857" spans="1:17" x14ac:dyDescent="0.3">
      <c r="A2857" s="1">
        <v>46232</v>
      </c>
      <c r="B2857" t="s">
        <v>3494</v>
      </c>
      <c r="C2857" t="s">
        <v>7713</v>
      </c>
      <c r="D2857" t="s">
        <v>7714</v>
      </c>
      <c r="E2857" t="s">
        <v>8</v>
      </c>
      <c r="F2857" t="s">
        <v>10</v>
      </c>
      <c r="G2857" s="16">
        <v>34042.03</v>
      </c>
      <c r="H2857" s="16">
        <v>39148.336000000003</v>
      </c>
      <c r="I2857" s="1">
        <v>46232</v>
      </c>
      <c r="J2857">
        <v>27</v>
      </c>
      <c r="K2857" t="s">
        <v>7715</v>
      </c>
      <c r="L2857" t="s">
        <v>8638</v>
      </c>
      <c r="M2857">
        <v>0</v>
      </c>
      <c r="N2857">
        <v>231</v>
      </c>
      <c r="O2857" t="s">
        <v>223</v>
      </c>
      <c r="P2857" s="17"/>
      <c r="Q2857" s="17" t="str">
        <f>_xlfn.XLOOKUP(Table2[[#This Row],[buyFromVendorNo]],'Next Day Scheduled'!A:A,'Pending Returns'!O:O,"NOT_FOUND")</f>
        <v>NOT_FOUND</v>
      </c>
    </row>
    <row r="2858" spans="1:17" x14ac:dyDescent="0.3">
      <c r="A2858" s="1">
        <v>46232</v>
      </c>
      <c r="B2858" t="s">
        <v>5209</v>
      </c>
      <c r="C2858" t="s">
        <v>173</v>
      </c>
      <c r="D2858" t="s">
        <v>174</v>
      </c>
      <c r="E2858" t="s">
        <v>8</v>
      </c>
      <c r="F2858" t="s">
        <v>38</v>
      </c>
      <c r="G2858" s="16">
        <v>1200.3699999999999</v>
      </c>
      <c r="H2858" s="16">
        <v>1380.4255000000001</v>
      </c>
      <c r="I2858" s="1">
        <v>46232</v>
      </c>
      <c r="J2858">
        <v>27</v>
      </c>
      <c r="K2858" t="s">
        <v>4633</v>
      </c>
      <c r="L2858" t="s">
        <v>8776</v>
      </c>
      <c r="M2858">
        <v>3</v>
      </c>
      <c r="N2858">
        <v>24</v>
      </c>
      <c r="O2858" t="s">
        <v>223</v>
      </c>
      <c r="P2858" s="17"/>
      <c r="Q2858" s="17" t="str">
        <f>_xlfn.XLOOKUP(Table2[[#This Row],[buyFromVendorNo]],'Next Day Scheduled'!A:A,'Pending Returns'!O:O,"NOT_FOUND")</f>
        <v>NOT_FOUND</v>
      </c>
    </row>
    <row r="2859" spans="1:17" x14ac:dyDescent="0.3">
      <c r="A2859" s="1">
        <v>46232</v>
      </c>
      <c r="B2859" t="s">
        <v>7550</v>
      </c>
      <c r="C2859" t="s">
        <v>304</v>
      </c>
      <c r="D2859" t="s">
        <v>307</v>
      </c>
      <c r="E2859" t="s">
        <v>8</v>
      </c>
      <c r="F2859" t="s">
        <v>10</v>
      </c>
      <c r="G2859" s="16">
        <v>2766.8362000000002</v>
      </c>
      <c r="H2859" s="16">
        <v>3181.8616000000002</v>
      </c>
      <c r="I2859" s="1">
        <v>46226</v>
      </c>
      <c r="J2859">
        <v>27</v>
      </c>
      <c r="K2859" t="s">
        <v>7551</v>
      </c>
      <c r="L2859" t="s">
        <v>8684</v>
      </c>
      <c r="M2859">
        <v>4</v>
      </c>
      <c r="N2859">
        <v>6</v>
      </c>
      <c r="O2859" t="s">
        <v>1036</v>
      </c>
      <c r="P2859" s="17"/>
      <c r="Q2859" s="17" t="str">
        <f>_xlfn.XLOOKUP(Table2[[#This Row],[buyFromVendorNo]],'Next Day Scheduled'!A:A,'Pending Returns'!O:O,"NOT_FOUND")</f>
        <v>NOT_FOUND</v>
      </c>
    </row>
    <row r="2860" spans="1:17" x14ac:dyDescent="0.3">
      <c r="A2860" s="1">
        <v>46232</v>
      </c>
      <c r="B2860" t="s">
        <v>2578</v>
      </c>
      <c r="C2860" t="s">
        <v>2273</v>
      </c>
      <c r="D2860" t="s">
        <v>2274</v>
      </c>
      <c r="E2860" t="s">
        <v>8</v>
      </c>
      <c r="F2860" t="s">
        <v>10</v>
      </c>
      <c r="G2860" s="16">
        <v>785.07</v>
      </c>
      <c r="H2860" s="16">
        <v>902.83050000000003</v>
      </c>
      <c r="J2860">
        <v>27</v>
      </c>
      <c r="K2860" t="s">
        <v>8685</v>
      </c>
      <c r="M2860">
        <v>0</v>
      </c>
      <c r="N2860">
        <v>92</v>
      </c>
      <c r="O2860" t="s">
        <v>216</v>
      </c>
      <c r="P2860" s="17"/>
      <c r="Q2860" s="17" t="str">
        <f>_xlfn.XLOOKUP(Table2[[#This Row],[buyFromVendorNo]],'Next Day Scheduled'!A:A,'Pending Returns'!O:O,"NOT_FOUND")</f>
        <v>NOT_FOUND</v>
      </c>
    </row>
    <row r="2861" spans="1:17" x14ac:dyDescent="0.3">
      <c r="A2861" s="1">
        <v>46232</v>
      </c>
      <c r="B2861" t="s">
        <v>1456</v>
      </c>
      <c r="C2861" t="s">
        <v>49</v>
      </c>
      <c r="D2861" t="s">
        <v>50</v>
      </c>
      <c r="E2861" t="s">
        <v>8</v>
      </c>
      <c r="F2861" t="s">
        <v>10</v>
      </c>
      <c r="G2861" s="16">
        <v>16128</v>
      </c>
      <c r="H2861" s="16">
        <v>18547.2</v>
      </c>
      <c r="I2861" s="1">
        <v>46223</v>
      </c>
      <c r="J2861">
        <v>27</v>
      </c>
      <c r="K2861" t="s">
        <v>6555</v>
      </c>
      <c r="L2861" t="s">
        <v>8777</v>
      </c>
      <c r="M2861">
        <v>2</v>
      </c>
      <c r="N2861">
        <v>15</v>
      </c>
      <c r="O2861" t="s">
        <v>1036</v>
      </c>
      <c r="P2861" s="17"/>
      <c r="Q2861" s="17" t="str">
        <f>_xlfn.XLOOKUP(Table2[[#This Row],[buyFromVendorNo]],'Next Day Scheduled'!A:A,'Pending Returns'!O:O,"NOT_FOUND")</f>
        <v>NOT_FOUND</v>
      </c>
    </row>
    <row r="2862" spans="1:17" x14ac:dyDescent="0.3">
      <c r="A2862" s="1">
        <v>46232</v>
      </c>
      <c r="B2862" t="s">
        <v>278</v>
      </c>
      <c r="C2862" t="s">
        <v>854</v>
      </c>
      <c r="D2862" t="s">
        <v>855</v>
      </c>
      <c r="E2862" t="s">
        <v>8</v>
      </c>
      <c r="F2862" t="s">
        <v>10</v>
      </c>
      <c r="G2862" s="16">
        <v>199.54560000000001</v>
      </c>
      <c r="H2862" s="16">
        <v>229.47745</v>
      </c>
      <c r="J2862">
        <v>27</v>
      </c>
      <c r="K2862" t="s">
        <v>8699</v>
      </c>
      <c r="M2862">
        <v>6</v>
      </c>
      <c r="N2862">
        <v>6</v>
      </c>
      <c r="O2862" t="s">
        <v>216</v>
      </c>
      <c r="P2862" s="17"/>
      <c r="Q2862" s="17" t="str">
        <f>_xlfn.XLOOKUP(Table2[[#This Row],[buyFromVendorNo]],'Next Day Scheduled'!A:A,'Pending Returns'!O:O,"NOT_FOUND")</f>
        <v>Posted Credit Note</v>
      </c>
    </row>
    <row r="2863" spans="1:17" x14ac:dyDescent="0.3">
      <c r="A2863" s="1">
        <v>46232</v>
      </c>
      <c r="B2863" t="s">
        <v>642</v>
      </c>
      <c r="C2863" t="s">
        <v>173</v>
      </c>
      <c r="D2863" t="s">
        <v>174</v>
      </c>
      <c r="E2863" t="s">
        <v>8</v>
      </c>
      <c r="F2863" t="s">
        <v>38</v>
      </c>
      <c r="G2863" s="16">
        <v>2722.95</v>
      </c>
      <c r="H2863" s="16">
        <v>3131.3926000000001</v>
      </c>
      <c r="I2863" s="1">
        <v>46232</v>
      </c>
      <c r="J2863">
        <v>27</v>
      </c>
      <c r="K2863" t="s">
        <v>6698</v>
      </c>
      <c r="L2863" t="s">
        <v>8760</v>
      </c>
      <c r="M2863">
        <v>3</v>
      </c>
      <c r="N2863">
        <v>24</v>
      </c>
      <c r="O2863" t="s">
        <v>223</v>
      </c>
      <c r="P2863" s="17"/>
      <c r="Q2863" s="17" t="str">
        <f>_xlfn.XLOOKUP(Table2[[#This Row],[buyFromVendorNo]],'Next Day Scheduled'!A:A,'Pending Returns'!O:O,"NOT_FOUND")</f>
        <v>NOT_FOUND</v>
      </c>
    </row>
    <row r="2864" spans="1:17" x14ac:dyDescent="0.3">
      <c r="A2864" s="1">
        <v>46232</v>
      </c>
      <c r="B2864" t="s">
        <v>3410</v>
      </c>
      <c r="C2864" t="s">
        <v>53</v>
      </c>
      <c r="D2864" t="s">
        <v>54</v>
      </c>
      <c r="E2864" t="s">
        <v>8</v>
      </c>
      <c r="F2864" t="s">
        <v>10</v>
      </c>
      <c r="G2864" s="16">
        <v>156.63</v>
      </c>
      <c r="H2864" s="16">
        <v>180.12450000000001</v>
      </c>
      <c r="J2864">
        <v>27</v>
      </c>
      <c r="K2864" t="s">
        <v>8779</v>
      </c>
      <c r="M2864">
        <v>15</v>
      </c>
      <c r="N2864">
        <v>1</v>
      </c>
      <c r="O2864" t="s">
        <v>216</v>
      </c>
      <c r="P2864" s="17"/>
      <c r="Q2864" s="17" t="str">
        <f>_xlfn.XLOOKUP(Table2[[#This Row],[buyFromVendorNo]],'Next Day Scheduled'!A:A,'Pending Returns'!O:O,"NOT_FOUND")</f>
        <v>Posted Credit Note</v>
      </c>
    </row>
    <row r="2865" spans="1:17" x14ac:dyDescent="0.3">
      <c r="A2865" s="1">
        <v>46232</v>
      </c>
      <c r="B2865" t="s">
        <v>3354</v>
      </c>
      <c r="C2865" t="s">
        <v>2328</v>
      </c>
      <c r="D2865" t="s">
        <v>2329</v>
      </c>
      <c r="E2865" t="s">
        <v>8</v>
      </c>
      <c r="F2865" t="s">
        <v>10</v>
      </c>
      <c r="G2865" s="16">
        <v>42</v>
      </c>
      <c r="H2865" s="16">
        <v>48.3</v>
      </c>
      <c r="J2865">
        <v>27</v>
      </c>
      <c r="K2865" t="s">
        <v>8763</v>
      </c>
      <c r="M2865">
        <v>4</v>
      </c>
      <c r="N2865">
        <v>3</v>
      </c>
      <c r="O2865" t="s">
        <v>216</v>
      </c>
      <c r="P2865" s="17"/>
      <c r="Q2865" s="17" t="str">
        <f>_xlfn.XLOOKUP(Table2[[#This Row],[buyFromVendorNo]],'Next Day Scheduled'!A:A,'Pending Returns'!O:O,"NOT_FOUND")</f>
        <v>NOT_FOUND</v>
      </c>
    </row>
    <row r="2866" spans="1:17" x14ac:dyDescent="0.3">
      <c r="A2866" s="1">
        <v>46232</v>
      </c>
      <c r="B2866" t="s">
        <v>5318</v>
      </c>
      <c r="C2866" t="s">
        <v>7386</v>
      </c>
      <c r="D2866" t="s">
        <v>7387</v>
      </c>
      <c r="E2866" t="s">
        <v>8</v>
      </c>
      <c r="F2866" t="s">
        <v>10</v>
      </c>
      <c r="G2866" s="16">
        <v>31.304400000000001</v>
      </c>
      <c r="H2866" s="16">
        <v>36.000059999999998</v>
      </c>
      <c r="J2866">
        <v>27</v>
      </c>
      <c r="K2866" t="s">
        <v>8659</v>
      </c>
      <c r="M2866">
        <v>0</v>
      </c>
      <c r="N2866">
        <v>415</v>
      </c>
      <c r="O2866" t="s">
        <v>216</v>
      </c>
      <c r="P2866" s="17"/>
      <c r="Q2866" s="17" t="str">
        <f>_xlfn.XLOOKUP(Table2[[#This Row],[buyFromVendorNo]],'Next Day Scheduled'!A:A,'Pending Returns'!O:O,"NOT_FOUND")</f>
        <v>NOT_FOUND</v>
      </c>
    </row>
    <row r="2867" spans="1:17" x14ac:dyDescent="0.3">
      <c r="A2867" s="1">
        <v>46232</v>
      </c>
      <c r="B2867" t="s">
        <v>8625</v>
      </c>
      <c r="C2867" t="s">
        <v>809</v>
      </c>
      <c r="D2867" t="s">
        <v>360</v>
      </c>
      <c r="E2867" t="s">
        <v>8</v>
      </c>
      <c r="F2867" t="s">
        <v>10</v>
      </c>
      <c r="G2867" s="16">
        <v>40.770000000000003</v>
      </c>
      <c r="H2867" s="16">
        <v>46.8855</v>
      </c>
      <c r="I2867" s="1">
        <v>46231</v>
      </c>
      <c r="J2867">
        <v>27</v>
      </c>
      <c r="K2867" t="s">
        <v>8214</v>
      </c>
      <c r="L2867" t="s">
        <v>8731</v>
      </c>
      <c r="M2867">
        <v>3</v>
      </c>
      <c r="N2867">
        <v>6</v>
      </c>
      <c r="O2867" t="s">
        <v>1036</v>
      </c>
      <c r="P2867" s="17"/>
      <c r="Q2867" s="17" t="str">
        <f>_xlfn.XLOOKUP(Table2[[#This Row],[buyFromVendorNo]],'Next Day Scheduled'!A:A,'Pending Returns'!O:O,"NOT_FOUND")</f>
        <v>Posted Credit Note</v>
      </c>
    </row>
    <row r="2868" spans="1:17" x14ac:dyDescent="0.3">
      <c r="A2868" s="1">
        <v>46232</v>
      </c>
      <c r="B2868" t="s">
        <v>6601</v>
      </c>
      <c r="C2868" t="s">
        <v>49</v>
      </c>
      <c r="D2868" t="s">
        <v>50</v>
      </c>
      <c r="E2868" t="s">
        <v>8</v>
      </c>
      <c r="F2868" t="s">
        <v>10</v>
      </c>
      <c r="G2868" s="16">
        <v>2199.8132000000001</v>
      </c>
      <c r="H2868" s="16">
        <v>2529.7854000000002</v>
      </c>
      <c r="I2868" s="1">
        <v>46223</v>
      </c>
      <c r="J2868">
        <v>27</v>
      </c>
      <c r="K2868" t="s">
        <v>6602</v>
      </c>
      <c r="L2868" t="s">
        <v>8719</v>
      </c>
      <c r="M2868">
        <v>2</v>
      </c>
      <c r="N2868">
        <v>15</v>
      </c>
      <c r="O2868" t="s">
        <v>1036</v>
      </c>
      <c r="P2868" s="17"/>
      <c r="Q2868" s="17" t="str">
        <f>_xlfn.XLOOKUP(Table2[[#This Row],[buyFromVendorNo]],'Next Day Scheduled'!A:A,'Pending Returns'!O:O,"NOT_FOUND")</f>
        <v>NOT_FOUND</v>
      </c>
    </row>
    <row r="2869" spans="1:17" x14ac:dyDescent="0.3">
      <c r="A2869" s="1">
        <v>46232</v>
      </c>
      <c r="B2869" t="s">
        <v>3354</v>
      </c>
      <c r="C2869" t="s">
        <v>984</v>
      </c>
      <c r="D2869" t="s">
        <v>985</v>
      </c>
      <c r="E2869" t="s">
        <v>8</v>
      </c>
      <c r="F2869" t="s">
        <v>10</v>
      </c>
      <c r="G2869" s="16">
        <v>3699</v>
      </c>
      <c r="H2869" s="16">
        <v>4253.8500000000004</v>
      </c>
      <c r="I2869" s="1">
        <v>46205</v>
      </c>
      <c r="J2869">
        <v>27</v>
      </c>
      <c r="K2869" t="s">
        <v>3189</v>
      </c>
      <c r="L2869" t="s">
        <v>8772</v>
      </c>
      <c r="M2869">
        <v>2</v>
      </c>
      <c r="N2869">
        <v>1</v>
      </c>
      <c r="O2869" t="s">
        <v>1036</v>
      </c>
      <c r="P2869" s="17"/>
      <c r="Q2869" s="17" t="str">
        <f>_xlfn.XLOOKUP(Table2[[#This Row],[buyFromVendorNo]],'Next Day Scheduled'!A:A,'Pending Returns'!O:O,"NOT_FOUND")</f>
        <v>NOT_FOUND</v>
      </c>
    </row>
    <row r="2870" spans="1:17" x14ac:dyDescent="0.3">
      <c r="A2870" s="1">
        <v>46232</v>
      </c>
      <c r="B2870" t="s">
        <v>3461</v>
      </c>
      <c r="C2870" t="s">
        <v>5159</v>
      </c>
      <c r="D2870" t="s">
        <v>5160</v>
      </c>
      <c r="E2870" t="s">
        <v>8</v>
      </c>
      <c r="F2870" t="s">
        <v>10</v>
      </c>
      <c r="G2870" s="16">
        <v>318.46312999999998</v>
      </c>
      <c r="H2870" s="16">
        <v>366.23259999999999</v>
      </c>
      <c r="I2870" s="1">
        <v>46225</v>
      </c>
      <c r="J2870">
        <v>27</v>
      </c>
      <c r="K2870" t="s">
        <v>7194</v>
      </c>
      <c r="L2870" t="s">
        <v>8771</v>
      </c>
      <c r="M2870">
        <v>3</v>
      </c>
      <c r="N2870">
        <v>7</v>
      </c>
      <c r="O2870" t="s">
        <v>1036</v>
      </c>
      <c r="P2870" s="17"/>
      <c r="Q2870" s="17" t="str">
        <f>_xlfn.XLOOKUP(Table2[[#This Row],[buyFromVendorNo]],'Next Day Scheduled'!A:A,'Pending Returns'!O:O,"NOT_FOUND")</f>
        <v>Posted Credit Note</v>
      </c>
    </row>
    <row r="2871" spans="1:17" x14ac:dyDescent="0.3">
      <c r="A2871" s="1">
        <v>46232</v>
      </c>
      <c r="B2871" t="s">
        <v>3578</v>
      </c>
      <c r="C2871" t="s">
        <v>49</v>
      </c>
      <c r="D2871" t="s">
        <v>50</v>
      </c>
      <c r="E2871" t="s">
        <v>8</v>
      </c>
      <c r="F2871" t="s">
        <v>10</v>
      </c>
      <c r="G2871" s="16">
        <v>1020.12</v>
      </c>
      <c r="H2871" s="16">
        <v>1173.1379999999999</v>
      </c>
      <c r="I2871" s="1">
        <v>46223</v>
      </c>
      <c r="J2871">
        <v>27</v>
      </c>
      <c r="K2871" t="s">
        <v>7626</v>
      </c>
      <c r="L2871" t="s">
        <v>8748</v>
      </c>
      <c r="M2871">
        <v>2</v>
      </c>
      <c r="N2871">
        <v>15</v>
      </c>
      <c r="O2871" t="s">
        <v>1036</v>
      </c>
      <c r="P2871" s="17"/>
      <c r="Q2871" s="17" t="str">
        <f>_xlfn.XLOOKUP(Table2[[#This Row],[buyFromVendorNo]],'Next Day Scheduled'!A:A,'Pending Returns'!O:O,"NOT_FOUND")</f>
        <v>NOT_FOUND</v>
      </c>
    </row>
    <row r="2872" spans="1:17" x14ac:dyDescent="0.3">
      <c r="A2872" s="1">
        <v>46232</v>
      </c>
      <c r="B2872" t="s">
        <v>3465</v>
      </c>
      <c r="C2872" t="s">
        <v>613</v>
      </c>
      <c r="D2872" t="s">
        <v>614</v>
      </c>
      <c r="E2872" t="s">
        <v>8</v>
      </c>
      <c r="F2872" t="s">
        <v>10</v>
      </c>
      <c r="G2872" s="16">
        <v>42.61</v>
      </c>
      <c r="H2872" s="16">
        <v>49.0015</v>
      </c>
      <c r="J2872">
        <v>27</v>
      </c>
      <c r="K2872" t="s">
        <v>8740</v>
      </c>
      <c r="M2872">
        <v>2</v>
      </c>
      <c r="N2872">
        <v>2</v>
      </c>
      <c r="O2872" t="s">
        <v>216</v>
      </c>
      <c r="P2872" s="17"/>
      <c r="Q2872" s="17" t="str">
        <f>_xlfn.XLOOKUP(Table2[[#This Row],[buyFromVendorNo]],'Next Day Scheduled'!A:A,'Pending Returns'!O:O,"NOT_FOUND")</f>
        <v>NOT_FOUND</v>
      </c>
    </row>
    <row r="2873" spans="1:17" x14ac:dyDescent="0.3">
      <c r="A2873" s="1">
        <v>46232</v>
      </c>
      <c r="B2873" t="s">
        <v>2918</v>
      </c>
      <c r="C2873" t="s">
        <v>984</v>
      </c>
      <c r="D2873" t="s">
        <v>985</v>
      </c>
      <c r="E2873" t="s">
        <v>8</v>
      </c>
      <c r="F2873" t="s">
        <v>10</v>
      </c>
      <c r="G2873" s="16">
        <v>2029.2</v>
      </c>
      <c r="H2873" s="16">
        <v>2333.58</v>
      </c>
      <c r="I2873" s="1">
        <v>46205</v>
      </c>
      <c r="J2873">
        <v>27</v>
      </c>
      <c r="K2873" t="s">
        <v>2919</v>
      </c>
      <c r="L2873" t="s">
        <v>8756</v>
      </c>
      <c r="M2873">
        <v>2</v>
      </c>
      <c r="N2873">
        <v>1</v>
      </c>
      <c r="O2873" t="s">
        <v>1036</v>
      </c>
      <c r="P2873" s="17"/>
      <c r="Q2873" s="17" t="str">
        <f>_xlfn.XLOOKUP(Table2[[#This Row],[buyFromVendorNo]],'Next Day Scheduled'!A:A,'Pending Returns'!O:O,"NOT_FOUND")</f>
        <v>NOT_FOUND</v>
      </c>
    </row>
    <row r="2874" spans="1:17" x14ac:dyDescent="0.3">
      <c r="A2874" s="1">
        <v>46232</v>
      </c>
      <c r="B2874" t="s">
        <v>2517</v>
      </c>
      <c r="C2874" t="s">
        <v>4877</v>
      </c>
      <c r="D2874" t="s">
        <v>5340</v>
      </c>
      <c r="E2874" t="s">
        <v>8</v>
      </c>
      <c r="F2874" t="s">
        <v>10</v>
      </c>
      <c r="G2874" s="16">
        <v>63.600200000000001</v>
      </c>
      <c r="H2874" s="16">
        <v>73.140230000000003</v>
      </c>
      <c r="J2874">
        <v>27</v>
      </c>
      <c r="K2874" t="s">
        <v>8672</v>
      </c>
      <c r="M2874">
        <v>15</v>
      </c>
      <c r="N2874">
        <v>3</v>
      </c>
      <c r="O2874" t="s">
        <v>216</v>
      </c>
      <c r="P2874" s="17"/>
      <c r="Q2874" s="17" t="str">
        <f>_xlfn.XLOOKUP(Table2[[#This Row],[buyFromVendorNo]],'Next Day Scheduled'!A:A,'Pending Returns'!O:O,"NOT_FOUND")</f>
        <v>Posted Credit Note</v>
      </c>
    </row>
    <row r="2875" spans="1:17" x14ac:dyDescent="0.3">
      <c r="A2875" s="1">
        <v>46232</v>
      </c>
      <c r="B2875" t="s">
        <v>2173</v>
      </c>
      <c r="C2875" t="s">
        <v>49</v>
      </c>
      <c r="D2875" t="s">
        <v>50</v>
      </c>
      <c r="E2875" t="s">
        <v>8</v>
      </c>
      <c r="F2875" t="s">
        <v>10</v>
      </c>
      <c r="G2875" s="16">
        <v>16128</v>
      </c>
      <c r="H2875" s="16">
        <v>18547.2</v>
      </c>
      <c r="I2875" s="1">
        <v>46223</v>
      </c>
      <c r="J2875">
        <v>27</v>
      </c>
      <c r="K2875" t="s">
        <v>6560</v>
      </c>
      <c r="L2875" t="s">
        <v>8742</v>
      </c>
      <c r="M2875">
        <v>2</v>
      </c>
      <c r="N2875">
        <v>15</v>
      </c>
      <c r="O2875" t="s">
        <v>1036</v>
      </c>
      <c r="P2875" s="17"/>
      <c r="Q2875" s="17" t="str">
        <f>_xlfn.XLOOKUP(Table2[[#This Row],[buyFromVendorNo]],'Next Day Scheduled'!A:A,'Pending Returns'!O:O,"NOT_FOUND")</f>
        <v>NOT_FOUND</v>
      </c>
    </row>
    <row r="2876" spans="1:17" x14ac:dyDescent="0.3">
      <c r="A2876" s="1">
        <v>46232</v>
      </c>
      <c r="B2876" t="s">
        <v>2117</v>
      </c>
      <c r="C2876" t="s">
        <v>51</v>
      </c>
      <c r="D2876" t="s">
        <v>52</v>
      </c>
      <c r="E2876" t="s">
        <v>8</v>
      </c>
      <c r="F2876" t="s">
        <v>10</v>
      </c>
      <c r="G2876" s="16">
        <v>201.79</v>
      </c>
      <c r="H2876" s="16">
        <v>232.05850000000001</v>
      </c>
      <c r="J2876">
        <v>27</v>
      </c>
      <c r="K2876" t="s">
        <v>8653</v>
      </c>
      <c r="M2876">
        <v>2</v>
      </c>
      <c r="N2876">
        <v>1</v>
      </c>
      <c r="O2876" t="s">
        <v>216</v>
      </c>
      <c r="P2876" s="17"/>
      <c r="Q2876" s="17" t="str">
        <f>_xlfn.XLOOKUP(Table2[[#This Row],[buyFromVendorNo]],'Next Day Scheduled'!A:A,'Pending Returns'!O:O,"NOT_FOUND")</f>
        <v>NOT_FOUND</v>
      </c>
    </row>
    <row r="2877" spans="1:17" x14ac:dyDescent="0.3">
      <c r="A2877" s="1">
        <v>46232</v>
      </c>
      <c r="B2877" t="s">
        <v>3329</v>
      </c>
      <c r="C2877" t="s">
        <v>804</v>
      </c>
      <c r="D2877" t="s">
        <v>805</v>
      </c>
      <c r="E2877" t="s">
        <v>8</v>
      </c>
      <c r="F2877" t="s">
        <v>10</v>
      </c>
      <c r="G2877" s="16">
        <v>95.92</v>
      </c>
      <c r="H2877" s="16">
        <v>110.30800000000001</v>
      </c>
      <c r="J2877">
        <v>27</v>
      </c>
      <c r="K2877" t="s">
        <v>8761</v>
      </c>
      <c r="M2877">
        <v>0</v>
      </c>
      <c r="N2877">
        <v>206</v>
      </c>
      <c r="O2877" t="s">
        <v>216</v>
      </c>
      <c r="P2877" s="17"/>
      <c r="Q2877" s="17" t="str">
        <f>_xlfn.XLOOKUP(Table2[[#This Row],[buyFromVendorNo]],'Next Day Scheduled'!A:A,'Pending Returns'!O:O,"NOT_FOUND")</f>
        <v>NOT_FOUND</v>
      </c>
    </row>
    <row r="2878" spans="1:17" x14ac:dyDescent="0.3">
      <c r="A2878" s="1">
        <v>46232</v>
      </c>
      <c r="B2878" t="s">
        <v>8586</v>
      </c>
      <c r="C2878" t="s">
        <v>69</v>
      </c>
      <c r="D2878" t="s">
        <v>70</v>
      </c>
      <c r="E2878" t="s">
        <v>8</v>
      </c>
      <c r="F2878" t="s">
        <v>10</v>
      </c>
      <c r="G2878" s="16">
        <v>182.87</v>
      </c>
      <c r="H2878" s="16">
        <v>210.3005</v>
      </c>
      <c r="I2878" s="1">
        <v>46230</v>
      </c>
      <c r="J2878">
        <v>27</v>
      </c>
      <c r="K2878" t="s">
        <v>8573</v>
      </c>
      <c r="L2878" t="s">
        <v>8730</v>
      </c>
      <c r="M2878">
        <v>22</v>
      </c>
      <c r="N2878">
        <v>1</v>
      </c>
      <c r="O2878" t="s">
        <v>1036</v>
      </c>
      <c r="P2878" s="17"/>
      <c r="Q2878" s="17" t="str">
        <f>_xlfn.XLOOKUP(Table2[[#This Row],[buyFromVendorNo]],'Next Day Scheduled'!A:A,'Pending Returns'!O:O,"NOT_FOUND")</f>
        <v>Posted Credit Note</v>
      </c>
    </row>
    <row r="2879" spans="1:17" x14ac:dyDescent="0.3">
      <c r="A2879" s="1">
        <v>46232</v>
      </c>
      <c r="B2879" t="s">
        <v>3411</v>
      </c>
      <c r="C2879" t="s">
        <v>984</v>
      </c>
      <c r="D2879" t="s">
        <v>985</v>
      </c>
      <c r="E2879" t="s">
        <v>8</v>
      </c>
      <c r="F2879" t="s">
        <v>10</v>
      </c>
      <c r="G2879" s="16">
        <v>1962</v>
      </c>
      <c r="H2879" s="16">
        <v>2256.3000000000002</v>
      </c>
      <c r="I2879" s="1">
        <v>46205</v>
      </c>
      <c r="J2879">
        <v>27</v>
      </c>
      <c r="K2879" t="s">
        <v>2708</v>
      </c>
      <c r="L2879" t="s">
        <v>8768</v>
      </c>
      <c r="M2879">
        <v>2</v>
      </c>
      <c r="N2879">
        <v>1</v>
      </c>
      <c r="O2879" t="s">
        <v>1036</v>
      </c>
      <c r="P2879" s="17"/>
      <c r="Q2879" s="17" t="str">
        <f>_xlfn.XLOOKUP(Table2[[#This Row],[buyFromVendorNo]],'Next Day Scheduled'!A:A,'Pending Returns'!O:O,"NOT_FOUND")</f>
        <v>NOT_FOUND</v>
      </c>
    </row>
    <row r="2880" spans="1:17" x14ac:dyDescent="0.3">
      <c r="A2880" s="1">
        <v>46232</v>
      </c>
      <c r="B2880" t="s">
        <v>2737</v>
      </c>
      <c r="C2880" t="s">
        <v>49</v>
      </c>
      <c r="D2880" t="s">
        <v>50</v>
      </c>
      <c r="E2880" t="s">
        <v>8</v>
      </c>
      <c r="F2880" t="s">
        <v>10</v>
      </c>
      <c r="G2880" s="16">
        <v>16128</v>
      </c>
      <c r="H2880" s="16">
        <v>18547.2</v>
      </c>
      <c r="I2880" s="1">
        <v>46223</v>
      </c>
      <c r="J2880">
        <v>27</v>
      </c>
      <c r="K2880" t="s">
        <v>6561</v>
      </c>
      <c r="L2880" t="s">
        <v>8718</v>
      </c>
      <c r="M2880">
        <v>2</v>
      </c>
      <c r="N2880">
        <v>15</v>
      </c>
      <c r="O2880" t="s">
        <v>1036</v>
      </c>
      <c r="P2880" s="17"/>
      <c r="Q2880" s="17" t="str">
        <f>_xlfn.XLOOKUP(Table2[[#This Row],[buyFromVendorNo]],'Next Day Scheduled'!A:A,'Pending Returns'!O:O,"NOT_FOUND")</f>
        <v>NOT_FOUND</v>
      </c>
    </row>
    <row r="2881" spans="1:17" x14ac:dyDescent="0.3">
      <c r="A2881" s="1">
        <v>46232</v>
      </c>
      <c r="B2881" t="s">
        <v>642</v>
      </c>
      <c r="C2881" t="s">
        <v>69</v>
      </c>
      <c r="D2881" t="s">
        <v>70</v>
      </c>
      <c r="E2881" t="s">
        <v>8</v>
      </c>
      <c r="F2881" t="s">
        <v>38</v>
      </c>
      <c r="G2881" s="16">
        <v>3578.05</v>
      </c>
      <c r="H2881" s="16">
        <v>4114.7573000000002</v>
      </c>
      <c r="J2881">
        <v>27</v>
      </c>
      <c r="K2881" t="s">
        <v>8733</v>
      </c>
      <c r="M2881">
        <v>9</v>
      </c>
      <c r="N2881">
        <v>2</v>
      </c>
      <c r="O2881" t="s">
        <v>216</v>
      </c>
      <c r="P2881" s="17"/>
      <c r="Q2881" s="17" t="str">
        <f>_xlfn.XLOOKUP(Table2[[#This Row],[buyFromVendorNo]],'Next Day Scheduled'!A:A,'Pending Returns'!O:O,"NOT_FOUND")</f>
        <v>Posted Credit Note</v>
      </c>
    </row>
    <row r="2882" spans="1:17" x14ac:dyDescent="0.3">
      <c r="A2882" s="1">
        <v>46232</v>
      </c>
      <c r="B2882" t="s">
        <v>5901</v>
      </c>
      <c r="C2882" t="s">
        <v>984</v>
      </c>
      <c r="D2882" t="s">
        <v>985</v>
      </c>
      <c r="E2882" t="s">
        <v>8</v>
      </c>
      <c r="F2882" t="s">
        <v>10</v>
      </c>
      <c r="G2882" s="16">
        <v>566.4</v>
      </c>
      <c r="H2882" s="16">
        <v>651.36</v>
      </c>
      <c r="I2882" s="1">
        <v>46205</v>
      </c>
      <c r="J2882">
        <v>27</v>
      </c>
      <c r="K2882" t="s">
        <v>4739</v>
      </c>
      <c r="L2882" t="s">
        <v>8746</v>
      </c>
      <c r="M2882">
        <v>2</v>
      </c>
      <c r="N2882">
        <v>1</v>
      </c>
      <c r="O2882" t="s">
        <v>1036</v>
      </c>
      <c r="P2882" s="17"/>
      <c r="Q2882" s="17" t="str">
        <f>_xlfn.XLOOKUP(Table2[[#This Row],[buyFromVendorNo]],'Next Day Scheduled'!A:A,'Pending Returns'!O:O,"NOT_FOUND")</f>
        <v>NOT_FOUND</v>
      </c>
    </row>
    <row r="2883" spans="1:17" x14ac:dyDescent="0.3">
      <c r="A2883" s="1">
        <v>46232</v>
      </c>
      <c r="B2883" t="s">
        <v>331</v>
      </c>
      <c r="C2883" t="s">
        <v>88</v>
      </c>
      <c r="D2883" t="s">
        <v>89</v>
      </c>
      <c r="E2883" t="s">
        <v>8</v>
      </c>
      <c r="F2883" t="s">
        <v>38</v>
      </c>
      <c r="G2883" s="16">
        <v>13267.43</v>
      </c>
      <c r="H2883" s="16">
        <v>15257.545</v>
      </c>
      <c r="I2883" s="1">
        <v>46225</v>
      </c>
      <c r="J2883">
        <v>27</v>
      </c>
      <c r="K2883" t="s">
        <v>8032</v>
      </c>
      <c r="L2883" t="s">
        <v>8682</v>
      </c>
      <c r="M2883">
        <v>2</v>
      </c>
      <c r="N2883">
        <v>12</v>
      </c>
      <c r="O2883" t="s">
        <v>1036</v>
      </c>
      <c r="P2883" s="17"/>
      <c r="Q2883" s="17" t="str">
        <f>_xlfn.XLOOKUP(Table2[[#This Row],[buyFromVendorNo]],'Next Day Scheduled'!A:A,'Pending Returns'!O:O,"NOT_FOUND")</f>
        <v>NOT_FOUND</v>
      </c>
    </row>
    <row r="2884" spans="1:17" x14ac:dyDescent="0.3">
      <c r="A2884" s="1">
        <v>46232</v>
      </c>
      <c r="B2884" t="s">
        <v>5609</v>
      </c>
      <c r="C2884" t="s">
        <v>6373</v>
      </c>
      <c r="D2884" t="s">
        <v>6374</v>
      </c>
      <c r="E2884" t="s">
        <v>8</v>
      </c>
      <c r="F2884" t="s">
        <v>169</v>
      </c>
      <c r="G2884" s="16">
        <v>213.6</v>
      </c>
      <c r="H2884" s="16">
        <v>245.64</v>
      </c>
      <c r="I2884" s="1">
        <v>46230</v>
      </c>
      <c r="J2884">
        <v>27</v>
      </c>
      <c r="K2884" t="s">
        <v>8409</v>
      </c>
      <c r="L2884" t="s">
        <v>8677</v>
      </c>
      <c r="M2884">
        <v>4</v>
      </c>
      <c r="N2884">
        <v>3</v>
      </c>
      <c r="O2884" t="s">
        <v>1036</v>
      </c>
      <c r="P2884" s="17"/>
      <c r="Q2884" s="17" t="str">
        <f>_xlfn.XLOOKUP(Table2[[#This Row],[buyFromVendorNo]],'Next Day Scheduled'!A:A,'Pending Returns'!O:O,"NOT_FOUND")</f>
        <v>NOT_FOUND</v>
      </c>
    </row>
    <row r="2885" spans="1:17" x14ac:dyDescent="0.3">
      <c r="A2885" s="1">
        <v>46232</v>
      </c>
      <c r="B2885" t="s">
        <v>3419</v>
      </c>
      <c r="C2885" t="s">
        <v>2273</v>
      </c>
      <c r="D2885" t="s">
        <v>2274</v>
      </c>
      <c r="E2885" t="s">
        <v>8</v>
      </c>
      <c r="F2885" t="s">
        <v>10</v>
      </c>
      <c r="G2885" s="16">
        <v>125.05</v>
      </c>
      <c r="H2885" s="16">
        <v>143.8075</v>
      </c>
      <c r="I2885" s="1">
        <v>46232</v>
      </c>
      <c r="J2885">
        <v>27</v>
      </c>
      <c r="K2885" t="s">
        <v>7231</v>
      </c>
      <c r="L2885" t="s">
        <v>8736</v>
      </c>
      <c r="M2885">
        <v>0</v>
      </c>
      <c r="N2885">
        <v>92</v>
      </c>
      <c r="O2885" t="s">
        <v>1036</v>
      </c>
      <c r="P2885" s="17"/>
      <c r="Q2885" s="17" t="str">
        <f>_xlfn.XLOOKUP(Table2[[#This Row],[buyFromVendorNo]],'Next Day Scheduled'!A:A,'Pending Returns'!O:O,"NOT_FOUND")</f>
        <v>NOT_FOUND</v>
      </c>
    </row>
    <row r="2886" spans="1:17" x14ac:dyDescent="0.3">
      <c r="A2886" s="1">
        <v>46232</v>
      </c>
      <c r="B2886" t="s">
        <v>3374</v>
      </c>
      <c r="C2886" t="s">
        <v>984</v>
      </c>
      <c r="D2886" t="s">
        <v>985</v>
      </c>
      <c r="E2886" t="s">
        <v>8</v>
      </c>
      <c r="F2886" t="s">
        <v>10</v>
      </c>
      <c r="G2886" s="16">
        <v>1195.5</v>
      </c>
      <c r="H2886" s="16">
        <v>1374.825</v>
      </c>
      <c r="I2886" s="1">
        <v>46205</v>
      </c>
      <c r="J2886">
        <v>27</v>
      </c>
      <c r="K2886" t="s">
        <v>3643</v>
      </c>
      <c r="L2886" t="s">
        <v>8751</v>
      </c>
      <c r="M2886">
        <v>2</v>
      </c>
      <c r="N2886">
        <v>1</v>
      </c>
      <c r="O2886" t="s">
        <v>1036</v>
      </c>
      <c r="P2886" s="17"/>
      <c r="Q2886" s="17" t="str">
        <f>_xlfn.XLOOKUP(Table2[[#This Row],[buyFromVendorNo]],'Next Day Scheduled'!A:A,'Pending Returns'!O:O,"NOT_FOUND")</f>
        <v>NOT_FOUND</v>
      </c>
    </row>
    <row r="2887" spans="1:17" x14ac:dyDescent="0.3">
      <c r="A2887" s="1">
        <v>46232</v>
      </c>
      <c r="B2887" t="s">
        <v>3246</v>
      </c>
      <c r="C2887" t="s">
        <v>984</v>
      </c>
      <c r="D2887" t="s">
        <v>985</v>
      </c>
      <c r="E2887" t="s">
        <v>8</v>
      </c>
      <c r="F2887" t="s">
        <v>10</v>
      </c>
      <c r="G2887" s="16">
        <v>742.2</v>
      </c>
      <c r="H2887" s="16">
        <v>853.53</v>
      </c>
      <c r="J2887">
        <v>27</v>
      </c>
      <c r="K2887" t="s">
        <v>4950</v>
      </c>
      <c r="L2887" t="s">
        <v>8752</v>
      </c>
      <c r="M2887">
        <v>2</v>
      </c>
      <c r="N2887">
        <v>1</v>
      </c>
      <c r="O2887" t="s">
        <v>216</v>
      </c>
      <c r="P2887" s="17"/>
      <c r="Q2887" s="17" t="str">
        <f>_xlfn.XLOOKUP(Table2[[#This Row],[buyFromVendorNo]],'Next Day Scheduled'!A:A,'Pending Returns'!O:O,"NOT_FOUND")</f>
        <v>NOT_FOUND</v>
      </c>
    </row>
    <row r="2888" spans="1:17" x14ac:dyDescent="0.3">
      <c r="A2888" s="1">
        <v>46232</v>
      </c>
      <c r="B2888" t="s">
        <v>8156</v>
      </c>
      <c r="C2888" t="s">
        <v>304</v>
      </c>
      <c r="D2888" t="s">
        <v>307</v>
      </c>
      <c r="E2888" t="s">
        <v>8</v>
      </c>
      <c r="F2888" t="s">
        <v>10</v>
      </c>
      <c r="G2888" s="16">
        <v>1691.5282999999999</v>
      </c>
      <c r="H2888" s="16">
        <v>1945.2575999999999</v>
      </c>
      <c r="I2888" s="1">
        <v>46226</v>
      </c>
      <c r="J2888">
        <v>27</v>
      </c>
      <c r="K2888" t="s">
        <v>8157</v>
      </c>
      <c r="L2888" t="s">
        <v>8666</v>
      </c>
      <c r="M2888">
        <v>4</v>
      </c>
      <c r="N2888">
        <v>6</v>
      </c>
      <c r="O2888" t="s">
        <v>1036</v>
      </c>
      <c r="P2888" s="17"/>
      <c r="Q2888" s="17" t="str">
        <f>_xlfn.XLOOKUP(Table2[[#This Row],[buyFromVendorNo]],'Next Day Scheduled'!A:A,'Pending Returns'!O:O,"NOT_FOUND")</f>
        <v>NOT_FOUND</v>
      </c>
    </row>
    <row r="2889" spans="1:17" x14ac:dyDescent="0.3">
      <c r="A2889" s="1">
        <v>46232</v>
      </c>
      <c r="B2889" t="s">
        <v>5609</v>
      </c>
      <c r="C2889" t="s">
        <v>6373</v>
      </c>
      <c r="D2889" t="s">
        <v>6374</v>
      </c>
      <c r="E2889" t="s">
        <v>8</v>
      </c>
      <c r="F2889" t="s">
        <v>169</v>
      </c>
      <c r="G2889" s="16">
        <v>142.4</v>
      </c>
      <c r="H2889" s="16">
        <v>163.76</v>
      </c>
      <c r="I2889" s="1">
        <v>46230</v>
      </c>
      <c r="J2889">
        <v>27</v>
      </c>
      <c r="K2889" t="s">
        <v>8570</v>
      </c>
      <c r="L2889" t="s">
        <v>8667</v>
      </c>
      <c r="M2889">
        <v>4</v>
      </c>
      <c r="N2889">
        <v>3</v>
      </c>
      <c r="O2889" t="s">
        <v>1036</v>
      </c>
      <c r="P2889" s="17"/>
      <c r="Q2889" s="17" t="str">
        <f>_xlfn.XLOOKUP(Table2[[#This Row],[buyFromVendorNo]],'Next Day Scheduled'!A:A,'Pending Returns'!O:O,"NOT_FOUND")</f>
        <v>NOT_FOUND</v>
      </c>
    </row>
    <row r="2890" spans="1:17" x14ac:dyDescent="0.3">
      <c r="A2890" s="1">
        <v>46232</v>
      </c>
      <c r="B2890" t="s">
        <v>3407</v>
      </c>
      <c r="C2890" t="s">
        <v>2365</v>
      </c>
      <c r="D2890" t="s">
        <v>2366</v>
      </c>
      <c r="E2890" t="s">
        <v>8</v>
      </c>
      <c r="F2890" t="s">
        <v>10</v>
      </c>
      <c r="G2890" s="16">
        <v>5.8331999999999997</v>
      </c>
      <c r="H2890" s="16">
        <v>6.7081799999999996</v>
      </c>
      <c r="I2890" s="1">
        <v>46232</v>
      </c>
      <c r="J2890">
        <v>27</v>
      </c>
      <c r="K2890" t="s">
        <v>7184</v>
      </c>
      <c r="L2890" t="s">
        <v>8683</v>
      </c>
      <c r="M2890">
        <v>2</v>
      </c>
      <c r="N2890">
        <v>20</v>
      </c>
      <c r="O2890" t="s">
        <v>1036</v>
      </c>
      <c r="P2890" s="17"/>
      <c r="Q2890" s="17" t="str">
        <f>_xlfn.XLOOKUP(Table2[[#This Row],[buyFromVendorNo]],'Next Day Scheduled'!A:A,'Pending Returns'!O:O,"NOT_FOUND")</f>
        <v>NOT_FOUND</v>
      </c>
    </row>
    <row r="2891" spans="1:17" x14ac:dyDescent="0.3">
      <c r="A2891" s="1">
        <v>46232</v>
      </c>
      <c r="B2891" t="s">
        <v>2807</v>
      </c>
      <c r="C2891" t="s">
        <v>634</v>
      </c>
      <c r="D2891" t="s">
        <v>659</v>
      </c>
      <c r="E2891" t="s">
        <v>8</v>
      </c>
      <c r="F2891" t="s">
        <v>10</v>
      </c>
      <c r="G2891" s="16">
        <v>193.83</v>
      </c>
      <c r="H2891" s="16">
        <v>222.90450000000001</v>
      </c>
      <c r="I2891" s="1">
        <v>46225</v>
      </c>
      <c r="J2891">
        <v>27</v>
      </c>
      <c r="K2891" t="s">
        <v>7548</v>
      </c>
      <c r="L2891" t="s">
        <v>8739</v>
      </c>
      <c r="M2891">
        <v>3</v>
      </c>
      <c r="N2891">
        <v>7</v>
      </c>
      <c r="O2891" t="s">
        <v>1036</v>
      </c>
      <c r="P2891" s="17"/>
      <c r="Q2891" s="17" t="str">
        <f>_xlfn.XLOOKUP(Table2[[#This Row],[buyFromVendorNo]],'Next Day Scheduled'!A:A,'Pending Returns'!O:O,"NOT_FOUND")</f>
        <v>Posted Credit Note</v>
      </c>
    </row>
    <row r="2892" spans="1:17" x14ac:dyDescent="0.3">
      <c r="A2892" s="1">
        <v>46232</v>
      </c>
      <c r="B2892" t="s">
        <v>2670</v>
      </c>
      <c r="C2892" t="s">
        <v>2365</v>
      </c>
      <c r="D2892" t="s">
        <v>2366</v>
      </c>
      <c r="E2892" t="s">
        <v>8</v>
      </c>
      <c r="F2892" t="s">
        <v>10</v>
      </c>
      <c r="G2892" s="16">
        <v>27.7498</v>
      </c>
      <c r="H2892" s="16">
        <v>31.912269999999999</v>
      </c>
      <c r="I2892" s="1">
        <v>46232</v>
      </c>
      <c r="J2892">
        <v>27</v>
      </c>
      <c r="K2892" t="s">
        <v>5421</v>
      </c>
      <c r="L2892" t="s">
        <v>8649</v>
      </c>
      <c r="M2892">
        <v>2</v>
      </c>
      <c r="N2892">
        <v>20</v>
      </c>
      <c r="O2892" t="s">
        <v>1036</v>
      </c>
      <c r="P2892" s="17"/>
      <c r="Q2892" s="17" t="str">
        <f>_xlfn.XLOOKUP(Table2[[#This Row],[buyFromVendorNo]],'Next Day Scheduled'!A:A,'Pending Returns'!O:O,"NOT_FOUND")</f>
        <v>NOT_FOUND</v>
      </c>
    </row>
    <row r="2893" spans="1:17" x14ac:dyDescent="0.3">
      <c r="A2893" s="1">
        <v>46232</v>
      </c>
      <c r="B2893" t="s">
        <v>3387</v>
      </c>
      <c r="C2893" t="s">
        <v>325</v>
      </c>
      <c r="D2893" t="s">
        <v>326</v>
      </c>
      <c r="E2893" t="s">
        <v>8</v>
      </c>
      <c r="F2893" t="s">
        <v>10</v>
      </c>
      <c r="G2893" s="16">
        <v>127.5</v>
      </c>
      <c r="H2893" s="16">
        <v>146.625</v>
      </c>
      <c r="J2893">
        <v>27</v>
      </c>
      <c r="K2893" t="s">
        <v>8741</v>
      </c>
      <c r="M2893">
        <v>11</v>
      </c>
      <c r="N2893">
        <v>1</v>
      </c>
      <c r="O2893" t="s">
        <v>216</v>
      </c>
      <c r="P2893" s="17"/>
      <c r="Q2893" s="17" t="str">
        <f>_xlfn.XLOOKUP(Table2[[#This Row],[buyFromVendorNo]],'Next Day Scheduled'!A:A,'Pending Returns'!O:O,"NOT_FOUND")</f>
        <v>Posted Credit Note</v>
      </c>
    </row>
    <row r="2894" spans="1:17" x14ac:dyDescent="0.3">
      <c r="A2894" s="1">
        <v>46232</v>
      </c>
      <c r="B2894" t="s">
        <v>3494</v>
      </c>
      <c r="C2894" t="s">
        <v>7713</v>
      </c>
      <c r="D2894" t="s">
        <v>7714</v>
      </c>
      <c r="E2894" t="s">
        <v>8</v>
      </c>
      <c r="F2894" t="s">
        <v>10</v>
      </c>
      <c r="G2894" s="16">
        <v>1208.1199999999999</v>
      </c>
      <c r="H2894" s="16">
        <v>1389.338</v>
      </c>
      <c r="I2894" s="1">
        <v>46232</v>
      </c>
      <c r="J2894">
        <v>27</v>
      </c>
      <c r="K2894" t="s">
        <v>7869</v>
      </c>
      <c r="L2894" t="s">
        <v>8637</v>
      </c>
      <c r="M2894">
        <v>0</v>
      </c>
      <c r="N2894">
        <v>231</v>
      </c>
      <c r="O2894" t="s">
        <v>223</v>
      </c>
      <c r="P2894" s="17"/>
      <c r="Q2894" s="17" t="str">
        <f>_xlfn.XLOOKUP(Table2[[#This Row],[buyFromVendorNo]],'Next Day Scheduled'!A:A,'Pending Returns'!O:O,"NOT_FOUND")</f>
        <v>NOT_FOUND</v>
      </c>
    </row>
    <row r="2895" spans="1:17" x14ac:dyDescent="0.3">
      <c r="A2895" s="1">
        <v>46232</v>
      </c>
      <c r="B2895" t="s">
        <v>1692</v>
      </c>
      <c r="C2895" t="s">
        <v>984</v>
      </c>
      <c r="D2895" t="s">
        <v>985</v>
      </c>
      <c r="E2895" t="s">
        <v>8</v>
      </c>
      <c r="F2895" t="s">
        <v>10</v>
      </c>
      <c r="G2895" s="16">
        <v>5132.3999999999996</v>
      </c>
      <c r="H2895" s="16">
        <v>5902.26</v>
      </c>
      <c r="I2895" s="1">
        <v>46205</v>
      </c>
      <c r="J2895">
        <v>27</v>
      </c>
      <c r="K2895" t="s">
        <v>986</v>
      </c>
      <c r="L2895" t="s">
        <v>8764</v>
      </c>
      <c r="M2895">
        <v>2</v>
      </c>
      <c r="N2895">
        <v>1</v>
      </c>
      <c r="O2895" t="s">
        <v>1036</v>
      </c>
      <c r="P2895" s="17"/>
      <c r="Q2895" s="17" t="str">
        <f>_xlfn.XLOOKUP(Table2[[#This Row],[buyFromVendorNo]],'Next Day Scheduled'!A:A,'Pending Returns'!O:O,"NOT_FOUND")</f>
        <v>NOT_FOUND</v>
      </c>
    </row>
    <row r="2896" spans="1:17" x14ac:dyDescent="0.3">
      <c r="A2896" s="1">
        <v>46232</v>
      </c>
      <c r="B2896" t="s">
        <v>642</v>
      </c>
      <c r="C2896" t="s">
        <v>69</v>
      </c>
      <c r="D2896" t="s">
        <v>70</v>
      </c>
      <c r="E2896" t="s">
        <v>8</v>
      </c>
      <c r="F2896" t="s">
        <v>38</v>
      </c>
      <c r="G2896" s="16">
        <v>426.49</v>
      </c>
      <c r="H2896" s="16">
        <v>490.46350000000001</v>
      </c>
      <c r="J2896">
        <v>27</v>
      </c>
      <c r="K2896" t="s">
        <v>8769</v>
      </c>
      <c r="M2896">
        <v>9</v>
      </c>
      <c r="N2896">
        <v>2</v>
      </c>
      <c r="O2896" t="s">
        <v>216</v>
      </c>
      <c r="P2896" s="17"/>
      <c r="Q2896" s="17" t="str">
        <f>_xlfn.XLOOKUP(Table2[[#This Row],[buyFromVendorNo]],'Next Day Scheduled'!A:A,'Pending Returns'!O:O,"NOT_FOUND")</f>
        <v>Posted Credit Note</v>
      </c>
    </row>
    <row r="2897" spans="1:17" x14ac:dyDescent="0.3">
      <c r="A2897" s="1">
        <v>46232</v>
      </c>
      <c r="B2897" t="s">
        <v>3710</v>
      </c>
      <c r="C2897" t="s">
        <v>821</v>
      </c>
      <c r="D2897" t="s">
        <v>2040</v>
      </c>
      <c r="E2897" t="s">
        <v>8</v>
      </c>
      <c r="F2897" t="s">
        <v>10</v>
      </c>
      <c r="G2897" s="16">
        <v>14.4</v>
      </c>
      <c r="H2897" s="16">
        <v>16.559999999999999</v>
      </c>
      <c r="J2897">
        <v>27</v>
      </c>
      <c r="K2897" t="s">
        <v>8717</v>
      </c>
      <c r="M2897">
        <v>3</v>
      </c>
      <c r="N2897">
        <v>8</v>
      </c>
      <c r="O2897" t="s">
        <v>216</v>
      </c>
      <c r="P2897" s="17"/>
      <c r="Q2897" s="17" t="str">
        <f>_xlfn.XLOOKUP(Table2[[#This Row],[buyFromVendorNo]],'Next Day Scheduled'!A:A,'Pending Returns'!O:O,"NOT_FOUND")</f>
        <v>Posted Credit Note</v>
      </c>
    </row>
    <row r="2898" spans="1:17" x14ac:dyDescent="0.3">
      <c r="A2898" s="1">
        <v>46232</v>
      </c>
      <c r="B2898" t="s">
        <v>642</v>
      </c>
      <c r="C2898" t="s">
        <v>598</v>
      </c>
      <c r="D2898" t="s">
        <v>599</v>
      </c>
      <c r="E2898" t="s">
        <v>8</v>
      </c>
      <c r="F2898" t="s">
        <v>38</v>
      </c>
      <c r="G2898" s="16">
        <v>1542.9983</v>
      </c>
      <c r="H2898" s="16">
        <v>1774.4480000000001</v>
      </c>
      <c r="J2898">
        <v>27</v>
      </c>
      <c r="K2898" t="s">
        <v>8745</v>
      </c>
      <c r="M2898">
        <v>4</v>
      </c>
      <c r="N2898">
        <v>6</v>
      </c>
      <c r="O2898" t="s">
        <v>216</v>
      </c>
      <c r="P2898" s="17"/>
      <c r="Q2898" s="17" t="str">
        <f>_xlfn.XLOOKUP(Table2[[#This Row],[buyFromVendorNo]],'Next Day Scheduled'!A:A,'Pending Returns'!O:O,"NOT_FOUND")</f>
        <v>NOT_FOUND</v>
      </c>
    </row>
    <row r="2899" spans="1:17" x14ac:dyDescent="0.3">
      <c r="A2899" s="1">
        <v>46232</v>
      </c>
      <c r="B2899" t="s">
        <v>7745</v>
      </c>
      <c r="C2899" t="s">
        <v>3132</v>
      </c>
      <c r="D2899" t="s">
        <v>3133</v>
      </c>
      <c r="E2899" t="s">
        <v>8</v>
      </c>
      <c r="F2899" t="s">
        <v>10</v>
      </c>
      <c r="G2899" s="16">
        <v>19.35652</v>
      </c>
      <c r="H2899" s="16">
        <v>22.26</v>
      </c>
      <c r="J2899">
        <v>27</v>
      </c>
      <c r="K2899" t="s">
        <v>8664</v>
      </c>
      <c r="M2899">
        <v>1</v>
      </c>
      <c r="N2899">
        <v>22</v>
      </c>
      <c r="O2899" t="s">
        <v>216</v>
      </c>
      <c r="P2899" s="17"/>
      <c r="Q2899" s="17" t="str">
        <f>_xlfn.XLOOKUP(Table2[[#This Row],[buyFromVendorNo]],'Next Day Scheduled'!A:A,'Pending Returns'!O:O,"NOT_FOUND")</f>
        <v>NOT_FOUND</v>
      </c>
    </row>
    <row r="2900" spans="1:17" x14ac:dyDescent="0.3">
      <c r="A2900" s="1">
        <v>46232</v>
      </c>
      <c r="B2900" t="s">
        <v>1777</v>
      </c>
      <c r="C2900" t="s">
        <v>304</v>
      </c>
      <c r="D2900" t="s">
        <v>307</v>
      </c>
      <c r="E2900" t="s">
        <v>8</v>
      </c>
      <c r="F2900" t="s">
        <v>10</v>
      </c>
      <c r="G2900" s="16">
        <v>2392.5700000000002</v>
      </c>
      <c r="H2900" s="16">
        <v>2751.4555999999998</v>
      </c>
      <c r="I2900" s="1">
        <v>46226</v>
      </c>
      <c r="J2900">
        <v>27</v>
      </c>
      <c r="K2900" t="s">
        <v>6497</v>
      </c>
      <c r="L2900" t="s">
        <v>8665</v>
      </c>
      <c r="M2900">
        <v>4</v>
      </c>
      <c r="N2900">
        <v>6</v>
      </c>
      <c r="O2900" t="s">
        <v>1036</v>
      </c>
      <c r="P2900" s="17"/>
      <c r="Q2900" s="17" t="str">
        <f>_xlfn.XLOOKUP(Table2[[#This Row],[buyFromVendorNo]],'Next Day Scheduled'!A:A,'Pending Returns'!O:O,"NOT_FOUND")</f>
        <v>NOT_FOUND</v>
      </c>
    </row>
    <row r="2901" spans="1:17" x14ac:dyDescent="0.3">
      <c r="A2901" s="1">
        <v>46232</v>
      </c>
      <c r="B2901" t="s">
        <v>642</v>
      </c>
      <c r="C2901" t="s">
        <v>173</v>
      </c>
      <c r="D2901" t="s">
        <v>174</v>
      </c>
      <c r="E2901" t="s">
        <v>8</v>
      </c>
      <c r="F2901" t="s">
        <v>38</v>
      </c>
      <c r="G2901" s="16">
        <v>1806.31</v>
      </c>
      <c r="H2901" s="16">
        <v>2077.2566000000002</v>
      </c>
      <c r="I2901" s="1">
        <v>46232</v>
      </c>
      <c r="J2901">
        <v>27</v>
      </c>
      <c r="K2901" t="s">
        <v>7975</v>
      </c>
      <c r="L2901" t="s">
        <v>8750</v>
      </c>
      <c r="M2901">
        <v>3</v>
      </c>
      <c r="N2901">
        <v>24</v>
      </c>
      <c r="O2901" t="s">
        <v>223</v>
      </c>
      <c r="P2901" s="17"/>
      <c r="Q2901" s="17" t="str">
        <f>_xlfn.XLOOKUP(Table2[[#This Row],[buyFromVendorNo]],'Next Day Scheduled'!A:A,'Pending Returns'!O:O,"NOT_FOUND")</f>
        <v>NOT_FOUND</v>
      </c>
    </row>
    <row r="2902" spans="1:17" x14ac:dyDescent="0.3">
      <c r="A2902" s="1">
        <v>46232</v>
      </c>
      <c r="B2902" t="s">
        <v>7144</v>
      </c>
      <c r="C2902" t="s">
        <v>73</v>
      </c>
      <c r="D2902" t="s">
        <v>74</v>
      </c>
      <c r="E2902" t="s">
        <v>8</v>
      </c>
      <c r="F2902" t="s">
        <v>10</v>
      </c>
      <c r="G2902" s="16">
        <v>108.4452</v>
      </c>
      <c r="H2902" s="16">
        <v>124.71198</v>
      </c>
      <c r="J2902">
        <v>27</v>
      </c>
      <c r="K2902" t="s">
        <v>8670</v>
      </c>
      <c r="M2902">
        <v>17</v>
      </c>
      <c r="N2902">
        <v>1</v>
      </c>
      <c r="O2902" t="s">
        <v>216</v>
      </c>
      <c r="P2902" s="17"/>
      <c r="Q2902" s="17" t="str">
        <f>_xlfn.XLOOKUP(Table2[[#This Row],[buyFromVendorNo]],'Next Day Scheduled'!A:A,'Pending Returns'!O:O,"NOT_FOUND")</f>
        <v>NOT_FOUND</v>
      </c>
    </row>
    <row r="2903" spans="1:17" x14ac:dyDescent="0.3">
      <c r="A2903" s="1">
        <v>46232</v>
      </c>
      <c r="B2903" t="s">
        <v>3497</v>
      </c>
      <c r="C2903" t="s">
        <v>919</v>
      </c>
      <c r="D2903" t="s">
        <v>920</v>
      </c>
      <c r="E2903" t="s">
        <v>8</v>
      </c>
      <c r="F2903" t="s">
        <v>10</v>
      </c>
      <c r="G2903" s="16">
        <v>1.95</v>
      </c>
      <c r="H2903" s="16">
        <v>2.2425000000000002</v>
      </c>
      <c r="J2903">
        <v>27</v>
      </c>
      <c r="K2903" t="s">
        <v>8774</v>
      </c>
      <c r="M2903">
        <v>0</v>
      </c>
      <c r="N2903">
        <v>56</v>
      </c>
      <c r="O2903" t="s">
        <v>216</v>
      </c>
      <c r="P2903" s="17"/>
      <c r="Q2903" s="17" t="str">
        <f>_xlfn.XLOOKUP(Table2[[#This Row],[buyFromVendorNo]],'Next Day Scheduled'!A:A,'Pending Returns'!O:O,"NOT_FOUND")</f>
        <v>NOT_FOUND</v>
      </c>
    </row>
    <row r="2904" spans="1:17" x14ac:dyDescent="0.3">
      <c r="A2904" s="1">
        <v>46232</v>
      </c>
      <c r="B2904" t="s">
        <v>1567</v>
      </c>
      <c r="C2904" t="s">
        <v>69</v>
      </c>
      <c r="D2904" t="s">
        <v>70</v>
      </c>
      <c r="E2904" t="s">
        <v>8</v>
      </c>
      <c r="F2904" t="s">
        <v>10</v>
      </c>
      <c r="G2904" s="16">
        <v>869.31</v>
      </c>
      <c r="H2904" s="16">
        <v>999.70650000000001</v>
      </c>
      <c r="I2904" s="1">
        <v>46226</v>
      </c>
      <c r="J2904">
        <v>27</v>
      </c>
      <c r="K2904" t="s">
        <v>8374</v>
      </c>
      <c r="L2904" t="s">
        <v>8755</v>
      </c>
      <c r="M2904">
        <v>22</v>
      </c>
      <c r="N2904">
        <v>1</v>
      </c>
      <c r="O2904" t="s">
        <v>1036</v>
      </c>
      <c r="P2904" s="17"/>
      <c r="Q2904" s="17" t="str">
        <f>_xlfn.XLOOKUP(Table2[[#This Row],[buyFromVendorNo]],'Next Day Scheduled'!A:A,'Pending Returns'!O:O,"NOT_FOUND")</f>
        <v>Posted Credit Note</v>
      </c>
    </row>
    <row r="2905" spans="1:17" x14ac:dyDescent="0.3">
      <c r="A2905" s="1">
        <v>46232</v>
      </c>
      <c r="B2905" t="s">
        <v>5910</v>
      </c>
      <c r="C2905" t="s">
        <v>49</v>
      </c>
      <c r="D2905" t="s">
        <v>50</v>
      </c>
      <c r="E2905" t="s">
        <v>8</v>
      </c>
      <c r="F2905" t="s">
        <v>10</v>
      </c>
      <c r="G2905" s="16">
        <v>5404.7934999999998</v>
      </c>
      <c r="H2905" s="16">
        <v>6215.5119999999997</v>
      </c>
      <c r="I2905" s="1">
        <v>46223</v>
      </c>
      <c r="J2905">
        <v>27</v>
      </c>
      <c r="K2905" t="s">
        <v>5048</v>
      </c>
      <c r="L2905" t="s">
        <v>8757</v>
      </c>
      <c r="M2905">
        <v>2</v>
      </c>
      <c r="N2905">
        <v>15</v>
      </c>
      <c r="O2905" t="s">
        <v>1036</v>
      </c>
      <c r="P2905" s="17"/>
      <c r="Q2905" s="17" t="str">
        <f>_xlfn.XLOOKUP(Table2[[#This Row],[buyFromVendorNo]],'Next Day Scheduled'!A:A,'Pending Returns'!O:O,"NOT_FOUND")</f>
        <v>NOT_FOUND</v>
      </c>
    </row>
    <row r="2906" spans="1:17" x14ac:dyDescent="0.3">
      <c r="A2906" s="1">
        <v>46232</v>
      </c>
      <c r="B2906" t="s">
        <v>3494</v>
      </c>
      <c r="C2906" t="s">
        <v>7713</v>
      </c>
      <c r="D2906" t="s">
        <v>7714</v>
      </c>
      <c r="E2906" t="s">
        <v>8</v>
      </c>
      <c r="F2906" t="s">
        <v>10</v>
      </c>
      <c r="G2906" s="16">
        <v>38.26</v>
      </c>
      <c r="H2906" s="16">
        <v>43.999000000000002</v>
      </c>
      <c r="I2906" s="1">
        <v>46232</v>
      </c>
      <c r="J2906">
        <v>27</v>
      </c>
      <c r="K2906" t="s">
        <v>8162</v>
      </c>
      <c r="L2906" t="s">
        <v>8639</v>
      </c>
      <c r="M2906">
        <v>0</v>
      </c>
      <c r="N2906">
        <v>231</v>
      </c>
      <c r="O2906" t="s">
        <v>223</v>
      </c>
      <c r="P2906" s="17"/>
      <c r="Q2906" s="17" t="str">
        <f>_xlfn.XLOOKUP(Table2[[#This Row],[buyFromVendorNo]],'Next Day Scheduled'!A:A,'Pending Returns'!O:O,"NOT_FOUND")</f>
        <v>NOT_FOUND</v>
      </c>
    </row>
    <row r="2907" spans="1:17" x14ac:dyDescent="0.3">
      <c r="A2907" s="1">
        <v>46232</v>
      </c>
      <c r="B2907" t="s">
        <v>3294</v>
      </c>
      <c r="C2907" t="s">
        <v>596</v>
      </c>
      <c r="D2907" t="s">
        <v>597</v>
      </c>
      <c r="E2907" t="s">
        <v>8</v>
      </c>
      <c r="F2907" t="s">
        <v>10</v>
      </c>
      <c r="G2907" s="16">
        <v>507.35300000000001</v>
      </c>
      <c r="H2907" s="16">
        <v>583.45592999999997</v>
      </c>
      <c r="I2907" s="1">
        <v>46216</v>
      </c>
      <c r="J2907">
        <v>27</v>
      </c>
      <c r="K2907" t="s">
        <v>6548</v>
      </c>
      <c r="L2907" t="s">
        <v>8654</v>
      </c>
      <c r="M2907">
        <v>4</v>
      </c>
      <c r="N2907">
        <v>5</v>
      </c>
      <c r="O2907" t="s">
        <v>1036</v>
      </c>
      <c r="P2907" s="17"/>
      <c r="Q2907" s="17" t="str">
        <f>_xlfn.XLOOKUP(Table2[[#This Row],[buyFromVendorNo]],'Next Day Scheduled'!A:A,'Pending Returns'!O:O,"NOT_FOUND")</f>
        <v>NOT_FOUND</v>
      </c>
    </row>
    <row r="2908" spans="1:17" x14ac:dyDescent="0.3">
      <c r="A2908" s="1">
        <v>46232</v>
      </c>
      <c r="B2908" t="s">
        <v>5470</v>
      </c>
      <c r="C2908" t="s">
        <v>2365</v>
      </c>
      <c r="D2908" t="s">
        <v>2366</v>
      </c>
      <c r="E2908" t="s">
        <v>8</v>
      </c>
      <c r="F2908" t="s">
        <v>10</v>
      </c>
      <c r="G2908" s="16">
        <v>2.9165999999999999</v>
      </c>
      <c r="H2908" s="16">
        <v>3.3540899999999998</v>
      </c>
      <c r="I2908" s="1">
        <v>46232</v>
      </c>
      <c r="J2908">
        <v>27</v>
      </c>
      <c r="K2908" t="s">
        <v>5471</v>
      </c>
      <c r="L2908" t="s">
        <v>8689</v>
      </c>
      <c r="M2908">
        <v>2</v>
      </c>
      <c r="N2908">
        <v>20</v>
      </c>
      <c r="O2908" t="s">
        <v>1036</v>
      </c>
      <c r="P2908" s="17"/>
      <c r="Q2908" s="17" t="str">
        <f>_xlfn.XLOOKUP(Table2[[#This Row],[buyFromVendorNo]],'Next Day Scheduled'!A:A,'Pending Returns'!O:O,"NOT_FOUND")</f>
        <v>NOT_FOUND</v>
      </c>
    </row>
    <row r="2909" spans="1:17" x14ac:dyDescent="0.3">
      <c r="A2909" s="1">
        <v>46232</v>
      </c>
      <c r="B2909" t="s">
        <v>1567</v>
      </c>
      <c r="C2909" t="s">
        <v>69</v>
      </c>
      <c r="D2909" t="s">
        <v>70</v>
      </c>
      <c r="E2909" t="s">
        <v>8</v>
      </c>
      <c r="F2909" t="s">
        <v>10</v>
      </c>
      <c r="G2909" s="16">
        <v>834.34</v>
      </c>
      <c r="H2909" s="16">
        <v>959.49099999999999</v>
      </c>
      <c r="I2909" s="1">
        <v>46230</v>
      </c>
      <c r="J2909">
        <v>27</v>
      </c>
      <c r="K2909" t="s">
        <v>8471</v>
      </c>
      <c r="L2909" t="s">
        <v>8728</v>
      </c>
      <c r="M2909">
        <v>22</v>
      </c>
      <c r="N2909">
        <v>1</v>
      </c>
      <c r="O2909" t="s">
        <v>1036</v>
      </c>
      <c r="P2909" s="17"/>
      <c r="Q2909" s="17" t="str">
        <f>_xlfn.XLOOKUP(Table2[[#This Row],[buyFromVendorNo]],'Next Day Scheduled'!A:A,'Pending Returns'!O:O,"NOT_FOUND")</f>
        <v>Posted Credit Note</v>
      </c>
    </row>
    <row r="2910" spans="1:17" x14ac:dyDescent="0.3">
      <c r="A2910" s="1">
        <v>46233</v>
      </c>
      <c r="B2910" t="s">
        <v>551</v>
      </c>
      <c r="C2910" t="s">
        <v>1536</v>
      </c>
      <c r="D2910" t="s">
        <v>1537</v>
      </c>
      <c r="E2910" t="s">
        <v>8</v>
      </c>
      <c r="F2910" t="s">
        <v>38</v>
      </c>
      <c r="G2910" s="16">
        <v>13.5</v>
      </c>
      <c r="H2910" s="16">
        <v>15.525</v>
      </c>
      <c r="I2910" s="1">
        <v>46226</v>
      </c>
      <c r="J2910">
        <v>26</v>
      </c>
      <c r="K2910" t="s">
        <v>6974</v>
      </c>
      <c r="L2910" t="s">
        <v>8848</v>
      </c>
      <c r="M2910">
        <v>0</v>
      </c>
      <c r="N2910">
        <v>33</v>
      </c>
      <c r="O2910" t="s">
        <v>1036</v>
      </c>
      <c r="P2910" s="17"/>
      <c r="Q2910" s="17" t="str">
        <f>_xlfn.XLOOKUP(Table2[[#This Row],[buyFromVendorNo]],'Next Day Scheduled'!A:A,'Pending Returns'!O:O,"NOT_FOUND")</f>
        <v>Posted Credit Note</v>
      </c>
    </row>
    <row r="2911" spans="1:17" x14ac:dyDescent="0.3">
      <c r="A2911" s="1">
        <v>46233</v>
      </c>
      <c r="B2911" t="s">
        <v>2721</v>
      </c>
      <c r="C2911" t="s">
        <v>2834</v>
      </c>
      <c r="D2911" t="s">
        <v>2835</v>
      </c>
      <c r="E2911" t="s">
        <v>8</v>
      </c>
      <c r="F2911" t="s">
        <v>10</v>
      </c>
      <c r="G2911" s="16">
        <v>72</v>
      </c>
      <c r="H2911" s="16">
        <v>82.8</v>
      </c>
      <c r="I2911" s="1">
        <v>46233</v>
      </c>
      <c r="J2911">
        <v>26</v>
      </c>
      <c r="K2911" t="s">
        <v>8120</v>
      </c>
      <c r="L2911" t="s">
        <v>8875</v>
      </c>
      <c r="M2911">
        <v>2</v>
      </c>
      <c r="N2911">
        <v>5</v>
      </c>
      <c r="O2911" t="s">
        <v>1036</v>
      </c>
      <c r="P2911" s="17"/>
      <c r="Q2911" s="17" t="str">
        <f>_xlfn.XLOOKUP(Table2[[#This Row],[buyFromVendorNo]],'Next Day Scheduled'!A:A,'Pending Returns'!O:O,"NOT_FOUND")</f>
        <v>NOT_FOUND</v>
      </c>
    </row>
    <row r="2912" spans="1:17" x14ac:dyDescent="0.3">
      <c r="A2912" s="1">
        <v>46233</v>
      </c>
      <c r="B2912" t="s">
        <v>8588</v>
      </c>
      <c r="C2912" t="s">
        <v>3777</v>
      </c>
      <c r="D2912" t="s">
        <v>3778</v>
      </c>
      <c r="E2912" t="s">
        <v>8</v>
      </c>
      <c r="F2912" t="s">
        <v>10</v>
      </c>
      <c r="G2912" s="16">
        <v>198</v>
      </c>
      <c r="H2912" s="16">
        <v>227.7</v>
      </c>
      <c r="I2912" s="1">
        <v>46232</v>
      </c>
      <c r="J2912">
        <v>26</v>
      </c>
      <c r="K2912" t="s">
        <v>8555</v>
      </c>
      <c r="L2912" t="s">
        <v>8876</v>
      </c>
      <c r="M2912">
        <v>4</v>
      </c>
      <c r="N2912">
        <v>3</v>
      </c>
      <c r="O2912" t="s">
        <v>1036</v>
      </c>
      <c r="P2912" s="17"/>
      <c r="Q2912" s="17" t="str">
        <f>_xlfn.XLOOKUP(Table2[[#This Row],[buyFromVendorNo]],'Next Day Scheduled'!A:A,'Pending Returns'!O:O,"NOT_FOUND")</f>
        <v>NOT_FOUND</v>
      </c>
    </row>
    <row r="2913" spans="1:17" x14ac:dyDescent="0.3">
      <c r="A2913" s="1">
        <v>46233</v>
      </c>
      <c r="B2913" t="s">
        <v>392</v>
      </c>
      <c r="C2913" t="s">
        <v>79</v>
      </c>
      <c r="D2913" t="s">
        <v>80</v>
      </c>
      <c r="E2913" t="s">
        <v>8</v>
      </c>
      <c r="F2913" t="s">
        <v>10</v>
      </c>
      <c r="G2913" s="16">
        <v>1063.7244000000001</v>
      </c>
      <c r="H2913" s="16">
        <v>1223.2829999999999</v>
      </c>
      <c r="I2913" s="1">
        <v>46230</v>
      </c>
      <c r="J2913">
        <v>26</v>
      </c>
      <c r="K2913" t="s">
        <v>7839</v>
      </c>
      <c r="L2913" t="s">
        <v>8853</v>
      </c>
      <c r="M2913">
        <v>4</v>
      </c>
      <c r="N2913">
        <v>2</v>
      </c>
      <c r="O2913" t="s">
        <v>1036</v>
      </c>
      <c r="P2913" s="17"/>
      <c r="Q2913" s="17" t="str">
        <f>_xlfn.XLOOKUP(Table2[[#This Row],[buyFromVendorNo]],'Next Day Scheduled'!A:A,'Pending Returns'!O:O,"NOT_FOUND")</f>
        <v>NOT_FOUND</v>
      </c>
    </row>
    <row r="2914" spans="1:17" x14ac:dyDescent="0.3">
      <c r="A2914" s="1">
        <v>46233</v>
      </c>
      <c r="B2914" t="s">
        <v>5911</v>
      </c>
      <c r="C2914" t="s">
        <v>932</v>
      </c>
      <c r="D2914" t="s">
        <v>1612</v>
      </c>
      <c r="E2914" t="s">
        <v>8</v>
      </c>
      <c r="F2914" t="s">
        <v>10</v>
      </c>
      <c r="G2914" s="16">
        <v>339.75</v>
      </c>
      <c r="H2914" s="16">
        <v>390.71249999999998</v>
      </c>
      <c r="I2914" s="1">
        <v>46204</v>
      </c>
      <c r="J2914">
        <v>26</v>
      </c>
      <c r="K2914" t="s">
        <v>5578</v>
      </c>
      <c r="L2914" t="s">
        <v>8814</v>
      </c>
      <c r="M2914">
        <v>2</v>
      </c>
      <c r="N2914">
        <v>3</v>
      </c>
      <c r="O2914" t="s">
        <v>1036</v>
      </c>
      <c r="P2914" s="17"/>
      <c r="Q2914" s="17" t="str">
        <f>_xlfn.XLOOKUP(Table2[[#This Row],[buyFromVendorNo]],'Next Day Scheduled'!A:A,'Pending Returns'!O:O,"NOT_FOUND")</f>
        <v>NOT_FOUND</v>
      </c>
    </row>
    <row r="2915" spans="1:17" x14ac:dyDescent="0.3">
      <c r="A2915" s="1">
        <v>46233</v>
      </c>
      <c r="B2915" t="s">
        <v>1697</v>
      </c>
      <c r="C2915" t="s">
        <v>318</v>
      </c>
      <c r="D2915" t="s">
        <v>319</v>
      </c>
      <c r="E2915" t="s">
        <v>8</v>
      </c>
      <c r="F2915" t="s">
        <v>10</v>
      </c>
      <c r="G2915" s="16">
        <v>298.20996000000002</v>
      </c>
      <c r="H2915" s="16">
        <v>342.94144</v>
      </c>
      <c r="I2915" s="1">
        <v>46230</v>
      </c>
      <c r="J2915">
        <v>26</v>
      </c>
      <c r="K2915" t="s">
        <v>7086</v>
      </c>
      <c r="L2915" t="s">
        <v>8815</v>
      </c>
      <c r="M2915">
        <v>3</v>
      </c>
      <c r="N2915">
        <v>2</v>
      </c>
      <c r="O2915" t="s">
        <v>1036</v>
      </c>
      <c r="P2915" s="17"/>
      <c r="Q2915" s="17" t="str">
        <f>_xlfn.XLOOKUP(Table2[[#This Row],[buyFromVendorNo]],'Next Day Scheduled'!A:A,'Pending Returns'!O:O,"NOT_FOUND")</f>
        <v>NOT_FOUND</v>
      </c>
    </row>
    <row r="2916" spans="1:17" x14ac:dyDescent="0.3">
      <c r="A2916" s="1">
        <v>46233</v>
      </c>
      <c r="B2916" t="s">
        <v>2645</v>
      </c>
      <c r="C2916" t="s">
        <v>1279</v>
      </c>
      <c r="D2916" t="s">
        <v>1280</v>
      </c>
      <c r="E2916" t="s">
        <v>8</v>
      </c>
      <c r="F2916" t="s">
        <v>10</v>
      </c>
      <c r="G2916" s="16">
        <v>114</v>
      </c>
      <c r="H2916" s="16">
        <v>131.1</v>
      </c>
      <c r="J2916">
        <v>26</v>
      </c>
      <c r="K2916" t="s">
        <v>8799</v>
      </c>
      <c r="M2916">
        <v>4</v>
      </c>
      <c r="N2916">
        <v>3</v>
      </c>
      <c r="O2916" t="s">
        <v>216</v>
      </c>
      <c r="P2916" s="17"/>
      <c r="Q2916" s="17" t="str">
        <f>_xlfn.XLOOKUP(Table2[[#This Row],[buyFromVendorNo]],'Next Day Scheduled'!A:A,'Pending Returns'!O:O,"NOT_FOUND")</f>
        <v>NOT_FOUND</v>
      </c>
    </row>
    <row r="2917" spans="1:17" x14ac:dyDescent="0.3">
      <c r="A2917" s="1">
        <v>46233</v>
      </c>
      <c r="B2917" t="s">
        <v>3753</v>
      </c>
      <c r="C2917" t="s">
        <v>118</v>
      </c>
      <c r="D2917" t="s">
        <v>119</v>
      </c>
      <c r="E2917" t="s">
        <v>8</v>
      </c>
      <c r="F2917" t="s">
        <v>10</v>
      </c>
      <c r="G2917" s="16">
        <v>125</v>
      </c>
      <c r="H2917" s="16">
        <v>143.75</v>
      </c>
      <c r="I2917" s="1">
        <v>46232</v>
      </c>
      <c r="J2917">
        <v>26</v>
      </c>
      <c r="K2917" t="s">
        <v>8132</v>
      </c>
      <c r="L2917" t="s">
        <v>8860</v>
      </c>
      <c r="M2917">
        <v>5</v>
      </c>
      <c r="N2917">
        <v>5</v>
      </c>
      <c r="O2917" t="s">
        <v>1036</v>
      </c>
      <c r="P2917" s="17"/>
      <c r="Q2917" s="17" t="str">
        <f>_xlfn.XLOOKUP(Table2[[#This Row],[buyFromVendorNo]],'Next Day Scheduled'!A:A,'Pending Returns'!O:O,"NOT_FOUND")</f>
        <v>Posted Credit Note</v>
      </c>
    </row>
    <row r="2918" spans="1:17" x14ac:dyDescent="0.3">
      <c r="A2918" s="1">
        <v>46233</v>
      </c>
      <c r="B2918" t="s">
        <v>392</v>
      </c>
      <c r="C2918" t="s">
        <v>4762</v>
      </c>
      <c r="D2918" t="s">
        <v>4763</v>
      </c>
      <c r="E2918" t="s">
        <v>8</v>
      </c>
      <c r="F2918" t="s">
        <v>10</v>
      </c>
      <c r="G2918" s="16">
        <v>3300</v>
      </c>
      <c r="H2918" s="16">
        <v>3795</v>
      </c>
      <c r="I2918" s="1">
        <v>46232</v>
      </c>
      <c r="J2918">
        <v>26</v>
      </c>
      <c r="K2918" t="s">
        <v>8596</v>
      </c>
      <c r="L2918" t="s">
        <v>8861</v>
      </c>
      <c r="M2918">
        <v>3</v>
      </c>
      <c r="N2918">
        <v>6</v>
      </c>
      <c r="O2918" t="s">
        <v>1036</v>
      </c>
      <c r="P2918" s="17"/>
      <c r="Q2918" s="17" t="str">
        <f>_xlfn.XLOOKUP(Table2[[#This Row],[buyFromVendorNo]],'Next Day Scheduled'!A:A,'Pending Returns'!O:O,"NOT_FOUND")</f>
        <v>NOT_FOUND</v>
      </c>
    </row>
    <row r="2919" spans="1:17" x14ac:dyDescent="0.3">
      <c r="A2919" s="1">
        <v>46233</v>
      </c>
      <c r="B2919" t="s">
        <v>3715</v>
      </c>
      <c r="C2919" t="s">
        <v>356</v>
      </c>
      <c r="D2919" t="s">
        <v>357</v>
      </c>
      <c r="E2919" t="s">
        <v>8</v>
      </c>
      <c r="F2919" t="s">
        <v>169</v>
      </c>
      <c r="G2919" s="16">
        <v>113.63667</v>
      </c>
      <c r="H2919" s="16">
        <v>130.68217000000001</v>
      </c>
      <c r="I2919" s="1">
        <v>46231</v>
      </c>
      <c r="J2919">
        <v>26</v>
      </c>
      <c r="K2919" t="s">
        <v>7251</v>
      </c>
      <c r="L2919" t="s">
        <v>8862</v>
      </c>
      <c r="M2919">
        <v>5</v>
      </c>
      <c r="N2919">
        <v>2</v>
      </c>
      <c r="O2919" t="s">
        <v>1036</v>
      </c>
      <c r="P2919" s="17"/>
      <c r="Q2919" s="17" t="str">
        <f>_xlfn.XLOOKUP(Table2[[#This Row],[buyFromVendorNo]],'Next Day Scheduled'!A:A,'Pending Returns'!O:O,"NOT_FOUND")</f>
        <v>NOT_FOUND</v>
      </c>
    </row>
    <row r="2920" spans="1:17" x14ac:dyDescent="0.3">
      <c r="A2920" s="1">
        <v>46233</v>
      </c>
      <c r="B2920" t="s">
        <v>8826</v>
      </c>
      <c r="C2920" t="s">
        <v>111</v>
      </c>
      <c r="D2920" t="s">
        <v>112</v>
      </c>
      <c r="E2920" t="s">
        <v>8</v>
      </c>
      <c r="F2920" t="s">
        <v>10</v>
      </c>
      <c r="G2920" s="16">
        <v>492.16</v>
      </c>
      <c r="H2920" s="16">
        <v>565.98400000000004</v>
      </c>
      <c r="J2920">
        <v>26</v>
      </c>
      <c r="K2920" t="s">
        <v>8827</v>
      </c>
      <c r="M2920">
        <v>2</v>
      </c>
      <c r="N2920">
        <v>15</v>
      </c>
      <c r="O2920" t="s">
        <v>216</v>
      </c>
      <c r="P2920" s="17"/>
      <c r="Q2920" s="17" t="str">
        <f>_xlfn.XLOOKUP(Table2[[#This Row],[buyFromVendorNo]],'Next Day Scheduled'!A:A,'Pending Returns'!O:O,"NOT_FOUND")</f>
        <v>Posted Credit Note</v>
      </c>
    </row>
    <row r="2921" spans="1:17" x14ac:dyDescent="0.3">
      <c r="A2921" s="1">
        <v>46233</v>
      </c>
      <c r="B2921" t="s">
        <v>642</v>
      </c>
      <c r="C2921" t="s">
        <v>2383</v>
      </c>
      <c r="D2921" t="s">
        <v>2384</v>
      </c>
      <c r="E2921" t="s">
        <v>8</v>
      </c>
      <c r="F2921" t="s">
        <v>38</v>
      </c>
      <c r="G2921" s="16">
        <v>112</v>
      </c>
      <c r="H2921" s="16">
        <v>128.80000000000001</v>
      </c>
      <c r="J2921">
        <v>26</v>
      </c>
      <c r="K2921" t="s">
        <v>8884</v>
      </c>
      <c r="M2921">
        <v>1</v>
      </c>
      <c r="N2921">
        <v>21</v>
      </c>
      <c r="O2921" t="s">
        <v>216</v>
      </c>
      <c r="P2921" s="17"/>
      <c r="Q2921" s="17" t="str">
        <f>_xlfn.XLOOKUP(Table2[[#This Row],[buyFromVendorNo]],'Next Day Scheduled'!A:A,'Pending Returns'!O:O,"NOT_FOUND")</f>
        <v>NOT_FOUND</v>
      </c>
    </row>
    <row r="2922" spans="1:17" x14ac:dyDescent="0.3">
      <c r="A2922" s="1">
        <v>46233</v>
      </c>
      <c r="B2922" t="s">
        <v>6390</v>
      </c>
      <c r="C2922" t="s">
        <v>318</v>
      </c>
      <c r="D2922" t="s">
        <v>319</v>
      </c>
      <c r="E2922" t="s">
        <v>8</v>
      </c>
      <c r="F2922" t="s">
        <v>10</v>
      </c>
      <c r="G2922" s="16">
        <v>518.52829999999994</v>
      </c>
      <c r="H2922" s="16">
        <v>596.30755999999997</v>
      </c>
      <c r="I2922" s="1">
        <v>46230</v>
      </c>
      <c r="J2922">
        <v>26</v>
      </c>
      <c r="K2922" t="s">
        <v>8225</v>
      </c>
      <c r="L2922" t="s">
        <v>8869</v>
      </c>
      <c r="M2922">
        <v>3</v>
      </c>
      <c r="N2922">
        <v>2</v>
      </c>
      <c r="O2922" t="s">
        <v>1036</v>
      </c>
      <c r="P2922" s="17"/>
      <c r="Q2922" s="17" t="str">
        <f>_xlfn.XLOOKUP(Table2[[#This Row],[buyFromVendorNo]],'Next Day Scheduled'!A:A,'Pending Returns'!O:O,"NOT_FOUND")</f>
        <v>NOT_FOUND</v>
      </c>
    </row>
    <row r="2923" spans="1:17" x14ac:dyDescent="0.3">
      <c r="A2923" s="1">
        <v>46233</v>
      </c>
      <c r="B2923" t="s">
        <v>6686</v>
      </c>
      <c r="C2923" t="s">
        <v>118</v>
      </c>
      <c r="D2923" t="s">
        <v>119</v>
      </c>
      <c r="E2923" t="s">
        <v>8</v>
      </c>
      <c r="F2923" t="s">
        <v>10</v>
      </c>
      <c r="G2923" s="16">
        <v>111.25</v>
      </c>
      <c r="H2923" s="16">
        <v>127.9375</v>
      </c>
      <c r="I2923" s="1">
        <v>46232</v>
      </c>
      <c r="J2923">
        <v>26</v>
      </c>
      <c r="K2923" t="s">
        <v>7609</v>
      </c>
      <c r="L2923" t="s">
        <v>8806</v>
      </c>
      <c r="M2923">
        <v>5</v>
      </c>
      <c r="N2923">
        <v>5</v>
      </c>
      <c r="O2923" t="s">
        <v>1036</v>
      </c>
      <c r="P2923" s="17"/>
      <c r="Q2923" s="17" t="str">
        <f>_xlfn.XLOOKUP(Table2[[#This Row],[buyFromVendorNo]],'Next Day Scheduled'!A:A,'Pending Returns'!O:O,"NOT_FOUND")</f>
        <v>Posted Credit Note</v>
      </c>
    </row>
    <row r="2924" spans="1:17" x14ac:dyDescent="0.3">
      <c r="A2924" s="1">
        <v>46233</v>
      </c>
      <c r="B2924" t="s">
        <v>8118</v>
      </c>
      <c r="C2924" t="s">
        <v>837</v>
      </c>
      <c r="D2924" t="s">
        <v>838</v>
      </c>
      <c r="E2924" t="s">
        <v>8</v>
      </c>
      <c r="F2924" t="s">
        <v>10</v>
      </c>
      <c r="G2924" s="16">
        <v>562.80050000000006</v>
      </c>
      <c r="H2924" s="16">
        <v>647.22059999999999</v>
      </c>
      <c r="I2924" s="1">
        <v>46232</v>
      </c>
      <c r="J2924">
        <v>26</v>
      </c>
      <c r="K2924" t="s">
        <v>8119</v>
      </c>
      <c r="L2924" t="s">
        <v>8807</v>
      </c>
      <c r="M2924">
        <v>2</v>
      </c>
      <c r="N2924">
        <v>2</v>
      </c>
      <c r="O2924" t="s">
        <v>1036</v>
      </c>
      <c r="P2924" s="17"/>
      <c r="Q2924" s="17" t="str">
        <f>_xlfn.XLOOKUP(Table2[[#This Row],[buyFromVendorNo]],'Next Day Scheduled'!A:A,'Pending Returns'!O:O,"NOT_FOUND")</f>
        <v>NOT_FOUND</v>
      </c>
    </row>
    <row r="2925" spans="1:17" x14ac:dyDescent="0.3">
      <c r="A2925" s="1">
        <v>46233</v>
      </c>
      <c r="B2925" t="s">
        <v>2714</v>
      </c>
      <c r="C2925" t="s">
        <v>69</v>
      </c>
      <c r="D2925" t="s">
        <v>70</v>
      </c>
      <c r="E2925" t="s">
        <v>8</v>
      </c>
      <c r="F2925" t="s">
        <v>10</v>
      </c>
      <c r="G2925" s="16">
        <v>344.86</v>
      </c>
      <c r="H2925" s="16">
        <v>396.589</v>
      </c>
      <c r="J2925">
        <v>26</v>
      </c>
      <c r="K2925" t="s">
        <v>8809</v>
      </c>
      <c r="M2925">
        <v>22</v>
      </c>
      <c r="N2925">
        <v>1</v>
      </c>
      <c r="O2925" t="s">
        <v>216</v>
      </c>
      <c r="P2925" s="17"/>
      <c r="Q2925" s="17" t="str">
        <f>_xlfn.XLOOKUP(Table2[[#This Row],[buyFromVendorNo]],'Next Day Scheduled'!A:A,'Pending Returns'!O:O,"NOT_FOUND")</f>
        <v>Posted Credit Note</v>
      </c>
    </row>
    <row r="2926" spans="1:17" x14ac:dyDescent="0.3">
      <c r="A2926" s="1">
        <v>46233</v>
      </c>
      <c r="B2926" t="s">
        <v>7607</v>
      </c>
      <c r="C2926" t="s">
        <v>580</v>
      </c>
      <c r="D2926" t="s">
        <v>581</v>
      </c>
      <c r="E2926" t="s">
        <v>8</v>
      </c>
      <c r="F2926" t="s">
        <v>10</v>
      </c>
      <c r="G2926" s="16">
        <v>30</v>
      </c>
      <c r="H2926" s="16">
        <v>34.5</v>
      </c>
      <c r="J2926">
        <v>26</v>
      </c>
      <c r="K2926" t="s">
        <v>8808</v>
      </c>
      <c r="M2926">
        <v>2</v>
      </c>
      <c r="N2926">
        <v>3</v>
      </c>
      <c r="O2926" t="s">
        <v>216</v>
      </c>
      <c r="P2926" s="17"/>
      <c r="Q2926" s="17" t="str">
        <f>_xlfn.XLOOKUP(Table2[[#This Row],[buyFromVendorNo]],'Next Day Scheduled'!A:A,'Pending Returns'!O:O,"NOT_FOUND")</f>
        <v>NOT_FOUND</v>
      </c>
    </row>
    <row r="2927" spans="1:17" x14ac:dyDescent="0.3">
      <c r="A2927" s="1">
        <v>46233</v>
      </c>
      <c r="B2927" t="s">
        <v>2915</v>
      </c>
      <c r="C2927" t="s">
        <v>839</v>
      </c>
      <c r="D2927" t="s">
        <v>840</v>
      </c>
      <c r="E2927" t="s">
        <v>8</v>
      </c>
      <c r="F2927" t="s">
        <v>10</v>
      </c>
      <c r="G2927" s="16">
        <v>400</v>
      </c>
      <c r="H2927" s="16">
        <v>460</v>
      </c>
      <c r="I2927" s="1">
        <v>46223</v>
      </c>
      <c r="J2927">
        <v>26</v>
      </c>
      <c r="K2927" t="s">
        <v>7096</v>
      </c>
      <c r="L2927" t="s">
        <v>8784</v>
      </c>
      <c r="M2927">
        <v>4</v>
      </c>
      <c r="N2927">
        <v>2</v>
      </c>
      <c r="O2927" t="s">
        <v>1036</v>
      </c>
      <c r="P2927" s="17"/>
      <c r="Q2927" s="17" t="str">
        <f>_xlfn.XLOOKUP(Table2[[#This Row],[buyFromVendorNo]],'Next Day Scheduled'!A:A,'Pending Returns'!O:O,"NOT_FOUND")</f>
        <v>NOT_FOUND</v>
      </c>
    </row>
    <row r="2928" spans="1:17" x14ac:dyDescent="0.3">
      <c r="A2928" s="1">
        <v>46233</v>
      </c>
      <c r="B2928" t="s">
        <v>5527</v>
      </c>
      <c r="C2928" t="s">
        <v>183</v>
      </c>
      <c r="D2928" t="s">
        <v>184</v>
      </c>
      <c r="E2928" t="s">
        <v>8</v>
      </c>
      <c r="F2928" t="s">
        <v>10</v>
      </c>
      <c r="G2928" s="16">
        <v>224</v>
      </c>
      <c r="H2928" s="16">
        <v>257.60000000000002</v>
      </c>
      <c r="J2928">
        <v>26</v>
      </c>
      <c r="K2928" t="s">
        <v>8787</v>
      </c>
      <c r="M2928">
        <v>0</v>
      </c>
      <c r="N2928">
        <v>195</v>
      </c>
      <c r="O2928" t="s">
        <v>216</v>
      </c>
      <c r="P2928" s="17"/>
      <c r="Q2928" s="17" t="str">
        <f>_xlfn.XLOOKUP(Table2[[#This Row],[buyFromVendorNo]],'Next Day Scheduled'!A:A,'Pending Returns'!O:O,"NOT_FOUND")</f>
        <v>NOT_FOUND</v>
      </c>
    </row>
    <row r="2929" spans="1:17" x14ac:dyDescent="0.3">
      <c r="A2929" s="1">
        <v>46233</v>
      </c>
      <c r="B2929" t="s">
        <v>3281</v>
      </c>
      <c r="C2929" t="s">
        <v>6178</v>
      </c>
      <c r="D2929" t="s">
        <v>6261</v>
      </c>
      <c r="E2929" t="s">
        <v>8</v>
      </c>
      <c r="F2929" t="s">
        <v>10</v>
      </c>
      <c r="G2929" s="16">
        <v>13</v>
      </c>
      <c r="H2929" s="16">
        <v>14.95</v>
      </c>
      <c r="J2929">
        <v>26</v>
      </c>
      <c r="K2929" t="s">
        <v>8877</v>
      </c>
      <c r="M2929">
        <v>4</v>
      </c>
      <c r="N2929">
        <v>1</v>
      </c>
      <c r="O2929" t="s">
        <v>216</v>
      </c>
      <c r="P2929" s="17"/>
      <c r="Q2929" s="17" t="str">
        <f>_xlfn.XLOOKUP(Table2[[#This Row],[buyFromVendorNo]],'Next Day Scheduled'!A:A,'Pending Returns'!O:O,"NOT_FOUND")</f>
        <v>NOT_FOUND</v>
      </c>
    </row>
    <row r="2930" spans="1:17" x14ac:dyDescent="0.3">
      <c r="A2930" s="1">
        <v>46233</v>
      </c>
      <c r="B2930" t="s">
        <v>2551</v>
      </c>
      <c r="C2930" t="s">
        <v>1407</v>
      </c>
      <c r="D2930" t="s">
        <v>2306</v>
      </c>
      <c r="E2930" t="s">
        <v>8</v>
      </c>
      <c r="F2930" t="s">
        <v>10</v>
      </c>
      <c r="G2930" s="16">
        <v>203</v>
      </c>
      <c r="H2930" s="16">
        <v>233.45</v>
      </c>
      <c r="I2930" s="1">
        <v>46233</v>
      </c>
      <c r="J2930">
        <v>26</v>
      </c>
      <c r="K2930" t="s">
        <v>7172</v>
      </c>
      <c r="L2930" t="s">
        <v>8878</v>
      </c>
      <c r="M2930">
        <v>2</v>
      </c>
      <c r="N2930">
        <v>16</v>
      </c>
      <c r="O2930" t="s">
        <v>1036</v>
      </c>
      <c r="P2930" s="17"/>
      <c r="Q2930" s="17" t="str">
        <f>_xlfn.XLOOKUP(Table2[[#This Row],[buyFromVendorNo]],'Next Day Scheduled'!A:A,'Pending Returns'!O:O,"NOT_FOUND")</f>
        <v>NOT_FOUND</v>
      </c>
    </row>
    <row r="2931" spans="1:17" x14ac:dyDescent="0.3">
      <c r="A2931" s="1">
        <v>46233</v>
      </c>
      <c r="B2931" t="s">
        <v>2899</v>
      </c>
      <c r="C2931" t="s">
        <v>79</v>
      </c>
      <c r="D2931" t="s">
        <v>80</v>
      </c>
      <c r="E2931" t="s">
        <v>8</v>
      </c>
      <c r="F2931" t="s">
        <v>10</v>
      </c>
      <c r="G2931" s="16">
        <v>638.67089999999996</v>
      </c>
      <c r="H2931" s="16">
        <v>734.47149999999999</v>
      </c>
      <c r="I2931" s="1">
        <v>46230</v>
      </c>
      <c r="J2931">
        <v>26</v>
      </c>
      <c r="K2931" t="s">
        <v>8423</v>
      </c>
      <c r="L2931" t="s">
        <v>8854</v>
      </c>
      <c r="M2931">
        <v>4</v>
      </c>
      <c r="N2931">
        <v>2</v>
      </c>
      <c r="O2931" t="s">
        <v>1036</v>
      </c>
      <c r="P2931" s="17"/>
      <c r="Q2931" s="17" t="str">
        <f>_xlfn.XLOOKUP(Table2[[#This Row],[buyFromVendorNo]],'Next Day Scheduled'!A:A,'Pending Returns'!O:O,"NOT_FOUND")</f>
        <v>NOT_FOUND</v>
      </c>
    </row>
    <row r="2932" spans="1:17" x14ac:dyDescent="0.3">
      <c r="A2932" s="1">
        <v>46233</v>
      </c>
      <c r="B2932" t="s">
        <v>5233</v>
      </c>
      <c r="C2932" t="s">
        <v>95</v>
      </c>
      <c r="D2932" t="s">
        <v>96</v>
      </c>
      <c r="E2932" t="s">
        <v>8</v>
      </c>
      <c r="F2932" t="s">
        <v>10</v>
      </c>
      <c r="G2932" s="16">
        <v>1151.1348</v>
      </c>
      <c r="H2932" s="16">
        <v>1323.8049000000001</v>
      </c>
      <c r="I2932" s="1">
        <v>46232</v>
      </c>
      <c r="J2932">
        <v>26</v>
      </c>
      <c r="K2932" t="s">
        <v>8657</v>
      </c>
      <c r="L2932" t="s">
        <v>8863</v>
      </c>
      <c r="M2932">
        <v>5</v>
      </c>
      <c r="N2932">
        <v>1</v>
      </c>
      <c r="O2932" t="s">
        <v>1036</v>
      </c>
      <c r="P2932" s="17"/>
      <c r="Q2932" s="17" t="str">
        <f>_xlfn.XLOOKUP(Table2[[#This Row],[buyFromVendorNo]],'Next Day Scheduled'!A:A,'Pending Returns'!O:O,"NOT_FOUND")</f>
        <v>NOT_FOUND</v>
      </c>
    </row>
    <row r="2933" spans="1:17" x14ac:dyDescent="0.3">
      <c r="A2933" s="1">
        <v>46233</v>
      </c>
      <c r="B2933" t="s">
        <v>3269</v>
      </c>
      <c r="C2933" t="s">
        <v>164</v>
      </c>
      <c r="D2933" t="s">
        <v>165</v>
      </c>
      <c r="E2933" t="s">
        <v>8</v>
      </c>
      <c r="F2933" t="s">
        <v>10</v>
      </c>
      <c r="G2933" s="16">
        <v>48</v>
      </c>
      <c r="H2933" s="16">
        <v>55.2</v>
      </c>
      <c r="J2933">
        <v>26</v>
      </c>
      <c r="K2933" t="s">
        <v>8804</v>
      </c>
      <c r="M2933">
        <v>5</v>
      </c>
      <c r="N2933">
        <v>3</v>
      </c>
      <c r="O2933" t="s">
        <v>216</v>
      </c>
      <c r="P2933" s="17"/>
      <c r="Q2933" s="17" t="str">
        <f>_xlfn.XLOOKUP(Table2[[#This Row],[buyFromVendorNo]],'Next Day Scheduled'!A:A,'Pending Returns'!O:O,"NOT_FOUND")</f>
        <v>NOT_FOUND</v>
      </c>
    </row>
    <row r="2934" spans="1:17" x14ac:dyDescent="0.3">
      <c r="A2934" s="1">
        <v>46233</v>
      </c>
      <c r="B2934" t="s">
        <v>1535</v>
      </c>
      <c r="C2934" t="s">
        <v>1536</v>
      </c>
      <c r="D2934" t="s">
        <v>1537</v>
      </c>
      <c r="E2934" t="s">
        <v>8</v>
      </c>
      <c r="F2934" t="s">
        <v>38</v>
      </c>
      <c r="G2934" s="16">
        <v>12.5</v>
      </c>
      <c r="H2934" s="16">
        <v>14.375</v>
      </c>
      <c r="I2934" s="1">
        <v>46226</v>
      </c>
      <c r="J2934">
        <v>26</v>
      </c>
      <c r="K2934" t="s">
        <v>8339</v>
      </c>
      <c r="L2934" t="s">
        <v>8839</v>
      </c>
      <c r="M2934">
        <v>0</v>
      </c>
      <c r="N2934">
        <v>33</v>
      </c>
      <c r="O2934" t="s">
        <v>1036</v>
      </c>
      <c r="P2934" s="17"/>
      <c r="Q2934" s="17" t="str">
        <f>_xlfn.XLOOKUP(Table2[[#This Row],[buyFromVendorNo]],'Next Day Scheduled'!A:A,'Pending Returns'!O:O,"NOT_FOUND")</f>
        <v>Posted Credit Note</v>
      </c>
    </row>
    <row r="2935" spans="1:17" x14ac:dyDescent="0.3">
      <c r="A2935" s="1">
        <v>46233</v>
      </c>
      <c r="B2935" t="s">
        <v>3293</v>
      </c>
      <c r="C2935" t="s">
        <v>634</v>
      </c>
      <c r="D2935" t="s">
        <v>659</v>
      </c>
      <c r="E2935" t="s">
        <v>8</v>
      </c>
      <c r="F2935" t="s">
        <v>10</v>
      </c>
      <c r="G2935" s="16">
        <v>110.01</v>
      </c>
      <c r="H2935" s="16">
        <v>126.5115</v>
      </c>
      <c r="I2935" s="1">
        <v>46230</v>
      </c>
      <c r="J2935">
        <v>26</v>
      </c>
      <c r="K2935" t="s">
        <v>8049</v>
      </c>
      <c r="L2935" t="s">
        <v>8840</v>
      </c>
      <c r="M2935">
        <v>3</v>
      </c>
      <c r="N2935">
        <v>7</v>
      </c>
      <c r="O2935" t="s">
        <v>1036</v>
      </c>
      <c r="P2935" s="17"/>
      <c r="Q2935" s="17" t="str">
        <f>_xlfn.XLOOKUP(Table2[[#This Row],[buyFromVendorNo]],'Next Day Scheduled'!A:A,'Pending Returns'!O:O,"NOT_FOUND")</f>
        <v>Posted Credit Note</v>
      </c>
    </row>
    <row r="2936" spans="1:17" x14ac:dyDescent="0.3">
      <c r="A2936" s="1">
        <v>46233</v>
      </c>
      <c r="B2936" t="s">
        <v>761</v>
      </c>
      <c r="C2936" t="s">
        <v>318</v>
      </c>
      <c r="D2936" t="s">
        <v>319</v>
      </c>
      <c r="E2936" t="s">
        <v>8</v>
      </c>
      <c r="F2936" t="s">
        <v>10</v>
      </c>
      <c r="G2936" s="16">
        <v>203.28333000000001</v>
      </c>
      <c r="H2936" s="16">
        <v>233.77582000000001</v>
      </c>
      <c r="I2936" s="1">
        <v>46230</v>
      </c>
      <c r="J2936">
        <v>26</v>
      </c>
      <c r="K2936" t="s">
        <v>7566</v>
      </c>
      <c r="L2936" t="s">
        <v>8844</v>
      </c>
      <c r="M2936">
        <v>3</v>
      </c>
      <c r="N2936">
        <v>2</v>
      </c>
      <c r="O2936" t="s">
        <v>1036</v>
      </c>
      <c r="P2936" s="17"/>
      <c r="Q2936" s="17" t="str">
        <f>_xlfn.XLOOKUP(Table2[[#This Row],[buyFromVendorNo]],'Next Day Scheduled'!A:A,'Pending Returns'!O:O,"NOT_FOUND")</f>
        <v>NOT_FOUND</v>
      </c>
    </row>
    <row r="2937" spans="1:17" x14ac:dyDescent="0.3">
      <c r="A2937" s="1">
        <v>46233</v>
      </c>
      <c r="B2937" t="s">
        <v>1729</v>
      </c>
      <c r="C2937" t="s">
        <v>358</v>
      </c>
      <c r="D2937" t="s">
        <v>359</v>
      </c>
      <c r="E2937" t="s">
        <v>8</v>
      </c>
      <c r="F2937" t="s">
        <v>10</v>
      </c>
      <c r="G2937" s="16">
        <v>75.650000000000006</v>
      </c>
      <c r="H2937" s="16">
        <v>86.997500000000002</v>
      </c>
      <c r="J2937">
        <v>26</v>
      </c>
      <c r="K2937" t="s">
        <v>8845</v>
      </c>
      <c r="M2937">
        <v>4</v>
      </c>
      <c r="N2937">
        <v>1</v>
      </c>
      <c r="O2937" t="s">
        <v>216</v>
      </c>
      <c r="P2937" s="17"/>
      <c r="Q2937" s="17" t="str">
        <f>_xlfn.XLOOKUP(Table2[[#This Row],[buyFromVendorNo]],'Next Day Scheduled'!A:A,'Pending Returns'!O:O,"NOT_FOUND")</f>
        <v>NOT_FOUND</v>
      </c>
    </row>
    <row r="2938" spans="1:17" x14ac:dyDescent="0.3">
      <c r="A2938" s="1">
        <v>46233</v>
      </c>
      <c r="B2938" t="s">
        <v>3394</v>
      </c>
      <c r="C2938" t="s">
        <v>470</v>
      </c>
      <c r="D2938" t="s">
        <v>471</v>
      </c>
      <c r="E2938" t="s">
        <v>8</v>
      </c>
      <c r="F2938" t="s">
        <v>10</v>
      </c>
      <c r="G2938" s="16">
        <v>339.33</v>
      </c>
      <c r="H2938" s="16">
        <v>354.3415</v>
      </c>
      <c r="I2938" s="1">
        <v>46204</v>
      </c>
      <c r="J2938">
        <v>26</v>
      </c>
      <c r="K2938" t="s">
        <v>4847</v>
      </c>
      <c r="L2938" t="s">
        <v>8855</v>
      </c>
      <c r="M2938">
        <v>4</v>
      </c>
      <c r="N2938">
        <v>6</v>
      </c>
      <c r="O2938" t="s">
        <v>1036</v>
      </c>
      <c r="P2938" s="17"/>
      <c r="Q2938" s="17" t="str">
        <f>_xlfn.XLOOKUP(Table2[[#This Row],[buyFromVendorNo]],'Next Day Scheduled'!A:A,'Pending Returns'!O:O,"NOT_FOUND")</f>
        <v>NOT_FOUND</v>
      </c>
    </row>
    <row r="2939" spans="1:17" x14ac:dyDescent="0.3">
      <c r="A2939" s="1">
        <v>46233</v>
      </c>
      <c r="B2939" t="s">
        <v>3516</v>
      </c>
      <c r="C2939" t="s">
        <v>470</v>
      </c>
      <c r="D2939" t="s">
        <v>471</v>
      </c>
      <c r="E2939" t="s">
        <v>8</v>
      </c>
      <c r="F2939" t="s">
        <v>10</v>
      </c>
      <c r="G2939" s="16">
        <v>163.15</v>
      </c>
      <c r="H2939" s="16">
        <v>171.43</v>
      </c>
      <c r="I2939" s="1">
        <v>46204</v>
      </c>
      <c r="J2939">
        <v>26</v>
      </c>
      <c r="K2939" t="s">
        <v>4734</v>
      </c>
      <c r="L2939" t="s">
        <v>8856</v>
      </c>
      <c r="M2939">
        <v>4</v>
      </c>
      <c r="N2939">
        <v>6</v>
      </c>
      <c r="O2939" t="s">
        <v>1036</v>
      </c>
      <c r="P2939" s="17"/>
      <c r="Q2939" s="17" t="str">
        <f>_xlfn.XLOOKUP(Table2[[#This Row],[buyFromVendorNo]],'Next Day Scheduled'!A:A,'Pending Returns'!O:O,"NOT_FOUND")</f>
        <v>NOT_FOUND</v>
      </c>
    </row>
    <row r="2940" spans="1:17" x14ac:dyDescent="0.3">
      <c r="A2940" s="1">
        <v>46233</v>
      </c>
      <c r="B2940" t="s">
        <v>3489</v>
      </c>
      <c r="C2940" t="s">
        <v>1001</v>
      </c>
      <c r="D2940" t="s">
        <v>1002</v>
      </c>
      <c r="E2940" t="s">
        <v>8</v>
      </c>
      <c r="F2940" t="s">
        <v>10</v>
      </c>
      <c r="G2940" s="16">
        <v>40</v>
      </c>
      <c r="H2940" s="16">
        <v>46</v>
      </c>
      <c r="I2940" s="1">
        <v>46230</v>
      </c>
      <c r="J2940">
        <v>26</v>
      </c>
      <c r="K2940" t="s">
        <v>7174</v>
      </c>
      <c r="L2940" t="s">
        <v>8857</v>
      </c>
      <c r="M2940">
        <v>0</v>
      </c>
      <c r="N2940">
        <v>30</v>
      </c>
      <c r="O2940" t="s">
        <v>1036</v>
      </c>
      <c r="P2940" s="17"/>
      <c r="Q2940" s="17" t="str">
        <f>_xlfn.XLOOKUP(Table2[[#This Row],[buyFromVendorNo]],'Next Day Scheduled'!A:A,'Pending Returns'!O:O,"NOT_FOUND")</f>
        <v>NOT_FOUND</v>
      </c>
    </row>
    <row r="2941" spans="1:17" x14ac:dyDescent="0.3">
      <c r="A2941" s="1">
        <v>46233</v>
      </c>
      <c r="B2941" t="s">
        <v>3467</v>
      </c>
      <c r="C2941" t="s">
        <v>118</v>
      </c>
      <c r="D2941" t="s">
        <v>119</v>
      </c>
      <c r="E2941" t="s">
        <v>8</v>
      </c>
      <c r="F2941" t="s">
        <v>10</v>
      </c>
      <c r="G2941" s="16">
        <v>105</v>
      </c>
      <c r="H2941" s="16">
        <v>120.75</v>
      </c>
      <c r="I2941" s="1">
        <v>46232</v>
      </c>
      <c r="J2941">
        <v>26</v>
      </c>
      <c r="K2941" t="s">
        <v>7525</v>
      </c>
      <c r="L2941" t="s">
        <v>8792</v>
      </c>
      <c r="M2941">
        <v>5</v>
      </c>
      <c r="N2941">
        <v>5</v>
      </c>
      <c r="O2941" t="s">
        <v>1036</v>
      </c>
      <c r="P2941" s="17"/>
      <c r="Q2941" s="17" t="str">
        <f>_xlfn.XLOOKUP(Table2[[#This Row],[buyFromVendorNo]],'Next Day Scheduled'!A:A,'Pending Returns'!O:O,"NOT_FOUND")</f>
        <v>Posted Credit Note</v>
      </c>
    </row>
    <row r="2942" spans="1:17" x14ac:dyDescent="0.3">
      <c r="A2942" s="1">
        <v>46233</v>
      </c>
      <c r="B2942" t="s">
        <v>4460</v>
      </c>
      <c r="C2942" t="s">
        <v>356</v>
      </c>
      <c r="D2942" t="s">
        <v>357</v>
      </c>
      <c r="E2942" t="s">
        <v>8</v>
      </c>
      <c r="F2942" t="s">
        <v>169</v>
      </c>
      <c r="G2942" s="16">
        <v>7.5</v>
      </c>
      <c r="H2942" s="16">
        <v>8.625</v>
      </c>
      <c r="I2942" s="1">
        <v>46231</v>
      </c>
      <c r="J2942">
        <v>26</v>
      </c>
      <c r="K2942" t="s">
        <v>8002</v>
      </c>
      <c r="L2942" t="s">
        <v>8796</v>
      </c>
      <c r="M2942">
        <v>5</v>
      </c>
      <c r="N2942">
        <v>2</v>
      </c>
      <c r="O2942" t="s">
        <v>1036</v>
      </c>
      <c r="P2942" s="17"/>
      <c r="Q2942" s="17" t="str">
        <f>_xlfn.XLOOKUP(Table2[[#This Row],[buyFromVendorNo]],'Next Day Scheduled'!A:A,'Pending Returns'!O:O,"NOT_FOUND")</f>
        <v>NOT_FOUND</v>
      </c>
    </row>
    <row r="2943" spans="1:17" x14ac:dyDescent="0.3">
      <c r="A2943" s="1">
        <v>46233</v>
      </c>
      <c r="B2943" t="s">
        <v>7636</v>
      </c>
      <c r="C2943" t="s">
        <v>899</v>
      </c>
      <c r="D2943" t="s">
        <v>900</v>
      </c>
      <c r="E2943" t="s">
        <v>8</v>
      </c>
      <c r="F2943" t="s">
        <v>10</v>
      </c>
      <c r="G2943" s="16">
        <v>384</v>
      </c>
      <c r="H2943" s="16">
        <v>441.6</v>
      </c>
      <c r="J2943">
        <v>26</v>
      </c>
      <c r="K2943" t="s">
        <v>8795</v>
      </c>
      <c r="M2943">
        <v>0</v>
      </c>
      <c r="N2943">
        <v>643</v>
      </c>
      <c r="O2943" t="s">
        <v>216</v>
      </c>
      <c r="P2943" s="17"/>
      <c r="Q2943" s="17" t="str">
        <f>_xlfn.XLOOKUP(Table2[[#This Row],[buyFromVendorNo]],'Next Day Scheduled'!A:A,'Pending Returns'!O:O,"NOT_FOUND")</f>
        <v>NOT_FOUND</v>
      </c>
    </row>
    <row r="2944" spans="1:17" x14ac:dyDescent="0.3">
      <c r="A2944" s="1">
        <v>46233</v>
      </c>
      <c r="B2944" t="s">
        <v>3500</v>
      </c>
      <c r="C2944" t="s">
        <v>5503</v>
      </c>
      <c r="D2944" t="s">
        <v>5504</v>
      </c>
      <c r="E2944" t="s">
        <v>8</v>
      </c>
      <c r="F2944" t="s">
        <v>10</v>
      </c>
      <c r="G2944" s="16">
        <v>80</v>
      </c>
      <c r="H2944" s="16">
        <v>92</v>
      </c>
      <c r="J2944">
        <v>26</v>
      </c>
      <c r="K2944" t="s">
        <v>8819</v>
      </c>
      <c r="M2944">
        <v>0</v>
      </c>
      <c r="O2944" t="s">
        <v>216</v>
      </c>
      <c r="P2944" s="17"/>
      <c r="Q2944" s="17" t="str">
        <f>_xlfn.XLOOKUP(Table2[[#This Row],[buyFromVendorNo]],'Next Day Scheduled'!A:A,'Pending Returns'!O:O,"NOT_FOUND")</f>
        <v>NOT_FOUND</v>
      </c>
    </row>
    <row r="2945" spans="1:17" x14ac:dyDescent="0.3">
      <c r="A2945" s="1">
        <v>46233</v>
      </c>
      <c r="B2945" t="s">
        <v>3438</v>
      </c>
      <c r="C2945" t="s">
        <v>571</v>
      </c>
      <c r="D2945" t="s">
        <v>572</v>
      </c>
      <c r="E2945" t="s">
        <v>8</v>
      </c>
      <c r="F2945" t="s">
        <v>10</v>
      </c>
      <c r="G2945" s="16">
        <v>258.91000000000003</v>
      </c>
      <c r="H2945" s="16">
        <v>297.74650000000003</v>
      </c>
      <c r="I2945" s="1">
        <v>46226</v>
      </c>
      <c r="J2945">
        <v>26</v>
      </c>
      <c r="K2945" t="s">
        <v>6477</v>
      </c>
      <c r="L2945" t="s">
        <v>8859</v>
      </c>
      <c r="M2945">
        <v>4</v>
      </c>
      <c r="N2945">
        <v>0</v>
      </c>
      <c r="O2945" t="s">
        <v>1036</v>
      </c>
      <c r="P2945" s="17"/>
      <c r="Q2945" s="17" t="str">
        <f>_xlfn.XLOOKUP(Table2[[#This Row],[buyFromVendorNo]],'Next Day Scheduled'!A:A,'Pending Returns'!O:O,"NOT_FOUND")</f>
        <v>Posted Credit Note</v>
      </c>
    </row>
    <row r="2946" spans="1:17" x14ac:dyDescent="0.3">
      <c r="A2946" s="1">
        <v>46233</v>
      </c>
      <c r="B2946" t="s">
        <v>6286</v>
      </c>
      <c r="C2946" t="s">
        <v>886</v>
      </c>
      <c r="D2946" t="s">
        <v>887</v>
      </c>
      <c r="E2946" t="s">
        <v>8</v>
      </c>
      <c r="F2946" t="s">
        <v>38</v>
      </c>
      <c r="G2946" s="16">
        <v>17061.27</v>
      </c>
      <c r="H2946" s="16">
        <v>19620.46</v>
      </c>
      <c r="J2946">
        <v>26</v>
      </c>
      <c r="K2946" t="s">
        <v>8823</v>
      </c>
      <c r="M2946">
        <v>3</v>
      </c>
      <c r="N2946">
        <v>6</v>
      </c>
      <c r="O2946" t="s">
        <v>216</v>
      </c>
      <c r="P2946" s="17"/>
      <c r="Q2946" s="17" t="str">
        <f>_xlfn.XLOOKUP(Table2[[#This Row],[buyFromVendorNo]],'Next Day Scheduled'!A:A,'Pending Returns'!O:O,"NOT_FOUND")</f>
        <v>NOT_FOUND</v>
      </c>
    </row>
    <row r="2947" spans="1:17" x14ac:dyDescent="0.3">
      <c r="A2947" s="1">
        <v>46233</v>
      </c>
      <c r="B2947" t="s">
        <v>392</v>
      </c>
      <c r="C2947" t="s">
        <v>25</v>
      </c>
      <c r="D2947" t="s">
        <v>26</v>
      </c>
      <c r="E2947" t="s">
        <v>8</v>
      </c>
      <c r="F2947" t="s">
        <v>10</v>
      </c>
      <c r="G2947" s="16">
        <v>66.98</v>
      </c>
      <c r="H2947" s="16">
        <v>77.027000000000001</v>
      </c>
      <c r="J2947">
        <v>26</v>
      </c>
      <c r="K2947" t="s">
        <v>8822</v>
      </c>
      <c r="M2947">
        <v>3</v>
      </c>
      <c r="N2947">
        <v>7</v>
      </c>
      <c r="O2947" t="s">
        <v>216</v>
      </c>
      <c r="P2947" s="17"/>
      <c r="Q2947" s="17" t="str">
        <f>_xlfn.XLOOKUP(Table2[[#This Row],[buyFromVendorNo]],'Next Day Scheduled'!A:A,'Pending Returns'!O:O,"NOT_FOUND")</f>
        <v>NOT_FOUND</v>
      </c>
    </row>
    <row r="2948" spans="1:17" x14ac:dyDescent="0.3">
      <c r="A2948" s="1">
        <v>46233</v>
      </c>
      <c r="B2948" t="s">
        <v>3526</v>
      </c>
      <c r="C2948" t="s">
        <v>1353</v>
      </c>
      <c r="D2948" t="s">
        <v>1354</v>
      </c>
      <c r="E2948" t="s">
        <v>8</v>
      </c>
      <c r="F2948" t="s">
        <v>10</v>
      </c>
      <c r="G2948" s="16">
        <v>23856</v>
      </c>
      <c r="H2948" s="16">
        <v>27434.400000000001</v>
      </c>
      <c r="I2948" s="1">
        <v>46233</v>
      </c>
      <c r="J2948">
        <v>26</v>
      </c>
      <c r="K2948" t="s">
        <v>8385</v>
      </c>
      <c r="L2948" t="s">
        <v>8801</v>
      </c>
      <c r="M2948">
        <v>4</v>
      </c>
      <c r="N2948">
        <v>5</v>
      </c>
      <c r="O2948" t="s">
        <v>1036</v>
      </c>
      <c r="P2948" s="17"/>
      <c r="Q2948" s="17" t="str">
        <f>_xlfn.XLOOKUP(Table2[[#This Row],[buyFromVendorNo]],'Next Day Scheduled'!A:A,'Pending Returns'!O:O,"NOT_FOUND")</f>
        <v>NOT_FOUND</v>
      </c>
    </row>
    <row r="2949" spans="1:17" x14ac:dyDescent="0.3">
      <c r="A2949" s="1">
        <v>46233</v>
      </c>
      <c r="B2949" t="s">
        <v>397</v>
      </c>
      <c r="C2949" t="s">
        <v>118</v>
      </c>
      <c r="D2949" t="s">
        <v>119</v>
      </c>
      <c r="E2949" t="s">
        <v>8</v>
      </c>
      <c r="F2949" t="s">
        <v>10</v>
      </c>
      <c r="G2949" s="16">
        <v>313.2</v>
      </c>
      <c r="H2949" s="16">
        <v>360.18</v>
      </c>
      <c r="I2949" s="1">
        <v>46232</v>
      </c>
      <c r="J2949">
        <v>26</v>
      </c>
      <c r="K2949" t="s">
        <v>6134</v>
      </c>
      <c r="L2949" t="s">
        <v>8837</v>
      </c>
      <c r="M2949">
        <v>5</v>
      </c>
      <c r="N2949">
        <v>5</v>
      </c>
      <c r="O2949" t="s">
        <v>1036</v>
      </c>
      <c r="P2949" s="17"/>
      <c r="Q2949" s="17" t="str">
        <f>_xlfn.XLOOKUP(Table2[[#This Row],[buyFromVendorNo]],'Next Day Scheduled'!A:A,'Pending Returns'!O:O,"NOT_FOUND")</f>
        <v>Posted Credit Note</v>
      </c>
    </row>
    <row r="2950" spans="1:17" x14ac:dyDescent="0.3">
      <c r="A2950" s="1">
        <v>46233</v>
      </c>
      <c r="B2950" t="s">
        <v>5961</v>
      </c>
      <c r="C2950" t="s">
        <v>79</v>
      </c>
      <c r="D2950" t="s">
        <v>80</v>
      </c>
      <c r="E2950" t="s">
        <v>8</v>
      </c>
      <c r="F2950" t="s">
        <v>10</v>
      </c>
      <c r="G2950" s="16">
        <v>1013.9574</v>
      </c>
      <c r="H2950" s="16">
        <v>1166.0509999999999</v>
      </c>
      <c r="I2950" s="1">
        <v>46230</v>
      </c>
      <c r="J2950">
        <v>26</v>
      </c>
      <c r="K2950" t="s">
        <v>8172</v>
      </c>
      <c r="L2950" t="s">
        <v>8871</v>
      </c>
      <c r="M2950">
        <v>4</v>
      </c>
      <c r="N2950">
        <v>2</v>
      </c>
      <c r="O2950" t="s">
        <v>1036</v>
      </c>
      <c r="P2950" s="17"/>
      <c r="Q2950" s="17" t="str">
        <f>_xlfn.XLOOKUP(Table2[[#This Row],[buyFromVendorNo]],'Next Day Scheduled'!A:A,'Pending Returns'!O:O,"NOT_FOUND")</f>
        <v>NOT_FOUND</v>
      </c>
    </row>
    <row r="2951" spans="1:17" x14ac:dyDescent="0.3">
      <c r="A2951" s="1">
        <v>46233</v>
      </c>
      <c r="B2951" t="s">
        <v>3385</v>
      </c>
      <c r="C2951" t="s">
        <v>118</v>
      </c>
      <c r="D2951" t="s">
        <v>119</v>
      </c>
      <c r="E2951" t="s">
        <v>8</v>
      </c>
      <c r="F2951" t="s">
        <v>10</v>
      </c>
      <c r="G2951" s="16">
        <v>633.1</v>
      </c>
      <c r="H2951" s="16">
        <v>728.06500000000005</v>
      </c>
      <c r="I2951" s="1">
        <v>46232</v>
      </c>
      <c r="J2951">
        <v>26</v>
      </c>
      <c r="K2951" t="s">
        <v>7195</v>
      </c>
      <c r="L2951" t="s">
        <v>8872</v>
      </c>
      <c r="M2951">
        <v>5</v>
      </c>
      <c r="N2951">
        <v>5</v>
      </c>
      <c r="O2951" t="s">
        <v>1036</v>
      </c>
      <c r="P2951" s="17"/>
      <c r="Q2951" s="17" t="str">
        <f>_xlfn.XLOOKUP(Table2[[#This Row],[buyFromVendorNo]],'Next Day Scheduled'!A:A,'Pending Returns'!O:O,"NOT_FOUND")</f>
        <v>Posted Credit Note</v>
      </c>
    </row>
    <row r="2952" spans="1:17" x14ac:dyDescent="0.3">
      <c r="A2952" s="1">
        <v>46233</v>
      </c>
      <c r="B2952" t="s">
        <v>7803</v>
      </c>
      <c r="C2952" t="s">
        <v>2363</v>
      </c>
      <c r="D2952" t="s">
        <v>2364</v>
      </c>
      <c r="E2952" t="s">
        <v>8</v>
      </c>
      <c r="F2952" t="s">
        <v>10</v>
      </c>
      <c r="G2952" s="16">
        <v>66.34</v>
      </c>
      <c r="H2952" s="16">
        <v>76.290999999999997</v>
      </c>
      <c r="I2952" s="1">
        <v>46230</v>
      </c>
      <c r="J2952">
        <v>26</v>
      </c>
      <c r="K2952" t="s">
        <v>8135</v>
      </c>
      <c r="L2952" t="s">
        <v>8858</v>
      </c>
      <c r="M2952">
        <v>4</v>
      </c>
      <c r="N2952">
        <v>6</v>
      </c>
      <c r="O2952" t="s">
        <v>1036</v>
      </c>
      <c r="P2952" s="17"/>
      <c r="Q2952" s="17" t="str">
        <f>_xlfn.XLOOKUP(Table2[[#This Row],[buyFromVendorNo]],'Next Day Scheduled'!A:A,'Pending Returns'!O:O,"NOT_FOUND")</f>
        <v>NOT_FOUND</v>
      </c>
    </row>
    <row r="2953" spans="1:17" x14ac:dyDescent="0.3">
      <c r="A2953" s="1">
        <v>46233</v>
      </c>
      <c r="B2953" t="s">
        <v>2833</v>
      </c>
      <c r="C2953" t="s">
        <v>2363</v>
      </c>
      <c r="D2953" t="s">
        <v>2364</v>
      </c>
      <c r="E2953" t="s">
        <v>8</v>
      </c>
      <c r="F2953" t="s">
        <v>10</v>
      </c>
      <c r="G2953" s="16">
        <v>303.94</v>
      </c>
      <c r="H2953" s="16">
        <v>349.53100000000001</v>
      </c>
      <c r="I2953" s="1">
        <v>46230</v>
      </c>
      <c r="J2953">
        <v>26</v>
      </c>
      <c r="K2953" t="s">
        <v>8422</v>
      </c>
      <c r="L2953" t="s">
        <v>8879</v>
      </c>
      <c r="M2953">
        <v>4</v>
      </c>
      <c r="N2953">
        <v>6</v>
      </c>
      <c r="O2953" t="s">
        <v>1036</v>
      </c>
      <c r="P2953" s="17"/>
      <c r="Q2953" s="17" t="str">
        <f>_xlfn.XLOOKUP(Table2[[#This Row],[buyFromVendorNo]],'Next Day Scheduled'!A:A,'Pending Returns'!O:O,"NOT_FOUND")</f>
        <v>NOT_FOUND</v>
      </c>
    </row>
    <row r="2954" spans="1:17" x14ac:dyDescent="0.3">
      <c r="A2954" s="1">
        <v>46233</v>
      </c>
      <c r="B2954" t="s">
        <v>1991</v>
      </c>
      <c r="C2954" t="s">
        <v>937</v>
      </c>
      <c r="D2954" t="s">
        <v>938</v>
      </c>
      <c r="E2954" t="s">
        <v>8</v>
      </c>
      <c r="F2954" t="s">
        <v>10</v>
      </c>
      <c r="G2954" s="16">
        <v>4.5999999999999996</v>
      </c>
      <c r="H2954" s="16">
        <v>5.29</v>
      </c>
      <c r="J2954">
        <v>26</v>
      </c>
      <c r="K2954" t="s">
        <v>8800</v>
      </c>
      <c r="M2954">
        <v>3</v>
      </c>
      <c r="N2954">
        <v>12</v>
      </c>
      <c r="O2954" t="s">
        <v>216</v>
      </c>
      <c r="P2954" s="17"/>
      <c r="Q2954" s="17" t="str">
        <f>_xlfn.XLOOKUP(Table2[[#This Row],[buyFromVendorNo]],'Next Day Scheduled'!A:A,'Pending Returns'!O:O,"NOT_FOUND")</f>
        <v>NOT_FOUND</v>
      </c>
    </row>
    <row r="2955" spans="1:17" x14ac:dyDescent="0.3">
      <c r="A2955" s="1">
        <v>46233</v>
      </c>
      <c r="B2955" t="s">
        <v>1504</v>
      </c>
      <c r="C2955" t="s">
        <v>3777</v>
      </c>
      <c r="D2955" t="s">
        <v>3778</v>
      </c>
      <c r="E2955" t="s">
        <v>8</v>
      </c>
      <c r="F2955" t="s">
        <v>10</v>
      </c>
      <c r="G2955" s="16">
        <v>203.45</v>
      </c>
      <c r="H2955" s="16">
        <v>233.9675</v>
      </c>
      <c r="I2955" s="1">
        <v>46232</v>
      </c>
      <c r="J2955">
        <v>26</v>
      </c>
      <c r="K2955" t="s">
        <v>8650</v>
      </c>
      <c r="L2955" t="s">
        <v>8883</v>
      </c>
      <c r="M2955">
        <v>4</v>
      </c>
      <c r="N2955">
        <v>3</v>
      </c>
      <c r="O2955" t="s">
        <v>1036</v>
      </c>
      <c r="P2955" s="17"/>
      <c r="Q2955" s="17" t="str">
        <f>_xlfn.XLOOKUP(Table2[[#This Row],[buyFromVendorNo]],'Next Day Scheduled'!A:A,'Pending Returns'!O:O,"NOT_FOUND")</f>
        <v>NOT_FOUND</v>
      </c>
    </row>
    <row r="2956" spans="1:17" x14ac:dyDescent="0.3">
      <c r="A2956" s="1">
        <v>46233</v>
      </c>
      <c r="B2956" t="s">
        <v>642</v>
      </c>
      <c r="C2956" t="s">
        <v>5007</v>
      </c>
      <c r="D2956" t="s">
        <v>5008</v>
      </c>
      <c r="E2956" t="s">
        <v>8</v>
      </c>
      <c r="F2956" t="s">
        <v>38</v>
      </c>
      <c r="G2956" s="16">
        <v>505.28</v>
      </c>
      <c r="H2956" s="16">
        <v>581.072</v>
      </c>
      <c r="J2956">
        <v>26</v>
      </c>
      <c r="K2956" t="s">
        <v>8824</v>
      </c>
      <c r="M2956">
        <v>3</v>
      </c>
      <c r="N2956">
        <v>7</v>
      </c>
      <c r="O2956" t="s">
        <v>216</v>
      </c>
      <c r="P2956" s="17"/>
      <c r="Q2956" s="17" t="str">
        <f>_xlfn.XLOOKUP(Table2[[#This Row],[buyFromVendorNo]],'Next Day Scheduled'!A:A,'Pending Returns'!O:O,"NOT_FOUND")</f>
        <v>NOT_FOUND</v>
      </c>
    </row>
    <row r="2957" spans="1:17" x14ac:dyDescent="0.3">
      <c r="A2957" s="1">
        <v>46233</v>
      </c>
      <c r="B2957" t="s">
        <v>1575</v>
      </c>
      <c r="C2957" t="s">
        <v>863</v>
      </c>
      <c r="D2957" t="s">
        <v>864</v>
      </c>
      <c r="E2957" t="s">
        <v>8</v>
      </c>
      <c r="F2957" t="s">
        <v>10</v>
      </c>
      <c r="G2957" s="16">
        <v>291.50920000000002</v>
      </c>
      <c r="H2957" s="16">
        <v>335.23557</v>
      </c>
      <c r="I2957" s="1">
        <v>46217</v>
      </c>
      <c r="J2957">
        <v>26</v>
      </c>
      <c r="K2957" t="s">
        <v>4648</v>
      </c>
      <c r="L2957" t="s">
        <v>8825</v>
      </c>
      <c r="M2957">
        <v>1</v>
      </c>
      <c r="N2957">
        <v>7</v>
      </c>
      <c r="O2957" t="s">
        <v>1036</v>
      </c>
      <c r="P2957" s="17"/>
      <c r="Q2957" s="17" t="str">
        <f>_xlfn.XLOOKUP(Table2[[#This Row],[buyFromVendorNo]],'Next Day Scheduled'!A:A,'Pending Returns'!O:O,"NOT_FOUND")</f>
        <v>NOT_FOUND</v>
      </c>
    </row>
    <row r="2958" spans="1:17" x14ac:dyDescent="0.3">
      <c r="A2958" s="1">
        <v>46233</v>
      </c>
      <c r="B2958" t="s">
        <v>1991</v>
      </c>
      <c r="C2958" t="s">
        <v>95</v>
      </c>
      <c r="D2958" t="s">
        <v>96</v>
      </c>
      <c r="E2958" t="s">
        <v>8</v>
      </c>
      <c r="F2958" t="s">
        <v>10</v>
      </c>
      <c r="G2958" s="16">
        <v>604.32690000000002</v>
      </c>
      <c r="H2958" s="16">
        <v>694.97595000000001</v>
      </c>
      <c r="I2958" s="1">
        <v>46232</v>
      </c>
      <c r="J2958">
        <v>26</v>
      </c>
      <c r="K2958" t="s">
        <v>8075</v>
      </c>
      <c r="L2958" t="s">
        <v>8829</v>
      </c>
      <c r="M2958">
        <v>5</v>
      </c>
      <c r="N2958">
        <v>1</v>
      </c>
      <c r="O2958" t="s">
        <v>1036</v>
      </c>
      <c r="P2958" s="17"/>
      <c r="Q2958" s="17" t="str">
        <f>_xlfn.XLOOKUP(Table2[[#This Row],[buyFromVendorNo]],'Next Day Scheduled'!A:A,'Pending Returns'!O:O,"NOT_FOUND")</f>
        <v>NOT_FOUND</v>
      </c>
    </row>
    <row r="2959" spans="1:17" x14ac:dyDescent="0.3">
      <c r="A2959" s="1">
        <v>46233</v>
      </c>
      <c r="B2959" t="s">
        <v>642</v>
      </c>
      <c r="C2959" t="s">
        <v>4387</v>
      </c>
      <c r="D2959" t="s">
        <v>4388</v>
      </c>
      <c r="E2959" t="s">
        <v>8</v>
      </c>
      <c r="F2959" t="s">
        <v>38</v>
      </c>
      <c r="G2959" s="16">
        <v>1569.806</v>
      </c>
      <c r="H2959" s="16">
        <v>1805.2769000000001</v>
      </c>
      <c r="J2959">
        <v>26</v>
      </c>
      <c r="K2959" t="s">
        <v>8832</v>
      </c>
      <c r="M2959">
        <v>2</v>
      </c>
      <c r="N2959">
        <v>10</v>
      </c>
      <c r="O2959" t="s">
        <v>216</v>
      </c>
      <c r="P2959" s="17"/>
      <c r="Q2959" s="17" t="str">
        <f>_xlfn.XLOOKUP(Table2[[#This Row],[buyFromVendorNo]],'Next Day Scheduled'!A:A,'Pending Returns'!O:O,"NOT_FOUND")</f>
        <v>NOT_FOUND</v>
      </c>
    </row>
    <row r="2960" spans="1:17" x14ac:dyDescent="0.3">
      <c r="A2960" s="1">
        <v>46233</v>
      </c>
      <c r="B2960" t="s">
        <v>642</v>
      </c>
      <c r="C2960" t="s">
        <v>7648</v>
      </c>
      <c r="D2960" t="s">
        <v>7649</v>
      </c>
      <c r="E2960" t="s">
        <v>8</v>
      </c>
      <c r="F2960" t="s">
        <v>38</v>
      </c>
      <c r="G2960" s="16">
        <v>117.25</v>
      </c>
      <c r="H2960" s="16">
        <v>134.83750000000001</v>
      </c>
      <c r="J2960">
        <v>26</v>
      </c>
      <c r="K2960" t="s">
        <v>8867</v>
      </c>
      <c r="M2960">
        <v>2</v>
      </c>
      <c r="N2960">
        <v>10</v>
      </c>
      <c r="O2960" t="s">
        <v>216</v>
      </c>
      <c r="P2960" s="17"/>
      <c r="Q2960" s="17" t="str">
        <f>_xlfn.XLOOKUP(Table2[[#This Row],[buyFromVendorNo]],'Next Day Scheduled'!A:A,'Pending Returns'!O:O,"NOT_FOUND")</f>
        <v>NOT_FOUND</v>
      </c>
    </row>
    <row r="2961" spans="1:17" x14ac:dyDescent="0.3">
      <c r="A2961" s="1">
        <v>46233</v>
      </c>
      <c r="B2961" t="s">
        <v>642</v>
      </c>
      <c r="C2961" t="s">
        <v>358</v>
      </c>
      <c r="D2961" t="s">
        <v>359</v>
      </c>
      <c r="E2961" t="s">
        <v>8</v>
      </c>
      <c r="F2961" t="s">
        <v>38</v>
      </c>
      <c r="G2961" s="16">
        <v>7.25</v>
      </c>
      <c r="H2961" s="16">
        <v>8.3375000000000004</v>
      </c>
      <c r="J2961">
        <v>26</v>
      </c>
      <c r="K2961" t="s">
        <v>8868</v>
      </c>
      <c r="M2961">
        <v>1</v>
      </c>
      <c r="N2961">
        <v>1</v>
      </c>
      <c r="O2961" t="s">
        <v>216</v>
      </c>
      <c r="P2961" s="17"/>
      <c r="Q2961" s="17" t="str">
        <f>_xlfn.XLOOKUP(Table2[[#This Row],[buyFromVendorNo]],'Next Day Scheduled'!A:A,'Pending Returns'!O:O,"NOT_FOUND")</f>
        <v>NOT_FOUND</v>
      </c>
    </row>
    <row r="2962" spans="1:17" x14ac:dyDescent="0.3">
      <c r="A2962" s="1">
        <v>46233</v>
      </c>
      <c r="B2962" t="s">
        <v>3698</v>
      </c>
      <c r="C2962" t="s">
        <v>932</v>
      </c>
      <c r="D2962" t="s">
        <v>1612</v>
      </c>
      <c r="E2962" t="s">
        <v>8</v>
      </c>
      <c r="F2962" t="s">
        <v>10</v>
      </c>
      <c r="G2962" s="16">
        <v>345</v>
      </c>
      <c r="H2962" s="16">
        <v>396.75</v>
      </c>
      <c r="I2962" s="1">
        <v>46230</v>
      </c>
      <c r="J2962">
        <v>26</v>
      </c>
      <c r="K2962" t="s">
        <v>7186</v>
      </c>
      <c r="L2962" t="s">
        <v>8835</v>
      </c>
      <c r="M2962">
        <v>2</v>
      </c>
      <c r="N2962">
        <v>3</v>
      </c>
      <c r="O2962" t="s">
        <v>1036</v>
      </c>
      <c r="P2962" s="17"/>
      <c r="Q2962" s="17" t="str">
        <f>_xlfn.XLOOKUP(Table2[[#This Row],[buyFromVendorNo]],'Next Day Scheduled'!A:A,'Pending Returns'!O:O,"NOT_FOUND")</f>
        <v>NOT_FOUND</v>
      </c>
    </row>
    <row r="2963" spans="1:17" x14ac:dyDescent="0.3">
      <c r="A2963" s="1">
        <v>46233</v>
      </c>
      <c r="B2963" t="s">
        <v>2845</v>
      </c>
      <c r="C2963" t="s">
        <v>634</v>
      </c>
      <c r="D2963" t="s">
        <v>659</v>
      </c>
      <c r="E2963" t="s">
        <v>8</v>
      </c>
      <c r="F2963" t="s">
        <v>10</v>
      </c>
      <c r="G2963" s="16">
        <v>18.46</v>
      </c>
      <c r="H2963" s="16">
        <v>21.228999999999999</v>
      </c>
      <c r="I2963" s="1">
        <v>46230</v>
      </c>
      <c r="J2963">
        <v>26</v>
      </c>
      <c r="K2963" t="s">
        <v>8184</v>
      </c>
      <c r="L2963" t="s">
        <v>8890</v>
      </c>
      <c r="M2963">
        <v>3</v>
      </c>
      <c r="N2963">
        <v>7</v>
      </c>
      <c r="O2963" t="s">
        <v>1036</v>
      </c>
      <c r="P2963" s="17"/>
      <c r="Q2963" s="17" t="str">
        <f>_xlfn.XLOOKUP(Table2[[#This Row],[buyFromVendorNo]],'Next Day Scheduled'!A:A,'Pending Returns'!O:O,"NOT_FOUND")</f>
        <v>Posted Credit Note</v>
      </c>
    </row>
    <row r="2964" spans="1:17" x14ac:dyDescent="0.3">
      <c r="A2964" s="1">
        <v>46235</v>
      </c>
      <c r="B2964" t="s">
        <v>8053</v>
      </c>
      <c r="C2964" t="s">
        <v>321</v>
      </c>
      <c r="D2964" t="s">
        <v>322</v>
      </c>
      <c r="E2964" t="s">
        <v>8</v>
      </c>
      <c r="F2964" t="s">
        <v>10</v>
      </c>
      <c r="G2964" s="16">
        <v>442.57209999999998</v>
      </c>
      <c r="H2964" s="16">
        <v>508.95792</v>
      </c>
      <c r="I2964" s="1">
        <v>46233</v>
      </c>
      <c r="J2964">
        <v>24</v>
      </c>
      <c r="K2964" t="s">
        <v>8054</v>
      </c>
      <c r="L2964" t="s">
        <v>8909</v>
      </c>
      <c r="M2964">
        <v>3</v>
      </c>
      <c r="N2964">
        <v>5</v>
      </c>
      <c r="O2964" t="s">
        <v>1036</v>
      </c>
      <c r="P2964" s="17"/>
      <c r="Q2964" s="17" t="str">
        <f>_xlfn.XLOOKUP(Table2[[#This Row],[buyFromVendorNo]],'Next Day Scheduled'!A:A,'Pending Returns'!O:O,"NOT_FOUND")</f>
        <v>NOT_FOUND</v>
      </c>
    </row>
    <row r="2965" spans="1:17" x14ac:dyDescent="0.3">
      <c r="A2965" s="1">
        <v>46235</v>
      </c>
      <c r="B2965" t="s">
        <v>3443</v>
      </c>
      <c r="C2965" t="s">
        <v>295</v>
      </c>
      <c r="D2965" t="s">
        <v>345</v>
      </c>
      <c r="E2965" t="s">
        <v>8</v>
      </c>
      <c r="F2965" t="s">
        <v>10</v>
      </c>
      <c r="G2965" s="16">
        <v>16.75</v>
      </c>
      <c r="H2965" s="16">
        <v>19.262499999999999</v>
      </c>
      <c r="I2965" s="1">
        <v>46235</v>
      </c>
      <c r="J2965">
        <v>24</v>
      </c>
      <c r="K2965" t="s">
        <v>8271</v>
      </c>
      <c r="L2965" t="s">
        <v>8932</v>
      </c>
      <c r="M2965">
        <v>11</v>
      </c>
      <c r="N2965">
        <v>1</v>
      </c>
      <c r="O2965" t="s">
        <v>1036</v>
      </c>
      <c r="P2965" s="17"/>
      <c r="Q2965" s="17" t="str">
        <f>_xlfn.XLOOKUP(Table2[[#This Row],[buyFromVendorNo]],'Next Day Scheduled'!A:A,'Pending Returns'!O:O,"NOT_FOUND")</f>
        <v>NOT_FOUND</v>
      </c>
    </row>
    <row r="2966" spans="1:17" x14ac:dyDescent="0.3">
      <c r="A2966" s="1">
        <v>46235</v>
      </c>
      <c r="B2966" t="s">
        <v>8687</v>
      </c>
      <c r="C2966" t="s">
        <v>1407</v>
      </c>
      <c r="D2966" t="s">
        <v>2306</v>
      </c>
      <c r="E2966" t="s">
        <v>8</v>
      </c>
      <c r="F2966" t="s">
        <v>10</v>
      </c>
      <c r="G2966" s="16">
        <v>60</v>
      </c>
      <c r="H2966" s="16">
        <v>69</v>
      </c>
      <c r="I2966" s="1">
        <v>46235</v>
      </c>
      <c r="J2966">
        <v>24</v>
      </c>
      <c r="K2966" t="s">
        <v>8688</v>
      </c>
      <c r="L2966" t="s">
        <v>8921</v>
      </c>
      <c r="M2966">
        <v>2</v>
      </c>
      <c r="N2966">
        <v>16</v>
      </c>
      <c r="O2966" t="s">
        <v>1036</v>
      </c>
      <c r="P2966" s="17"/>
      <c r="Q2966" s="17" t="str">
        <f>_xlfn.XLOOKUP(Table2[[#This Row],[buyFromVendorNo]],'Next Day Scheduled'!A:A,'Pending Returns'!O:O,"NOT_FOUND")</f>
        <v>NOT_FOUND</v>
      </c>
    </row>
    <row r="2967" spans="1:17" x14ac:dyDescent="0.3">
      <c r="A2967" s="1">
        <v>46235</v>
      </c>
      <c r="B2967" t="s">
        <v>7889</v>
      </c>
      <c r="C2967" t="s">
        <v>562</v>
      </c>
      <c r="D2967" t="s">
        <v>563</v>
      </c>
      <c r="E2967" t="s">
        <v>8</v>
      </c>
      <c r="F2967" t="s">
        <v>38</v>
      </c>
      <c r="G2967" s="16">
        <v>23.4</v>
      </c>
      <c r="H2967" s="16">
        <v>26.91</v>
      </c>
      <c r="I2967" s="1">
        <v>46230</v>
      </c>
      <c r="J2967">
        <v>24</v>
      </c>
      <c r="K2967" t="s">
        <v>7890</v>
      </c>
      <c r="L2967" t="s">
        <v>8913</v>
      </c>
      <c r="M2967">
        <v>2</v>
      </c>
      <c r="N2967">
        <v>23</v>
      </c>
      <c r="O2967" t="s">
        <v>1036</v>
      </c>
      <c r="P2967" s="17"/>
      <c r="Q2967" s="17" t="str">
        <f>_xlfn.XLOOKUP(Table2[[#This Row],[buyFromVendorNo]],'Next Day Scheduled'!A:A,'Pending Returns'!O:O,"NOT_FOUND")</f>
        <v>NOT_FOUND</v>
      </c>
    </row>
    <row r="2968" spans="1:17" x14ac:dyDescent="0.3">
      <c r="A2968" s="1">
        <v>46235</v>
      </c>
      <c r="B2968" t="s">
        <v>8475</v>
      </c>
      <c r="C2968" t="s">
        <v>381</v>
      </c>
      <c r="D2968" t="s">
        <v>382</v>
      </c>
      <c r="E2968" t="s">
        <v>8</v>
      </c>
      <c r="F2968" t="s">
        <v>10</v>
      </c>
      <c r="G2968" s="16">
        <v>243.25</v>
      </c>
      <c r="H2968" s="16">
        <v>279.73750000000001</v>
      </c>
      <c r="I2968" s="1">
        <v>46235</v>
      </c>
      <c r="J2968">
        <v>24</v>
      </c>
      <c r="K2968" t="s">
        <v>8434</v>
      </c>
      <c r="L2968" t="s">
        <v>8915</v>
      </c>
      <c r="M2968">
        <v>4</v>
      </c>
      <c r="N2968">
        <v>3</v>
      </c>
      <c r="O2968" t="s">
        <v>1036</v>
      </c>
      <c r="P2968" s="17"/>
      <c r="Q2968" s="17" t="str">
        <f>_xlfn.XLOOKUP(Table2[[#This Row],[buyFromVendorNo]],'Next Day Scheduled'!A:A,'Pending Returns'!O:O,"NOT_FOUND")</f>
        <v>NOT_FOUND</v>
      </c>
    </row>
    <row r="2969" spans="1:17" x14ac:dyDescent="0.3">
      <c r="A2969" s="1">
        <v>46235</v>
      </c>
      <c r="B2969" t="s">
        <v>642</v>
      </c>
      <c r="C2969" t="s">
        <v>7388</v>
      </c>
      <c r="D2969" t="s">
        <v>7389</v>
      </c>
      <c r="E2969" t="s">
        <v>8</v>
      </c>
      <c r="F2969" t="s">
        <v>38</v>
      </c>
      <c r="G2969" s="16">
        <v>305.39999999999998</v>
      </c>
      <c r="H2969" s="16">
        <v>351.21</v>
      </c>
      <c r="I2969" s="1">
        <v>46235</v>
      </c>
      <c r="J2969">
        <v>24</v>
      </c>
      <c r="K2969" t="s">
        <v>8258</v>
      </c>
      <c r="L2969" t="s">
        <v>8894</v>
      </c>
      <c r="M2969">
        <v>3</v>
      </c>
      <c r="N2969">
        <v>2</v>
      </c>
      <c r="O2969" t="s">
        <v>1036</v>
      </c>
      <c r="P2969" s="17"/>
      <c r="Q2969" s="17" t="str">
        <f>_xlfn.XLOOKUP(Table2[[#This Row],[buyFromVendorNo]],'Next Day Scheduled'!A:A,'Pending Returns'!O:O,"NOT_FOUND")</f>
        <v>NOT_FOUND</v>
      </c>
    </row>
    <row r="2970" spans="1:17" x14ac:dyDescent="0.3">
      <c r="A2970" s="1">
        <v>46235</v>
      </c>
      <c r="B2970" t="s">
        <v>1567</v>
      </c>
      <c r="C2970" t="s">
        <v>1279</v>
      </c>
      <c r="D2970" t="s">
        <v>1280</v>
      </c>
      <c r="E2970" t="s">
        <v>8</v>
      </c>
      <c r="F2970" t="s">
        <v>10</v>
      </c>
      <c r="G2970" s="16">
        <v>45</v>
      </c>
      <c r="H2970" s="16">
        <v>51.75</v>
      </c>
      <c r="I2970" s="1">
        <v>46233</v>
      </c>
      <c r="J2970">
        <v>24</v>
      </c>
      <c r="K2970" t="s">
        <v>8882</v>
      </c>
      <c r="L2970" t="s">
        <v>8916</v>
      </c>
      <c r="M2970">
        <v>3</v>
      </c>
      <c r="N2970">
        <v>3</v>
      </c>
      <c r="O2970" t="s">
        <v>1036</v>
      </c>
      <c r="P2970" s="17"/>
      <c r="Q2970" s="17" t="str">
        <f>_xlfn.XLOOKUP(Table2[[#This Row],[buyFromVendorNo]],'Next Day Scheduled'!A:A,'Pending Returns'!O:O,"NOT_FOUND")</f>
        <v>NOT_FOUND</v>
      </c>
    </row>
    <row r="2971" spans="1:17" x14ac:dyDescent="0.3">
      <c r="A2971" s="1">
        <v>46235</v>
      </c>
      <c r="B2971" t="s">
        <v>555</v>
      </c>
      <c r="C2971" t="s">
        <v>154</v>
      </c>
      <c r="D2971" t="s">
        <v>155</v>
      </c>
      <c r="E2971" t="s">
        <v>8</v>
      </c>
      <c r="F2971" t="s">
        <v>38</v>
      </c>
      <c r="G2971" s="16">
        <v>1395.97</v>
      </c>
      <c r="H2971" s="16">
        <v>1605.3655000000001</v>
      </c>
      <c r="I2971" s="1">
        <v>46219</v>
      </c>
      <c r="J2971">
        <v>24</v>
      </c>
      <c r="K2971" t="s">
        <v>7447</v>
      </c>
      <c r="L2971" t="s">
        <v>8936</v>
      </c>
      <c r="M2971">
        <v>3</v>
      </c>
      <c r="N2971">
        <v>7</v>
      </c>
      <c r="O2971" t="s">
        <v>1036</v>
      </c>
      <c r="P2971" s="17"/>
      <c r="Q2971" s="17" t="str">
        <f>_xlfn.XLOOKUP(Table2[[#This Row],[buyFromVendorNo]],'Next Day Scheduled'!A:A,'Pending Returns'!O:O,"NOT_FOUND")</f>
        <v>NOT_FOUND</v>
      </c>
    </row>
    <row r="2972" spans="1:17" x14ac:dyDescent="0.3">
      <c r="A2972" s="1">
        <v>46235</v>
      </c>
      <c r="B2972" t="s">
        <v>642</v>
      </c>
      <c r="C2972" t="s">
        <v>173</v>
      </c>
      <c r="D2972" t="s">
        <v>174</v>
      </c>
      <c r="E2972" t="s">
        <v>8</v>
      </c>
      <c r="F2972" t="s">
        <v>38</v>
      </c>
      <c r="G2972" s="16">
        <v>6313.9</v>
      </c>
      <c r="H2972" s="16">
        <v>7260.9849999999997</v>
      </c>
      <c r="I2972" s="1">
        <v>46235</v>
      </c>
      <c r="J2972">
        <v>24</v>
      </c>
      <c r="K2972" t="s">
        <v>8516</v>
      </c>
      <c r="L2972" t="s">
        <v>8919</v>
      </c>
      <c r="M2972">
        <v>1</v>
      </c>
      <c r="N2972">
        <v>24</v>
      </c>
      <c r="O2972" t="s">
        <v>223</v>
      </c>
      <c r="P2972" s="17"/>
      <c r="Q2972" s="17" t="str">
        <f>_xlfn.XLOOKUP(Table2[[#This Row],[buyFromVendorNo]],'Next Day Scheduled'!A:A,'Pending Returns'!O:O,"NOT_FOUND")</f>
        <v>NOT_FOUND</v>
      </c>
    </row>
    <row r="2973" spans="1:17" x14ac:dyDescent="0.3">
      <c r="A2973" s="1">
        <v>46235</v>
      </c>
      <c r="B2973" t="s">
        <v>1997</v>
      </c>
      <c r="C2973" t="s">
        <v>548</v>
      </c>
      <c r="D2973" t="s">
        <v>549</v>
      </c>
      <c r="E2973" t="s">
        <v>8</v>
      </c>
      <c r="F2973" t="s">
        <v>10</v>
      </c>
      <c r="G2973" s="16">
        <v>585.4</v>
      </c>
      <c r="H2973" s="16">
        <v>673.21</v>
      </c>
      <c r="I2973" s="1">
        <v>46232</v>
      </c>
      <c r="J2973">
        <v>24</v>
      </c>
      <c r="K2973" t="s">
        <v>8430</v>
      </c>
      <c r="L2973" t="s">
        <v>8937</v>
      </c>
      <c r="M2973">
        <v>4</v>
      </c>
      <c r="N2973">
        <v>3</v>
      </c>
      <c r="O2973" t="s">
        <v>1036</v>
      </c>
      <c r="P2973" s="17"/>
      <c r="Q2973" s="17" t="str">
        <f>_xlfn.XLOOKUP(Table2[[#This Row],[buyFromVendorNo]],'Next Day Scheduled'!A:A,'Pending Returns'!O:O,"NOT_FOUND")</f>
        <v>NOT_FOUND</v>
      </c>
    </row>
    <row r="2974" spans="1:17" x14ac:dyDescent="0.3">
      <c r="A2974" s="1">
        <v>46235</v>
      </c>
      <c r="B2974" t="s">
        <v>642</v>
      </c>
      <c r="C2974" t="s">
        <v>173</v>
      </c>
      <c r="D2974" t="s">
        <v>174</v>
      </c>
      <c r="E2974" t="s">
        <v>8</v>
      </c>
      <c r="F2974" t="s">
        <v>38</v>
      </c>
      <c r="G2974" s="16">
        <v>3776.92</v>
      </c>
      <c r="H2974" s="16">
        <v>4343.4579999999996</v>
      </c>
      <c r="I2974" s="1">
        <v>46235</v>
      </c>
      <c r="J2974">
        <v>24</v>
      </c>
      <c r="K2974" t="s">
        <v>7965</v>
      </c>
      <c r="L2974" t="s">
        <v>8903</v>
      </c>
      <c r="M2974">
        <v>1</v>
      </c>
      <c r="N2974">
        <v>24</v>
      </c>
      <c r="O2974" t="s">
        <v>223</v>
      </c>
      <c r="P2974" s="17"/>
      <c r="Q2974" s="17" t="str">
        <f>_xlfn.XLOOKUP(Table2[[#This Row],[buyFromVendorNo]],'Next Day Scheduled'!A:A,'Pending Returns'!O:O,"NOT_FOUND")</f>
        <v>NOT_FOUND</v>
      </c>
    </row>
    <row r="2975" spans="1:17" x14ac:dyDescent="0.3">
      <c r="A2975" s="1">
        <v>46235</v>
      </c>
      <c r="B2975" t="s">
        <v>642</v>
      </c>
      <c r="C2975" t="s">
        <v>4144</v>
      </c>
      <c r="D2975" t="s">
        <v>4145</v>
      </c>
      <c r="E2975" t="s">
        <v>8</v>
      </c>
      <c r="F2975" t="s">
        <v>38</v>
      </c>
      <c r="G2975" s="16">
        <v>169</v>
      </c>
      <c r="H2975" s="16">
        <v>194.35</v>
      </c>
      <c r="I2975" s="1">
        <v>46235</v>
      </c>
      <c r="J2975">
        <v>24</v>
      </c>
      <c r="K2975" t="s">
        <v>8791</v>
      </c>
      <c r="L2975" t="s">
        <v>8930</v>
      </c>
      <c r="M2975">
        <v>2</v>
      </c>
      <c r="N2975">
        <v>9</v>
      </c>
      <c r="O2975" t="s">
        <v>1036</v>
      </c>
      <c r="P2975" s="17"/>
      <c r="Q2975" s="17" t="str">
        <f>_xlfn.XLOOKUP(Table2[[#This Row],[buyFromVendorNo]],'Next Day Scheduled'!A:A,'Pending Returns'!O:O,"NOT_FOUND")</f>
        <v>NOT_FOUND</v>
      </c>
    </row>
    <row r="2976" spans="1:17" x14ac:dyDescent="0.3">
      <c r="A2976" s="1">
        <v>46235</v>
      </c>
      <c r="B2976" t="s">
        <v>3401</v>
      </c>
      <c r="C2976" t="s">
        <v>295</v>
      </c>
      <c r="D2976" t="s">
        <v>345</v>
      </c>
      <c r="E2976" t="s">
        <v>8</v>
      </c>
      <c r="F2976" t="s">
        <v>10</v>
      </c>
      <c r="G2976" s="16">
        <v>50.25</v>
      </c>
      <c r="H2976" s="16">
        <v>57.787500000000001</v>
      </c>
      <c r="I2976" s="1">
        <v>46235</v>
      </c>
      <c r="J2976">
        <v>24</v>
      </c>
      <c r="K2976" t="s">
        <v>7838</v>
      </c>
      <c r="L2976" t="s">
        <v>8931</v>
      </c>
      <c r="M2976">
        <v>11</v>
      </c>
      <c r="N2976">
        <v>1</v>
      </c>
      <c r="O2976" t="s">
        <v>1036</v>
      </c>
      <c r="P2976" s="17"/>
      <c r="Q2976" s="17" t="str">
        <f>_xlfn.XLOOKUP(Table2[[#This Row],[buyFromVendorNo]],'Next Day Scheduled'!A:A,'Pending Returns'!O:O,"NOT_FOUND")</f>
        <v>NOT_FOUND</v>
      </c>
    </row>
    <row r="2977" spans="1:17" x14ac:dyDescent="0.3">
      <c r="A2977" s="1">
        <v>46235</v>
      </c>
      <c r="B2977" t="s">
        <v>2975</v>
      </c>
      <c r="C2977" t="s">
        <v>566</v>
      </c>
      <c r="D2977" t="s">
        <v>590</v>
      </c>
      <c r="E2977" t="s">
        <v>8</v>
      </c>
      <c r="F2977" t="s">
        <v>10</v>
      </c>
      <c r="G2977" s="16">
        <v>302.25002999999998</v>
      </c>
      <c r="H2977" s="16">
        <v>347.58751999999998</v>
      </c>
      <c r="I2977" s="1">
        <v>46232</v>
      </c>
      <c r="J2977">
        <v>24</v>
      </c>
      <c r="K2977" t="s">
        <v>7285</v>
      </c>
      <c r="L2977" t="s">
        <v>8892</v>
      </c>
      <c r="M2977">
        <v>4</v>
      </c>
      <c r="N2977">
        <v>1</v>
      </c>
      <c r="O2977" t="s">
        <v>1036</v>
      </c>
      <c r="P2977" s="17"/>
      <c r="Q2977" s="17" t="str">
        <f>_xlfn.XLOOKUP(Table2[[#This Row],[buyFromVendorNo]],'Next Day Scheduled'!A:A,'Pending Returns'!O:O,"NOT_FOUND")</f>
        <v>NOT_FOUND</v>
      </c>
    </row>
    <row r="2978" spans="1:17" x14ac:dyDescent="0.3">
      <c r="A2978" s="1">
        <v>46235</v>
      </c>
      <c r="B2978" t="s">
        <v>2083</v>
      </c>
      <c r="C2978" t="s">
        <v>154</v>
      </c>
      <c r="D2978" t="s">
        <v>155</v>
      </c>
      <c r="E2978" t="s">
        <v>8</v>
      </c>
      <c r="F2978" t="s">
        <v>38</v>
      </c>
      <c r="G2978" s="16">
        <v>2170.6819999999998</v>
      </c>
      <c r="H2978" s="16">
        <v>2496.2842000000001</v>
      </c>
      <c r="I2978" s="1">
        <v>46225</v>
      </c>
      <c r="J2978">
        <v>24</v>
      </c>
      <c r="K2978" t="s">
        <v>7821</v>
      </c>
      <c r="L2978" t="s">
        <v>8904</v>
      </c>
      <c r="M2978">
        <v>3</v>
      </c>
      <c r="N2978">
        <v>7</v>
      </c>
      <c r="O2978" t="s">
        <v>1036</v>
      </c>
      <c r="P2978" s="17"/>
      <c r="Q2978" s="17" t="str">
        <f>_xlfn.XLOOKUP(Table2[[#This Row],[buyFromVendorNo]],'Next Day Scheduled'!A:A,'Pending Returns'!O:O,"NOT_FOUND")</f>
        <v>NOT_FOUND</v>
      </c>
    </row>
    <row r="2979" spans="1:17" x14ac:dyDescent="0.3">
      <c r="A2979" s="1">
        <v>46235</v>
      </c>
      <c r="B2979" t="s">
        <v>642</v>
      </c>
      <c r="C2979" t="s">
        <v>562</v>
      </c>
      <c r="D2979" t="s">
        <v>563</v>
      </c>
      <c r="E2979" t="s">
        <v>8</v>
      </c>
      <c r="F2979" t="s">
        <v>38</v>
      </c>
      <c r="G2979" s="16">
        <v>1862.2822000000001</v>
      </c>
      <c r="H2979" s="16">
        <v>2141.6244999999999</v>
      </c>
      <c r="I2979" s="1">
        <v>46226</v>
      </c>
      <c r="J2979">
        <v>24</v>
      </c>
      <c r="K2979" t="s">
        <v>8260</v>
      </c>
      <c r="L2979" t="s">
        <v>8920</v>
      </c>
      <c r="M2979">
        <v>2</v>
      </c>
      <c r="N2979">
        <v>23</v>
      </c>
      <c r="O2979" t="s">
        <v>1036</v>
      </c>
      <c r="P2979" s="17"/>
      <c r="Q2979" s="17" t="str">
        <f>_xlfn.XLOOKUP(Table2[[#This Row],[buyFromVendorNo]],'Next Day Scheduled'!A:A,'Pending Returns'!O:O,"NOT_FOUND")</f>
        <v>NOT_FOUND</v>
      </c>
    </row>
    <row r="2980" spans="1:17" x14ac:dyDescent="0.3">
      <c r="A2980" s="1">
        <v>46235</v>
      </c>
      <c r="B2980" t="s">
        <v>4415</v>
      </c>
      <c r="C2980" t="s">
        <v>1879</v>
      </c>
      <c r="D2980" t="s">
        <v>1880</v>
      </c>
      <c r="E2980" t="s">
        <v>8</v>
      </c>
      <c r="F2980" t="s">
        <v>10</v>
      </c>
      <c r="G2980" s="16">
        <v>31.29</v>
      </c>
      <c r="H2980" s="16">
        <v>35.983499999999999</v>
      </c>
      <c r="I2980" s="1">
        <v>46235</v>
      </c>
      <c r="J2980">
        <v>24</v>
      </c>
      <c r="K2980" t="s">
        <v>7342</v>
      </c>
      <c r="L2980" t="s">
        <v>8935</v>
      </c>
      <c r="M2980">
        <v>1</v>
      </c>
      <c r="N2980">
        <v>8</v>
      </c>
      <c r="O2980" t="s">
        <v>1036</v>
      </c>
      <c r="P2980" s="17"/>
      <c r="Q2980" s="17" t="str">
        <f>_xlfn.XLOOKUP(Table2[[#This Row],[buyFromVendorNo]],'Next Day Scheduled'!A:A,'Pending Returns'!O:O,"NOT_FOUND")</f>
        <v>NOT_FOUND</v>
      </c>
    </row>
    <row r="2981" spans="1:17" x14ac:dyDescent="0.3">
      <c r="A2981" s="1">
        <v>46235</v>
      </c>
      <c r="B2981" t="s">
        <v>5527</v>
      </c>
      <c r="C2981" t="s">
        <v>566</v>
      </c>
      <c r="D2981" t="s">
        <v>590</v>
      </c>
      <c r="E2981" t="s">
        <v>8</v>
      </c>
      <c r="F2981" t="s">
        <v>10</v>
      </c>
      <c r="G2981" s="16">
        <v>6.75</v>
      </c>
      <c r="H2981" s="16">
        <v>7.7625000000000002</v>
      </c>
      <c r="I2981" s="1">
        <v>46230</v>
      </c>
      <c r="J2981">
        <v>24</v>
      </c>
      <c r="K2981" t="s">
        <v>8165</v>
      </c>
      <c r="L2981" t="s">
        <v>8906</v>
      </c>
      <c r="M2981">
        <v>4</v>
      </c>
      <c r="N2981">
        <v>1</v>
      </c>
      <c r="O2981" t="s">
        <v>1036</v>
      </c>
      <c r="P2981" s="17"/>
      <c r="Q2981" s="17" t="str">
        <f>_xlfn.XLOOKUP(Table2[[#This Row],[buyFromVendorNo]],'Next Day Scheduled'!A:A,'Pending Returns'!O:O,"NOT_FOUND")</f>
        <v>NOT_FOUND</v>
      </c>
    </row>
    <row r="2982" spans="1:17" x14ac:dyDescent="0.3">
      <c r="A2982" s="1">
        <v>46235</v>
      </c>
      <c r="B2982" t="s">
        <v>8263</v>
      </c>
      <c r="C2982" t="s">
        <v>6178</v>
      </c>
      <c r="D2982" t="s">
        <v>6261</v>
      </c>
      <c r="E2982" t="s">
        <v>8</v>
      </c>
      <c r="F2982" t="s">
        <v>10</v>
      </c>
      <c r="G2982" s="16">
        <v>78</v>
      </c>
      <c r="H2982" s="16">
        <v>89.7</v>
      </c>
      <c r="I2982" s="1">
        <v>46230</v>
      </c>
      <c r="J2982">
        <v>24</v>
      </c>
      <c r="K2982" t="s">
        <v>8264</v>
      </c>
      <c r="L2982" t="s">
        <v>8924</v>
      </c>
      <c r="M2982">
        <v>4</v>
      </c>
      <c r="N2982">
        <v>1</v>
      </c>
      <c r="O2982" t="s">
        <v>1036</v>
      </c>
      <c r="P2982" s="17"/>
      <c r="Q2982" s="17" t="str">
        <f>_xlfn.XLOOKUP(Table2[[#This Row],[buyFromVendorNo]],'Next Day Scheduled'!A:A,'Pending Returns'!O:O,"NOT_FOUND")</f>
        <v>NOT_FOUND</v>
      </c>
    </row>
    <row r="2983" spans="1:17" x14ac:dyDescent="0.3">
      <c r="A2983" s="1">
        <v>46235</v>
      </c>
      <c r="B2983" t="s">
        <v>3251</v>
      </c>
      <c r="C2983" t="s">
        <v>5495</v>
      </c>
      <c r="D2983" t="s">
        <v>5496</v>
      </c>
      <c r="E2983" t="s">
        <v>8</v>
      </c>
      <c r="F2983" t="s">
        <v>10</v>
      </c>
      <c r="G2983" s="16">
        <v>146.03</v>
      </c>
      <c r="H2983" s="16">
        <v>167.93450000000001</v>
      </c>
      <c r="I2983" s="1">
        <v>46218</v>
      </c>
      <c r="J2983">
        <v>24</v>
      </c>
      <c r="K2983" t="s">
        <v>7450</v>
      </c>
      <c r="L2983" t="s">
        <v>8928</v>
      </c>
      <c r="M2983">
        <v>2</v>
      </c>
      <c r="N2983">
        <v>3</v>
      </c>
      <c r="O2983" t="s">
        <v>1036</v>
      </c>
      <c r="P2983" s="17"/>
      <c r="Q2983" s="17" t="str">
        <f>_xlfn.XLOOKUP(Table2[[#This Row],[buyFromVendorNo]],'Next Day Scheduled'!A:A,'Pending Returns'!O:O,"NOT_FOUND")</f>
        <v>NOT_FOUND</v>
      </c>
    </row>
    <row r="2984" spans="1:17" x14ac:dyDescent="0.3">
      <c r="A2984" s="1">
        <v>46235</v>
      </c>
      <c r="B2984" t="s">
        <v>642</v>
      </c>
      <c r="C2984" t="s">
        <v>173</v>
      </c>
      <c r="D2984" t="s">
        <v>174</v>
      </c>
      <c r="E2984" t="s">
        <v>8</v>
      </c>
      <c r="F2984" t="s">
        <v>38</v>
      </c>
      <c r="G2984" s="16">
        <v>2663.12</v>
      </c>
      <c r="H2984" s="16">
        <v>3062.5880000000002</v>
      </c>
      <c r="I2984" s="1">
        <v>46235</v>
      </c>
      <c r="J2984">
        <v>24</v>
      </c>
      <c r="K2984" t="s">
        <v>7621</v>
      </c>
      <c r="L2984" t="s">
        <v>8933</v>
      </c>
      <c r="M2984">
        <v>1</v>
      </c>
      <c r="N2984">
        <v>24</v>
      </c>
      <c r="O2984" t="s">
        <v>223</v>
      </c>
      <c r="P2984" s="17"/>
      <c r="Q2984" s="17" t="str">
        <f>_xlfn.XLOOKUP(Table2[[#This Row],[buyFromVendorNo]],'Next Day Scheduled'!A:A,'Pending Returns'!O:O,"NOT_FOUND")</f>
        <v>NOT_FOUND</v>
      </c>
    </row>
    <row r="2985" spans="1:17" x14ac:dyDescent="0.3">
      <c r="A2985" s="1">
        <v>46235</v>
      </c>
      <c r="B2985" t="s">
        <v>642</v>
      </c>
      <c r="C2985" t="s">
        <v>173</v>
      </c>
      <c r="D2985" t="s">
        <v>174</v>
      </c>
      <c r="E2985" t="s">
        <v>8</v>
      </c>
      <c r="F2985" t="s">
        <v>38</v>
      </c>
      <c r="G2985" s="16">
        <v>2002.39</v>
      </c>
      <c r="H2985" s="16">
        <v>2302.7485000000001</v>
      </c>
      <c r="I2985" s="1">
        <v>46235</v>
      </c>
      <c r="J2985">
        <v>24</v>
      </c>
      <c r="K2985" t="s">
        <v>8766</v>
      </c>
      <c r="L2985" t="s">
        <v>8912</v>
      </c>
      <c r="M2985">
        <v>1</v>
      </c>
      <c r="N2985">
        <v>24</v>
      </c>
      <c r="O2985" t="s">
        <v>223</v>
      </c>
      <c r="P2985" s="17"/>
      <c r="Q2985" s="17" t="str">
        <f>_xlfn.XLOOKUP(Table2[[#This Row],[buyFromVendorNo]],'Next Day Scheduled'!A:A,'Pending Returns'!O:O,"NOT_FOUND")</f>
        <v>NOT_FOUND</v>
      </c>
    </row>
    <row r="2986" spans="1:17" x14ac:dyDescent="0.3">
      <c r="A2986" s="1">
        <v>46235</v>
      </c>
      <c r="B2986" t="s">
        <v>8191</v>
      </c>
      <c r="C2986" t="s">
        <v>839</v>
      </c>
      <c r="D2986" t="s">
        <v>840</v>
      </c>
      <c r="E2986" t="s">
        <v>8</v>
      </c>
      <c r="F2986" t="s">
        <v>10</v>
      </c>
      <c r="G2986" s="16">
        <v>54.75</v>
      </c>
      <c r="H2986" s="16">
        <v>62.962499999999999</v>
      </c>
      <c r="I2986" s="1">
        <v>46233</v>
      </c>
      <c r="J2986">
        <v>24</v>
      </c>
      <c r="K2986" t="s">
        <v>8192</v>
      </c>
      <c r="L2986" t="s">
        <v>8891</v>
      </c>
      <c r="M2986">
        <v>3</v>
      </c>
      <c r="N2986">
        <v>2</v>
      </c>
      <c r="O2986" t="s">
        <v>1036</v>
      </c>
      <c r="P2986" s="17"/>
      <c r="Q2986" s="17" t="str">
        <f>_xlfn.XLOOKUP(Table2[[#This Row],[buyFromVendorNo]],'Next Day Scheduled'!A:A,'Pending Returns'!O:O,"NOT_FOUND")</f>
        <v>NOT_FOUND</v>
      </c>
    </row>
    <row r="2987" spans="1:17" x14ac:dyDescent="0.3">
      <c r="A2987" s="1">
        <v>46235</v>
      </c>
      <c r="B2987" t="s">
        <v>1783</v>
      </c>
      <c r="C2987" t="s">
        <v>635</v>
      </c>
      <c r="D2987" t="s">
        <v>636</v>
      </c>
      <c r="E2987" t="s">
        <v>8</v>
      </c>
      <c r="F2987" t="s">
        <v>10</v>
      </c>
      <c r="G2987" s="16">
        <v>20.416689999999999</v>
      </c>
      <c r="H2987" s="16">
        <v>23.479189999999999</v>
      </c>
      <c r="I2987" s="1">
        <v>46236</v>
      </c>
      <c r="J2987">
        <v>24</v>
      </c>
      <c r="K2987" t="s">
        <v>8789</v>
      </c>
      <c r="L2987" t="s">
        <v>8934</v>
      </c>
      <c r="M2987">
        <v>3</v>
      </c>
      <c r="N2987">
        <v>2</v>
      </c>
      <c r="O2987" t="s">
        <v>223</v>
      </c>
      <c r="P2987" s="17"/>
      <c r="Q2987" s="17" t="str">
        <f>_xlfn.XLOOKUP(Table2[[#This Row],[buyFromVendorNo]],'Next Day Scheduled'!A:A,'Pending Returns'!O:O,"NOT_FOUND")</f>
        <v>NOT_FOUND</v>
      </c>
    </row>
    <row r="2988" spans="1:17" x14ac:dyDescent="0.3">
      <c r="A2988" s="1">
        <v>46235</v>
      </c>
      <c r="B2988" t="s">
        <v>7851</v>
      </c>
      <c r="C2988" t="s">
        <v>1536</v>
      </c>
      <c r="D2988" t="s">
        <v>1537</v>
      </c>
      <c r="E2988" t="s">
        <v>8</v>
      </c>
      <c r="F2988" t="s">
        <v>38</v>
      </c>
      <c r="G2988" s="16">
        <v>190</v>
      </c>
      <c r="H2988" s="16">
        <v>218.5</v>
      </c>
      <c r="I2988" s="1">
        <v>46226</v>
      </c>
      <c r="J2988">
        <v>24</v>
      </c>
      <c r="K2988" t="s">
        <v>7852</v>
      </c>
      <c r="L2988" t="s">
        <v>8923</v>
      </c>
      <c r="M2988">
        <v>0</v>
      </c>
      <c r="N2988">
        <v>33</v>
      </c>
      <c r="O2988" t="s">
        <v>1036</v>
      </c>
      <c r="P2988" s="17"/>
      <c r="Q2988" s="17" t="str">
        <f>_xlfn.XLOOKUP(Table2[[#This Row],[buyFromVendorNo]],'Next Day Scheduled'!A:A,'Pending Returns'!O:O,"NOT_FOUND")</f>
        <v>Posted Credit Note</v>
      </c>
    </row>
    <row r="2989" spans="1:17" x14ac:dyDescent="0.3">
      <c r="A2989" s="1">
        <v>46235</v>
      </c>
      <c r="B2989" t="s">
        <v>2800</v>
      </c>
      <c r="C2989" t="s">
        <v>1768</v>
      </c>
      <c r="D2989" t="s">
        <v>1769</v>
      </c>
      <c r="E2989" t="s">
        <v>8</v>
      </c>
      <c r="F2989" t="s">
        <v>10</v>
      </c>
      <c r="G2989" s="16">
        <v>9.75</v>
      </c>
      <c r="H2989" s="16">
        <v>11.2125</v>
      </c>
      <c r="I2989" s="1">
        <v>46236</v>
      </c>
      <c r="J2989">
        <v>24</v>
      </c>
      <c r="K2989" t="s">
        <v>8085</v>
      </c>
      <c r="L2989" t="s">
        <v>8926</v>
      </c>
      <c r="M2989">
        <v>4</v>
      </c>
      <c r="N2989">
        <v>5</v>
      </c>
      <c r="O2989" t="s">
        <v>223</v>
      </c>
      <c r="P2989" s="17"/>
      <c r="Q2989" s="17" t="str">
        <f>_xlfn.XLOOKUP(Table2[[#This Row],[buyFromVendorNo]],'Next Day Scheduled'!A:A,'Pending Returns'!O:O,"NOT_FOUND")</f>
        <v>NOT_FOUND</v>
      </c>
    </row>
    <row r="2990" spans="1:17" x14ac:dyDescent="0.3">
      <c r="A2990" s="1">
        <v>46235</v>
      </c>
      <c r="B2990" t="s">
        <v>5394</v>
      </c>
      <c r="C2990" t="s">
        <v>39</v>
      </c>
      <c r="D2990" t="s">
        <v>40</v>
      </c>
      <c r="E2990" t="s">
        <v>8</v>
      </c>
      <c r="F2990" t="s">
        <v>10</v>
      </c>
      <c r="G2990" s="16">
        <v>2672.1179999999999</v>
      </c>
      <c r="H2990" s="16">
        <v>3072.9358000000002</v>
      </c>
      <c r="J2990">
        <v>24</v>
      </c>
      <c r="K2990" t="s">
        <v>8908</v>
      </c>
      <c r="M2990">
        <v>8</v>
      </c>
      <c r="N2990">
        <v>1</v>
      </c>
      <c r="O2990" t="s">
        <v>216</v>
      </c>
      <c r="P2990" s="17"/>
      <c r="Q2990" s="17" t="str">
        <f>_xlfn.XLOOKUP(Table2[[#This Row],[buyFromVendorNo]],'Next Day Scheduled'!A:A,'Pending Returns'!O:O,"NOT_FOUND")</f>
        <v>Posted Credit Note</v>
      </c>
    </row>
    <row r="2991" spans="1:17" x14ac:dyDescent="0.3">
      <c r="A2991" s="1">
        <v>46235</v>
      </c>
      <c r="B2991" t="s">
        <v>642</v>
      </c>
      <c r="C2991" t="s">
        <v>562</v>
      </c>
      <c r="D2991" t="s">
        <v>563</v>
      </c>
      <c r="E2991" t="s">
        <v>8</v>
      </c>
      <c r="F2991" t="s">
        <v>38</v>
      </c>
      <c r="G2991" s="16">
        <v>2917.6496999999999</v>
      </c>
      <c r="H2991" s="16">
        <v>3355.2968999999998</v>
      </c>
      <c r="I2991" s="1">
        <v>46231</v>
      </c>
      <c r="J2991">
        <v>24</v>
      </c>
      <c r="K2991" t="s">
        <v>8513</v>
      </c>
      <c r="L2991" t="s">
        <v>8929</v>
      </c>
      <c r="M2991">
        <v>2</v>
      </c>
      <c r="N2991">
        <v>23</v>
      </c>
      <c r="O2991" t="s">
        <v>1036</v>
      </c>
      <c r="P2991" s="17"/>
      <c r="Q2991" s="17" t="str">
        <f>_xlfn.XLOOKUP(Table2[[#This Row],[buyFromVendorNo]],'Next Day Scheduled'!A:A,'Pending Returns'!O:O,"NOT_FOUND")</f>
        <v>NOT_FOUND</v>
      </c>
    </row>
    <row r="2992" spans="1:17" x14ac:dyDescent="0.3">
      <c r="A2992" s="1">
        <v>46235</v>
      </c>
      <c r="B2992" t="s">
        <v>642</v>
      </c>
      <c r="C2992" t="s">
        <v>173</v>
      </c>
      <c r="D2992" t="s">
        <v>174</v>
      </c>
      <c r="E2992" t="s">
        <v>8</v>
      </c>
      <c r="F2992" t="s">
        <v>38</v>
      </c>
      <c r="G2992" s="16">
        <v>1606.25</v>
      </c>
      <c r="H2992" s="16">
        <v>1847.1875</v>
      </c>
      <c r="I2992" s="1">
        <v>46235</v>
      </c>
      <c r="J2992">
        <v>24</v>
      </c>
      <c r="K2992" t="s">
        <v>6480</v>
      </c>
      <c r="L2992" t="s">
        <v>8910</v>
      </c>
      <c r="M2992">
        <v>1</v>
      </c>
      <c r="N2992">
        <v>24</v>
      </c>
      <c r="O2992" t="s">
        <v>223</v>
      </c>
      <c r="P2992" s="17"/>
      <c r="Q2992" s="17" t="str">
        <f>_xlfn.XLOOKUP(Table2[[#This Row],[buyFromVendorNo]],'Next Day Scheduled'!A:A,'Pending Returns'!O:O,"NOT_FOUND")</f>
        <v>NOT_FOUND</v>
      </c>
    </row>
    <row r="2993" spans="1:17" x14ac:dyDescent="0.3">
      <c r="A2993" s="1">
        <v>46235</v>
      </c>
      <c r="B2993" t="s">
        <v>2515</v>
      </c>
      <c r="C2993" t="s">
        <v>154</v>
      </c>
      <c r="D2993" t="s">
        <v>155</v>
      </c>
      <c r="E2993" t="s">
        <v>8</v>
      </c>
      <c r="F2993" t="s">
        <v>38</v>
      </c>
      <c r="G2993" s="16">
        <v>921.04</v>
      </c>
      <c r="H2993" s="16">
        <v>1059.1959999999999</v>
      </c>
      <c r="I2993" s="1">
        <v>46211</v>
      </c>
      <c r="J2993">
        <v>24</v>
      </c>
      <c r="K2993" t="s">
        <v>6541</v>
      </c>
      <c r="L2993" t="s">
        <v>8893</v>
      </c>
      <c r="M2993">
        <v>3</v>
      </c>
      <c r="N2993">
        <v>7</v>
      </c>
      <c r="O2993" t="s">
        <v>1036</v>
      </c>
      <c r="P2993" s="17"/>
      <c r="Q2993" s="17" t="str">
        <f>_xlfn.XLOOKUP(Table2[[#This Row],[buyFromVendorNo]],'Next Day Scheduled'!A:A,'Pending Returns'!O:O,"NOT_FOUND")</f>
        <v>NOT_FOUND</v>
      </c>
    </row>
    <row r="2994" spans="1:17" x14ac:dyDescent="0.3">
      <c r="A2994" s="1">
        <v>46235</v>
      </c>
      <c r="B2994" t="s">
        <v>3313</v>
      </c>
      <c r="C2994" t="s">
        <v>562</v>
      </c>
      <c r="D2994" t="s">
        <v>563</v>
      </c>
      <c r="E2994" t="s">
        <v>8</v>
      </c>
      <c r="F2994" t="s">
        <v>10</v>
      </c>
      <c r="G2994" s="16">
        <v>93.2</v>
      </c>
      <c r="H2994" s="16">
        <v>107.18</v>
      </c>
      <c r="I2994" s="1">
        <v>46230</v>
      </c>
      <c r="J2994">
        <v>24</v>
      </c>
      <c r="K2994" t="s">
        <v>7638</v>
      </c>
      <c r="L2994" t="s">
        <v>8922</v>
      </c>
      <c r="M2994">
        <v>13</v>
      </c>
      <c r="N2994">
        <v>1</v>
      </c>
      <c r="O2994" t="s">
        <v>1036</v>
      </c>
      <c r="P2994" s="17"/>
      <c r="Q2994" s="17" t="str">
        <f>_xlfn.XLOOKUP(Table2[[#This Row],[buyFromVendorNo]],'Next Day Scheduled'!A:A,'Pending Returns'!O:O,"NOT_FOUND")</f>
        <v>NOT_FOUND</v>
      </c>
    </row>
    <row r="2995" spans="1:17" x14ac:dyDescent="0.3">
      <c r="A2995" s="1">
        <v>46235</v>
      </c>
      <c r="B2995" t="s">
        <v>3696</v>
      </c>
      <c r="C2995" t="s">
        <v>1879</v>
      </c>
      <c r="D2995" t="s">
        <v>1880</v>
      </c>
      <c r="E2995" t="s">
        <v>8</v>
      </c>
      <c r="F2995" t="s">
        <v>10</v>
      </c>
      <c r="G2995" s="16">
        <v>24.51</v>
      </c>
      <c r="H2995" s="16">
        <v>28.186499999999999</v>
      </c>
      <c r="I2995" s="1">
        <v>46235</v>
      </c>
      <c r="J2995">
        <v>24</v>
      </c>
      <c r="K2995" t="s">
        <v>7329</v>
      </c>
      <c r="L2995" t="s">
        <v>8914</v>
      </c>
      <c r="M2995">
        <v>1</v>
      </c>
      <c r="N2995">
        <v>8</v>
      </c>
      <c r="O2995" t="s">
        <v>1036</v>
      </c>
      <c r="P2995" s="17"/>
      <c r="Q2995" s="17" t="str">
        <f>_xlfn.XLOOKUP(Table2[[#This Row],[buyFromVendorNo]],'Next Day Scheduled'!A:A,'Pending Returns'!O:O,"NOT_FOUND")</f>
        <v>NOT_FOUND</v>
      </c>
    </row>
    <row r="2996" spans="1:17" x14ac:dyDescent="0.3">
      <c r="A2996" s="1">
        <v>46235</v>
      </c>
      <c r="B2996" t="s">
        <v>642</v>
      </c>
      <c r="C2996" t="s">
        <v>173</v>
      </c>
      <c r="D2996" t="s">
        <v>174</v>
      </c>
      <c r="E2996" t="s">
        <v>8</v>
      </c>
      <c r="F2996" t="s">
        <v>38</v>
      </c>
      <c r="G2996" s="16">
        <v>914.99</v>
      </c>
      <c r="H2996" s="16">
        <v>1052.2384999999999</v>
      </c>
      <c r="I2996" s="1">
        <v>46235</v>
      </c>
      <c r="J2996">
        <v>24</v>
      </c>
      <c r="K2996" t="s">
        <v>6034</v>
      </c>
      <c r="L2996" t="s">
        <v>8907</v>
      </c>
      <c r="M2996">
        <v>1</v>
      </c>
      <c r="N2996">
        <v>24</v>
      </c>
      <c r="O2996" t="s">
        <v>223</v>
      </c>
      <c r="P2996" s="17"/>
      <c r="Q2996" s="17" t="str">
        <f>_xlfn.XLOOKUP(Table2[[#This Row],[buyFromVendorNo]],'Next Day Scheduled'!A:A,'Pending Returns'!O:O,"NOT_FOUND")</f>
        <v>NOT_FOUND</v>
      </c>
    </row>
    <row r="2997" spans="1:17" x14ac:dyDescent="0.3">
      <c r="A2997" s="1">
        <v>46235</v>
      </c>
      <c r="B2997" t="s">
        <v>5481</v>
      </c>
      <c r="C2997" t="s">
        <v>548</v>
      </c>
      <c r="D2997" t="s">
        <v>549</v>
      </c>
      <c r="E2997" t="s">
        <v>8</v>
      </c>
      <c r="F2997" t="s">
        <v>10</v>
      </c>
      <c r="G2997" s="16">
        <v>864.47199999999998</v>
      </c>
      <c r="H2997" s="16">
        <v>994.14279999999997</v>
      </c>
      <c r="I2997" s="1">
        <v>46232</v>
      </c>
      <c r="J2997">
        <v>24</v>
      </c>
      <c r="K2997" t="s">
        <v>8248</v>
      </c>
      <c r="L2997" t="s">
        <v>8925</v>
      </c>
      <c r="M2997">
        <v>4</v>
      </c>
      <c r="N2997">
        <v>3</v>
      </c>
      <c r="O2997" t="s">
        <v>1036</v>
      </c>
      <c r="P2997" s="17"/>
      <c r="Q2997" s="17" t="str">
        <f>_xlfn.XLOOKUP(Table2[[#This Row],[buyFromVendorNo]],'Next Day Scheduled'!A:A,'Pending Returns'!O:O,"NOT_FOUND")</f>
        <v>NOT_FOUND</v>
      </c>
    </row>
    <row r="2998" spans="1:17" x14ac:dyDescent="0.3">
      <c r="A2998" s="1">
        <v>46235</v>
      </c>
      <c r="B2998" t="s">
        <v>5222</v>
      </c>
      <c r="C2998" t="s">
        <v>173</v>
      </c>
      <c r="D2998" t="s">
        <v>174</v>
      </c>
      <c r="E2998" t="s">
        <v>8</v>
      </c>
      <c r="F2998" t="s">
        <v>38</v>
      </c>
      <c r="G2998" s="16">
        <v>1115.6600000000001</v>
      </c>
      <c r="H2998" s="16">
        <v>1283.009</v>
      </c>
      <c r="I2998" s="1">
        <v>46235</v>
      </c>
      <c r="J2998">
        <v>24</v>
      </c>
      <c r="K2998" t="s">
        <v>4879</v>
      </c>
      <c r="L2998" t="s">
        <v>8917</v>
      </c>
      <c r="M2998">
        <v>1</v>
      </c>
      <c r="N2998">
        <v>24</v>
      </c>
      <c r="O2998" t="s">
        <v>223</v>
      </c>
      <c r="P2998" s="17"/>
      <c r="Q2998" s="17" t="str">
        <f>_xlfn.XLOOKUP(Table2[[#This Row],[buyFromVendorNo]],'Next Day Scheduled'!A:A,'Pending Returns'!O:O,"NOT_FOUND")</f>
        <v>NOT_FOUND</v>
      </c>
    </row>
    <row r="2999" spans="1:17" x14ac:dyDescent="0.3">
      <c r="A2999" s="1">
        <v>46235</v>
      </c>
      <c r="B2999" t="s">
        <v>8095</v>
      </c>
      <c r="C2999" t="s">
        <v>562</v>
      </c>
      <c r="D2999" t="s">
        <v>563</v>
      </c>
      <c r="E2999" t="s">
        <v>8</v>
      </c>
      <c r="F2999" t="s">
        <v>10</v>
      </c>
      <c r="G2999" s="16">
        <v>223</v>
      </c>
      <c r="H2999" s="16">
        <v>256.45</v>
      </c>
      <c r="I2999" s="1">
        <v>46230</v>
      </c>
      <c r="J2999">
        <v>24</v>
      </c>
      <c r="K2999" t="s">
        <v>8096</v>
      </c>
      <c r="L2999" t="s">
        <v>8918</v>
      </c>
      <c r="M2999">
        <v>13</v>
      </c>
      <c r="N2999">
        <v>1</v>
      </c>
      <c r="O2999" t="s">
        <v>1036</v>
      </c>
      <c r="P2999" s="17"/>
      <c r="Q2999" s="17" t="str">
        <f>_xlfn.XLOOKUP(Table2[[#This Row],[buyFromVendorNo]],'Next Day Scheduled'!A:A,'Pending Returns'!O:O,"NOT_FOUND")</f>
        <v>NOT_FOUND</v>
      </c>
    </row>
    <row r="3000" spans="1:17" x14ac:dyDescent="0.3">
      <c r="A3000" s="1">
        <v>46235</v>
      </c>
      <c r="B3000" t="s">
        <v>2550</v>
      </c>
      <c r="C3000" t="s">
        <v>154</v>
      </c>
      <c r="D3000" t="s">
        <v>155</v>
      </c>
      <c r="E3000" t="s">
        <v>8</v>
      </c>
      <c r="F3000" t="s">
        <v>38</v>
      </c>
      <c r="G3000" s="16">
        <v>1256.3869999999999</v>
      </c>
      <c r="H3000" s="16">
        <v>1444.8451</v>
      </c>
      <c r="I3000" s="1">
        <v>46232</v>
      </c>
      <c r="J3000">
        <v>24</v>
      </c>
      <c r="K3000" t="s">
        <v>8356</v>
      </c>
      <c r="L3000" t="s">
        <v>8895</v>
      </c>
      <c r="M3000">
        <v>3</v>
      </c>
      <c r="N3000">
        <v>7</v>
      </c>
      <c r="O3000" t="s">
        <v>1036</v>
      </c>
      <c r="P3000" s="17"/>
      <c r="Q3000" s="17" t="str">
        <f>_xlfn.XLOOKUP(Table2[[#This Row],[buyFromVendorNo]],'Next Day Scheduled'!A:A,'Pending Returns'!O:O,"NOT_FOUND")</f>
        <v>NOT_FOUND</v>
      </c>
    </row>
    <row r="3001" spans="1:17" x14ac:dyDescent="0.3">
      <c r="A3001" s="1">
        <v>46236</v>
      </c>
      <c r="B3001" t="s">
        <v>1456</v>
      </c>
      <c r="C3001" t="s">
        <v>8948</v>
      </c>
      <c r="D3001" t="s">
        <v>8949</v>
      </c>
      <c r="E3001" t="s">
        <v>8</v>
      </c>
      <c r="F3001" t="s">
        <v>10</v>
      </c>
      <c r="G3001" s="16">
        <v>105</v>
      </c>
      <c r="H3001" s="16">
        <v>120.75</v>
      </c>
      <c r="J3001">
        <v>23</v>
      </c>
      <c r="K3001" t="s">
        <v>8950</v>
      </c>
      <c r="M3001">
        <v>0</v>
      </c>
      <c r="N3001">
        <v>192</v>
      </c>
      <c r="O3001" t="s">
        <v>216</v>
      </c>
      <c r="P3001" s="17"/>
      <c r="Q3001" s="17" t="str">
        <f>_xlfn.XLOOKUP(Table2[[#This Row],[buyFromVendorNo]],'Next Day Scheduled'!A:A,'Pending Returns'!O:O,"NOT_FOUND")</f>
        <v>NOT_FOUND</v>
      </c>
    </row>
    <row r="3002" spans="1:17" x14ac:dyDescent="0.3">
      <c r="A3002" s="1">
        <v>46236</v>
      </c>
      <c r="B3002" t="s">
        <v>642</v>
      </c>
      <c r="C3002" t="s">
        <v>808</v>
      </c>
      <c r="D3002" t="s">
        <v>904</v>
      </c>
      <c r="E3002" t="s">
        <v>8</v>
      </c>
      <c r="F3002" t="s">
        <v>38</v>
      </c>
      <c r="G3002" s="16">
        <v>4062.62</v>
      </c>
      <c r="H3002" s="16">
        <v>4672.0129999999999</v>
      </c>
      <c r="I3002" s="1">
        <v>46231</v>
      </c>
      <c r="J3002">
        <v>23</v>
      </c>
      <c r="K3002" t="s">
        <v>8375</v>
      </c>
      <c r="L3002" t="s">
        <v>8977</v>
      </c>
      <c r="M3002">
        <v>5</v>
      </c>
      <c r="N3002">
        <v>2</v>
      </c>
      <c r="O3002" t="s">
        <v>1036</v>
      </c>
      <c r="P3002" s="17"/>
      <c r="Q3002" s="17" t="str">
        <f>_xlfn.XLOOKUP(Table2[[#This Row],[buyFromVendorNo]],'Next Day Scheduled'!A:A,'Pending Returns'!O:O,"NOT_FOUND")</f>
        <v>NOT_FOUND</v>
      </c>
    </row>
    <row r="3003" spans="1:17" x14ac:dyDescent="0.3">
      <c r="A3003" s="1">
        <v>46236</v>
      </c>
      <c r="B3003" t="s">
        <v>761</v>
      </c>
      <c r="C3003" t="s">
        <v>8991</v>
      </c>
      <c r="D3003" t="s">
        <v>8992</v>
      </c>
      <c r="E3003" t="s">
        <v>8</v>
      </c>
      <c r="F3003" t="s">
        <v>10</v>
      </c>
      <c r="G3003" s="16">
        <v>258</v>
      </c>
      <c r="H3003" s="16">
        <v>258</v>
      </c>
      <c r="J3003">
        <v>23</v>
      </c>
      <c r="K3003" t="s">
        <v>8993</v>
      </c>
      <c r="M3003">
        <v>0</v>
      </c>
      <c r="N3003">
        <v>395</v>
      </c>
      <c r="O3003" t="s">
        <v>216</v>
      </c>
      <c r="P3003" s="17"/>
      <c r="Q3003" s="17" t="str">
        <f>_xlfn.XLOOKUP(Table2[[#This Row],[buyFromVendorNo]],'Next Day Scheduled'!A:A,'Pending Returns'!O:O,"NOT_FOUND")</f>
        <v>NOT_FOUND</v>
      </c>
    </row>
    <row r="3004" spans="1:17" x14ac:dyDescent="0.3">
      <c r="A3004" s="1">
        <v>46236</v>
      </c>
      <c r="B3004" t="s">
        <v>642</v>
      </c>
      <c r="C3004" t="s">
        <v>808</v>
      </c>
      <c r="D3004" t="s">
        <v>904</v>
      </c>
      <c r="E3004" t="s">
        <v>8</v>
      </c>
      <c r="F3004" t="s">
        <v>38</v>
      </c>
      <c r="G3004" s="16">
        <v>2483.19</v>
      </c>
      <c r="H3004" s="16">
        <v>2855.6685000000002</v>
      </c>
      <c r="I3004" s="1">
        <v>46233</v>
      </c>
      <c r="J3004">
        <v>23</v>
      </c>
      <c r="K3004" t="s">
        <v>8775</v>
      </c>
      <c r="L3004" t="s">
        <v>9000</v>
      </c>
      <c r="M3004">
        <v>5</v>
      </c>
      <c r="N3004">
        <v>2</v>
      </c>
      <c r="O3004" t="s">
        <v>1036</v>
      </c>
      <c r="P3004" s="17"/>
      <c r="Q3004" s="17" t="str">
        <f>_xlfn.XLOOKUP(Table2[[#This Row],[buyFromVendorNo]],'Next Day Scheduled'!A:A,'Pending Returns'!O:O,"NOT_FOUND")</f>
        <v>NOT_FOUND</v>
      </c>
    </row>
    <row r="3005" spans="1:17" x14ac:dyDescent="0.3">
      <c r="A3005" s="1">
        <v>46236</v>
      </c>
      <c r="B3005" t="s">
        <v>642</v>
      </c>
      <c r="C3005" t="s">
        <v>75</v>
      </c>
      <c r="D3005" t="s">
        <v>76</v>
      </c>
      <c r="E3005" t="s">
        <v>8</v>
      </c>
      <c r="F3005" t="s">
        <v>38</v>
      </c>
      <c r="G3005" s="16">
        <v>3300.0005000000001</v>
      </c>
      <c r="H3005" s="16">
        <v>3795.0005000000001</v>
      </c>
      <c r="I3005" s="1">
        <v>46236</v>
      </c>
      <c r="J3005">
        <v>23</v>
      </c>
      <c r="K3005" t="s">
        <v>7683</v>
      </c>
      <c r="L3005" t="s">
        <v>9001</v>
      </c>
      <c r="M3005">
        <v>3</v>
      </c>
      <c r="N3005">
        <v>5</v>
      </c>
      <c r="O3005" t="s">
        <v>223</v>
      </c>
      <c r="P3005" s="17"/>
      <c r="Q3005" s="17" t="str">
        <f>_xlfn.XLOOKUP(Table2[[#This Row],[buyFromVendorNo]],'Next Day Scheduled'!A:A,'Pending Returns'!O:O,"NOT_FOUND")</f>
        <v>Posted Credit Note</v>
      </c>
    </row>
    <row r="3006" spans="1:17" x14ac:dyDescent="0.3">
      <c r="A3006" s="1">
        <v>46236</v>
      </c>
      <c r="B3006" t="s">
        <v>642</v>
      </c>
      <c r="C3006" t="s">
        <v>808</v>
      </c>
      <c r="D3006" t="s">
        <v>904</v>
      </c>
      <c r="E3006" t="s">
        <v>8</v>
      </c>
      <c r="F3006" t="s">
        <v>38</v>
      </c>
      <c r="G3006" s="16">
        <v>32073.5</v>
      </c>
      <c r="H3006" s="16">
        <v>36884.523000000001</v>
      </c>
      <c r="I3006" s="1">
        <v>46223</v>
      </c>
      <c r="J3006">
        <v>23</v>
      </c>
      <c r="K3006" t="s">
        <v>7640</v>
      </c>
      <c r="L3006" t="s">
        <v>9030</v>
      </c>
      <c r="M3006">
        <v>5</v>
      </c>
      <c r="N3006">
        <v>2</v>
      </c>
      <c r="O3006" t="s">
        <v>1036</v>
      </c>
      <c r="P3006" s="17"/>
      <c r="Q3006" s="17" t="str">
        <f>_xlfn.XLOOKUP(Table2[[#This Row],[buyFromVendorNo]],'Next Day Scheduled'!A:A,'Pending Returns'!O:O,"NOT_FOUND")</f>
        <v>NOT_FOUND</v>
      </c>
    </row>
    <row r="3007" spans="1:17" x14ac:dyDescent="0.3">
      <c r="A3007" s="1">
        <v>46236</v>
      </c>
      <c r="B3007" t="s">
        <v>3240</v>
      </c>
      <c r="C3007" t="s">
        <v>8372</v>
      </c>
      <c r="D3007" t="s">
        <v>8373</v>
      </c>
      <c r="E3007" t="s">
        <v>8</v>
      </c>
      <c r="F3007" t="s">
        <v>10</v>
      </c>
      <c r="G3007" s="16">
        <v>419</v>
      </c>
      <c r="H3007" s="16">
        <v>481.85</v>
      </c>
      <c r="J3007">
        <v>23</v>
      </c>
      <c r="K3007" t="s">
        <v>9007</v>
      </c>
      <c r="M3007">
        <v>0</v>
      </c>
      <c r="N3007">
        <v>30</v>
      </c>
      <c r="O3007" t="s">
        <v>216</v>
      </c>
      <c r="P3007" s="17"/>
      <c r="Q3007" s="17" t="str">
        <f>_xlfn.XLOOKUP(Table2[[#This Row],[buyFromVendorNo]],'Next Day Scheduled'!A:A,'Pending Returns'!O:O,"NOT_FOUND")</f>
        <v>NOT_FOUND</v>
      </c>
    </row>
    <row r="3008" spans="1:17" x14ac:dyDescent="0.3">
      <c r="A3008" s="1">
        <v>46236</v>
      </c>
      <c r="B3008" t="s">
        <v>642</v>
      </c>
      <c r="C3008" t="s">
        <v>905</v>
      </c>
      <c r="D3008" t="s">
        <v>906</v>
      </c>
      <c r="E3008" t="s">
        <v>8</v>
      </c>
      <c r="F3008" t="s">
        <v>38</v>
      </c>
      <c r="G3008" s="16">
        <v>558.20000000000005</v>
      </c>
      <c r="H3008" s="16">
        <v>641.92999999999995</v>
      </c>
      <c r="I3008" s="1">
        <v>46236</v>
      </c>
      <c r="J3008">
        <v>23</v>
      </c>
      <c r="K3008" t="s">
        <v>8811</v>
      </c>
      <c r="L3008" t="s">
        <v>8984</v>
      </c>
      <c r="M3008">
        <v>4</v>
      </c>
      <c r="N3008">
        <v>5</v>
      </c>
      <c r="O3008" t="s">
        <v>1036</v>
      </c>
      <c r="P3008" s="17"/>
      <c r="Q3008" s="17" t="str">
        <f>_xlfn.XLOOKUP(Table2[[#This Row],[buyFromVendorNo]],'Next Day Scheduled'!A:A,'Pending Returns'!O:O,"NOT_FOUND")</f>
        <v>NOT_FOUND</v>
      </c>
    </row>
    <row r="3009" spans="1:17" x14ac:dyDescent="0.3">
      <c r="A3009" s="1">
        <v>46236</v>
      </c>
      <c r="B3009" t="s">
        <v>4441</v>
      </c>
      <c r="C3009" t="s">
        <v>4575</v>
      </c>
      <c r="D3009" t="s">
        <v>4576</v>
      </c>
      <c r="E3009" t="s">
        <v>8</v>
      </c>
      <c r="F3009" t="s">
        <v>10</v>
      </c>
      <c r="G3009" s="16">
        <v>109.56522</v>
      </c>
      <c r="H3009" s="16">
        <v>126</v>
      </c>
      <c r="J3009">
        <v>23</v>
      </c>
      <c r="K3009" t="s">
        <v>8970</v>
      </c>
      <c r="M3009">
        <v>0</v>
      </c>
      <c r="N3009">
        <v>174</v>
      </c>
      <c r="O3009" t="s">
        <v>216</v>
      </c>
      <c r="P3009" s="17"/>
      <c r="Q3009" s="17" t="str">
        <f>_xlfn.XLOOKUP(Table2[[#This Row],[buyFromVendorNo]],'Next Day Scheduled'!A:A,'Pending Returns'!O:O,"NOT_FOUND")</f>
        <v>NOT_FOUND</v>
      </c>
    </row>
    <row r="3010" spans="1:17" x14ac:dyDescent="0.3">
      <c r="A3010" s="1">
        <v>46236</v>
      </c>
      <c r="B3010" t="s">
        <v>5961</v>
      </c>
      <c r="C3010" t="s">
        <v>151</v>
      </c>
      <c r="D3010" t="s">
        <v>152</v>
      </c>
      <c r="E3010" t="s">
        <v>8</v>
      </c>
      <c r="F3010" t="s">
        <v>10</v>
      </c>
      <c r="G3010" s="16">
        <v>2855.32</v>
      </c>
      <c r="H3010" s="16">
        <v>3283.6179999999999</v>
      </c>
      <c r="J3010">
        <v>23</v>
      </c>
      <c r="K3010" t="s">
        <v>8972</v>
      </c>
      <c r="M3010">
        <v>2</v>
      </c>
      <c r="N3010">
        <v>2</v>
      </c>
      <c r="O3010" t="s">
        <v>216</v>
      </c>
      <c r="P3010" s="17"/>
      <c r="Q3010" s="17" t="str">
        <f>_xlfn.XLOOKUP(Table2[[#This Row],[buyFromVendorNo]],'Next Day Scheduled'!A:A,'Pending Returns'!O:O,"NOT_FOUND")</f>
        <v>NOT_FOUND</v>
      </c>
    </row>
    <row r="3011" spans="1:17" x14ac:dyDescent="0.3">
      <c r="A3011" s="1">
        <v>46236</v>
      </c>
      <c r="B3011" t="s">
        <v>3490</v>
      </c>
      <c r="C3011" t="s">
        <v>749</v>
      </c>
      <c r="D3011" t="s">
        <v>750</v>
      </c>
      <c r="E3011" t="s">
        <v>8</v>
      </c>
      <c r="F3011" t="s">
        <v>10</v>
      </c>
      <c r="G3011" s="16">
        <v>7.0833300000000001</v>
      </c>
      <c r="H3011" s="16">
        <v>8.1458300000000001</v>
      </c>
      <c r="I3011" s="1">
        <v>46236</v>
      </c>
      <c r="J3011">
        <v>23</v>
      </c>
      <c r="K3011" t="s">
        <v>8838</v>
      </c>
      <c r="L3011" t="s">
        <v>8990</v>
      </c>
      <c r="M3011">
        <v>1</v>
      </c>
      <c r="N3011">
        <v>10</v>
      </c>
      <c r="O3011" t="s">
        <v>1036</v>
      </c>
      <c r="P3011" s="17"/>
      <c r="Q3011" s="17" t="str">
        <f>_xlfn.XLOOKUP(Table2[[#This Row],[buyFromVendorNo]],'Next Day Scheduled'!A:A,'Pending Returns'!O:O,"NOT_FOUND")</f>
        <v>NOT_FOUND</v>
      </c>
    </row>
    <row r="3012" spans="1:17" x14ac:dyDescent="0.3">
      <c r="A3012" s="1">
        <v>46236</v>
      </c>
      <c r="B3012" t="s">
        <v>8975</v>
      </c>
      <c r="C3012" t="s">
        <v>65</v>
      </c>
      <c r="D3012" t="s">
        <v>66</v>
      </c>
      <c r="E3012" t="s">
        <v>8</v>
      </c>
      <c r="F3012" t="s">
        <v>10</v>
      </c>
      <c r="G3012" s="16">
        <v>1322.5228</v>
      </c>
      <c r="H3012" s="16">
        <v>1520.9012</v>
      </c>
      <c r="J3012">
        <v>23</v>
      </c>
      <c r="K3012" t="s">
        <v>8976</v>
      </c>
      <c r="M3012">
        <v>8</v>
      </c>
      <c r="N3012">
        <v>5</v>
      </c>
      <c r="O3012" t="s">
        <v>216</v>
      </c>
      <c r="P3012" s="17"/>
      <c r="Q3012" s="17" t="str">
        <f>_xlfn.XLOOKUP(Table2[[#This Row],[buyFromVendorNo]],'Next Day Scheduled'!A:A,'Pending Returns'!O:O,"NOT_FOUND")</f>
        <v>Posted Credit Note</v>
      </c>
    </row>
    <row r="3013" spans="1:17" x14ac:dyDescent="0.3">
      <c r="A3013" s="1">
        <v>46236</v>
      </c>
      <c r="B3013" t="s">
        <v>642</v>
      </c>
      <c r="C3013" t="s">
        <v>808</v>
      </c>
      <c r="D3013" t="s">
        <v>904</v>
      </c>
      <c r="E3013" t="s">
        <v>8</v>
      </c>
      <c r="F3013" t="s">
        <v>38</v>
      </c>
      <c r="G3013" s="16">
        <v>6124.5244000000002</v>
      </c>
      <c r="H3013" s="16">
        <v>7043.2030000000004</v>
      </c>
      <c r="I3013" s="1">
        <v>46223</v>
      </c>
      <c r="J3013">
        <v>23</v>
      </c>
      <c r="K3013" t="s">
        <v>9335</v>
      </c>
      <c r="L3013" t="s">
        <v>9598</v>
      </c>
      <c r="M3013">
        <v>5</v>
      </c>
      <c r="N3013">
        <v>2</v>
      </c>
      <c r="O3013" t="s">
        <v>1036</v>
      </c>
      <c r="P3013" s="17"/>
      <c r="Q3013" s="17" t="str">
        <f>_xlfn.XLOOKUP(Table2[[#This Row],[buyFromVendorNo]],'Next Day Scheduled'!A:A,'Pending Returns'!O:O,"NOT_FOUND")</f>
        <v>NOT_FOUND</v>
      </c>
    </row>
    <row r="3014" spans="1:17" x14ac:dyDescent="0.3">
      <c r="A3014" s="1">
        <v>46236</v>
      </c>
      <c r="B3014" t="s">
        <v>8236</v>
      </c>
      <c r="C3014" t="s">
        <v>749</v>
      </c>
      <c r="D3014" t="s">
        <v>750</v>
      </c>
      <c r="E3014" t="s">
        <v>8</v>
      </c>
      <c r="F3014" t="s">
        <v>10</v>
      </c>
      <c r="G3014" s="16">
        <v>70.2</v>
      </c>
      <c r="H3014" s="16">
        <v>80.73</v>
      </c>
      <c r="I3014" s="1">
        <v>46232</v>
      </c>
      <c r="J3014">
        <v>23</v>
      </c>
      <c r="K3014" t="s">
        <v>8237</v>
      </c>
      <c r="L3014" t="s">
        <v>8955</v>
      </c>
      <c r="M3014">
        <v>1</v>
      </c>
      <c r="N3014">
        <v>10</v>
      </c>
      <c r="O3014" t="s">
        <v>1036</v>
      </c>
      <c r="P3014" s="17"/>
      <c r="Q3014" s="17" t="str">
        <f>_xlfn.XLOOKUP(Table2[[#This Row],[buyFromVendorNo]],'Next Day Scheduled'!A:A,'Pending Returns'!O:O,"NOT_FOUND")</f>
        <v>NOT_FOUND</v>
      </c>
    </row>
    <row r="3015" spans="1:17" x14ac:dyDescent="0.3">
      <c r="A3015" s="1">
        <v>46236</v>
      </c>
      <c r="B3015" t="s">
        <v>9021</v>
      </c>
      <c r="C3015" t="s">
        <v>846</v>
      </c>
      <c r="D3015" t="s">
        <v>847</v>
      </c>
      <c r="E3015" t="s">
        <v>8</v>
      </c>
      <c r="F3015" t="s">
        <v>10</v>
      </c>
      <c r="G3015" s="16">
        <v>105.12</v>
      </c>
      <c r="H3015" s="16">
        <v>120.88800000000001</v>
      </c>
      <c r="J3015">
        <v>23</v>
      </c>
      <c r="K3015" t="s">
        <v>9022</v>
      </c>
      <c r="M3015">
        <v>3</v>
      </c>
      <c r="N3015">
        <v>5</v>
      </c>
      <c r="O3015" t="s">
        <v>216</v>
      </c>
      <c r="P3015" s="17"/>
      <c r="Q3015" s="17" t="str">
        <f>_xlfn.XLOOKUP(Table2[[#This Row],[buyFromVendorNo]],'Next Day Scheduled'!A:A,'Pending Returns'!O:O,"NOT_FOUND")</f>
        <v>NOT_FOUND</v>
      </c>
    </row>
    <row r="3016" spans="1:17" x14ac:dyDescent="0.3">
      <c r="A3016" s="1">
        <v>46236</v>
      </c>
      <c r="B3016" t="s">
        <v>442</v>
      </c>
      <c r="C3016" t="s">
        <v>75</v>
      </c>
      <c r="D3016" t="s">
        <v>76</v>
      </c>
      <c r="E3016" t="s">
        <v>8</v>
      </c>
      <c r="F3016" t="s">
        <v>38</v>
      </c>
      <c r="G3016" s="16">
        <v>19800.002</v>
      </c>
      <c r="H3016" s="16">
        <v>22770.004000000001</v>
      </c>
      <c r="I3016" s="1">
        <v>46236</v>
      </c>
      <c r="J3016">
        <v>23</v>
      </c>
      <c r="K3016" t="s">
        <v>2656</v>
      </c>
      <c r="L3016" t="s">
        <v>9025</v>
      </c>
      <c r="M3016">
        <v>3</v>
      </c>
      <c r="N3016">
        <v>5</v>
      </c>
      <c r="O3016" t="s">
        <v>223</v>
      </c>
      <c r="P3016" s="17"/>
      <c r="Q3016" s="17" t="str">
        <f>_xlfn.XLOOKUP(Table2[[#This Row],[buyFromVendorNo]],'Next Day Scheduled'!A:A,'Pending Returns'!O:O,"NOT_FOUND")</f>
        <v>Posted Credit Note</v>
      </c>
    </row>
    <row r="3017" spans="1:17" x14ac:dyDescent="0.3">
      <c r="A3017" s="1">
        <v>46236</v>
      </c>
      <c r="B3017" t="s">
        <v>3490</v>
      </c>
      <c r="C3017" t="s">
        <v>837</v>
      </c>
      <c r="D3017" t="s">
        <v>838</v>
      </c>
      <c r="E3017" t="s">
        <v>8</v>
      </c>
      <c r="F3017" t="s">
        <v>10</v>
      </c>
      <c r="G3017" s="16">
        <v>167.96996999999999</v>
      </c>
      <c r="H3017" s="16">
        <v>193.16547</v>
      </c>
      <c r="I3017" s="1">
        <v>46232</v>
      </c>
      <c r="J3017">
        <v>23</v>
      </c>
      <c r="K3017" t="s">
        <v>8293</v>
      </c>
      <c r="L3017" t="s">
        <v>8968</v>
      </c>
      <c r="M3017">
        <v>2</v>
      </c>
      <c r="N3017">
        <v>2</v>
      </c>
      <c r="O3017" t="s">
        <v>1036</v>
      </c>
      <c r="P3017" s="17"/>
      <c r="Q3017" s="17" t="str">
        <f>_xlfn.XLOOKUP(Table2[[#This Row],[buyFromVendorNo]],'Next Day Scheduled'!A:A,'Pending Returns'!O:O,"NOT_FOUND")</f>
        <v>NOT_FOUND</v>
      </c>
    </row>
    <row r="3018" spans="1:17" x14ac:dyDescent="0.3">
      <c r="A3018" s="1">
        <v>46236</v>
      </c>
      <c r="B3018" t="s">
        <v>642</v>
      </c>
      <c r="C3018" t="s">
        <v>808</v>
      </c>
      <c r="D3018" t="s">
        <v>904</v>
      </c>
      <c r="E3018" t="s">
        <v>8</v>
      </c>
      <c r="F3018" t="s">
        <v>38</v>
      </c>
      <c r="G3018" s="16">
        <v>896.29</v>
      </c>
      <c r="H3018" s="16">
        <v>1030.7335</v>
      </c>
      <c r="I3018" s="1">
        <v>46223</v>
      </c>
      <c r="J3018">
        <v>23</v>
      </c>
      <c r="K3018" t="s">
        <v>9334</v>
      </c>
      <c r="L3018" t="s">
        <v>9599</v>
      </c>
      <c r="M3018">
        <v>5</v>
      </c>
      <c r="N3018">
        <v>2</v>
      </c>
      <c r="O3018" t="s">
        <v>1036</v>
      </c>
      <c r="P3018" s="17"/>
      <c r="Q3018" s="17" t="str">
        <f>_xlfn.XLOOKUP(Table2[[#This Row],[buyFromVendorNo]],'Next Day Scheduled'!A:A,'Pending Returns'!O:O,"NOT_FOUND")</f>
        <v>NOT_FOUND</v>
      </c>
    </row>
    <row r="3019" spans="1:17" x14ac:dyDescent="0.3">
      <c r="A3019" s="1">
        <v>46236</v>
      </c>
      <c r="B3019" t="s">
        <v>642</v>
      </c>
      <c r="C3019" t="s">
        <v>808</v>
      </c>
      <c r="D3019" t="s">
        <v>904</v>
      </c>
      <c r="E3019" t="s">
        <v>8</v>
      </c>
      <c r="F3019" t="s">
        <v>38</v>
      </c>
      <c r="G3019" s="16">
        <v>1008.93</v>
      </c>
      <c r="H3019" s="16">
        <v>1160.2695000000001</v>
      </c>
      <c r="I3019" s="1">
        <v>46231</v>
      </c>
      <c r="J3019">
        <v>23</v>
      </c>
      <c r="K3019" t="s">
        <v>8538</v>
      </c>
      <c r="L3019" t="s">
        <v>8971</v>
      </c>
      <c r="M3019">
        <v>5</v>
      </c>
      <c r="N3019">
        <v>2</v>
      </c>
      <c r="O3019" t="s">
        <v>1036</v>
      </c>
      <c r="P3019" s="17"/>
      <c r="Q3019" s="17" t="str">
        <f>_xlfn.XLOOKUP(Table2[[#This Row],[buyFromVendorNo]],'Next Day Scheduled'!A:A,'Pending Returns'!O:O,"NOT_FOUND")</f>
        <v>NOT_FOUND</v>
      </c>
    </row>
    <row r="3020" spans="1:17" x14ac:dyDescent="0.3">
      <c r="A3020" s="1">
        <v>46236</v>
      </c>
      <c r="B3020" t="s">
        <v>3526</v>
      </c>
      <c r="C3020" t="s">
        <v>2166</v>
      </c>
      <c r="D3020" t="s">
        <v>2167</v>
      </c>
      <c r="E3020" t="s">
        <v>8</v>
      </c>
      <c r="F3020" t="s">
        <v>10</v>
      </c>
      <c r="G3020" s="16">
        <v>724.89</v>
      </c>
      <c r="H3020" s="16">
        <v>833.62350000000004</v>
      </c>
      <c r="J3020">
        <v>23</v>
      </c>
      <c r="K3020" t="s">
        <v>9008</v>
      </c>
      <c r="M3020">
        <v>1</v>
      </c>
      <c r="N3020">
        <v>8</v>
      </c>
      <c r="O3020" t="s">
        <v>216</v>
      </c>
      <c r="P3020" s="17"/>
      <c r="Q3020" s="17" t="str">
        <f>_xlfn.XLOOKUP(Table2[[#This Row],[buyFromVendorNo]],'Next Day Scheduled'!A:A,'Pending Returns'!O:O,"NOT_FOUND")</f>
        <v>NOT_FOUND</v>
      </c>
    </row>
    <row r="3021" spans="1:17" x14ac:dyDescent="0.3">
      <c r="A3021" s="1">
        <v>46236</v>
      </c>
      <c r="B3021" t="s">
        <v>5394</v>
      </c>
      <c r="C3021" t="s">
        <v>1743</v>
      </c>
      <c r="D3021" t="s">
        <v>1744</v>
      </c>
      <c r="E3021" t="s">
        <v>8</v>
      </c>
      <c r="F3021" t="s">
        <v>10</v>
      </c>
      <c r="G3021" s="16">
        <v>90</v>
      </c>
      <c r="H3021" s="16">
        <v>103.5</v>
      </c>
      <c r="I3021" s="1">
        <v>46233</v>
      </c>
      <c r="J3021">
        <v>23</v>
      </c>
      <c r="K3021" t="s">
        <v>8818</v>
      </c>
      <c r="L3021" t="s">
        <v>8994</v>
      </c>
      <c r="M3021">
        <v>1</v>
      </c>
      <c r="N3021">
        <v>19</v>
      </c>
      <c r="O3021" t="s">
        <v>1036</v>
      </c>
      <c r="P3021" s="17"/>
      <c r="Q3021" s="17" t="str">
        <f>_xlfn.XLOOKUP(Table2[[#This Row],[buyFromVendorNo]],'Next Day Scheduled'!A:A,'Pending Returns'!O:O,"NOT_FOUND")</f>
        <v>NOT_FOUND</v>
      </c>
    </row>
    <row r="3022" spans="1:17" x14ac:dyDescent="0.3">
      <c r="A3022" s="1">
        <v>46236</v>
      </c>
      <c r="B3022" t="s">
        <v>3483</v>
      </c>
      <c r="C3022" t="s">
        <v>504</v>
      </c>
      <c r="D3022" t="s">
        <v>505</v>
      </c>
      <c r="E3022" t="s">
        <v>8</v>
      </c>
      <c r="F3022" t="s">
        <v>10</v>
      </c>
      <c r="G3022" s="16">
        <v>15</v>
      </c>
      <c r="H3022" s="16">
        <v>17.25</v>
      </c>
      <c r="I3022" s="1">
        <v>46236</v>
      </c>
      <c r="J3022">
        <v>23</v>
      </c>
      <c r="K3022" t="s">
        <v>8233</v>
      </c>
      <c r="L3022" t="s">
        <v>9018</v>
      </c>
      <c r="M3022">
        <v>1</v>
      </c>
      <c r="N3022">
        <v>13</v>
      </c>
      <c r="O3022" t="s">
        <v>1036</v>
      </c>
      <c r="P3022" s="17"/>
      <c r="Q3022" s="17" t="str">
        <f>_xlfn.XLOOKUP(Table2[[#This Row],[buyFromVendorNo]],'Next Day Scheduled'!A:A,'Pending Returns'!O:O,"NOT_FOUND")</f>
        <v>NOT_FOUND</v>
      </c>
    </row>
    <row r="3023" spans="1:17" x14ac:dyDescent="0.3">
      <c r="A3023" s="1">
        <v>46236</v>
      </c>
      <c r="B3023" t="s">
        <v>642</v>
      </c>
      <c r="C3023" t="s">
        <v>75</v>
      </c>
      <c r="D3023" t="s">
        <v>76</v>
      </c>
      <c r="E3023" t="s">
        <v>8</v>
      </c>
      <c r="F3023" t="s">
        <v>38</v>
      </c>
      <c r="G3023" s="16">
        <v>5393.0559999999996</v>
      </c>
      <c r="H3023" s="16">
        <v>6202.0146000000004</v>
      </c>
      <c r="I3023" s="1">
        <v>46236</v>
      </c>
      <c r="J3023">
        <v>23</v>
      </c>
      <c r="K3023" t="s">
        <v>8956</v>
      </c>
      <c r="L3023" t="s">
        <v>8957</v>
      </c>
      <c r="M3023">
        <v>3</v>
      </c>
      <c r="N3023">
        <v>5</v>
      </c>
      <c r="O3023" t="s">
        <v>223</v>
      </c>
      <c r="P3023" s="17"/>
      <c r="Q3023" s="17" t="str">
        <f>_xlfn.XLOOKUP(Table2[[#This Row],[buyFromVendorNo]],'Next Day Scheduled'!A:A,'Pending Returns'!O:O,"NOT_FOUND")</f>
        <v>Posted Credit Note</v>
      </c>
    </row>
    <row r="3024" spans="1:17" x14ac:dyDescent="0.3">
      <c r="A3024" s="1">
        <v>46236</v>
      </c>
      <c r="B3024" t="s">
        <v>642</v>
      </c>
      <c r="C3024" t="s">
        <v>808</v>
      </c>
      <c r="D3024" t="s">
        <v>904</v>
      </c>
      <c r="E3024" t="s">
        <v>8</v>
      </c>
      <c r="F3024" t="s">
        <v>38</v>
      </c>
      <c r="G3024" s="16">
        <v>2305.5700000000002</v>
      </c>
      <c r="H3024" s="16">
        <v>2651.4054999999998</v>
      </c>
      <c r="I3024" s="1">
        <v>46231</v>
      </c>
      <c r="J3024">
        <v>23</v>
      </c>
      <c r="K3024" t="s">
        <v>8413</v>
      </c>
      <c r="L3024" t="s">
        <v>9019</v>
      </c>
      <c r="M3024">
        <v>5</v>
      </c>
      <c r="N3024">
        <v>2</v>
      </c>
      <c r="O3024" t="s">
        <v>1036</v>
      </c>
      <c r="P3024" s="17"/>
      <c r="Q3024" s="17" t="str">
        <f>_xlfn.XLOOKUP(Table2[[#This Row],[buyFromVendorNo]],'Next Day Scheduled'!A:A,'Pending Returns'!O:O,"NOT_FOUND")</f>
        <v>NOT_FOUND</v>
      </c>
    </row>
    <row r="3025" spans="1:17" x14ac:dyDescent="0.3">
      <c r="A3025" s="1">
        <v>46236</v>
      </c>
      <c r="B3025" t="s">
        <v>3279</v>
      </c>
      <c r="C3025" t="s">
        <v>191</v>
      </c>
      <c r="D3025" t="s">
        <v>192</v>
      </c>
      <c r="E3025" t="s">
        <v>8</v>
      </c>
      <c r="F3025" t="s">
        <v>10</v>
      </c>
      <c r="G3025" s="16">
        <v>358.94</v>
      </c>
      <c r="H3025" s="16">
        <v>412.78100000000001</v>
      </c>
      <c r="I3025" s="1">
        <v>46236</v>
      </c>
      <c r="J3025">
        <v>23</v>
      </c>
      <c r="K3025" t="s">
        <v>8448</v>
      </c>
      <c r="L3025" t="s">
        <v>9020</v>
      </c>
      <c r="M3025">
        <v>3</v>
      </c>
      <c r="N3025">
        <v>3</v>
      </c>
      <c r="O3025" t="s">
        <v>1036</v>
      </c>
      <c r="P3025" s="17"/>
      <c r="Q3025" s="17" t="str">
        <f>_xlfn.XLOOKUP(Table2[[#This Row],[buyFromVendorNo]],'Next Day Scheduled'!A:A,'Pending Returns'!O:O,"NOT_FOUND")</f>
        <v>NOT_FOUND</v>
      </c>
    </row>
    <row r="3026" spans="1:17" x14ac:dyDescent="0.3">
      <c r="A3026" s="1">
        <v>46236</v>
      </c>
      <c r="B3026" t="s">
        <v>2562</v>
      </c>
      <c r="C3026" t="s">
        <v>502</v>
      </c>
      <c r="D3026" t="s">
        <v>503</v>
      </c>
      <c r="E3026" t="s">
        <v>8</v>
      </c>
      <c r="F3026" t="s">
        <v>10</v>
      </c>
      <c r="G3026" s="16">
        <v>177.17</v>
      </c>
      <c r="H3026" s="16">
        <v>203.74549999999999</v>
      </c>
      <c r="I3026" s="1">
        <v>46236</v>
      </c>
      <c r="J3026">
        <v>23</v>
      </c>
      <c r="K3026" t="s">
        <v>8552</v>
      </c>
      <c r="L3026" t="s">
        <v>8998</v>
      </c>
      <c r="M3026">
        <v>1</v>
      </c>
      <c r="N3026">
        <v>1</v>
      </c>
      <c r="O3026" t="s">
        <v>1036</v>
      </c>
      <c r="P3026" s="17"/>
      <c r="Q3026" s="17" t="str">
        <f>_xlfn.XLOOKUP(Table2[[#This Row],[buyFromVendorNo]],'Next Day Scheduled'!A:A,'Pending Returns'!O:O,"NOT_FOUND")</f>
        <v>NOT_FOUND</v>
      </c>
    </row>
    <row r="3027" spans="1:17" x14ac:dyDescent="0.3">
      <c r="A3027" s="1">
        <v>46236</v>
      </c>
      <c r="B3027" t="s">
        <v>3715</v>
      </c>
      <c r="C3027" t="s">
        <v>4370</v>
      </c>
      <c r="D3027" t="s">
        <v>4146</v>
      </c>
      <c r="E3027" t="s">
        <v>8</v>
      </c>
      <c r="F3027" t="s">
        <v>169</v>
      </c>
      <c r="G3027" s="16">
        <v>143</v>
      </c>
      <c r="H3027" s="16">
        <v>164.45</v>
      </c>
      <c r="I3027" s="1">
        <v>46232</v>
      </c>
      <c r="J3027">
        <v>23</v>
      </c>
      <c r="K3027" t="s">
        <v>8767</v>
      </c>
      <c r="L3027" t="s">
        <v>8980</v>
      </c>
      <c r="M3027">
        <v>4</v>
      </c>
      <c r="N3027">
        <v>1</v>
      </c>
      <c r="O3027" t="s">
        <v>1036</v>
      </c>
      <c r="P3027" s="17"/>
      <c r="Q3027" s="17" t="str">
        <f>_xlfn.XLOOKUP(Table2[[#This Row],[buyFromVendorNo]],'Next Day Scheduled'!A:A,'Pending Returns'!O:O,"NOT_FOUND")</f>
        <v>NOT_FOUND</v>
      </c>
    </row>
    <row r="3028" spans="1:17" x14ac:dyDescent="0.3">
      <c r="A3028" s="1">
        <v>46236</v>
      </c>
      <c r="B3028" t="s">
        <v>2001</v>
      </c>
      <c r="C3028" t="s">
        <v>191</v>
      </c>
      <c r="D3028" t="s">
        <v>192</v>
      </c>
      <c r="E3028" t="s">
        <v>8</v>
      </c>
      <c r="F3028" t="s">
        <v>10</v>
      </c>
      <c r="G3028" s="16">
        <v>1018.53</v>
      </c>
      <c r="H3028" s="16">
        <v>1171.3094000000001</v>
      </c>
      <c r="I3028" s="1">
        <v>46236</v>
      </c>
      <c r="J3028">
        <v>23</v>
      </c>
      <c r="K3028" t="s">
        <v>8880</v>
      </c>
      <c r="L3028" t="s">
        <v>9031</v>
      </c>
      <c r="M3028">
        <v>3</v>
      </c>
      <c r="N3028">
        <v>3</v>
      </c>
      <c r="O3028" t="s">
        <v>1036</v>
      </c>
      <c r="P3028" s="17"/>
      <c r="Q3028" s="17" t="str">
        <f>_xlfn.XLOOKUP(Table2[[#This Row],[buyFromVendorNo]],'Next Day Scheduled'!A:A,'Pending Returns'!O:O,"NOT_FOUND")</f>
        <v>NOT_FOUND</v>
      </c>
    </row>
    <row r="3029" spans="1:17" x14ac:dyDescent="0.3">
      <c r="A3029" s="1">
        <v>46236</v>
      </c>
      <c r="B3029" t="s">
        <v>3691</v>
      </c>
      <c r="C3029" t="s">
        <v>173</v>
      </c>
      <c r="D3029" t="s">
        <v>174</v>
      </c>
      <c r="E3029" t="s">
        <v>8</v>
      </c>
      <c r="F3029" t="s">
        <v>10</v>
      </c>
      <c r="G3029" s="16">
        <v>504.26</v>
      </c>
      <c r="H3029" s="16">
        <v>579.899</v>
      </c>
      <c r="J3029">
        <v>23</v>
      </c>
      <c r="K3029" t="s">
        <v>9002</v>
      </c>
      <c r="M3029">
        <v>10</v>
      </c>
      <c r="N3029">
        <v>1</v>
      </c>
      <c r="O3029" t="s">
        <v>216</v>
      </c>
      <c r="P3029" s="17"/>
      <c r="Q3029" s="17" t="str">
        <f>_xlfn.XLOOKUP(Table2[[#This Row],[buyFromVendorNo]],'Next Day Scheduled'!A:A,'Pending Returns'!O:O,"NOT_FOUND")</f>
        <v>NOT_FOUND</v>
      </c>
    </row>
    <row r="3030" spans="1:17" x14ac:dyDescent="0.3">
      <c r="A3030" s="1">
        <v>46236</v>
      </c>
      <c r="B3030" t="s">
        <v>5426</v>
      </c>
      <c r="C3030" t="s">
        <v>8988</v>
      </c>
      <c r="D3030" t="s">
        <v>8989</v>
      </c>
      <c r="E3030" t="s">
        <v>8</v>
      </c>
      <c r="F3030" t="s">
        <v>10</v>
      </c>
      <c r="G3030" s="16">
        <v>593.79999999999995</v>
      </c>
      <c r="H3030" s="16">
        <v>682.87</v>
      </c>
      <c r="J3030">
        <v>23</v>
      </c>
      <c r="K3030" t="s">
        <v>9005</v>
      </c>
      <c r="M3030">
        <v>0</v>
      </c>
      <c r="N3030">
        <v>229</v>
      </c>
      <c r="O3030" t="s">
        <v>216</v>
      </c>
      <c r="P3030" s="17"/>
      <c r="Q3030" s="17" t="str">
        <f>_xlfn.XLOOKUP(Table2[[#This Row],[buyFromVendorNo]],'Next Day Scheduled'!A:A,'Pending Returns'!O:O,"NOT_FOUND")</f>
        <v>NOT_FOUND</v>
      </c>
    </row>
    <row r="3031" spans="1:17" x14ac:dyDescent="0.3">
      <c r="A3031" s="1">
        <v>46236</v>
      </c>
      <c r="B3031" t="s">
        <v>7350</v>
      </c>
      <c r="C3031" t="s">
        <v>53</v>
      </c>
      <c r="D3031" t="s">
        <v>54</v>
      </c>
      <c r="E3031" t="s">
        <v>8</v>
      </c>
      <c r="F3031" t="s">
        <v>10</v>
      </c>
      <c r="G3031" s="16">
        <v>349</v>
      </c>
      <c r="H3031" s="16">
        <v>401.35</v>
      </c>
      <c r="J3031">
        <v>23</v>
      </c>
      <c r="K3031" t="s">
        <v>9006</v>
      </c>
      <c r="M3031">
        <v>14</v>
      </c>
      <c r="N3031">
        <v>1</v>
      </c>
      <c r="O3031" t="s">
        <v>216</v>
      </c>
      <c r="P3031" s="17"/>
      <c r="Q3031" s="17" t="str">
        <f>_xlfn.XLOOKUP(Table2[[#This Row],[buyFromVendorNo]],'Next Day Scheduled'!A:A,'Pending Returns'!O:O,"NOT_FOUND")</f>
        <v>Posted Credit Note</v>
      </c>
    </row>
    <row r="3032" spans="1:17" x14ac:dyDescent="0.3">
      <c r="A3032" s="1">
        <v>46236</v>
      </c>
      <c r="B3032" t="s">
        <v>642</v>
      </c>
      <c r="C3032" t="s">
        <v>808</v>
      </c>
      <c r="D3032" t="s">
        <v>904</v>
      </c>
      <c r="E3032" t="s">
        <v>8</v>
      </c>
      <c r="F3032" t="s">
        <v>38</v>
      </c>
      <c r="G3032" s="16">
        <v>406.58</v>
      </c>
      <c r="H3032" s="16">
        <v>467.56700000000001</v>
      </c>
      <c r="I3032" s="1">
        <v>46231</v>
      </c>
      <c r="J3032">
        <v>23</v>
      </c>
      <c r="K3032" t="s">
        <v>8455</v>
      </c>
      <c r="L3032" t="s">
        <v>8851</v>
      </c>
      <c r="M3032">
        <v>5</v>
      </c>
      <c r="N3032">
        <v>2</v>
      </c>
      <c r="O3032" t="s">
        <v>1036</v>
      </c>
      <c r="P3032" s="17"/>
      <c r="Q3032" s="17" t="str">
        <f>_xlfn.XLOOKUP(Table2[[#This Row],[buyFromVendorNo]],'Next Day Scheduled'!A:A,'Pending Returns'!O:O,"NOT_FOUND")</f>
        <v>NOT_FOUND</v>
      </c>
    </row>
    <row r="3033" spans="1:17" x14ac:dyDescent="0.3">
      <c r="A3033" s="1">
        <v>46236</v>
      </c>
      <c r="B3033" t="s">
        <v>642</v>
      </c>
      <c r="C3033" t="s">
        <v>808</v>
      </c>
      <c r="D3033" t="s">
        <v>904</v>
      </c>
      <c r="E3033" t="s">
        <v>8</v>
      </c>
      <c r="F3033" t="s">
        <v>38</v>
      </c>
      <c r="G3033" s="16">
        <v>9258.875</v>
      </c>
      <c r="H3033" s="16">
        <v>10647.706</v>
      </c>
      <c r="I3033" s="1">
        <v>46223</v>
      </c>
      <c r="J3033">
        <v>23</v>
      </c>
      <c r="K3033" t="s">
        <v>7496</v>
      </c>
      <c r="L3033" t="s">
        <v>8987</v>
      </c>
      <c r="M3033">
        <v>5</v>
      </c>
      <c r="N3033">
        <v>2</v>
      </c>
      <c r="O3033" t="s">
        <v>1036</v>
      </c>
      <c r="P3033" s="17"/>
      <c r="Q3033" s="17" t="str">
        <f>_xlfn.XLOOKUP(Table2[[#This Row],[buyFromVendorNo]],'Next Day Scheduled'!A:A,'Pending Returns'!O:O,"NOT_FOUND")</f>
        <v>NOT_FOUND</v>
      </c>
    </row>
    <row r="3034" spans="1:17" x14ac:dyDescent="0.3">
      <c r="A3034" s="1">
        <v>46236</v>
      </c>
      <c r="B3034" t="s">
        <v>2796</v>
      </c>
      <c r="C3034" t="s">
        <v>837</v>
      </c>
      <c r="D3034" t="s">
        <v>838</v>
      </c>
      <c r="E3034" t="s">
        <v>8</v>
      </c>
      <c r="F3034" t="s">
        <v>10</v>
      </c>
      <c r="G3034" s="16">
        <v>271.46005000000002</v>
      </c>
      <c r="H3034" s="16">
        <v>312.17908</v>
      </c>
      <c r="I3034" s="1">
        <v>46232</v>
      </c>
      <c r="J3034">
        <v>23</v>
      </c>
      <c r="K3034" t="s">
        <v>7780</v>
      </c>
      <c r="L3034" t="s">
        <v>8951</v>
      </c>
      <c r="M3034">
        <v>2</v>
      </c>
      <c r="N3034">
        <v>2</v>
      </c>
      <c r="O3034" t="s">
        <v>1036</v>
      </c>
      <c r="P3034" s="17"/>
      <c r="Q3034" s="17" t="str">
        <f>_xlfn.XLOOKUP(Table2[[#This Row],[buyFromVendorNo]],'Next Day Scheduled'!A:A,'Pending Returns'!O:O,"NOT_FOUND")</f>
        <v>NOT_FOUND</v>
      </c>
    </row>
    <row r="3035" spans="1:17" x14ac:dyDescent="0.3">
      <c r="A3035" s="1">
        <v>46236</v>
      </c>
      <c r="B3035" t="s">
        <v>8170</v>
      </c>
      <c r="C3035" t="s">
        <v>297</v>
      </c>
      <c r="D3035" t="s">
        <v>298</v>
      </c>
      <c r="E3035" t="s">
        <v>8</v>
      </c>
      <c r="F3035" t="s">
        <v>10</v>
      </c>
      <c r="G3035" s="16">
        <v>16.079999999999998</v>
      </c>
      <c r="H3035" s="16">
        <v>18.492000000000001</v>
      </c>
      <c r="I3035" s="1">
        <v>46233</v>
      </c>
      <c r="J3035">
        <v>23</v>
      </c>
      <c r="K3035" t="s">
        <v>8171</v>
      </c>
      <c r="L3035" t="s">
        <v>8952</v>
      </c>
      <c r="M3035">
        <v>3</v>
      </c>
      <c r="N3035">
        <v>7</v>
      </c>
      <c r="O3035" t="s">
        <v>1036</v>
      </c>
      <c r="P3035" s="17"/>
      <c r="Q3035" s="17" t="str">
        <f>_xlfn.XLOOKUP(Table2[[#This Row],[buyFromVendorNo]],'Next Day Scheduled'!A:A,'Pending Returns'!O:O,"NOT_FOUND")</f>
        <v>NOT_FOUND</v>
      </c>
    </row>
    <row r="3036" spans="1:17" x14ac:dyDescent="0.3">
      <c r="A3036" s="1">
        <v>46236</v>
      </c>
      <c r="B3036" t="s">
        <v>5426</v>
      </c>
      <c r="C3036" t="s">
        <v>1743</v>
      </c>
      <c r="D3036" t="s">
        <v>1744</v>
      </c>
      <c r="E3036" t="s">
        <v>8</v>
      </c>
      <c r="F3036" t="s">
        <v>10</v>
      </c>
      <c r="G3036" s="16">
        <v>679</v>
      </c>
      <c r="H3036" s="16">
        <v>780.85</v>
      </c>
      <c r="I3036" s="1">
        <v>46233</v>
      </c>
      <c r="J3036">
        <v>23</v>
      </c>
      <c r="K3036" t="s">
        <v>8651</v>
      </c>
      <c r="L3036" t="s">
        <v>9011</v>
      </c>
      <c r="M3036">
        <v>1</v>
      </c>
      <c r="N3036">
        <v>19</v>
      </c>
      <c r="O3036" t="s">
        <v>1036</v>
      </c>
      <c r="P3036" s="17"/>
      <c r="Q3036" s="17" t="str">
        <f>_xlfn.XLOOKUP(Table2[[#This Row],[buyFromVendorNo]],'Next Day Scheduled'!A:A,'Pending Returns'!O:O,"NOT_FOUND")</f>
        <v>NOT_FOUND</v>
      </c>
    </row>
    <row r="3037" spans="1:17" x14ac:dyDescent="0.3">
      <c r="A3037" s="1">
        <v>46236</v>
      </c>
      <c r="B3037" t="s">
        <v>442</v>
      </c>
      <c r="C3037" t="s">
        <v>75</v>
      </c>
      <c r="D3037" t="s">
        <v>76</v>
      </c>
      <c r="E3037" t="s">
        <v>8</v>
      </c>
      <c r="F3037" t="s">
        <v>38</v>
      </c>
      <c r="G3037" s="16">
        <v>19800.002</v>
      </c>
      <c r="H3037" s="16">
        <v>22770.004000000001</v>
      </c>
      <c r="I3037" s="1">
        <v>46236</v>
      </c>
      <c r="J3037">
        <v>23</v>
      </c>
      <c r="K3037" t="s">
        <v>2587</v>
      </c>
      <c r="L3037" t="s">
        <v>8959</v>
      </c>
      <c r="M3037">
        <v>3</v>
      </c>
      <c r="N3037">
        <v>5</v>
      </c>
      <c r="O3037" t="s">
        <v>223</v>
      </c>
      <c r="P3037" s="17"/>
      <c r="Q3037" s="17" t="str">
        <f>_xlfn.XLOOKUP(Table2[[#This Row],[buyFromVendorNo]],'Next Day Scheduled'!A:A,'Pending Returns'!O:O,"NOT_FOUND")</f>
        <v>Posted Credit Note</v>
      </c>
    </row>
    <row r="3038" spans="1:17" x14ac:dyDescent="0.3">
      <c r="A3038" s="1">
        <v>46236</v>
      </c>
      <c r="B3038" t="s">
        <v>8996</v>
      </c>
      <c r="C3038" t="s">
        <v>188</v>
      </c>
      <c r="D3038" t="s">
        <v>189</v>
      </c>
      <c r="E3038" t="s">
        <v>8</v>
      </c>
      <c r="F3038" t="s">
        <v>10</v>
      </c>
      <c r="G3038" s="16">
        <v>87.5</v>
      </c>
      <c r="H3038" s="16">
        <v>100.625</v>
      </c>
      <c r="J3038">
        <v>23</v>
      </c>
      <c r="K3038" t="s">
        <v>8997</v>
      </c>
      <c r="M3038">
        <v>0</v>
      </c>
      <c r="N3038">
        <v>607</v>
      </c>
      <c r="O3038" t="s">
        <v>216</v>
      </c>
      <c r="P3038" s="17"/>
      <c r="Q3038" s="17" t="str">
        <f>_xlfn.XLOOKUP(Table2[[#This Row],[buyFromVendorNo]],'Next Day Scheduled'!A:A,'Pending Returns'!O:O,"NOT_FOUND")</f>
        <v>NOT_FOUND</v>
      </c>
    </row>
    <row r="3039" spans="1:17" x14ac:dyDescent="0.3">
      <c r="A3039" s="1">
        <v>46236</v>
      </c>
      <c r="B3039" t="s">
        <v>8047</v>
      </c>
      <c r="C3039" t="s">
        <v>1411</v>
      </c>
      <c r="D3039" t="s">
        <v>1412</v>
      </c>
      <c r="E3039" t="s">
        <v>8</v>
      </c>
      <c r="F3039" t="s">
        <v>10</v>
      </c>
      <c r="G3039" s="16">
        <v>9.3800000000000008</v>
      </c>
      <c r="H3039" s="16">
        <v>10.787000000000001</v>
      </c>
      <c r="J3039">
        <v>23</v>
      </c>
      <c r="K3039" t="s">
        <v>8963</v>
      </c>
      <c r="M3039">
        <v>3</v>
      </c>
      <c r="N3039">
        <v>3</v>
      </c>
      <c r="O3039" t="s">
        <v>216</v>
      </c>
      <c r="P3039" s="17"/>
      <c r="Q3039" s="17" t="str">
        <f>_xlfn.XLOOKUP(Table2[[#This Row],[buyFromVendorNo]],'Next Day Scheduled'!A:A,'Pending Returns'!O:O,"NOT_FOUND")</f>
        <v>NOT_FOUND</v>
      </c>
    </row>
    <row r="3040" spans="1:17" x14ac:dyDescent="0.3">
      <c r="A3040" s="1">
        <v>46236</v>
      </c>
      <c r="B3040" t="s">
        <v>642</v>
      </c>
      <c r="C3040" t="s">
        <v>808</v>
      </c>
      <c r="D3040" t="s">
        <v>904</v>
      </c>
      <c r="E3040" t="s">
        <v>8</v>
      </c>
      <c r="F3040" t="s">
        <v>38</v>
      </c>
      <c r="G3040" s="16">
        <v>184.53399999999999</v>
      </c>
      <c r="H3040" s="16">
        <v>212.2141</v>
      </c>
      <c r="I3040" s="1">
        <v>46223</v>
      </c>
      <c r="J3040">
        <v>23</v>
      </c>
      <c r="K3040" t="s">
        <v>7514</v>
      </c>
      <c r="L3040" t="s">
        <v>9029</v>
      </c>
      <c r="M3040">
        <v>5</v>
      </c>
      <c r="N3040">
        <v>2</v>
      </c>
      <c r="O3040" t="s">
        <v>1036</v>
      </c>
      <c r="P3040" s="17"/>
      <c r="Q3040" s="17" t="str">
        <f>_xlfn.XLOOKUP(Table2[[#This Row],[buyFromVendorNo]],'Next Day Scheduled'!A:A,'Pending Returns'!O:O,"NOT_FOUND")</f>
        <v>NOT_FOUND</v>
      </c>
    </row>
    <row r="3041" spans="1:17" x14ac:dyDescent="0.3">
      <c r="A3041" s="1">
        <v>46236</v>
      </c>
      <c r="B3041" t="s">
        <v>2745</v>
      </c>
      <c r="C3041" t="s">
        <v>1161</v>
      </c>
      <c r="D3041" t="s">
        <v>1162</v>
      </c>
      <c r="E3041" t="s">
        <v>8</v>
      </c>
      <c r="F3041" t="s">
        <v>10</v>
      </c>
      <c r="G3041" s="16">
        <v>2251.8200000000002</v>
      </c>
      <c r="H3041" s="16">
        <v>2589.5929999999998</v>
      </c>
      <c r="I3041" s="1">
        <v>46233</v>
      </c>
      <c r="J3041">
        <v>23</v>
      </c>
      <c r="K3041" t="s">
        <v>8568</v>
      </c>
      <c r="L3041" t="s">
        <v>8979</v>
      </c>
      <c r="M3041">
        <v>3</v>
      </c>
      <c r="N3041">
        <v>6</v>
      </c>
      <c r="O3041" t="s">
        <v>1036</v>
      </c>
      <c r="P3041" s="17"/>
      <c r="Q3041" s="17" t="str">
        <f>_xlfn.XLOOKUP(Table2[[#This Row],[buyFromVendorNo]],'Next Day Scheduled'!A:A,'Pending Returns'!O:O,"NOT_FOUND")</f>
        <v>NOT_FOUND</v>
      </c>
    </row>
    <row r="3042" spans="1:17" x14ac:dyDescent="0.3">
      <c r="A3042" s="1">
        <v>46236</v>
      </c>
      <c r="B3042" t="s">
        <v>5358</v>
      </c>
      <c r="C3042" t="s">
        <v>863</v>
      </c>
      <c r="D3042" t="s">
        <v>864</v>
      </c>
      <c r="E3042" t="s">
        <v>8</v>
      </c>
      <c r="F3042" t="s">
        <v>10</v>
      </c>
      <c r="G3042" s="16">
        <v>773.5</v>
      </c>
      <c r="H3042" s="16">
        <v>889.52499999999998</v>
      </c>
      <c r="I3042" s="1">
        <v>46217</v>
      </c>
      <c r="J3042">
        <v>23</v>
      </c>
      <c r="K3042" t="s">
        <v>7208</v>
      </c>
      <c r="L3042" t="s">
        <v>8966</v>
      </c>
      <c r="M3042">
        <v>1</v>
      </c>
      <c r="N3042">
        <v>7</v>
      </c>
      <c r="O3042" t="s">
        <v>1036</v>
      </c>
      <c r="P3042" s="17"/>
      <c r="Q3042" s="17" t="str">
        <f>_xlfn.XLOOKUP(Table2[[#This Row],[buyFromVendorNo]],'Next Day Scheduled'!A:A,'Pending Returns'!O:O,"NOT_FOUND")</f>
        <v>NOT_FOUND</v>
      </c>
    </row>
    <row r="3043" spans="1:17" x14ac:dyDescent="0.3">
      <c r="A3043" s="1">
        <v>46236</v>
      </c>
      <c r="B3043" t="s">
        <v>8159</v>
      </c>
      <c r="C3043" t="s">
        <v>177</v>
      </c>
      <c r="D3043" t="s">
        <v>178</v>
      </c>
      <c r="E3043" t="s">
        <v>8</v>
      </c>
      <c r="F3043" t="s">
        <v>10</v>
      </c>
      <c r="G3043" s="16">
        <v>161.75</v>
      </c>
      <c r="H3043" s="16">
        <v>186.01249999999999</v>
      </c>
      <c r="J3043">
        <v>23</v>
      </c>
      <c r="K3043" t="s">
        <v>8967</v>
      </c>
      <c r="M3043">
        <v>8</v>
      </c>
      <c r="N3043">
        <v>2</v>
      </c>
      <c r="O3043" t="s">
        <v>216</v>
      </c>
      <c r="P3043" s="17"/>
      <c r="Q3043" s="17" t="str">
        <f>_xlfn.XLOOKUP(Table2[[#This Row],[buyFromVendorNo]],'Next Day Scheduled'!A:A,'Pending Returns'!O:O,"NOT_FOUND")</f>
        <v>Posted Credit Note</v>
      </c>
    </row>
    <row r="3044" spans="1:17" x14ac:dyDescent="0.3">
      <c r="A3044" s="1">
        <v>46236</v>
      </c>
      <c r="B3044" t="s">
        <v>9032</v>
      </c>
      <c r="C3044" t="s">
        <v>899</v>
      </c>
      <c r="D3044" t="s">
        <v>900</v>
      </c>
      <c r="E3044" t="s">
        <v>8</v>
      </c>
      <c r="F3044" t="s">
        <v>10</v>
      </c>
      <c r="G3044" s="16">
        <v>192</v>
      </c>
      <c r="H3044" s="16">
        <v>220.8</v>
      </c>
      <c r="J3044">
        <v>23</v>
      </c>
      <c r="K3044" t="s">
        <v>9033</v>
      </c>
      <c r="M3044">
        <v>0</v>
      </c>
      <c r="N3044">
        <v>643</v>
      </c>
      <c r="O3044" t="s">
        <v>216</v>
      </c>
      <c r="P3044" s="17"/>
      <c r="Q3044" s="17" t="str">
        <f>_xlfn.XLOOKUP(Table2[[#This Row],[buyFromVendorNo]],'Next Day Scheduled'!A:A,'Pending Returns'!O:O,"NOT_FOUND")</f>
        <v>NOT_FOUND</v>
      </c>
    </row>
    <row r="3045" spans="1:17" x14ac:dyDescent="0.3">
      <c r="A3045" s="1">
        <v>46236</v>
      </c>
      <c r="B3045" t="s">
        <v>5514</v>
      </c>
      <c r="C3045" t="s">
        <v>494</v>
      </c>
      <c r="D3045" t="s">
        <v>495</v>
      </c>
      <c r="E3045" t="s">
        <v>8</v>
      </c>
      <c r="F3045" t="s">
        <v>10</v>
      </c>
      <c r="G3045" s="16">
        <v>1536.5</v>
      </c>
      <c r="H3045" s="16">
        <v>1766.9749999999999</v>
      </c>
      <c r="I3045" s="1">
        <v>46229</v>
      </c>
      <c r="J3045">
        <v>23</v>
      </c>
      <c r="K3045" t="s">
        <v>7562</v>
      </c>
      <c r="L3045" t="s">
        <v>9003</v>
      </c>
      <c r="M3045">
        <v>3</v>
      </c>
      <c r="N3045">
        <v>7</v>
      </c>
      <c r="O3045" t="s">
        <v>1036</v>
      </c>
      <c r="P3045" s="17"/>
      <c r="Q3045" s="17" t="str">
        <f>_xlfn.XLOOKUP(Table2[[#This Row],[buyFromVendorNo]],'Next Day Scheduled'!A:A,'Pending Returns'!O:O,"NOT_FOUND")</f>
        <v>Posted Credit Note</v>
      </c>
    </row>
    <row r="3046" spans="1:17" x14ac:dyDescent="0.3">
      <c r="A3046" s="1">
        <v>46236</v>
      </c>
      <c r="B3046" t="s">
        <v>275</v>
      </c>
      <c r="C3046" t="s">
        <v>854</v>
      </c>
      <c r="D3046" t="s">
        <v>855</v>
      </c>
      <c r="E3046" t="s">
        <v>8</v>
      </c>
      <c r="F3046" t="s">
        <v>10</v>
      </c>
      <c r="G3046" s="16">
        <v>63.57</v>
      </c>
      <c r="H3046" s="16">
        <v>63.57</v>
      </c>
      <c r="J3046">
        <v>23</v>
      </c>
      <c r="K3046" t="s">
        <v>9012</v>
      </c>
      <c r="M3046">
        <v>5</v>
      </c>
      <c r="N3046">
        <v>6</v>
      </c>
      <c r="O3046" t="s">
        <v>216</v>
      </c>
      <c r="P3046" s="17"/>
      <c r="Q3046" s="17" t="str">
        <f>_xlfn.XLOOKUP(Table2[[#This Row],[buyFromVendorNo]],'Next Day Scheduled'!A:A,'Pending Returns'!O:O,"NOT_FOUND")</f>
        <v>Posted Credit Note</v>
      </c>
    </row>
    <row r="3047" spans="1:17" x14ac:dyDescent="0.3">
      <c r="A3047" s="1">
        <v>46237</v>
      </c>
      <c r="B3047" t="s">
        <v>3321</v>
      </c>
      <c r="C3047" t="s">
        <v>11</v>
      </c>
      <c r="D3047" t="s">
        <v>12</v>
      </c>
      <c r="E3047" t="s">
        <v>8</v>
      </c>
      <c r="F3047" t="s">
        <v>10</v>
      </c>
      <c r="G3047" s="16">
        <v>426</v>
      </c>
      <c r="H3047" s="16">
        <v>489.9</v>
      </c>
      <c r="I3047" s="1">
        <v>46223</v>
      </c>
      <c r="J3047">
        <v>22</v>
      </c>
      <c r="K3047" t="s">
        <v>5037</v>
      </c>
      <c r="L3047" t="s">
        <v>9163</v>
      </c>
      <c r="M3047">
        <v>0</v>
      </c>
      <c r="N3047">
        <v>178</v>
      </c>
      <c r="O3047" t="s">
        <v>1036</v>
      </c>
      <c r="P3047" s="17"/>
      <c r="Q3047" s="17" t="str">
        <f>_xlfn.XLOOKUP(Table2[[#This Row],[buyFromVendorNo]],'Next Day Scheduled'!A:A,'Pending Returns'!O:O,"NOT_FOUND")</f>
        <v>NOT_FOUND</v>
      </c>
    </row>
    <row r="3048" spans="1:17" x14ac:dyDescent="0.3">
      <c r="A3048" s="1">
        <v>46237</v>
      </c>
      <c r="B3048" t="s">
        <v>6933</v>
      </c>
      <c r="C3048" t="s">
        <v>3773</v>
      </c>
      <c r="D3048" t="s">
        <v>3774</v>
      </c>
      <c r="E3048" t="s">
        <v>8</v>
      </c>
      <c r="F3048" t="s">
        <v>10</v>
      </c>
      <c r="G3048" s="16">
        <v>22947.776999999998</v>
      </c>
      <c r="H3048" s="16">
        <v>26389.942999999999</v>
      </c>
      <c r="I3048" s="1">
        <v>46238</v>
      </c>
      <c r="J3048">
        <v>22</v>
      </c>
      <c r="K3048" t="s">
        <v>8820</v>
      </c>
      <c r="L3048" t="s">
        <v>9092</v>
      </c>
      <c r="M3048">
        <v>3</v>
      </c>
      <c r="N3048">
        <v>2</v>
      </c>
      <c r="O3048" t="s">
        <v>223</v>
      </c>
      <c r="P3048" s="17"/>
      <c r="Q3048" s="17" t="str">
        <f>_xlfn.XLOOKUP(Table2[[#This Row],[buyFromVendorNo]],'Next Day Scheduled'!A:A,'Pending Returns'!O:O,"NOT_FOUND")</f>
        <v>NOT_FOUND</v>
      </c>
    </row>
    <row r="3049" spans="1:17" x14ac:dyDescent="0.3">
      <c r="A3049" s="1">
        <v>46237</v>
      </c>
      <c r="B3049" t="s">
        <v>3263</v>
      </c>
      <c r="C3049" t="s">
        <v>146</v>
      </c>
      <c r="D3049" t="s">
        <v>147</v>
      </c>
      <c r="E3049" t="s">
        <v>8</v>
      </c>
      <c r="F3049" t="s">
        <v>10</v>
      </c>
      <c r="G3049" s="16">
        <v>21.6</v>
      </c>
      <c r="H3049" s="16">
        <v>24.84</v>
      </c>
      <c r="I3049" s="1">
        <v>46237</v>
      </c>
      <c r="J3049">
        <v>22</v>
      </c>
      <c r="K3049" t="s">
        <v>7574</v>
      </c>
      <c r="L3049" t="s">
        <v>9093</v>
      </c>
      <c r="M3049">
        <v>3</v>
      </c>
      <c r="N3049">
        <v>2</v>
      </c>
      <c r="O3049" t="s">
        <v>1036</v>
      </c>
      <c r="P3049" s="17"/>
      <c r="Q3049" s="17" t="str">
        <f>_xlfn.XLOOKUP(Table2[[#This Row],[buyFromVendorNo]],'Next Day Scheduled'!A:A,'Pending Returns'!O:O,"NOT_FOUND")</f>
        <v>NOT_FOUND</v>
      </c>
    </row>
    <row r="3050" spans="1:17" x14ac:dyDescent="0.3">
      <c r="A3050" s="1">
        <v>46237</v>
      </c>
      <c r="B3050" t="s">
        <v>6775</v>
      </c>
      <c r="C3050" t="s">
        <v>65</v>
      </c>
      <c r="D3050" t="s">
        <v>66</v>
      </c>
      <c r="E3050" t="s">
        <v>8</v>
      </c>
      <c r="F3050" t="s">
        <v>169</v>
      </c>
      <c r="G3050" s="16">
        <v>1519.9</v>
      </c>
      <c r="H3050" s="16">
        <v>1747.885</v>
      </c>
      <c r="I3050" s="1">
        <v>46235</v>
      </c>
      <c r="J3050">
        <v>22</v>
      </c>
      <c r="K3050" t="s">
        <v>8911</v>
      </c>
      <c r="L3050" t="s">
        <v>9094</v>
      </c>
      <c r="M3050">
        <v>6</v>
      </c>
      <c r="N3050">
        <v>5</v>
      </c>
      <c r="O3050" t="s">
        <v>1036</v>
      </c>
      <c r="P3050" s="17"/>
      <c r="Q3050" s="17" t="str">
        <f>_xlfn.XLOOKUP(Table2[[#This Row],[buyFromVendorNo]],'Next Day Scheduled'!A:A,'Pending Returns'!O:O,"NOT_FOUND")</f>
        <v>Posted Credit Note</v>
      </c>
    </row>
    <row r="3051" spans="1:17" x14ac:dyDescent="0.3">
      <c r="A3051" s="1">
        <v>46237</v>
      </c>
      <c r="B3051" t="s">
        <v>2203</v>
      </c>
      <c r="C3051" t="s">
        <v>65</v>
      </c>
      <c r="D3051" t="s">
        <v>66</v>
      </c>
      <c r="E3051" t="s">
        <v>8</v>
      </c>
      <c r="F3051" t="s">
        <v>10</v>
      </c>
      <c r="G3051" s="16">
        <v>5157.4224000000004</v>
      </c>
      <c r="H3051" s="16">
        <v>5931.0356000000002</v>
      </c>
      <c r="I3051" s="1">
        <v>46230</v>
      </c>
      <c r="J3051">
        <v>22</v>
      </c>
      <c r="K3051" t="s">
        <v>7679</v>
      </c>
      <c r="L3051" t="s">
        <v>9059</v>
      </c>
      <c r="M3051">
        <v>8</v>
      </c>
      <c r="N3051">
        <v>5</v>
      </c>
      <c r="O3051" t="s">
        <v>1036</v>
      </c>
      <c r="P3051" s="17"/>
      <c r="Q3051" s="17" t="str">
        <f>_xlfn.XLOOKUP(Table2[[#This Row],[buyFromVendorNo]],'Next Day Scheduled'!A:A,'Pending Returns'!O:O,"NOT_FOUND")</f>
        <v>Posted Credit Note</v>
      </c>
    </row>
    <row r="3052" spans="1:17" x14ac:dyDescent="0.3">
      <c r="A3052" s="1">
        <v>46237</v>
      </c>
      <c r="B3052" t="s">
        <v>1530</v>
      </c>
      <c r="C3052" t="s">
        <v>448</v>
      </c>
      <c r="D3052" t="s">
        <v>449</v>
      </c>
      <c r="E3052" t="s">
        <v>8</v>
      </c>
      <c r="F3052" t="s">
        <v>38</v>
      </c>
      <c r="G3052" s="16">
        <v>68.75</v>
      </c>
      <c r="H3052" s="16">
        <v>79.0625</v>
      </c>
      <c r="I3052" s="1">
        <v>46231</v>
      </c>
      <c r="J3052">
        <v>22</v>
      </c>
      <c r="K3052" t="s">
        <v>7438</v>
      </c>
      <c r="L3052" t="s">
        <v>9165</v>
      </c>
      <c r="M3052">
        <v>4</v>
      </c>
      <c r="N3052">
        <v>1</v>
      </c>
      <c r="O3052" t="s">
        <v>1036</v>
      </c>
      <c r="P3052" s="17"/>
      <c r="Q3052" s="17" t="str">
        <f>_xlfn.XLOOKUP(Table2[[#This Row],[buyFromVendorNo]],'Next Day Scheduled'!A:A,'Pending Returns'!O:O,"NOT_FOUND")</f>
        <v>NOT_FOUND</v>
      </c>
    </row>
    <row r="3053" spans="1:17" x14ac:dyDescent="0.3">
      <c r="A3053" s="1">
        <v>46237</v>
      </c>
      <c r="B3053" t="s">
        <v>800</v>
      </c>
      <c r="C3053" t="s">
        <v>4387</v>
      </c>
      <c r="D3053" t="s">
        <v>4388</v>
      </c>
      <c r="E3053" t="s">
        <v>8</v>
      </c>
      <c r="F3053" t="s">
        <v>38</v>
      </c>
      <c r="G3053" s="16">
        <v>75.5</v>
      </c>
      <c r="H3053" s="16">
        <v>86.825000000000003</v>
      </c>
      <c r="I3053" s="1">
        <v>46223</v>
      </c>
      <c r="J3053">
        <v>22</v>
      </c>
      <c r="K3053" t="s">
        <v>7725</v>
      </c>
      <c r="L3053" t="s">
        <v>9141</v>
      </c>
      <c r="M3053">
        <v>1</v>
      </c>
      <c r="N3053">
        <v>10</v>
      </c>
      <c r="O3053" t="s">
        <v>1036</v>
      </c>
      <c r="P3053" s="17"/>
      <c r="Q3053" s="17" t="str">
        <f>_xlfn.XLOOKUP(Table2[[#This Row],[buyFromVendorNo]],'Next Day Scheduled'!A:A,'Pending Returns'!O:O,"NOT_FOUND")</f>
        <v>NOT_FOUND</v>
      </c>
    </row>
    <row r="3054" spans="1:17" x14ac:dyDescent="0.3">
      <c r="A3054" s="1">
        <v>46237</v>
      </c>
      <c r="B3054" t="s">
        <v>3720</v>
      </c>
      <c r="C3054" t="s">
        <v>821</v>
      </c>
      <c r="D3054" t="s">
        <v>2040</v>
      </c>
      <c r="E3054" t="s">
        <v>8</v>
      </c>
      <c r="F3054" t="s">
        <v>10</v>
      </c>
      <c r="G3054" s="16">
        <v>46.2</v>
      </c>
      <c r="H3054" s="16">
        <v>53.13</v>
      </c>
      <c r="J3054">
        <v>22</v>
      </c>
      <c r="K3054" t="s">
        <v>9143</v>
      </c>
      <c r="M3054">
        <v>3</v>
      </c>
      <c r="N3054">
        <v>8</v>
      </c>
      <c r="O3054" t="s">
        <v>216</v>
      </c>
      <c r="P3054" s="17"/>
      <c r="Q3054" s="17" t="str">
        <f>_xlfn.XLOOKUP(Table2[[#This Row],[buyFromVendorNo]],'Next Day Scheduled'!A:A,'Pending Returns'!O:O,"NOT_FOUND")</f>
        <v>Posted Credit Note</v>
      </c>
    </row>
    <row r="3055" spans="1:17" x14ac:dyDescent="0.3">
      <c r="A3055" s="1">
        <v>46237</v>
      </c>
      <c r="B3055" t="s">
        <v>3477</v>
      </c>
      <c r="C3055" t="s">
        <v>1124</v>
      </c>
      <c r="D3055" t="s">
        <v>1125</v>
      </c>
      <c r="E3055" t="s">
        <v>8</v>
      </c>
      <c r="F3055" t="s">
        <v>10</v>
      </c>
      <c r="G3055" s="16">
        <v>230</v>
      </c>
      <c r="H3055" s="16">
        <v>264.5</v>
      </c>
      <c r="I3055" s="1">
        <v>46226</v>
      </c>
      <c r="J3055">
        <v>22</v>
      </c>
      <c r="K3055" t="s">
        <v>7168</v>
      </c>
      <c r="L3055" t="s">
        <v>9144</v>
      </c>
      <c r="M3055">
        <v>0</v>
      </c>
      <c r="N3055">
        <v>246</v>
      </c>
      <c r="O3055" t="s">
        <v>1036</v>
      </c>
      <c r="P3055" s="17"/>
      <c r="Q3055" s="17" t="str">
        <f>_xlfn.XLOOKUP(Table2[[#This Row],[buyFromVendorNo]],'Next Day Scheduled'!A:A,'Pending Returns'!O:O,"NOT_FOUND")</f>
        <v>NOT_FOUND</v>
      </c>
    </row>
    <row r="3056" spans="1:17" x14ac:dyDescent="0.3">
      <c r="A3056" s="1">
        <v>46237</v>
      </c>
      <c r="B3056" t="s">
        <v>5498</v>
      </c>
      <c r="C3056" t="s">
        <v>75</v>
      </c>
      <c r="D3056" t="s">
        <v>76</v>
      </c>
      <c r="E3056" t="s">
        <v>8</v>
      </c>
      <c r="F3056" t="s">
        <v>10</v>
      </c>
      <c r="G3056" s="16">
        <v>181.85606000000001</v>
      </c>
      <c r="H3056" s="16">
        <v>209.13448</v>
      </c>
      <c r="I3056" s="1">
        <v>46220</v>
      </c>
      <c r="J3056">
        <v>22</v>
      </c>
      <c r="K3056" t="s">
        <v>7232</v>
      </c>
      <c r="L3056" t="s">
        <v>9168</v>
      </c>
      <c r="M3056">
        <v>2</v>
      </c>
      <c r="N3056">
        <v>5</v>
      </c>
      <c r="O3056" t="s">
        <v>1036</v>
      </c>
      <c r="P3056" s="17"/>
      <c r="Q3056" s="17" t="str">
        <f>_xlfn.XLOOKUP(Table2[[#This Row],[buyFromVendorNo]],'Next Day Scheduled'!A:A,'Pending Returns'!O:O,"NOT_FOUND")</f>
        <v>Posted Credit Note</v>
      </c>
    </row>
    <row r="3057" spans="1:17" x14ac:dyDescent="0.3">
      <c r="A3057" s="1">
        <v>46237</v>
      </c>
      <c r="B3057" t="s">
        <v>7807</v>
      </c>
      <c r="C3057" t="s">
        <v>122</v>
      </c>
      <c r="D3057" t="s">
        <v>123</v>
      </c>
      <c r="E3057" t="s">
        <v>8</v>
      </c>
      <c r="F3057" t="s">
        <v>10</v>
      </c>
      <c r="G3057" s="16">
        <v>492.75</v>
      </c>
      <c r="H3057" s="16">
        <v>566.66250000000002</v>
      </c>
      <c r="I3057" s="1">
        <v>46233</v>
      </c>
      <c r="J3057">
        <v>22</v>
      </c>
      <c r="K3057" t="s">
        <v>7842</v>
      </c>
      <c r="L3057" t="s">
        <v>9149</v>
      </c>
      <c r="M3057">
        <v>10</v>
      </c>
      <c r="N3057">
        <v>1</v>
      </c>
      <c r="O3057" t="s">
        <v>1036</v>
      </c>
      <c r="P3057" s="17"/>
      <c r="Q3057" s="17" t="str">
        <f>_xlfn.XLOOKUP(Table2[[#This Row],[buyFromVendorNo]],'Next Day Scheduled'!A:A,'Pending Returns'!O:O,"NOT_FOUND")</f>
        <v>NOT_FOUND</v>
      </c>
    </row>
    <row r="3058" spans="1:17" x14ac:dyDescent="0.3">
      <c r="A3058" s="1">
        <v>46237</v>
      </c>
      <c r="B3058" t="s">
        <v>2632</v>
      </c>
      <c r="C3058" t="s">
        <v>11</v>
      </c>
      <c r="D3058" t="s">
        <v>12</v>
      </c>
      <c r="E3058" t="s">
        <v>8</v>
      </c>
      <c r="F3058" t="s">
        <v>10</v>
      </c>
      <c r="G3058" s="16">
        <v>6540</v>
      </c>
      <c r="H3058" s="16">
        <v>7521</v>
      </c>
      <c r="I3058" s="1">
        <v>46223</v>
      </c>
      <c r="J3058">
        <v>22</v>
      </c>
      <c r="K3058" t="s">
        <v>7717</v>
      </c>
      <c r="L3058" t="s">
        <v>9150</v>
      </c>
      <c r="M3058">
        <v>0</v>
      </c>
      <c r="N3058">
        <v>178</v>
      </c>
      <c r="O3058" t="s">
        <v>1036</v>
      </c>
      <c r="P3058" s="17"/>
      <c r="Q3058" s="17" t="str">
        <f>_xlfn.XLOOKUP(Table2[[#This Row],[buyFromVendorNo]],'Next Day Scheduled'!A:A,'Pending Returns'!O:O,"NOT_FOUND")</f>
        <v>NOT_FOUND</v>
      </c>
    </row>
    <row r="3059" spans="1:17" x14ac:dyDescent="0.3">
      <c r="A3059" s="1">
        <v>46237</v>
      </c>
      <c r="B3059" t="s">
        <v>6390</v>
      </c>
      <c r="C3059" t="s">
        <v>144</v>
      </c>
      <c r="D3059" t="s">
        <v>145</v>
      </c>
      <c r="E3059" t="s">
        <v>8</v>
      </c>
      <c r="F3059" t="s">
        <v>10</v>
      </c>
      <c r="G3059" s="16">
        <v>68.040000000000006</v>
      </c>
      <c r="H3059" s="16">
        <v>78.245999999999995</v>
      </c>
      <c r="J3059">
        <v>22</v>
      </c>
      <c r="K3059" t="s">
        <v>9122</v>
      </c>
      <c r="M3059">
        <v>0</v>
      </c>
      <c r="N3059">
        <v>411</v>
      </c>
      <c r="O3059" t="s">
        <v>216</v>
      </c>
      <c r="P3059" s="17"/>
      <c r="Q3059" s="17" t="str">
        <f>_xlfn.XLOOKUP(Table2[[#This Row],[buyFromVendorNo]],'Next Day Scheduled'!A:A,'Pending Returns'!O:O,"NOT_FOUND")</f>
        <v>NOT_FOUND</v>
      </c>
    </row>
    <row r="3060" spans="1:17" x14ac:dyDescent="0.3">
      <c r="A3060" s="1">
        <v>46237</v>
      </c>
      <c r="B3060" t="s">
        <v>7144</v>
      </c>
      <c r="C3060" t="s">
        <v>302</v>
      </c>
      <c r="D3060" t="s">
        <v>303</v>
      </c>
      <c r="E3060" t="s">
        <v>8</v>
      </c>
      <c r="F3060" t="s">
        <v>10</v>
      </c>
      <c r="G3060" s="16">
        <v>490.07400000000001</v>
      </c>
      <c r="H3060" s="16">
        <v>563.58510000000001</v>
      </c>
      <c r="I3060" s="1">
        <v>46230</v>
      </c>
      <c r="J3060">
        <v>22</v>
      </c>
      <c r="K3060" t="s">
        <v>7497</v>
      </c>
      <c r="L3060" t="s">
        <v>9103</v>
      </c>
      <c r="M3060">
        <v>3</v>
      </c>
      <c r="N3060">
        <v>1</v>
      </c>
      <c r="O3060" t="s">
        <v>1036</v>
      </c>
      <c r="P3060" s="17"/>
      <c r="Q3060" s="17" t="str">
        <f>_xlfn.XLOOKUP(Table2[[#This Row],[buyFromVendorNo]],'Next Day Scheduled'!A:A,'Pending Returns'!O:O,"NOT_FOUND")</f>
        <v>NOT_FOUND</v>
      </c>
    </row>
    <row r="3061" spans="1:17" x14ac:dyDescent="0.3">
      <c r="A3061" s="1">
        <v>46237</v>
      </c>
      <c r="B3061" t="s">
        <v>2173</v>
      </c>
      <c r="C3061" t="s">
        <v>65</v>
      </c>
      <c r="D3061" t="s">
        <v>66</v>
      </c>
      <c r="E3061" t="s">
        <v>8</v>
      </c>
      <c r="F3061" t="s">
        <v>10</v>
      </c>
      <c r="G3061" s="16">
        <v>1711.1428000000001</v>
      </c>
      <c r="H3061" s="16">
        <v>1967.8142</v>
      </c>
      <c r="I3061" s="1">
        <v>46230</v>
      </c>
      <c r="J3061">
        <v>22</v>
      </c>
      <c r="K3061" t="s">
        <v>8301</v>
      </c>
      <c r="L3061" t="s">
        <v>9113</v>
      </c>
      <c r="M3061">
        <v>8</v>
      </c>
      <c r="N3061">
        <v>5</v>
      </c>
      <c r="O3061" t="s">
        <v>1036</v>
      </c>
      <c r="P3061" s="17"/>
      <c r="Q3061" s="17" t="str">
        <f>_xlfn.XLOOKUP(Table2[[#This Row],[buyFromVendorNo]],'Next Day Scheduled'!A:A,'Pending Returns'!O:O,"NOT_FOUND")</f>
        <v>Posted Credit Note</v>
      </c>
    </row>
    <row r="3062" spans="1:17" x14ac:dyDescent="0.3">
      <c r="A3062" s="1">
        <v>46237</v>
      </c>
      <c r="B3062" t="s">
        <v>469</v>
      </c>
      <c r="C3062" t="s">
        <v>11</v>
      </c>
      <c r="D3062" t="s">
        <v>12</v>
      </c>
      <c r="E3062" t="s">
        <v>8</v>
      </c>
      <c r="F3062" t="s">
        <v>10</v>
      </c>
      <c r="G3062" s="16">
        <v>3132</v>
      </c>
      <c r="H3062" s="16">
        <v>3601.8</v>
      </c>
      <c r="I3062" s="1">
        <v>46223</v>
      </c>
      <c r="J3062">
        <v>22</v>
      </c>
      <c r="K3062" t="s">
        <v>460</v>
      </c>
      <c r="L3062" t="s">
        <v>9116</v>
      </c>
      <c r="M3062">
        <v>0</v>
      </c>
      <c r="N3062">
        <v>178</v>
      </c>
      <c r="O3062" t="s">
        <v>1036</v>
      </c>
      <c r="P3062" s="17"/>
      <c r="Q3062" s="17" t="str">
        <f>_xlfn.XLOOKUP(Table2[[#This Row],[buyFromVendorNo]],'Next Day Scheduled'!A:A,'Pending Returns'!O:O,"NOT_FOUND")</f>
        <v>NOT_FOUND</v>
      </c>
    </row>
    <row r="3063" spans="1:17" x14ac:dyDescent="0.3">
      <c r="A3063" s="1">
        <v>46237</v>
      </c>
      <c r="B3063" t="s">
        <v>756</v>
      </c>
      <c r="C3063" t="s">
        <v>1411</v>
      </c>
      <c r="D3063" t="s">
        <v>1412</v>
      </c>
      <c r="E3063" t="s">
        <v>8</v>
      </c>
      <c r="F3063" t="s">
        <v>10</v>
      </c>
      <c r="G3063" s="16">
        <v>16.670000000000002</v>
      </c>
      <c r="H3063" s="16">
        <v>19.170500000000001</v>
      </c>
      <c r="I3063" s="1">
        <v>46226</v>
      </c>
      <c r="J3063">
        <v>22</v>
      </c>
      <c r="K3063" t="s">
        <v>7176</v>
      </c>
      <c r="L3063" t="s">
        <v>9117</v>
      </c>
      <c r="M3063">
        <v>3</v>
      </c>
      <c r="N3063">
        <v>3</v>
      </c>
      <c r="O3063" t="s">
        <v>1036</v>
      </c>
      <c r="P3063" s="17"/>
      <c r="Q3063" s="17" t="str">
        <f>_xlfn.XLOOKUP(Table2[[#This Row],[buyFromVendorNo]],'Next Day Scheduled'!A:A,'Pending Returns'!O:O,"NOT_FOUND")</f>
        <v>NOT_FOUND</v>
      </c>
    </row>
    <row r="3064" spans="1:17" x14ac:dyDescent="0.3">
      <c r="A3064" s="1">
        <v>46237</v>
      </c>
      <c r="B3064" t="s">
        <v>2940</v>
      </c>
      <c r="C3064" t="s">
        <v>1018</v>
      </c>
      <c r="D3064" t="s">
        <v>1019</v>
      </c>
      <c r="E3064" t="s">
        <v>8</v>
      </c>
      <c r="F3064" t="s">
        <v>10</v>
      </c>
      <c r="G3064" s="16">
        <v>85.602909999999994</v>
      </c>
      <c r="H3064" s="16">
        <v>98.443349999999995</v>
      </c>
      <c r="I3064" s="1">
        <v>46236</v>
      </c>
      <c r="J3064">
        <v>22</v>
      </c>
      <c r="K3064" t="s">
        <v>8447</v>
      </c>
      <c r="L3064" t="s">
        <v>9068</v>
      </c>
      <c r="M3064">
        <v>3</v>
      </c>
      <c r="N3064">
        <v>3</v>
      </c>
      <c r="O3064" t="s">
        <v>1036</v>
      </c>
      <c r="P3064" s="17"/>
      <c r="Q3064" s="17" t="str">
        <f>_xlfn.XLOOKUP(Table2[[#This Row],[buyFromVendorNo]],'Next Day Scheduled'!A:A,'Pending Returns'!O:O,"NOT_FOUND")</f>
        <v>NOT_FOUND</v>
      </c>
    </row>
    <row r="3065" spans="1:17" x14ac:dyDescent="0.3">
      <c r="A3065" s="1">
        <v>46237</v>
      </c>
      <c r="B3065" t="s">
        <v>8082</v>
      </c>
      <c r="C3065" t="s">
        <v>846</v>
      </c>
      <c r="D3065" t="s">
        <v>847</v>
      </c>
      <c r="E3065" t="s">
        <v>8</v>
      </c>
      <c r="F3065" t="s">
        <v>10</v>
      </c>
      <c r="G3065" s="16">
        <v>266.39999999999998</v>
      </c>
      <c r="H3065" s="16">
        <v>306.36</v>
      </c>
      <c r="I3065" s="1">
        <v>46237</v>
      </c>
      <c r="J3065">
        <v>22</v>
      </c>
      <c r="K3065" t="s">
        <v>8083</v>
      </c>
      <c r="L3065" t="s">
        <v>9039</v>
      </c>
      <c r="M3065">
        <v>3</v>
      </c>
      <c r="N3065">
        <v>5</v>
      </c>
      <c r="O3065" t="s">
        <v>223</v>
      </c>
      <c r="P3065" s="17"/>
      <c r="Q3065" s="17" t="str">
        <f>_xlfn.XLOOKUP(Table2[[#This Row],[buyFromVendorNo]],'Next Day Scheduled'!A:A,'Pending Returns'!O:O,"NOT_FOUND")</f>
        <v>NOT_FOUND</v>
      </c>
    </row>
    <row r="3066" spans="1:17" x14ac:dyDescent="0.3">
      <c r="A3066" s="1">
        <v>46237</v>
      </c>
      <c r="B3066" t="s">
        <v>2745</v>
      </c>
      <c r="C3066" t="s">
        <v>65</v>
      </c>
      <c r="D3066" t="s">
        <v>66</v>
      </c>
      <c r="E3066" t="s">
        <v>8</v>
      </c>
      <c r="F3066" t="s">
        <v>10</v>
      </c>
      <c r="G3066" s="16">
        <v>4927.4489999999996</v>
      </c>
      <c r="H3066" s="16">
        <v>5666.5663999999997</v>
      </c>
      <c r="I3066" s="1">
        <v>46230</v>
      </c>
      <c r="J3066">
        <v>22</v>
      </c>
      <c r="K3066" t="s">
        <v>6630</v>
      </c>
      <c r="L3066" t="s">
        <v>9072</v>
      </c>
      <c r="M3066">
        <v>8</v>
      </c>
      <c r="N3066">
        <v>5</v>
      </c>
      <c r="O3066" t="s">
        <v>1036</v>
      </c>
      <c r="P3066" s="17"/>
      <c r="Q3066" s="17" t="str">
        <f>_xlfn.XLOOKUP(Table2[[#This Row],[buyFromVendorNo]],'Next Day Scheduled'!A:A,'Pending Returns'!O:O,"NOT_FOUND")</f>
        <v>Posted Credit Note</v>
      </c>
    </row>
    <row r="3067" spans="1:17" x14ac:dyDescent="0.3">
      <c r="A3067" s="1">
        <v>46237</v>
      </c>
      <c r="B3067" t="s">
        <v>1656</v>
      </c>
      <c r="C3067" t="s">
        <v>448</v>
      </c>
      <c r="D3067" t="s">
        <v>449</v>
      </c>
      <c r="E3067" t="s">
        <v>8</v>
      </c>
      <c r="F3067" t="s">
        <v>38</v>
      </c>
      <c r="G3067" s="16">
        <v>57.5</v>
      </c>
      <c r="H3067" s="16">
        <v>66.125</v>
      </c>
      <c r="I3067" s="1">
        <v>46231</v>
      </c>
      <c r="J3067">
        <v>22</v>
      </c>
      <c r="K3067" t="s">
        <v>7820</v>
      </c>
      <c r="L3067" t="s">
        <v>9157</v>
      </c>
      <c r="M3067">
        <v>4</v>
      </c>
      <c r="N3067">
        <v>1</v>
      </c>
      <c r="O3067" t="s">
        <v>1036</v>
      </c>
      <c r="P3067" s="17"/>
      <c r="Q3067" s="17" t="str">
        <f>_xlfn.XLOOKUP(Table2[[#This Row],[buyFromVendorNo]],'Next Day Scheduled'!A:A,'Pending Returns'!O:O,"NOT_FOUND")</f>
        <v>NOT_FOUND</v>
      </c>
    </row>
    <row r="3068" spans="1:17" x14ac:dyDescent="0.3">
      <c r="A3068" s="1">
        <v>46237</v>
      </c>
      <c r="B3068" t="s">
        <v>1776</v>
      </c>
      <c r="C3068" t="s">
        <v>3773</v>
      </c>
      <c r="D3068" t="s">
        <v>3774</v>
      </c>
      <c r="E3068" t="s">
        <v>8</v>
      </c>
      <c r="F3068" t="s">
        <v>10</v>
      </c>
      <c r="G3068" s="16">
        <v>18509.613000000001</v>
      </c>
      <c r="H3068" s="16">
        <v>21286.057000000001</v>
      </c>
      <c r="I3068" s="1">
        <v>46238</v>
      </c>
      <c r="J3068">
        <v>22</v>
      </c>
      <c r="K3068" t="s">
        <v>8707</v>
      </c>
      <c r="L3068" t="s">
        <v>9158</v>
      </c>
      <c r="M3068">
        <v>3</v>
      </c>
      <c r="N3068">
        <v>2</v>
      </c>
      <c r="O3068" t="s">
        <v>223</v>
      </c>
      <c r="P3068" s="17"/>
      <c r="Q3068" s="17" t="str">
        <f>_xlfn.XLOOKUP(Table2[[#This Row],[buyFromVendorNo]],'Next Day Scheduled'!A:A,'Pending Returns'!O:O,"NOT_FOUND")</f>
        <v>NOT_FOUND</v>
      </c>
    </row>
    <row r="3069" spans="1:17" x14ac:dyDescent="0.3">
      <c r="A3069" s="1">
        <v>46237</v>
      </c>
      <c r="B3069" t="s">
        <v>2696</v>
      </c>
      <c r="C3069" t="s">
        <v>531</v>
      </c>
      <c r="D3069" t="s">
        <v>532</v>
      </c>
      <c r="E3069" t="s">
        <v>8</v>
      </c>
      <c r="F3069" t="s">
        <v>10</v>
      </c>
      <c r="G3069" s="16">
        <v>5473.3</v>
      </c>
      <c r="H3069" s="16">
        <v>6294.2950000000001</v>
      </c>
      <c r="I3069" s="1">
        <v>46237</v>
      </c>
      <c r="J3069">
        <v>22</v>
      </c>
      <c r="K3069" t="s">
        <v>1903</v>
      </c>
      <c r="L3069" t="s">
        <v>9125</v>
      </c>
      <c r="M3069">
        <v>1</v>
      </c>
      <c r="N3069">
        <v>15</v>
      </c>
      <c r="O3069" t="s">
        <v>1036</v>
      </c>
      <c r="P3069" s="17"/>
      <c r="Q3069" s="17" t="str">
        <f>_xlfn.XLOOKUP(Table2[[#This Row],[buyFromVendorNo]],'Next Day Scheduled'!A:A,'Pending Returns'!O:O,"NOT_FOUND")</f>
        <v>NOT_FOUND</v>
      </c>
    </row>
    <row r="3070" spans="1:17" x14ac:dyDescent="0.3">
      <c r="A3070" s="1">
        <v>46237</v>
      </c>
      <c r="B3070" t="s">
        <v>2704</v>
      </c>
      <c r="C3070" t="s">
        <v>65</v>
      </c>
      <c r="D3070" t="s">
        <v>66</v>
      </c>
      <c r="E3070" t="s">
        <v>8</v>
      </c>
      <c r="F3070" t="s">
        <v>10</v>
      </c>
      <c r="G3070" s="16">
        <v>6086.8490000000002</v>
      </c>
      <c r="H3070" s="16">
        <v>6999.8765000000003</v>
      </c>
      <c r="I3070" s="1">
        <v>46230</v>
      </c>
      <c r="J3070">
        <v>22</v>
      </c>
      <c r="K3070" t="s">
        <v>6659</v>
      </c>
      <c r="L3070" t="s">
        <v>9126</v>
      </c>
      <c r="M3070">
        <v>8</v>
      </c>
      <c r="N3070">
        <v>5</v>
      </c>
      <c r="O3070" t="s">
        <v>1036</v>
      </c>
      <c r="P3070" s="17"/>
      <c r="Q3070" s="17" t="str">
        <f>_xlfn.XLOOKUP(Table2[[#This Row],[buyFromVendorNo]],'Next Day Scheduled'!A:A,'Pending Returns'!O:O,"NOT_FOUND")</f>
        <v>Posted Credit Note</v>
      </c>
    </row>
    <row r="3071" spans="1:17" x14ac:dyDescent="0.3">
      <c r="A3071" s="1">
        <v>46237</v>
      </c>
      <c r="B3071" t="s">
        <v>642</v>
      </c>
      <c r="C3071" t="s">
        <v>4387</v>
      </c>
      <c r="D3071" t="s">
        <v>4388</v>
      </c>
      <c r="E3071" t="s">
        <v>8</v>
      </c>
      <c r="F3071" t="s">
        <v>38</v>
      </c>
      <c r="G3071" s="16">
        <v>609.71199999999999</v>
      </c>
      <c r="H3071" s="16">
        <v>701.16880000000003</v>
      </c>
      <c r="I3071" s="1">
        <v>46212</v>
      </c>
      <c r="J3071">
        <v>22</v>
      </c>
      <c r="K3071" t="s">
        <v>7011</v>
      </c>
      <c r="L3071" t="s">
        <v>9186</v>
      </c>
      <c r="M3071">
        <v>1</v>
      </c>
      <c r="N3071">
        <v>10</v>
      </c>
      <c r="O3071" t="s">
        <v>1036</v>
      </c>
      <c r="P3071" s="17"/>
      <c r="Q3071" s="17" t="str">
        <f>_xlfn.XLOOKUP(Table2[[#This Row],[buyFromVendorNo]],'Next Day Scheduled'!A:A,'Pending Returns'!O:O,"NOT_FOUND")</f>
        <v>NOT_FOUND</v>
      </c>
    </row>
    <row r="3072" spans="1:17" x14ac:dyDescent="0.3">
      <c r="A3072" s="1">
        <v>46237</v>
      </c>
      <c r="B3072" t="s">
        <v>1567</v>
      </c>
      <c r="C3072" t="s">
        <v>151</v>
      </c>
      <c r="D3072" t="s">
        <v>152</v>
      </c>
      <c r="E3072" t="s">
        <v>8</v>
      </c>
      <c r="F3072" t="s">
        <v>10</v>
      </c>
      <c r="G3072" s="16">
        <v>1008.53</v>
      </c>
      <c r="H3072" s="16">
        <v>1159.8094000000001</v>
      </c>
      <c r="I3072" s="1">
        <v>46237</v>
      </c>
      <c r="J3072">
        <v>22</v>
      </c>
      <c r="K3072" t="s">
        <v>9187</v>
      </c>
      <c r="L3072" t="s">
        <v>9188</v>
      </c>
      <c r="M3072">
        <v>2</v>
      </c>
      <c r="N3072">
        <v>2</v>
      </c>
      <c r="O3072" t="s">
        <v>1036</v>
      </c>
      <c r="P3072" s="17"/>
      <c r="Q3072" s="17" t="str">
        <f>_xlfn.XLOOKUP(Table2[[#This Row],[buyFromVendorNo]],'Next Day Scheduled'!A:A,'Pending Returns'!O:O,"NOT_FOUND")</f>
        <v>NOT_FOUND</v>
      </c>
    </row>
    <row r="3073" spans="1:17" x14ac:dyDescent="0.3">
      <c r="A3073" s="1">
        <v>46237</v>
      </c>
      <c r="B3073" t="s">
        <v>2768</v>
      </c>
      <c r="C3073" t="s">
        <v>2290</v>
      </c>
      <c r="D3073" t="s">
        <v>2291</v>
      </c>
      <c r="E3073" t="s">
        <v>8</v>
      </c>
      <c r="F3073" t="s">
        <v>10</v>
      </c>
      <c r="G3073" s="16">
        <v>18.5</v>
      </c>
      <c r="H3073" s="16">
        <v>21.274999999999999</v>
      </c>
      <c r="I3073" s="1">
        <v>46237</v>
      </c>
      <c r="J3073">
        <v>22</v>
      </c>
      <c r="K3073" t="s">
        <v>8051</v>
      </c>
      <c r="L3073" t="s">
        <v>9037</v>
      </c>
      <c r="M3073">
        <v>3</v>
      </c>
      <c r="N3073">
        <v>7</v>
      </c>
      <c r="O3073" t="s">
        <v>223</v>
      </c>
      <c r="P3073" s="17"/>
      <c r="Q3073" s="17" t="str">
        <f>_xlfn.XLOOKUP(Table2[[#This Row],[buyFromVendorNo]],'Next Day Scheduled'!A:A,'Pending Returns'!O:O,"NOT_FOUND")</f>
        <v>Posted Credit Note</v>
      </c>
    </row>
    <row r="3074" spans="1:17" x14ac:dyDescent="0.3">
      <c r="A3074" s="1">
        <v>46237</v>
      </c>
      <c r="B3074" t="s">
        <v>2771</v>
      </c>
      <c r="C3074" t="s">
        <v>531</v>
      </c>
      <c r="D3074" t="s">
        <v>532</v>
      </c>
      <c r="E3074" t="s">
        <v>8</v>
      </c>
      <c r="F3074" t="s">
        <v>10</v>
      </c>
      <c r="G3074" s="16">
        <v>480</v>
      </c>
      <c r="H3074" s="16">
        <v>552</v>
      </c>
      <c r="I3074" s="1">
        <v>46237</v>
      </c>
      <c r="J3074">
        <v>22</v>
      </c>
      <c r="K3074" t="s">
        <v>8290</v>
      </c>
      <c r="L3074" t="s">
        <v>9129</v>
      </c>
      <c r="M3074">
        <v>1</v>
      </c>
      <c r="N3074">
        <v>15</v>
      </c>
      <c r="O3074" t="s">
        <v>1036</v>
      </c>
      <c r="P3074" s="17"/>
      <c r="Q3074" s="17" t="str">
        <f>_xlfn.XLOOKUP(Table2[[#This Row],[buyFromVendorNo]],'Next Day Scheduled'!A:A,'Pending Returns'!O:O,"NOT_FOUND")</f>
        <v>NOT_FOUND</v>
      </c>
    </row>
    <row r="3075" spans="1:17" x14ac:dyDescent="0.3">
      <c r="A3075" s="1">
        <v>46237</v>
      </c>
      <c r="B3075" t="s">
        <v>277</v>
      </c>
      <c r="C3075" t="s">
        <v>11</v>
      </c>
      <c r="D3075" t="s">
        <v>12</v>
      </c>
      <c r="E3075" t="s">
        <v>8</v>
      </c>
      <c r="F3075" t="s">
        <v>10</v>
      </c>
      <c r="G3075" s="16">
        <v>2814</v>
      </c>
      <c r="H3075" s="16">
        <v>3236.1</v>
      </c>
      <c r="I3075" s="1">
        <v>46223</v>
      </c>
      <c r="J3075">
        <v>22</v>
      </c>
      <c r="K3075" t="s">
        <v>559</v>
      </c>
      <c r="L3075" t="s">
        <v>9130</v>
      </c>
      <c r="M3075">
        <v>0</v>
      </c>
      <c r="N3075">
        <v>178</v>
      </c>
      <c r="O3075" t="s">
        <v>1036</v>
      </c>
      <c r="P3075" s="17"/>
      <c r="Q3075" s="17" t="str">
        <f>_xlfn.XLOOKUP(Table2[[#This Row],[buyFromVendorNo]],'Next Day Scheduled'!A:A,'Pending Returns'!O:O,"NOT_FOUND")</f>
        <v>NOT_FOUND</v>
      </c>
    </row>
    <row r="3076" spans="1:17" x14ac:dyDescent="0.3">
      <c r="A3076" s="1">
        <v>46237</v>
      </c>
      <c r="B3076" t="s">
        <v>3277</v>
      </c>
      <c r="C3076" t="s">
        <v>531</v>
      </c>
      <c r="D3076" t="s">
        <v>532</v>
      </c>
      <c r="E3076" t="s">
        <v>8</v>
      </c>
      <c r="F3076" t="s">
        <v>10</v>
      </c>
      <c r="G3076" s="16">
        <v>60</v>
      </c>
      <c r="H3076" s="16">
        <v>69</v>
      </c>
      <c r="I3076" s="1">
        <v>46237</v>
      </c>
      <c r="J3076">
        <v>22</v>
      </c>
      <c r="K3076" t="s">
        <v>3154</v>
      </c>
      <c r="L3076" t="s">
        <v>9132</v>
      </c>
      <c r="M3076">
        <v>1</v>
      </c>
      <c r="N3076">
        <v>15</v>
      </c>
      <c r="O3076" t="s">
        <v>1036</v>
      </c>
      <c r="P3076" s="17"/>
      <c r="Q3076" s="17" t="str">
        <f>_xlfn.XLOOKUP(Table2[[#This Row],[buyFromVendorNo]],'Next Day Scheduled'!A:A,'Pending Returns'!O:O,"NOT_FOUND")</f>
        <v>NOT_FOUND</v>
      </c>
    </row>
    <row r="3077" spans="1:17" x14ac:dyDescent="0.3">
      <c r="A3077" s="1">
        <v>46237</v>
      </c>
      <c r="B3077" t="s">
        <v>1779</v>
      </c>
      <c r="C3077" t="s">
        <v>73</v>
      </c>
      <c r="D3077" t="s">
        <v>74</v>
      </c>
      <c r="E3077" t="s">
        <v>8</v>
      </c>
      <c r="F3077" t="s">
        <v>10</v>
      </c>
      <c r="G3077" s="16">
        <v>144.96430000000001</v>
      </c>
      <c r="H3077" s="16">
        <v>166.70894000000001</v>
      </c>
      <c r="J3077">
        <v>22</v>
      </c>
      <c r="K3077" t="s">
        <v>9192</v>
      </c>
      <c r="M3077">
        <v>15</v>
      </c>
      <c r="N3077">
        <v>1</v>
      </c>
      <c r="O3077" t="s">
        <v>216</v>
      </c>
      <c r="P3077" s="17"/>
      <c r="Q3077" s="17" t="str">
        <f>_xlfn.XLOOKUP(Table2[[#This Row],[buyFromVendorNo]],'Next Day Scheduled'!A:A,'Pending Returns'!O:O,"NOT_FOUND")</f>
        <v>NOT_FOUND</v>
      </c>
    </row>
    <row r="3078" spans="1:17" x14ac:dyDescent="0.3">
      <c r="A3078" s="1">
        <v>46237</v>
      </c>
      <c r="B3078" t="s">
        <v>764</v>
      </c>
      <c r="C3078" t="s">
        <v>11</v>
      </c>
      <c r="D3078" t="s">
        <v>12</v>
      </c>
      <c r="E3078" t="s">
        <v>8</v>
      </c>
      <c r="F3078" t="s">
        <v>10</v>
      </c>
      <c r="G3078" s="16">
        <v>848</v>
      </c>
      <c r="H3078" s="16">
        <v>975.2</v>
      </c>
      <c r="I3078" s="1">
        <v>46223</v>
      </c>
      <c r="J3078">
        <v>22</v>
      </c>
      <c r="K3078" t="s">
        <v>6175</v>
      </c>
      <c r="L3078" t="s">
        <v>9133</v>
      </c>
      <c r="M3078">
        <v>0</v>
      </c>
      <c r="N3078">
        <v>178</v>
      </c>
      <c r="O3078" t="s">
        <v>1036</v>
      </c>
      <c r="P3078" s="17"/>
      <c r="Q3078" s="17" t="str">
        <f>_xlfn.XLOOKUP(Table2[[#This Row],[buyFromVendorNo]],'Next Day Scheduled'!A:A,'Pending Returns'!O:O,"NOT_FOUND")</f>
        <v>NOT_FOUND</v>
      </c>
    </row>
    <row r="3079" spans="1:17" x14ac:dyDescent="0.3">
      <c r="A3079" s="1">
        <v>46237</v>
      </c>
      <c r="B3079" t="s">
        <v>2714</v>
      </c>
      <c r="C3079" t="s">
        <v>65</v>
      </c>
      <c r="D3079" t="s">
        <v>66</v>
      </c>
      <c r="E3079" t="s">
        <v>8</v>
      </c>
      <c r="F3079" t="s">
        <v>10</v>
      </c>
      <c r="G3079" s="16">
        <v>4675.4260000000004</v>
      </c>
      <c r="H3079" s="16">
        <v>5376.7397000000001</v>
      </c>
      <c r="I3079" s="1">
        <v>46230</v>
      </c>
      <c r="J3079">
        <v>22</v>
      </c>
      <c r="K3079" t="s">
        <v>6802</v>
      </c>
      <c r="L3079" t="s">
        <v>9057</v>
      </c>
      <c r="M3079">
        <v>8</v>
      </c>
      <c r="N3079">
        <v>5</v>
      </c>
      <c r="O3079" t="s">
        <v>1036</v>
      </c>
      <c r="P3079" s="17"/>
      <c r="Q3079" s="17" t="str">
        <f>_xlfn.XLOOKUP(Table2[[#This Row],[buyFromVendorNo]],'Next Day Scheduled'!A:A,'Pending Returns'!O:O,"NOT_FOUND")</f>
        <v>Posted Credit Note</v>
      </c>
    </row>
    <row r="3080" spans="1:17" x14ac:dyDescent="0.3">
      <c r="A3080" s="1">
        <v>46237</v>
      </c>
      <c r="B3080" t="s">
        <v>2745</v>
      </c>
      <c r="C3080" t="s">
        <v>65</v>
      </c>
      <c r="D3080" t="s">
        <v>66</v>
      </c>
      <c r="E3080" t="s">
        <v>8</v>
      </c>
      <c r="F3080" t="s">
        <v>10</v>
      </c>
      <c r="G3080" s="16">
        <v>6015.7939999999999</v>
      </c>
      <c r="H3080" s="16">
        <v>6918.1629999999996</v>
      </c>
      <c r="I3080" s="1">
        <v>46230</v>
      </c>
      <c r="J3080">
        <v>22</v>
      </c>
      <c r="K3080" t="s">
        <v>6764</v>
      </c>
      <c r="L3080" t="s">
        <v>9166</v>
      </c>
      <c r="M3080">
        <v>8</v>
      </c>
      <c r="N3080">
        <v>5</v>
      </c>
      <c r="O3080" t="s">
        <v>1036</v>
      </c>
      <c r="P3080" s="17"/>
      <c r="Q3080" s="17" t="str">
        <f>_xlfn.XLOOKUP(Table2[[#This Row],[buyFromVendorNo]],'Next Day Scheduled'!A:A,'Pending Returns'!O:O,"NOT_FOUND")</f>
        <v>Posted Credit Note</v>
      </c>
    </row>
    <row r="3081" spans="1:17" x14ac:dyDescent="0.3">
      <c r="A3081" s="1">
        <v>46237</v>
      </c>
      <c r="B3081" t="s">
        <v>392</v>
      </c>
      <c r="C3081" t="s">
        <v>11</v>
      </c>
      <c r="D3081" t="s">
        <v>12</v>
      </c>
      <c r="E3081" t="s">
        <v>8</v>
      </c>
      <c r="F3081" t="s">
        <v>10</v>
      </c>
      <c r="G3081" s="16">
        <v>1102</v>
      </c>
      <c r="H3081" s="16">
        <v>1267.3</v>
      </c>
      <c r="I3081" s="1">
        <v>46223</v>
      </c>
      <c r="J3081">
        <v>22</v>
      </c>
      <c r="K3081" t="s">
        <v>6022</v>
      </c>
      <c r="L3081" t="s">
        <v>9167</v>
      </c>
      <c r="M3081">
        <v>0</v>
      </c>
      <c r="N3081">
        <v>178</v>
      </c>
      <c r="O3081" t="s">
        <v>1036</v>
      </c>
      <c r="P3081" s="17"/>
      <c r="Q3081" s="17" t="str">
        <f>_xlfn.XLOOKUP(Table2[[#This Row],[buyFromVendorNo]],'Next Day Scheduled'!A:A,'Pending Returns'!O:O,"NOT_FOUND")</f>
        <v>NOT_FOUND</v>
      </c>
    </row>
    <row r="3082" spans="1:17" x14ac:dyDescent="0.3">
      <c r="A3082" s="1">
        <v>46237</v>
      </c>
      <c r="B3082" t="s">
        <v>558</v>
      </c>
      <c r="C3082" t="s">
        <v>122</v>
      </c>
      <c r="D3082" t="s">
        <v>123</v>
      </c>
      <c r="E3082" t="s">
        <v>8</v>
      </c>
      <c r="F3082" t="s">
        <v>10</v>
      </c>
      <c r="G3082" s="16">
        <v>1119</v>
      </c>
      <c r="H3082" s="16">
        <v>1286.8499999999999</v>
      </c>
      <c r="I3082" s="1">
        <v>46233</v>
      </c>
      <c r="J3082">
        <v>22</v>
      </c>
      <c r="K3082" t="s">
        <v>6649</v>
      </c>
      <c r="L3082" t="s">
        <v>9146</v>
      </c>
      <c r="M3082">
        <v>10</v>
      </c>
      <c r="N3082">
        <v>1</v>
      </c>
      <c r="O3082" t="s">
        <v>1036</v>
      </c>
      <c r="P3082" s="17"/>
      <c r="Q3082" s="17" t="str">
        <f>_xlfn.XLOOKUP(Table2[[#This Row],[buyFromVendorNo]],'Next Day Scheduled'!A:A,'Pending Returns'!O:O,"NOT_FOUND")</f>
        <v>NOT_FOUND</v>
      </c>
    </row>
    <row r="3083" spans="1:17" x14ac:dyDescent="0.3">
      <c r="A3083" s="1">
        <v>46237</v>
      </c>
      <c r="B3083" t="s">
        <v>7650</v>
      </c>
      <c r="C3083" t="s">
        <v>531</v>
      </c>
      <c r="D3083" t="s">
        <v>532</v>
      </c>
      <c r="E3083" t="s">
        <v>8</v>
      </c>
      <c r="F3083" t="s">
        <v>10</v>
      </c>
      <c r="G3083" s="16">
        <v>1549.24</v>
      </c>
      <c r="H3083" s="16">
        <v>1781.626</v>
      </c>
      <c r="I3083" s="1">
        <v>46237</v>
      </c>
      <c r="J3083">
        <v>22</v>
      </c>
      <c r="K3083" t="s">
        <v>7123</v>
      </c>
      <c r="L3083" t="s">
        <v>9095</v>
      </c>
      <c r="M3083">
        <v>1</v>
      </c>
      <c r="N3083">
        <v>15</v>
      </c>
      <c r="O3083" t="s">
        <v>1036</v>
      </c>
      <c r="P3083" s="17"/>
      <c r="Q3083" s="17" t="str">
        <f>_xlfn.XLOOKUP(Table2[[#This Row],[buyFromVendorNo]],'Next Day Scheduled'!A:A,'Pending Returns'!O:O,"NOT_FOUND")</f>
        <v>NOT_FOUND</v>
      </c>
    </row>
    <row r="3084" spans="1:17" x14ac:dyDescent="0.3">
      <c r="A3084" s="1">
        <v>46237</v>
      </c>
      <c r="B3084" t="s">
        <v>5464</v>
      </c>
      <c r="C3084" t="s">
        <v>531</v>
      </c>
      <c r="D3084" t="s">
        <v>532</v>
      </c>
      <c r="E3084" t="s">
        <v>8</v>
      </c>
      <c r="F3084" t="s">
        <v>10</v>
      </c>
      <c r="G3084" s="16">
        <v>406.26</v>
      </c>
      <c r="H3084" s="16">
        <v>467.19900000000001</v>
      </c>
      <c r="I3084" s="1">
        <v>46237</v>
      </c>
      <c r="J3084">
        <v>22</v>
      </c>
      <c r="K3084" t="s">
        <v>5274</v>
      </c>
      <c r="L3084" t="s">
        <v>9171</v>
      </c>
      <c r="M3084">
        <v>1</v>
      </c>
      <c r="N3084">
        <v>15</v>
      </c>
      <c r="O3084" t="s">
        <v>1036</v>
      </c>
      <c r="P3084" s="17"/>
      <c r="Q3084" s="17" t="str">
        <f>_xlfn.XLOOKUP(Table2[[#This Row],[buyFromVendorNo]],'Next Day Scheduled'!A:A,'Pending Returns'!O:O,"NOT_FOUND")</f>
        <v>NOT_FOUND</v>
      </c>
    </row>
    <row r="3085" spans="1:17" x14ac:dyDescent="0.3">
      <c r="A3085" s="1">
        <v>46237</v>
      </c>
      <c r="B3085" t="s">
        <v>7094</v>
      </c>
      <c r="C3085" t="s">
        <v>11</v>
      </c>
      <c r="D3085" t="s">
        <v>12</v>
      </c>
      <c r="E3085" t="s">
        <v>8</v>
      </c>
      <c r="F3085" t="s">
        <v>10</v>
      </c>
      <c r="G3085" s="16">
        <v>1128</v>
      </c>
      <c r="H3085" s="16">
        <v>1297.2</v>
      </c>
      <c r="I3085" s="1">
        <v>46223</v>
      </c>
      <c r="J3085">
        <v>22</v>
      </c>
      <c r="K3085" t="s">
        <v>7095</v>
      </c>
      <c r="L3085" t="s">
        <v>9147</v>
      </c>
      <c r="M3085">
        <v>0</v>
      </c>
      <c r="N3085">
        <v>178</v>
      </c>
      <c r="O3085" t="s">
        <v>1036</v>
      </c>
      <c r="P3085" s="17"/>
      <c r="Q3085" s="17" t="str">
        <f>_xlfn.XLOOKUP(Table2[[#This Row],[buyFromVendorNo]],'Next Day Scheduled'!A:A,'Pending Returns'!O:O,"NOT_FOUND")</f>
        <v>NOT_FOUND</v>
      </c>
    </row>
    <row r="3086" spans="1:17" x14ac:dyDescent="0.3">
      <c r="A3086" s="1">
        <v>46237</v>
      </c>
      <c r="B3086" t="s">
        <v>5596</v>
      </c>
      <c r="C3086" t="s">
        <v>531</v>
      </c>
      <c r="D3086" t="s">
        <v>532</v>
      </c>
      <c r="E3086" t="s">
        <v>8</v>
      </c>
      <c r="F3086" t="s">
        <v>10</v>
      </c>
      <c r="G3086" s="16">
        <v>4576.38</v>
      </c>
      <c r="H3086" s="16">
        <v>5262.8370000000004</v>
      </c>
      <c r="I3086" s="1">
        <v>46237</v>
      </c>
      <c r="J3086">
        <v>22</v>
      </c>
      <c r="K3086" t="s">
        <v>530</v>
      </c>
      <c r="L3086" t="s">
        <v>9148</v>
      </c>
      <c r="M3086">
        <v>1</v>
      </c>
      <c r="N3086">
        <v>15</v>
      </c>
      <c r="O3086" t="s">
        <v>1036</v>
      </c>
      <c r="P3086" s="17"/>
      <c r="Q3086" s="17" t="str">
        <f>_xlfn.XLOOKUP(Table2[[#This Row],[buyFromVendorNo]],'Next Day Scheduled'!A:A,'Pending Returns'!O:O,"NOT_FOUND")</f>
        <v>NOT_FOUND</v>
      </c>
    </row>
    <row r="3087" spans="1:17" x14ac:dyDescent="0.3">
      <c r="A3087" s="1">
        <v>46237</v>
      </c>
      <c r="B3087" t="s">
        <v>642</v>
      </c>
      <c r="C3087" t="s">
        <v>1424</v>
      </c>
      <c r="D3087" t="s">
        <v>1425</v>
      </c>
      <c r="E3087" t="s">
        <v>8</v>
      </c>
      <c r="F3087" t="s">
        <v>38</v>
      </c>
      <c r="G3087" s="16">
        <v>3087</v>
      </c>
      <c r="H3087" s="16">
        <v>3550.05</v>
      </c>
      <c r="I3087" s="1">
        <v>46233</v>
      </c>
      <c r="J3087">
        <v>22</v>
      </c>
      <c r="K3087" t="s">
        <v>8582</v>
      </c>
      <c r="L3087" t="s">
        <v>9097</v>
      </c>
      <c r="M3087">
        <v>3</v>
      </c>
      <c r="N3087">
        <v>12</v>
      </c>
      <c r="O3087" t="s">
        <v>1036</v>
      </c>
      <c r="P3087" s="17"/>
      <c r="Q3087" s="17" t="str">
        <f>_xlfn.XLOOKUP(Table2[[#This Row],[buyFromVendorNo]],'Next Day Scheduled'!A:A,'Pending Returns'!O:O,"NOT_FOUND")</f>
        <v>Posted Credit Note</v>
      </c>
    </row>
    <row r="3088" spans="1:17" x14ac:dyDescent="0.3">
      <c r="A3088" s="1">
        <v>46237</v>
      </c>
      <c r="B3088" t="s">
        <v>2903</v>
      </c>
      <c r="C3088" t="s">
        <v>3773</v>
      </c>
      <c r="D3088" t="s">
        <v>3774</v>
      </c>
      <c r="E3088" t="s">
        <v>8</v>
      </c>
      <c r="F3088" t="s">
        <v>10</v>
      </c>
      <c r="G3088" s="16">
        <v>20998.873</v>
      </c>
      <c r="H3088" s="16">
        <v>24148.703000000001</v>
      </c>
      <c r="I3088" s="1">
        <v>46238</v>
      </c>
      <c r="J3088">
        <v>22</v>
      </c>
      <c r="K3088" t="s">
        <v>8593</v>
      </c>
      <c r="L3088" t="s">
        <v>9098</v>
      </c>
      <c r="M3088">
        <v>3</v>
      </c>
      <c r="N3088">
        <v>2</v>
      </c>
      <c r="O3088" t="s">
        <v>223</v>
      </c>
      <c r="P3088" s="17"/>
      <c r="Q3088" s="17" t="str">
        <f>_xlfn.XLOOKUP(Table2[[#This Row],[buyFromVendorNo]],'Next Day Scheduled'!A:A,'Pending Returns'!O:O,"NOT_FOUND")</f>
        <v>NOT_FOUND</v>
      </c>
    </row>
    <row r="3089" spans="1:17" x14ac:dyDescent="0.3">
      <c r="A3089" s="1">
        <v>46237</v>
      </c>
      <c r="B3089" t="s">
        <v>5064</v>
      </c>
      <c r="C3089" t="s">
        <v>49</v>
      </c>
      <c r="D3089" t="s">
        <v>50</v>
      </c>
      <c r="E3089" t="s">
        <v>8</v>
      </c>
      <c r="F3089" t="s">
        <v>10</v>
      </c>
      <c r="G3089" s="16">
        <v>13132</v>
      </c>
      <c r="H3089" s="16">
        <v>15101.8</v>
      </c>
      <c r="I3089" s="1">
        <v>46223</v>
      </c>
      <c r="J3089">
        <v>22</v>
      </c>
      <c r="K3089" t="s">
        <v>6617</v>
      </c>
      <c r="L3089" t="s">
        <v>9100</v>
      </c>
      <c r="M3089">
        <v>1</v>
      </c>
      <c r="N3089">
        <v>15</v>
      </c>
      <c r="O3089" t="s">
        <v>1036</v>
      </c>
      <c r="P3089" s="17"/>
      <c r="Q3089" s="17" t="str">
        <f>_xlfn.XLOOKUP(Table2[[#This Row],[buyFromVendorNo]],'Next Day Scheduled'!A:A,'Pending Returns'!O:O,"NOT_FOUND")</f>
        <v>NOT_FOUND</v>
      </c>
    </row>
    <row r="3090" spans="1:17" x14ac:dyDescent="0.3">
      <c r="A3090" s="1">
        <v>46237</v>
      </c>
      <c r="B3090" t="s">
        <v>2911</v>
      </c>
      <c r="C3090" t="s">
        <v>11</v>
      </c>
      <c r="D3090" t="s">
        <v>12</v>
      </c>
      <c r="E3090" t="s">
        <v>8</v>
      </c>
      <c r="F3090" t="s">
        <v>10</v>
      </c>
      <c r="G3090" s="16">
        <v>418</v>
      </c>
      <c r="H3090" s="16">
        <v>480.7</v>
      </c>
      <c r="I3090" s="1">
        <v>46223</v>
      </c>
      <c r="J3090">
        <v>22</v>
      </c>
      <c r="K3090" t="s">
        <v>7579</v>
      </c>
      <c r="L3090" t="s">
        <v>9151</v>
      </c>
      <c r="M3090">
        <v>0</v>
      </c>
      <c r="N3090">
        <v>178</v>
      </c>
      <c r="O3090" t="s">
        <v>1036</v>
      </c>
      <c r="P3090" s="17"/>
      <c r="Q3090" s="17" t="str">
        <f>_xlfn.XLOOKUP(Table2[[#This Row],[buyFromVendorNo]],'Next Day Scheduled'!A:A,'Pending Returns'!O:O,"NOT_FOUND")</f>
        <v>NOT_FOUND</v>
      </c>
    </row>
    <row r="3091" spans="1:17" x14ac:dyDescent="0.3">
      <c r="A3091" s="1">
        <v>46237</v>
      </c>
      <c r="B3091" t="s">
        <v>1825</v>
      </c>
      <c r="C3091" t="s">
        <v>11</v>
      </c>
      <c r="D3091" t="s">
        <v>12</v>
      </c>
      <c r="E3091" t="s">
        <v>8</v>
      </c>
      <c r="F3091" t="s">
        <v>10</v>
      </c>
      <c r="G3091" s="16">
        <v>972</v>
      </c>
      <c r="H3091" s="16">
        <v>1117.8</v>
      </c>
      <c r="I3091" s="1">
        <v>46223</v>
      </c>
      <c r="J3091">
        <v>22</v>
      </c>
      <c r="K3091" t="s">
        <v>4587</v>
      </c>
      <c r="L3091" t="s">
        <v>9065</v>
      </c>
      <c r="M3091">
        <v>0</v>
      </c>
      <c r="N3091">
        <v>178</v>
      </c>
      <c r="O3091" t="s">
        <v>1036</v>
      </c>
      <c r="P3091" s="17"/>
      <c r="Q3091" s="17" t="str">
        <f>_xlfn.XLOOKUP(Table2[[#This Row],[buyFromVendorNo]],'Next Day Scheduled'!A:A,'Pending Returns'!O:O,"NOT_FOUND")</f>
        <v>NOT_FOUND</v>
      </c>
    </row>
    <row r="3092" spans="1:17" x14ac:dyDescent="0.3">
      <c r="A3092" s="1">
        <v>46237</v>
      </c>
      <c r="B3092" t="s">
        <v>642</v>
      </c>
      <c r="C3092" t="s">
        <v>75</v>
      </c>
      <c r="D3092" t="s">
        <v>76</v>
      </c>
      <c r="E3092" t="s">
        <v>8</v>
      </c>
      <c r="F3092" t="s">
        <v>38</v>
      </c>
      <c r="G3092" s="16">
        <v>2365.8539999999998</v>
      </c>
      <c r="H3092" s="16">
        <v>2720.732</v>
      </c>
      <c r="I3092" s="1">
        <v>46221</v>
      </c>
      <c r="J3092">
        <v>22</v>
      </c>
      <c r="K3092" t="s">
        <v>6841</v>
      </c>
      <c r="L3092" t="s">
        <v>9106</v>
      </c>
      <c r="M3092">
        <v>3</v>
      </c>
      <c r="N3092">
        <v>5</v>
      </c>
      <c r="O3092" t="s">
        <v>1036</v>
      </c>
      <c r="P3092" s="17"/>
      <c r="Q3092" s="17" t="str">
        <f>_xlfn.XLOOKUP(Table2[[#This Row],[buyFromVendorNo]],'Next Day Scheduled'!A:A,'Pending Returns'!O:O,"NOT_FOUND")</f>
        <v>Posted Credit Note</v>
      </c>
    </row>
    <row r="3093" spans="1:17" x14ac:dyDescent="0.3">
      <c r="A3093" s="1">
        <v>46237</v>
      </c>
      <c r="B3093" t="s">
        <v>2178</v>
      </c>
      <c r="C3093" t="s">
        <v>65</v>
      </c>
      <c r="D3093" t="s">
        <v>66</v>
      </c>
      <c r="E3093" t="s">
        <v>8</v>
      </c>
      <c r="F3093" t="s">
        <v>10</v>
      </c>
      <c r="G3093" s="16">
        <v>5301.2266</v>
      </c>
      <c r="H3093" s="16">
        <v>6096.4106000000002</v>
      </c>
      <c r="I3093" s="1">
        <v>46230</v>
      </c>
      <c r="J3093">
        <v>22</v>
      </c>
      <c r="K3093" t="s">
        <v>6871</v>
      </c>
      <c r="L3093" t="s">
        <v>9104</v>
      </c>
      <c r="M3093">
        <v>8</v>
      </c>
      <c r="N3093">
        <v>5</v>
      </c>
      <c r="O3093" t="s">
        <v>1036</v>
      </c>
      <c r="P3093" s="17"/>
      <c r="Q3093" s="17" t="str">
        <f>_xlfn.XLOOKUP(Table2[[#This Row],[buyFromVendorNo]],'Next Day Scheduled'!A:A,'Pending Returns'!O:O,"NOT_FOUND")</f>
        <v>Posted Credit Note</v>
      </c>
    </row>
    <row r="3094" spans="1:17" x14ac:dyDescent="0.3">
      <c r="A3094" s="1">
        <v>46237</v>
      </c>
      <c r="B3094" t="s">
        <v>3698</v>
      </c>
      <c r="C3094" t="s">
        <v>122</v>
      </c>
      <c r="D3094" t="s">
        <v>123</v>
      </c>
      <c r="E3094" t="s">
        <v>8</v>
      </c>
      <c r="F3094" t="s">
        <v>10</v>
      </c>
      <c r="G3094" s="16">
        <v>136.25</v>
      </c>
      <c r="H3094" s="16">
        <v>156.6875</v>
      </c>
      <c r="I3094" s="1">
        <v>46233</v>
      </c>
      <c r="J3094">
        <v>22</v>
      </c>
      <c r="K3094" t="s">
        <v>8734</v>
      </c>
      <c r="L3094" t="s">
        <v>9105</v>
      </c>
      <c r="M3094">
        <v>10</v>
      </c>
      <c r="N3094">
        <v>1</v>
      </c>
      <c r="O3094" t="s">
        <v>1036</v>
      </c>
      <c r="P3094" s="17"/>
      <c r="Q3094" s="17" t="str">
        <f>_xlfn.XLOOKUP(Table2[[#This Row],[buyFromVendorNo]],'Next Day Scheduled'!A:A,'Pending Returns'!O:O,"NOT_FOUND")</f>
        <v>NOT_FOUND</v>
      </c>
    </row>
    <row r="3095" spans="1:17" x14ac:dyDescent="0.3">
      <c r="A3095" s="1">
        <v>46237</v>
      </c>
      <c r="B3095" t="s">
        <v>1712</v>
      </c>
      <c r="C3095" t="s">
        <v>11</v>
      </c>
      <c r="D3095" t="s">
        <v>12</v>
      </c>
      <c r="E3095" t="s">
        <v>8</v>
      </c>
      <c r="F3095" t="s">
        <v>10</v>
      </c>
      <c r="G3095" s="16">
        <v>360</v>
      </c>
      <c r="H3095" s="16">
        <v>414</v>
      </c>
      <c r="I3095" s="1">
        <v>46223</v>
      </c>
      <c r="J3095">
        <v>22</v>
      </c>
      <c r="K3095" t="s">
        <v>4721</v>
      </c>
      <c r="L3095" t="s">
        <v>9108</v>
      </c>
      <c r="M3095">
        <v>0</v>
      </c>
      <c r="N3095">
        <v>178</v>
      </c>
      <c r="O3095" t="s">
        <v>1036</v>
      </c>
      <c r="P3095" s="17"/>
      <c r="Q3095" s="17" t="str">
        <f>_xlfn.XLOOKUP(Table2[[#This Row],[buyFromVendorNo]],'Next Day Scheduled'!A:A,'Pending Returns'!O:O,"NOT_FOUND")</f>
        <v>NOT_FOUND</v>
      </c>
    </row>
    <row r="3096" spans="1:17" x14ac:dyDescent="0.3">
      <c r="A3096" s="1">
        <v>46237</v>
      </c>
      <c r="B3096" t="s">
        <v>4397</v>
      </c>
      <c r="C3096" t="s">
        <v>531</v>
      </c>
      <c r="D3096" t="s">
        <v>532</v>
      </c>
      <c r="E3096" t="s">
        <v>8</v>
      </c>
      <c r="F3096" t="s">
        <v>10</v>
      </c>
      <c r="G3096" s="16">
        <v>880</v>
      </c>
      <c r="H3096" s="16">
        <v>1012</v>
      </c>
      <c r="I3096" s="1">
        <v>46237</v>
      </c>
      <c r="J3096">
        <v>22</v>
      </c>
      <c r="K3096" t="s">
        <v>8686</v>
      </c>
      <c r="L3096" t="s">
        <v>9175</v>
      </c>
      <c r="M3096">
        <v>1</v>
      </c>
      <c r="N3096">
        <v>15</v>
      </c>
      <c r="O3096" t="s">
        <v>1036</v>
      </c>
      <c r="P3096" s="17"/>
      <c r="Q3096" s="17" t="str">
        <f>_xlfn.XLOOKUP(Table2[[#This Row],[buyFromVendorNo]],'Next Day Scheduled'!A:A,'Pending Returns'!O:O,"NOT_FOUND")</f>
        <v>NOT_FOUND</v>
      </c>
    </row>
    <row r="3097" spans="1:17" x14ac:dyDescent="0.3">
      <c r="A3097" s="1">
        <v>46237</v>
      </c>
      <c r="B3097" t="s">
        <v>3254</v>
      </c>
      <c r="C3097" t="s">
        <v>310</v>
      </c>
      <c r="D3097" t="s">
        <v>311</v>
      </c>
      <c r="E3097" t="s">
        <v>8</v>
      </c>
      <c r="F3097" t="s">
        <v>10</v>
      </c>
      <c r="G3097" s="16">
        <v>9.6300000000000008</v>
      </c>
      <c r="H3097" s="16">
        <v>11.0745</v>
      </c>
      <c r="I3097" s="1">
        <v>46230</v>
      </c>
      <c r="J3097">
        <v>22</v>
      </c>
      <c r="K3097" t="s">
        <v>7778</v>
      </c>
      <c r="L3097" t="s">
        <v>9069</v>
      </c>
      <c r="M3097">
        <v>3</v>
      </c>
      <c r="N3097">
        <v>2</v>
      </c>
      <c r="O3097" t="s">
        <v>1036</v>
      </c>
      <c r="P3097" s="17"/>
      <c r="Q3097" s="17" t="str">
        <f>_xlfn.XLOOKUP(Table2[[#This Row],[buyFromVendorNo]],'Next Day Scheduled'!A:A,'Pending Returns'!O:O,"NOT_FOUND")</f>
        <v>NOT_FOUND</v>
      </c>
    </row>
    <row r="3098" spans="1:17" x14ac:dyDescent="0.3">
      <c r="A3098" s="1">
        <v>46237</v>
      </c>
      <c r="B3098" t="s">
        <v>215</v>
      </c>
      <c r="C3098" t="s">
        <v>11</v>
      </c>
      <c r="D3098" t="s">
        <v>12</v>
      </c>
      <c r="E3098" t="s">
        <v>8</v>
      </c>
      <c r="F3098" t="s">
        <v>10</v>
      </c>
      <c r="G3098" s="16">
        <v>1456</v>
      </c>
      <c r="H3098" s="16">
        <v>1674.4</v>
      </c>
      <c r="I3098" s="1">
        <v>46223</v>
      </c>
      <c r="J3098">
        <v>22</v>
      </c>
      <c r="K3098" t="s">
        <v>9</v>
      </c>
      <c r="L3098" t="s">
        <v>9073</v>
      </c>
      <c r="M3098">
        <v>0</v>
      </c>
      <c r="N3098">
        <v>178</v>
      </c>
      <c r="O3098" t="s">
        <v>1036</v>
      </c>
      <c r="P3098" s="17"/>
      <c r="Q3098" s="17" t="str">
        <f>_xlfn.XLOOKUP(Table2[[#This Row],[buyFromVendorNo]],'Next Day Scheduled'!A:A,'Pending Returns'!O:O,"NOT_FOUND")</f>
        <v>NOT_FOUND</v>
      </c>
    </row>
    <row r="3099" spans="1:17" x14ac:dyDescent="0.3">
      <c r="A3099" s="1">
        <v>46237</v>
      </c>
      <c r="B3099" t="s">
        <v>642</v>
      </c>
      <c r="C3099" t="s">
        <v>75</v>
      </c>
      <c r="D3099" t="s">
        <v>76</v>
      </c>
      <c r="E3099" t="s">
        <v>8</v>
      </c>
      <c r="F3099" t="s">
        <v>38</v>
      </c>
      <c r="G3099" s="16">
        <v>3300.0005000000001</v>
      </c>
      <c r="H3099" s="16">
        <v>3795.0005000000001</v>
      </c>
      <c r="I3099" s="1">
        <v>46221</v>
      </c>
      <c r="J3099">
        <v>22</v>
      </c>
      <c r="K3099" t="s">
        <v>7692</v>
      </c>
      <c r="L3099" t="s">
        <v>9077</v>
      </c>
      <c r="M3099">
        <v>3</v>
      </c>
      <c r="N3099">
        <v>5</v>
      </c>
      <c r="O3099" t="s">
        <v>1036</v>
      </c>
      <c r="P3099" s="17"/>
      <c r="Q3099" s="17" t="str">
        <f>_xlfn.XLOOKUP(Table2[[#This Row],[buyFromVendorNo]],'Next Day Scheduled'!A:A,'Pending Returns'!O:O,"NOT_FOUND")</f>
        <v>Posted Credit Note</v>
      </c>
    </row>
    <row r="3100" spans="1:17" x14ac:dyDescent="0.3">
      <c r="A3100" s="1">
        <v>46237</v>
      </c>
      <c r="B3100" t="s">
        <v>3268</v>
      </c>
      <c r="C3100" t="s">
        <v>534</v>
      </c>
      <c r="D3100" t="s">
        <v>535</v>
      </c>
      <c r="E3100" t="s">
        <v>8</v>
      </c>
      <c r="F3100" t="s">
        <v>10</v>
      </c>
      <c r="G3100" s="16">
        <v>112.36</v>
      </c>
      <c r="H3100" s="16">
        <v>129.214</v>
      </c>
      <c r="J3100">
        <v>22</v>
      </c>
      <c r="K3100" t="s">
        <v>9078</v>
      </c>
      <c r="M3100">
        <v>3</v>
      </c>
      <c r="N3100">
        <v>2</v>
      </c>
      <c r="O3100" t="s">
        <v>216</v>
      </c>
      <c r="P3100" s="17"/>
      <c r="Q3100" s="17" t="str">
        <f>_xlfn.XLOOKUP(Table2[[#This Row],[buyFromVendorNo]],'Next Day Scheduled'!A:A,'Pending Returns'!O:O,"NOT_FOUND")</f>
        <v>NOT_FOUND</v>
      </c>
    </row>
    <row r="3101" spans="1:17" x14ac:dyDescent="0.3">
      <c r="A3101" s="1">
        <v>46237</v>
      </c>
      <c r="B3101" t="s">
        <v>4096</v>
      </c>
      <c r="C3101" t="s">
        <v>65</v>
      </c>
      <c r="D3101" t="s">
        <v>66</v>
      </c>
      <c r="E3101" t="s">
        <v>8</v>
      </c>
      <c r="F3101" t="s">
        <v>10</v>
      </c>
      <c r="G3101" s="16">
        <v>5741.4673000000003</v>
      </c>
      <c r="H3101" s="16">
        <v>6602.6875</v>
      </c>
      <c r="I3101" s="1">
        <v>46230</v>
      </c>
      <c r="J3101">
        <v>22</v>
      </c>
      <c r="K3101" t="s">
        <v>6740</v>
      </c>
      <c r="L3101" t="s">
        <v>9080</v>
      </c>
      <c r="M3101">
        <v>8</v>
      </c>
      <c r="N3101">
        <v>5</v>
      </c>
      <c r="O3101" t="s">
        <v>1036</v>
      </c>
      <c r="P3101" s="17"/>
      <c r="Q3101" s="17" t="str">
        <f>_xlfn.XLOOKUP(Table2[[#This Row],[buyFromVendorNo]],'Next Day Scheduled'!A:A,'Pending Returns'!O:O,"NOT_FOUND")</f>
        <v>Posted Credit Note</v>
      </c>
    </row>
    <row r="3102" spans="1:17" x14ac:dyDescent="0.3">
      <c r="A3102" s="1">
        <v>46237</v>
      </c>
      <c r="B3102" t="s">
        <v>1797</v>
      </c>
      <c r="C3102" t="s">
        <v>302</v>
      </c>
      <c r="D3102" t="s">
        <v>303</v>
      </c>
      <c r="E3102" t="s">
        <v>8</v>
      </c>
      <c r="F3102" t="s">
        <v>10</v>
      </c>
      <c r="G3102" s="16">
        <v>2941.6669999999999</v>
      </c>
      <c r="H3102" s="16">
        <v>3382.9171999999999</v>
      </c>
      <c r="I3102" s="1">
        <v>46230</v>
      </c>
      <c r="J3102">
        <v>22</v>
      </c>
      <c r="K3102" t="s">
        <v>7753</v>
      </c>
      <c r="L3102" t="s">
        <v>9083</v>
      </c>
      <c r="M3102">
        <v>3</v>
      </c>
      <c r="N3102">
        <v>1</v>
      </c>
      <c r="O3102" t="s">
        <v>1036</v>
      </c>
      <c r="P3102" s="17"/>
      <c r="Q3102" s="17" t="str">
        <f>_xlfn.XLOOKUP(Table2[[#This Row],[buyFromVendorNo]],'Next Day Scheduled'!A:A,'Pending Returns'!O:O,"NOT_FOUND")</f>
        <v>NOT_FOUND</v>
      </c>
    </row>
    <row r="3103" spans="1:17" x14ac:dyDescent="0.3">
      <c r="A3103" s="1">
        <v>46237</v>
      </c>
      <c r="B3103" t="s">
        <v>5386</v>
      </c>
      <c r="C3103" t="s">
        <v>508</v>
      </c>
      <c r="D3103" t="s">
        <v>509</v>
      </c>
      <c r="E3103" t="s">
        <v>8</v>
      </c>
      <c r="F3103" t="s">
        <v>10</v>
      </c>
      <c r="G3103" s="16">
        <v>104.66</v>
      </c>
      <c r="H3103" s="16">
        <v>120.35899999999999</v>
      </c>
      <c r="I3103" s="1">
        <v>46207</v>
      </c>
      <c r="J3103">
        <v>22</v>
      </c>
      <c r="K3103" t="s">
        <v>5387</v>
      </c>
      <c r="L3103" t="s">
        <v>9189</v>
      </c>
      <c r="M3103">
        <v>2</v>
      </c>
      <c r="N3103">
        <v>9</v>
      </c>
      <c r="O3103" t="s">
        <v>1036</v>
      </c>
      <c r="P3103" s="17"/>
      <c r="Q3103" s="17" t="str">
        <f>_xlfn.XLOOKUP(Table2[[#This Row],[buyFromVendorNo]],'Next Day Scheduled'!A:A,'Pending Returns'!O:O,"NOT_FOUND")</f>
        <v>Posted Credit Note</v>
      </c>
    </row>
    <row r="3104" spans="1:17" x14ac:dyDescent="0.3">
      <c r="A3104" s="1">
        <v>46237</v>
      </c>
      <c r="B3104" t="s">
        <v>3500</v>
      </c>
      <c r="C3104" t="s">
        <v>122</v>
      </c>
      <c r="D3104" t="s">
        <v>123</v>
      </c>
      <c r="E3104" t="s">
        <v>8</v>
      </c>
      <c r="F3104" t="s">
        <v>10</v>
      </c>
      <c r="G3104" s="16">
        <v>91.25</v>
      </c>
      <c r="H3104" s="16">
        <v>104.9375</v>
      </c>
      <c r="I3104" s="1">
        <v>46233</v>
      </c>
      <c r="J3104">
        <v>22</v>
      </c>
      <c r="K3104" t="s">
        <v>8093</v>
      </c>
      <c r="L3104" t="s">
        <v>9190</v>
      </c>
      <c r="M3104">
        <v>10</v>
      </c>
      <c r="N3104">
        <v>1</v>
      </c>
      <c r="O3104" t="s">
        <v>1036</v>
      </c>
      <c r="P3104" s="17"/>
      <c r="Q3104" s="17" t="str">
        <f>_xlfn.XLOOKUP(Table2[[#This Row],[buyFromVendorNo]],'Next Day Scheduled'!A:A,'Pending Returns'!O:O,"NOT_FOUND")</f>
        <v>NOT_FOUND</v>
      </c>
    </row>
    <row r="3105" spans="1:17" x14ac:dyDescent="0.3">
      <c r="A3105" s="1">
        <v>46237</v>
      </c>
      <c r="B3105" t="s">
        <v>2213</v>
      </c>
      <c r="C3105" t="s">
        <v>1424</v>
      </c>
      <c r="D3105" t="s">
        <v>1425</v>
      </c>
      <c r="E3105" t="s">
        <v>8</v>
      </c>
      <c r="F3105" t="s">
        <v>10</v>
      </c>
      <c r="G3105" s="16">
        <v>417</v>
      </c>
      <c r="H3105" s="16">
        <v>479.55</v>
      </c>
      <c r="I3105" s="1">
        <v>46233</v>
      </c>
      <c r="J3105">
        <v>22</v>
      </c>
      <c r="K3105" t="s">
        <v>7586</v>
      </c>
      <c r="L3105" t="s">
        <v>9191</v>
      </c>
      <c r="M3105">
        <v>0</v>
      </c>
      <c r="N3105">
        <v>50</v>
      </c>
      <c r="O3105" t="s">
        <v>1036</v>
      </c>
      <c r="P3105" s="17"/>
      <c r="Q3105" s="17" t="str">
        <f>_xlfn.XLOOKUP(Table2[[#This Row],[buyFromVendorNo]],'Next Day Scheduled'!A:A,'Pending Returns'!O:O,"NOT_FOUND")</f>
        <v>Posted Credit Note</v>
      </c>
    </row>
    <row r="3106" spans="1:17" x14ac:dyDescent="0.3">
      <c r="A3106" s="1">
        <v>46237</v>
      </c>
      <c r="B3106" t="s">
        <v>2659</v>
      </c>
      <c r="C3106" t="s">
        <v>531</v>
      </c>
      <c r="D3106" t="s">
        <v>532</v>
      </c>
      <c r="E3106" t="s">
        <v>8</v>
      </c>
      <c r="F3106" t="s">
        <v>10</v>
      </c>
      <c r="G3106" s="16">
        <v>220</v>
      </c>
      <c r="H3106" s="16">
        <v>253</v>
      </c>
      <c r="I3106" s="1">
        <v>46237</v>
      </c>
      <c r="J3106">
        <v>22</v>
      </c>
      <c r="K3106" t="s">
        <v>7570</v>
      </c>
      <c r="L3106" t="s">
        <v>9160</v>
      </c>
      <c r="M3106">
        <v>1</v>
      </c>
      <c r="N3106">
        <v>15</v>
      </c>
      <c r="O3106" t="s">
        <v>1036</v>
      </c>
      <c r="P3106" s="17"/>
      <c r="Q3106" s="17" t="str">
        <f>_xlfn.XLOOKUP(Table2[[#This Row],[buyFromVendorNo]],'Next Day Scheduled'!A:A,'Pending Returns'!O:O,"NOT_FOUND")</f>
        <v>NOT_FOUND</v>
      </c>
    </row>
    <row r="3107" spans="1:17" x14ac:dyDescent="0.3">
      <c r="A3107" s="1">
        <v>46237</v>
      </c>
      <c r="B3107" t="s">
        <v>8253</v>
      </c>
      <c r="C3107" t="s">
        <v>882</v>
      </c>
      <c r="D3107" t="s">
        <v>883</v>
      </c>
      <c r="E3107" t="s">
        <v>8</v>
      </c>
      <c r="F3107" t="s">
        <v>10</v>
      </c>
      <c r="G3107" s="16">
        <v>75</v>
      </c>
      <c r="H3107" s="16">
        <v>86.25</v>
      </c>
      <c r="I3107" s="1">
        <v>46237</v>
      </c>
      <c r="J3107">
        <v>22</v>
      </c>
      <c r="K3107" t="s">
        <v>8254</v>
      </c>
      <c r="L3107" t="s">
        <v>9045</v>
      </c>
      <c r="M3107">
        <v>2</v>
      </c>
      <c r="N3107">
        <v>12</v>
      </c>
      <c r="O3107" t="s">
        <v>223</v>
      </c>
      <c r="P3107" s="17"/>
      <c r="Q3107" s="17" t="str">
        <f>_xlfn.XLOOKUP(Table2[[#This Row],[buyFromVendorNo]],'Next Day Scheduled'!A:A,'Pending Returns'!O:O,"NOT_FOUND")</f>
        <v>Posted Credit Note</v>
      </c>
    </row>
    <row r="3108" spans="1:17" x14ac:dyDescent="0.3">
      <c r="A3108" s="1">
        <v>46237</v>
      </c>
      <c r="B3108" t="s">
        <v>3709</v>
      </c>
      <c r="C3108" t="s">
        <v>987</v>
      </c>
      <c r="D3108" t="s">
        <v>988</v>
      </c>
      <c r="E3108" t="s">
        <v>8</v>
      </c>
      <c r="F3108" t="s">
        <v>10</v>
      </c>
      <c r="G3108" s="16">
        <v>74.7</v>
      </c>
      <c r="H3108" s="16">
        <v>85.905000000000001</v>
      </c>
      <c r="J3108">
        <v>22</v>
      </c>
      <c r="K3108" t="s">
        <v>9134</v>
      </c>
      <c r="M3108">
        <v>0</v>
      </c>
      <c r="N3108">
        <v>240</v>
      </c>
      <c r="O3108" t="s">
        <v>216</v>
      </c>
      <c r="P3108" s="17"/>
      <c r="Q3108" s="17" t="str">
        <f>_xlfn.XLOOKUP(Table2[[#This Row],[buyFromVendorNo]],'Next Day Scheduled'!A:A,'Pending Returns'!O:O,"NOT_FOUND")</f>
        <v>NOT_FOUND</v>
      </c>
    </row>
    <row r="3109" spans="1:17" x14ac:dyDescent="0.3">
      <c r="A3109" s="1">
        <v>46237</v>
      </c>
      <c r="B3109" t="s">
        <v>7531</v>
      </c>
      <c r="C3109" t="s">
        <v>1643</v>
      </c>
      <c r="D3109" t="s">
        <v>1644</v>
      </c>
      <c r="E3109" t="s">
        <v>8</v>
      </c>
      <c r="F3109" t="s">
        <v>38</v>
      </c>
      <c r="G3109" s="16">
        <v>629.29999999999995</v>
      </c>
      <c r="H3109" s="16">
        <v>723.69500000000005</v>
      </c>
      <c r="I3109" s="1">
        <v>46236</v>
      </c>
      <c r="J3109">
        <v>22</v>
      </c>
      <c r="K3109" t="s">
        <v>8314</v>
      </c>
      <c r="L3109" t="s">
        <v>9135</v>
      </c>
      <c r="M3109">
        <v>4</v>
      </c>
      <c r="N3109">
        <v>2</v>
      </c>
      <c r="O3109" t="s">
        <v>1036</v>
      </c>
      <c r="P3109" s="17"/>
      <c r="Q3109" s="17" t="str">
        <f>_xlfn.XLOOKUP(Table2[[#This Row],[buyFromVendorNo]],'Next Day Scheduled'!A:A,'Pending Returns'!O:O,"NOT_FOUND")</f>
        <v>NOT_FOUND</v>
      </c>
    </row>
    <row r="3110" spans="1:17" x14ac:dyDescent="0.3">
      <c r="A3110" s="1">
        <v>46237</v>
      </c>
      <c r="B3110" t="s">
        <v>3299</v>
      </c>
      <c r="C3110" t="s">
        <v>931</v>
      </c>
      <c r="D3110" t="s">
        <v>1767</v>
      </c>
      <c r="E3110" t="s">
        <v>8</v>
      </c>
      <c r="F3110" t="s">
        <v>10</v>
      </c>
      <c r="G3110" s="16">
        <v>1133.9000000000001</v>
      </c>
      <c r="H3110" s="16">
        <v>1303.9849999999999</v>
      </c>
      <c r="I3110" s="1">
        <v>46238</v>
      </c>
      <c r="J3110">
        <v>22</v>
      </c>
      <c r="K3110" t="s">
        <v>8694</v>
      </c>
      <c r="L3110" t="s">
        <v>9164</v>
      </c>
      <c r="M3110">
        <v>4</v>
      </c>
      <c r="N3110">
        <v>3</v>
      </c>
      <c r="O3110" t="s">
        <v>223</v>
      </c>
      <c r="P3110" s="17"/>
      <c r="Q3110" s="17" t="str">
        <f>_xlfn.XLOOKUP(Table2[[#This Row],[buyFromVendorNo]],'Next Day Scheduled'!A:A,'Pending Returns'!O:O,"NOT_FOUND")</f>
        <v>NOT_FOUND</v>
      </c>
    </row>
    <row r="3111" spans="1:17" x14ac:dyDescent="0.3">
      <c r="A3111" s="1">
        <v>46237</v>
      </c>
      <c r="B3111" t="s">
        <v>3578</v>
      </c>
      <c r="C3111" t="s">
        <v>49</v>
      </c>
      <c r="D3111" t="s">
        <v>50</v>
      </c>
      <c r="E3111" t="s">
        <v>8</v>
      </c>
      <c r="F3111" t="s">
        <v>10</v>
      </c>
      <c r="G3111" s="16">
        <v>1001.18</v>
      </c>
      <c r="H3111" s="16">
        <v>1151.357</v>
      </c>
      <c r="I3111" s="1">
        <v>46230</v>
      </c>
      <c r="J3111">
        <v>22</v>
      </c>
      <c r="K3111" t="s">
        <v>8242</v>
      </c>
      <c r="L3111" t="s">
        <v>9139</v>
      </c>
      <c r="M3111">
        <v>1</v>
      </c>
      <c r="N3111">
        <v>15</v>
      </c>
      <c r="O3111" t="s">
        <v>1036</v>
      </c>
      <c r="P3111" s="17"/>
      <c r="Q3111" s="17" t="str">
        <f>_xlfn.XLOOKUP(Table2[[#This Row],[buyFromVendorNo]],'Next Day Scheduled'!A:A,'Pending Returns'!O:O,"NOT_FOUND")</f>
        <v>NOT_FOUND</v>
      </c>
    </row>
    <row r="3112" spans="1:17" x14ac:dyDescent="0.3">
      <c r="A3112" s="1">
        <v>46237</v>
      </c>
      <c r="B3112" t="s">
        <v>2001</v>
      </c>
      <c r="C3112" t="s">
        <v>11</v>
      </c>
      <c r="D3112" t="s">
        <v>12</v>
      </c>
      <c r="E3112" t="s">
        <v>8</v>
      </c>
      <c r="F3112" t="s">
        <v>10</v>
      </c>
      <c r="G3112" s="16">
        <v>64</v>
      </c>
      <c r="H3112" s="16">
        <v>73.599999999999994</v>
      </c>
      <c r="I3112" s="1">
        <v>46223</v>
      </c>
      <c r="J3112">
        <v>22</v>
      </c>
      <c r="K3112" t="s">
        <v>5469</v>
      </c>
      <c r="L3112" t="s">
        <v>9140</v>
      </c>
      <c r="M3112">
        <v>0</v>
      </c>
      <c r="N3112">
        <v>178</v>
      </c>
      <c r="O3112" t="s">
        <v>1036</v>
      </c>
      <c r="P3112" s="17"/>
      <c r="Q3112" s="17" t="str">
        <f>_xlfn.XLOOKUP(Table2[[#This Row],[buyFromVendorNo]],'Next Day Scheduled'!A:A,'Pending Returns'!O:O,"NOT_FOUND")</f>
        <v>NOT_FOUND</v>
      </c>
    </row>
    <row r="3113" spans="1:17" x14ac:dyDescent="0.3">
      <c r="A3113" s="1">
        <v>46237</v>
      </c>
      <c r="B3113" t="s">
        <v>2745</v>
      </c>
      <c r="C3113" t="s">
        <v>65</v>
      </c>
      <c r="D3113" t="s">
        <v>66</v>
      </c>
      <c r="E3113" t="s">
        <v>8</v>
      </c>
      <c r="F3113" t="s">
        <v>10</v>
      </c>
      <c r="G3113" s="16">
        <v>3478.1995000000002</v>
      </c>
      <c r="H3113" s="16">
        <v>3999.9292</v>
      </c>
      <c r="I3113" s="1">
        <v>46230</v>
      </c>
      <c r="J3113">
        <v>22</v>
      </c>
      <c r="K3113" t="s">
        <v>6646</v>
      </c>
      <c r="L3113" t="s">
        <v>9060</v>
      </c>
      <c r="M3113">
        <v>8</v>
      </c>
      <c r="N3113">
        <v>5</v>
      </c>
      <c r="O3113" t="s">
        <v>1036</v>
      </c>
      <c r="P3113" s="17"/>
      <c r="Q3113" s="17" t="str">
        <f>_xlfn.XLOOKUP(Table2[[#This Row],[buyFromVendorNo]],'Next Day Scheduled'!A:A,'Pending Returns'!O:O,"NOT_FOUND")</f>
        <v>Posted Credit Note</v>
      </c>
    </row>
    <row r="3114" spans="1:17" x14ac:dyDescent="0.3">
      <c r="A3114" s="1">
        <v>46237</v>
      </c>
      <c r="B3114" t="s">
        <v>763</v>
      </c>
      <c r="C3114" t="s">
        <v>633</v>
      </c>
      <c r="D3114" t="s">
        <v>690</v>
      </c>
      <c r="E3114" t="s">
        <v>8</v>
      </c>
      <c r="F3114" t="s">
        <v>10</v>
      </c>
      <c r="G3114" s="16">
        <v>30.4</v>
      </c>
      <c r="H3114" s="16">
        <v>34.96</v>
      </c>
      <c r="I3114" s="1">
        <v>46225</v>
      </c>
      <c r="J3114">
        <v>22</v>
      </c>
      <c r="K3114" t="s">
        <v>7565</v>
      </c>
      <c r="L3114" t="s">
        <v>9061</v>
      </c>
      <c r="M3114">
        <v>3</v>
      </c>
      <c r="N3114">
        <v>6</v>
      </c>
      <c r="O3114" t="s">
        <v>1036</v>
      </c>
      <c r="P3114" s="17"/>
      <c r="Q3114" s="17" t="str">
        <f>_xlfn.XLOOKUP(Table2[[#This Row],[buyFromVendorNo]],'Next Day Scheduled'!A:A,'Pending Returns'!O:O,"NOT_FOUND")</f>
        <v>NOT_FOUND</v>
      </c>
    </row>
    <row r="3115" spans="1:17" x14ac:dyDescent="0.3">
      <c r="A3115" s="1">
        <v>46237</v>
      </c>
      <c r="B3115" t="s">
        <v>5314</v>
      </c>
      <c r="C3115" t="s">
        <v>11</v>
      </c>
      <c r="D3115" t="s">
        <v>12</v>
      </c>
      <c r="E3115" t="s">
        <v>8</v>
      </c>
      <c r="F3115" t="s">
        <v>10</v>
      </c>
      <c r="G3115" s="16">
        <v>88</v>
      </c>
      <c r="H3115" s="16">
        <v>101.2</v>
      </c>
      <c r="I3115" s="1">
        <v>46223</v>
      </c>
      <c r="J3115">
        <v>22</v>
      </c>
      <c r="K3115" t="s">
        <v>5315</v>
      </c>
      <c r="L3115" t="s">
        <v>9062</v>
      </c>
      <c r="M3115">
        <v>0</v>
      </c>
      <c r="N3115">
        <v>178</v>
      </c>
      <c r="O3115" t="s">
        <v>1036</v>
      </c>
      <c r="P3115" s="17"/>
      <c r="Q3115" s="17" t="str">
        <f>_xlfn.XLOOKUP(Table2[[#This Row],[buyFromVendorNo]],'Next Day Scheduled'!A:A,'Pending Returns'!O:O,"NOT_FOUND")</f>
        <v>NOT_FOUND</v>
      </c>
    </row>
    <row r="3116" spans="1:17" x14ac:dyDescent="0.3">
      <c r="A3116" s="1">
        <v>46237</v>
      </c>
      <c r="B3116" t="s">
        <v>4084</v>
      </c>
      <c r="C3116" t="s">
        <v>65</v>
      </c>
      <c r="D3116" t="s">
        <v>66</v>
      </c>
      <c r="E3116" t="s">
        <v>8</v>
      </c>
      <c r="F3116" t="s">
        <v>10</v>
      </c>
      <c r="G3116" s="16">
        <v>3478.1995000000002</v>
      </c>
      <c r="H3116" s="16">
        <v>3999.9292</v>
      </c>
      <c r="I3116" s="1">
        <v>46230</v>
      </c>
      <c r="J3116">
        <v>22</v>
      </c>
      <c r="K3116" t="s">
        <v>6655</v>
      </c>
      <c r="L3116" t="s">
        <v>9064</v>
      </c>
      <c r="M3116">
        <v>8</v>
      </c>
      <c r="N3116">
        <v>5</v>
      </c>
      <c r="O3116" t="s">
        <v>1036</v>
      </c>
      <c r="P3116" s="17"/>
      <c r="Q3116" s="17" t="str">
        <f>_xlfn.XLOOKUP(Table2[[#This Row],[buyFromVendorNo]],'Next Day Scheduled'!A:A,'Pending Returns'!O:O,"NOT_FOUND")</f>
        <v>Posted Credit Note</v>
      </c>
    </row>
    <row r="3117" spans="1:17" x14ac:dyDescent="0.3">
      <c r="A3117" s="1">
        <v>46237</v>
      </c>
      <c r="B3117" t="s">
        <v>642</v>
      </c>
      <c r="C3117" t="s">
        <v>4387</v>
      </c>
      <c r="D3117" t="s">
        <v>4388</v>
      </c>
      <c r="E3117" t="s">
        <v>8</v>
      </c>
      <c r="F3117" t="s">
        <v>38</v>
      </c>
      <c r="G3117" s="16">
        <v>197.21</v>
      </c>
      <c r="H3117" s="16">
        <v>226.79150000000001</v>
      </c>
      <c r="I3117" s="1">
        <v>46223</v>
      </c>
      <c r="J3117">
        <v>22</v>
      </c>
      <c r="K3117" t="s">
        <v>7500</v>
      </c>
      <c r="L3117" t="s">
        <v>9172</v>
      </c>
      <c r="M3117">
        <v>1</v>
      </c>
      <c r="N3117">
        <v>10</v>
      </c>
      <c r="O3117" t="s">
        <v>1036</v>
      </c>
      <c r="P3117" s="17"/>
      <c r="Q3117" s="17" t="str">
        <f>_xlfn.XLOOKUP(Table2[[#This Row],[buyFromVendorNo]],'Next Day Scheduled'!A:A,'Pending Returns'!O:O,"NOT_FOUND")</f>
        <v>NOT_FOUND</v>
      </c>
    </row>
    <row r="3118" spans="1:17" x14ac:dyDescent="0.3">
      <c r="A3118" s="1">
        <v>46237</v>
      </c>
      <c r="B3118" t="s">
        <v>1955</v>
      </c>
      <c r="C3118" t="s">
        <v>3773</v>
      </c>
      <c r="D3118" t="s">
        <v>3774</v>
      </c>
      <c r="E3118" t="s">
        <v>8</v>
      </c>
      <c r="F3118" t="s">
        <v>10</v>
      </c>
      <c r="G3118" s="16">
        <v>11204.369000000001</v>
      </c>
      <c r="H3118" s="16">
        <v>12885.023999999999</v>
      </c>
      <c r="I3118" s="1">
        <v>46238</v>
      </c>
      <c r="J3118">
        <v>22</v>
      </c>
      <c r="K3118" t="s">
        <v>8598</v>
      </c>
      <c r="L3118" t="s">
        <v>9173</v>
      </c>
      <c r="M3118">
        <v>3</v>
      </c>
      <c r="N3118">
        <v>2</v>
      </c>
      <c r="O3118" t="s">
        <v>223</v>
      </c>
      <c r="P3118" s="17"/>
      <c r="Q3118" s="17" t="str">
        <f>_xlfn.XLOOKUP(Table2[[#This Row],[buyFromVendorNo]],'Next Day Scheduled'!A:A,'Pending Returns'!O:O,"NOT_FOUND")</f>
        <v>NOT_FOUND</v>
      </c>
    </row>
    <row r="3119" spans="1:17" x14ac:dyDescent="0.3">
      <c r="A3119" s="1">
        <v>46237</v>
      </c>
      <c r="B3119" t="s">
        <v>3709</v>
      </c>
      <c r="C3119" t="s">
        <v>987</v>
      </c>
      <c r="D3119" t="s">
        <v>988</v>
      </c>
      <c r="E3119" t="s">
        <v>8</v>
      </c>
      <c r="F3119" t="s">
        <v>10</v>
      </c>
      <c r="G3119" s="16">
        <v>6</v>
      </c>
      <c r="H3119" s="16">
        <v>6.9</v>
      </c>
      <c r="J3119">
        <v>22</v>
      </c>
      <c r="K3119" t="s">
        <v>9067</v>
      </c>
      <c r="M3119">
        <v>0</v>
      </c>
      <c r="N3119">
        <v>240</v>
      </c>
      <c r="O3119" t="s">
        <v>216</v>
      </c>
      <c r="P3119" s="17"/>
      <c r="Q3119" s="17" t="str">
        <f>_xlfn.XLOOKUP(Table2[[#This Row],[buyFromVendorNo]],'Next Day Scheduled'!A:A,'Pending Returns'!O:O,"NOT_FOUND")</f>
        <v>NOT_FOUND</v>
      </c>
    </row>
    <row r="3120" spans="1:17" x14ac:dyDescent="0.3">
      <c r="A3120" s="1">
        <v>46237</v>
      </c>
      <c r="B3120" t="s">
        <v>266</v>
      </c>
      <c r="C3120" t="s">
        <v>11</v>
      </c>
      <c r="D3120" t="s">
        <v>12</v>
      </c>
      <c r="E3120" t="s">
        <v>8</v>
      </c>
      <c r="F3120" t="s">
        <v>10</v>
      </c>
      <c r="G3120" s="16">
        <v>1068</v>
      </c>
      <c r="H3120" s="16">
        <v>1228.2</v>
      </c>
      <c r="I3120" s="1">
        <v>46223</v>
      </c>
      <c r="J3120">
        <v>22</v>
      </c>
      <c r="K3120" t="s">
        <v>4449</v>
      </c>
      <c r="L3120" t="s">
        <v>9153</v>
      </c>
      <c r="M3120">
        <v>0</v>
      </c>
      <c r="N3120">
        <v>178</v>
      </c>
      <c r="O3120" t="s">
        <v>1036</v>
      </c>
      <c r="P3120" s="17"/>
      <c r="Q3120" s="17" t="str">
        <f>_xlfn.XLOOKUP(Table2[[#This Row],[buyFromVendorNo]],'Next Day Scheduled'!A:A,'Pending Returns'!O:O,"NOT_FOUND")</f>
        <v>NOT_FOUND</v>
      </c>
    </row>
    <row r="3121" spans="1:17" x14ac:dyDescent="0.3">
      <c r="A3121" s="1">
        <v>46237</v>
      </c>
      <c r="B3121" t="s">
        <v>642</v>
      </c>
      <c r="C3121" t="s">
        <v>75</v>
      </c>
      <c r="D3121" t="s">
        <v>76</v>
      </c>
      <c r="E3121" t="s">
        <v>8</v>
      </c>
      <c r="F3121" t="s">
        <v>38</v>
      </c>
      <c r="G3121" s="16">
        <v>3300.0005000000001</v>
      </c>
      <c r="H3121" s="16">
        <v>3795.0005000000001</v>
      </c>
      <c r="I3121" s="1">
        <v>46221</v>
      </c>
      <c r="J3121">
        <v>22</v>
      </c>
      <c r="K3121" t="s">
        <v>7700</v>
      </c>
      <c r="L3121" t="s">
        <v>9112</v>
      </c>
      <c r="M3121">
        <v>3</v>
      </c>
      <c r="N3121">
        <v>5</v>
      </c>
      <c r="O3121" t="s">
        <v>1036</v>
      </c>
      <c r="P3121" s="17"/>
      <c r="Q3121" s="17" t="str">
        <f>_xlfn.XLOOKUP(Table2[[#This Row],[buyFromVendorNo]],'Next Day Scheduled'!A:A,'Pending Returns'!O:O,"NOT_FOUND")</f>
        <v>Posted Credit Note</v>
      </c>
    </row>
    <row r="3122" spans="1:17" x14ac:dyDescent="0.3">
      <c r="A3122" s="1">
        <v>46237</v>
      </c>
      <c r="B3122" t="s">
        <v>3278</v>
      </c>
      <c r="C3122" t="s">
        <v>197</v>
      </c>
      <c r="D3122" t="s">
        <v>198</v>
      </c>
      <c r="E3122" t="s">
        <v>8</v>
      </c>
      <c r="F3122" t="s">
        <v>10</v>
      </c>
      <c r="G3122" s="16">
        <v>535.97284000000002</v>
      </c>
      <c r="H3122" s="16">
        <v>616.36879999999996</v>
      </c>
      <c r="J3122">
        <v>22</v>
      </c>
      <c r="K3122" t="s">
        <v>9154</v>
      </c>
      <c r="M3122">
        <v>3</v>
      </c>
      <c r="N3122">
        <v>5</v>
      </c>
      <c r="O3122" t="s">
        <v>216</v>
      </c>
      <c r="P3122" s="17"/>
      <c r="Q3122" s="17" t="str">
        <f>_xlfn.XLOOKUP(Table2[[#This Row],[buyFromVendorNo]],'Next Day Scheduled'!A:A,'Pending Returns'!O:O,"NOT_FOUND")</f>
        <v>NOT_FOUND</v>
      </c>
    </row>
    <row r="3123" spans="1:17" x14ac:dyDescent="0.3">
      <c r="A3123" s="1">
        <v>46237</v>
      </c>
      <c r="B3123" t="s">
        <v>2689</v>
      </c>
      <c r="C3123" t="s">
        <v>65</v>
      </c>
      <c r="D3123" t="s">
        <v>66</v>
      </c>
      <c r="E3123" t="s">
        <v>8</v>
      </c>
      <c r="F3123" t="s">
        <v>10</v>
      </c>
      <c r="G3123" s="16">
        <v>4347.7489999999998</v>
      </c>
      <c r="H3123" s="16">
        <v>4999.9116000000004</v>
      </c>
      <c r="I3123" s="1">
        <v>46230</v>
      </c>
      <c r="J3123">
        <v>22</v>
      </c>
      <c r="K3123" t="s">
        <v>6654</v>
      </c>
      <c r="L3123" t="s">
        <v>9179</v>
      </c>
      <c r="M3123">
        <v>8</v>
      </c>
      <c r="N3123">
        <v>5</v>
      </c>
      <c r="O3123" t="s">
        <v>1036</v>
      </c>
      <c r="P3123" s="17"/>
      <c r="Q3123" s="17" t="str">
        <f>_xlfn.XLOOKUP(Table2[[#This Row],[buyFromVendorNo]],'Next Day Scheduled'!A:A,'Pending Returns'!O:O,"NOT_FOUND")</f>
        <v>Posted Credit Note</v>
      </c>
    </row>
    <row r="3124" spans="1:17" x14ac:dyDescent="0.3">
      <c r="A3124" s="1">
        <v>46237</v>
      </c>
      <c r="B3124" t="s">
        <v>3378</v>
      </c>
      <c r="C3124" t="s">
        <v>1424</v>
      </c>
      <c r="D3124" t="s">
        <v>1425</v>
      </c>
      <c r="E3124" t="s">
        <v>8</v>
      </c>
      <c r="F3124" t="s">
        <v>10</v>
      </c>
      <c r="G3124" s="16">
        <v>427.5</v>
      </c>
      <c r="H3124" s="16">
        <v>491.625</v>
      </c>
      <c r="I3124" s="1">
        <v>46233</v>
      </c>
      <c r="J3124">
        <v>22</v>
      </c>
      <c r="K3124" t="s">
        <v>8391</v>
      </c>
      <c r="L3124" t="s">
        <v>9180</v>
      </c>
      <c r="M3124">
        <v>0</v>
      </c>
      <c r="N3124">
        <v>50</v>
      </c>
      <c r="O3124" t="s">
        <v>1036</v>
      </c>
      <c r="P3124" s="17"/>
      <c r="Q3124" s="17" t="str">
        <f>_xlfn.XLOOKUP(Table2[[#This Row],[buyFromVendorNo]],'Next Day Scheduled'!A:A,'Pending Returns'!O:O,"NOT_FOUND")</f>
        <v>Posted Credit Note</v>
      </c>
    </row>
    <row r="3125" spans="1:17" x14ac:dyDescent="0.3">
      <c r="A3125" s="1">
        <v>46237</v>
      </c>
      <c r="B3125" t="s">
        <v>5228</v>
      </c>
      <c r="C3125" t="s">
        <v>1536</v>
      </c>
      <c r="D3125" t="s">
        <v>1537</v>
      </c>
      <c r="E3125" t="s">
        <v>8</v>
      </c>
      <c r="F3125" t="s">
        <v>38</v>
      </c>
      <c r="G3125" s="16">
        <v>13.5</v>
      </c>
      <c r="H3125" s="16">
        <v>15.525</v>
      </c>
      <c r="I3125" s="1">
        <v>46226</v>
      </c>
      <c r="J3125">
        <v>22</v>
      </c>
      <c r="K3125" t="s">
        <v>7430</v>
      </c>
      <c r="L3125" t="s">
        <v>9156</v>
      </c>
      <c r="M3125">
        <v>0</v>
      </c>
      <c r="N3125">
        <v>33</v>
      </c>
      <c r="O3125" t="s">
        <v>1036</v>
      </c>
      <c r="P3125" s="17"/>
      <c r="Q3125" s="17" t="str">
        <f>_xlfn.XLOOKUP(Table2[[#This Row],[buyFromVendorNo]],'Next Day Scheduled'!A:A,'Pending Returns'!O:O,"NOT_FOUND")</f>
        <v>Posted Credit Note</v>
      </c>
    </row>
    <row r="3126" spans="1:17" x14ac:dyDescent="0.3">
      <c r="A3126" s="1">
        <v>46237</v>
      </c>
      <c r="B3126" t="s">
        <v>243</v>
      </c>
      <c r="C3126" t="s">
        <v>11</v>
      </c>
      <c r="D3126" t="s">
        <v>12</v>
      </c>
      <c r="E3126" t="s">
        <v>8</v>
      </c>
      <c r="F3126" t="s">
        <v>10</v>
      </c>
      <c r="G3126" s="16">
        <v>2252</v>
      </c>
      <c r="H3126" s="16">
        <v>2589.8000000000002</v>
      </c>
      <c r="I3126" s="1">
        <v>46223</v>
      </c>
      <c r="J3126">
        <v>22</v>
      </c>
      <c r="K3126" t="s">
        <v>380</v>
      </c>
      <c r="L3126" t="s">
        <v>9079</v>
      </c>
      <c r="M3126">
        <v>0</v>
      </c>
      <c r="N3126">
        <v>178</v>
      </c>
      <c r="O3126" t="s">
        <v>1036</v>
      </c>
      <c r="P3126" s="17"/>
      <c r="Q3126" s="17" t="str">
        <f>_xlfn.XLOOKUP(Table2[[#This Row],[buyFromVendorNo]],'Next Day Scheduled'!A:A,'Pending Returns'!O:O,"NOT_FOUND")</f>
        <v>NOT_FOUND</v>
      </c>
    </row>
    <row r="3127" spans="1:17" x14ac:dyDescent="0.3">
      <c r="A3127" s="1">
        <v>46237</v>
      </c>
      <c r="B3127" t="s">
        <v>2778</v>
      </c>
      <c r="C3127" t="s">
        <v>2779</v>
      </c>
      <c r="D3127" t="s">
        <v>2780</v>
      </c>
      <c r="E3127" t="s">
        <v>8</v>
      </c>
      <c r="F3127" t="s">
        <v>10</v>
      </c>
      <c r="G3127" s="16">
        <v>735.93</v>
      </c>
      <c r="H3127" s="16">
        <v>846.31949999999995</v>
      </c>
      <c r="I3127" s="1">
        <v>46229</v>
      </c>
      <c r="J3127">
        <v>22</v>
      </c>
      <c r="K3127" t="s">
        <v>2781</v>
      </c>
      <c r="L3127" t="s">
        <v>9128</v>
      </c>
      <c r="M3127">
        <v>0</v>
      </c>
      <c r="N3127">
        <v>136</v>
      </c>
      <c r="O3127" t="s">
        <v>1036</v>
      </c>
      <c r="P3127" s="17"/>
      <c r="Q3127" s="17" t="str">
        <f>_xlfn.XLOOKUP(Table2[[#This Row],[buyFromVendorNo]],'Next Day Scheduled'!A:A,'Pending Returns'!O:O,"NOT_FOUND")</f>
        <v>NOT_FOUND</v>
      </c>
    </row>
    <row r="3128" spans="1:17" x14ac:dyDescent="0.3">
      <c r="A3128" s="1">
        <v>46237</v>
      </c>
      <c r="B3128" t="s">
        <v>2162</v>
      </c>
      <c r="C3128" t="s">
        <v>65</v>
      </c>
      <c r="D3128" t="s">
        <v>66</v>
      </c>
      <c r="E3128" t="s">
        <v>8</v>
      </c>
      <c r="F3128" t="s">
        <v>10</v>
      </c>
      <c r="G3128" s="16">
        <v>4766.4907000000003</v>
      </c>
      <c r="H3128" s="16">
        <v>5481.4643999999998</v>
      </c>
      <c r="I3128" s="1">
        <v>46230</v>
      </c>
      <c r="J3128">
        <v>22</v>
      </c>
      <c r="K3128" t="s">
        <v>7210</v>
      </c>
      <c r="L3128" t="s">
        <v>9159</v>
      </c>
      <c r="M3128">
        <v>8</v>
      </c>
      <c r="N3128">
        <v>5</v>
      </c>
      <c r="O3128" t="s">
        <v>1036</v>
      </c>
      <c r="P3128" s="17"/>
      <c r="Q3128" s="17" t="str">
        <f>_xlfn.XLOOKUP(Table2[[#This Row],[buyFromVendorNo]],'Next Day Scheduled'!A:A,'Pending Returns'!O:O,"NOT_FOUND")</f>
        <v>Posted Credit Note</v>
      </c>
    </row>
    <row r="3129" spans="1:17" x14ac:dyDescent="0.3">
      <c r="A3129" s="1">
        <v>46237</v>
      </c>
      <c r="B3129" t="s">
        <v>3344</v>
      </c>
      <c r="C3129" t="s">
        <v>1411</v>
      </c>
      <c r="D3129" t="s">
        <v>1412</v>
      </c>
      <c r="E3129" t="s">
        <v>8</v>
      </c>
      <c r="F3129" t="s">
        <v>10</v>
      </c>
      <c r="G3129" s="16">
        <v>29</v>
      </c>
      <c r="H3129" s="16">
        <v>33.35</v>
      </c>
      <c r="I3129" s="1">
        <v>46226</v>
      </c>
      <c r="J3129">
        <v>22</v>
      </c>
      <c r="K3129" t="s">
        <v>8104</v>
      </c>
      <c r="L3129" t="s">
        <v>9084</v>
      </c>
      <c r="M3129">
        <v>3</v>
      </c>
      <c r="N3129">
        <v>3</v>
      </c>
      <c r="O3129" t="s">
        <v>1036</v>
      </c>
      <c r="P3129" s="17"/>
      <c r="Q3129" s="17" t="str">
        <f>_xlfn.XLOOKUP(Table2[[#This Row],[buyFromVendorNo]],'Next Day Scheduled'!A:A,'Pending Returns'!O:O,"NOT_FOUND")</f>
        <v>NOT_FOUND</v>
      </c>
    </row>
    <row r="3130" spans="1:17" x14ac:dyDescent="0.3">
      <c r="A3130" s="1">
        <v>46237</v>
      </c>
      <c r="B3130" t="s">
        <v>3271</v>
      </c>
      <c r="C3130" t="s">
        <v>1911</v>
      </c>
      <c r="D3130" t="s">
        <v>1912</v>
      </c>
      <c r="E3130" t="s">
        <v>8</v>
      </c>
      <c r="F3130" t="s">
        <v>10</v>
      </c>
      <c r="G3130" s="16">
        <v>1724.6985</v>
      </c>
      <c r="H3130" s="16">
        <v>1983.4032999999999</v>
      </c>
      <c r="I3130" s="1">
        <v>46237</v>
      </c>
      <c r="J3130">
        <v>22</v>
      </c>
      <c r="K3130" t="s">
        <v>3097</v>
      </c>
      <c r="L3130" t="s">
        <v>9041</v>
      </c>
      <c r="M3130">
        <v>1</v>
      </c>
      <c r="N3130">
        <v>8</v>
      </c>
      <c r="O3130" t="s">
        <v>223</v>
      </c>
      <c r="P3130" s="17"/>
      <c r="Q3130" s="17" t="str">
        <f>_xlfn.XLOOKUP(Table2[[#This Row],[buyFromVendorNo]],'Next Day Scheduled'!A:A,'Pending Returns'!O:O,"NOT_FOUND")</f>
        <v>NOT_FOUND</v>
      </c>
    </row>
    <row r="3131" spans="1:17" x14ac:dyDescent="0.3">
      <c r="A3131" s="1">
        <v>46237</v>
      </c>
      <c r="B3131" t="s">
        <v>5103</v>
      </c>
      <c r="C3131" t="s">
        <v>2779</v>
      </c>
      <c r="D3131" t="s">
        <v>2780</v>
      </c>
      <c r="E3131" t="s">
        <v>8</v>
      </c>
      <c r="F3131" t="s">
        <v>10</v>
      </c>
      <c r="G3131" s="16">
        <v>33.299999999999997</v>
      </c>
      <c r="H3131" s="16">
        <v>38.295000000000002</v>
      </c>
      <c r="I3131" s="1">
        <v>46229</v>
      </c>
      <c r="J3131">
        <v>22</v>
      </c>
      <c r="K3131" t="s">
        <v>5564</v>
      </c>
      <c r="L3131" t="s">
        <v>9193</v>
      </c>
      <c r="M3131">
        <v>0</v>
      </c>
      <c r="N3131">
        <v>136</v>
      </c>
      <c r="O3131" t="s">
        <v>1036</v>
      </c>
      <c r="P3131" s="17"/>
      <c r="Q3131" s="17" t="str">
        <f>_xlfn.XLOOKUP(Table2[[#This Row],[buyFromVendorNo]],'Next Day Scheduled'!A:A,'Pending Returns'!O:O,"NOT_FOUND")</f>
        <v>NOT_FOUND</v>
      </c>
    </row>
    <row r="3132" spans="1:17" x14ac:dyDescent="0.3">
      <c r="A3132" s="1">
        <v>46237</v>
      </c>
      <c r="B3132" t="s">
        <v>5410</v>
      </c>
      <c r="C3132" t="s">
        <v>65</v>
      </c>
      <c r="D3132" t="s">
        <v>66</v>
      </c>
      <c r="E3132" t="s">
        <v>8</v>
      </c>
      <c r="F3132" t="s">
        <v>10</v>
      </c>
      <c r="G3132" s="16">
        <v>5217.2992999999997</v>
      </c>
      <c r="H3132" s="16">
        <v>5999.8940000000002</v>
      </c>
      <c r="I3132" s="1">
        <v>46230</v>
      </c>
      <c r="J3132">
        <v>22</v>
      </c>
      <c r="K3132" t="s">
        <v>7354</v>
      </c>
      <c r="L3132" t="s">
        <v>9136</v>
      </c>
      <c r="M3132">
        <v>8</v>
      </c>
      <c r="N3132">
        <v>5</v>
      </c>
      <c r="O3132" t="s">
        <v>1036</v>
      </c>
      <c r="P3132" s="17"/>
      <c r="Q3132" s="17" t="str">
        <f>_xlfn.XLOOKUP(Table2[[#This Row],[buyFromVendorNo]],'Next Day Scheduled'!A:A,'Pending Returns'!O:O,"NOT_FOUND")</f>
        <v>Posted Credit Note</v>
      </c>
    </row>
    <row r="3133" spans="1:17" x14ac:dyDescent="0.3">
      <c r="A3133" s="1">
        <v>46237</v>
      </c>
      <c r="B3133" t="s">
        <v>3305</v>
      </c>
      <c r="C3133" t="s">
        <v>11</v>
      </c>
      <c r="D3133" t="s">
        <v>12</v>
      </c>
      <c r="E3133" t="s">
        <v>8</v>
      </c>
      <c r="F3133" t="s">
        <v>10</v>
      </c>
      <c r="G3133" s="16">
        <v>414</v>
      </c>
      <c r="H3133" s="16">
        <v>476.1</v>
      </c>
      <c r="I3133" s="1">
        <v>46223</v>
      </c>
      <c r="J3133">
        <v>22</v>
      </c>
      <c r="K3133" t="s">
        <v>2669</v>
      </c>
      <c r="L3133" t="s">
        <v>9161</v>
      </c>
      <c r="M3133">
        <v>0</v>
      </c>
      <c r="N3133">
        <v>178</v>
      </c>
      <c r="O3133" t="s">
        <v>1036</v>
      </c>
      <c r="P3133" s="17"/>
      <c r="Q3133" s="17" t="str">
        <f>_xlfn.XLOOKUP(Table2[[#This Row],[buyFromVendorNo]],'Next Day Scheduled'!A:A,'Pending Returns'!O:O,"NOT_FOUND")</f>
        <v>NOT_FOUND</v>
      </c>
    </row>
    <row r="3134" spans="1:17" x14ac:dyDescent="0.3">
      <c r="A3134" s="1">
        <v>46237</v>
      </c>
      <c r="B3134" t="s">
        <v>5426</v>
      </c>
      <c r="C3134" t="s">
        <v>11</v>
      </c>
      <c r="D3134" t="s">
        <v>12</v>
      </c>
      <c r="E3134" t="s">
        <v>8</v>
      </c>
      <c r="F3134" t="s">
        <v>10</v>
      </c>
      <c r="G3134" s="16">
        <v>1674</v>
      </c>
      <c r="H3134" s="16">
        <v>1925.1</v>
      </c>
      <c r="I3134" s="1">
        <v>46223</v>
      </c>
      <c r="J3134">
        <v>22</v>
      </c>
      <c r="K3134" t="s">
        <v>2116</v>
      </c>
      <c r="L3134" t="s">
        <v>9162</v>
      </c>
      <c r="M3134">
        <v>0</v>
      </c>
      <c r="N3134">
        <v>178</v>
      </c>
      <c r="O3134" t="s">
        <v>1036</v>
      </c>
      <c r="P3134" s="17"/>
      <c r="Q3134" s="17" t="str">
        <f>_xlfn.XLOOKUP(Table2[[#This Row],[buyFromVendorNo]],'Next Day Scheduled'!A:A,'Pending Returns'!O:O,"NOT_FOUND")</f>
        <v>NOT_FOUND</v>
      </c>
    </row>
    <row r="3135" spans="1:17" x14ac:dyDescent="0.3">
      <c r="A3135" s="1">
        <v>46237</v>
      </c>
      <c r="B3135" t="s">
        <v>1709</v>
      </c>
      <c r="C3135" t="s">
        <v>11</v>
      </c>
      <c r="D3135" t="s">
        <v>12</v>
      </c>
      <c r="E3135" t="s">
        <v>8</v>
      </c>
      <c r="F3135" t="s">
        <v>10</v>
      </c>
      <c r="G3135" s="16">
        <v>3586</v>
      </c>
      <c r="H3135" s="16">
        <v>4123.8999999999996</v>
      </c>
      <c r="I3135" s="1">
        <v>46223</v>
      </c>
      <c r="J3135">
        <v>22</v>
      </c>
      <c r="K3135" t="s">
        <v>7663</v>
      </c>
      <c r="L3135" t="s">
        <v>9091</v>
      </c>
      <c r="M3135">
        <v>0</v>
      </c>
      <c r="N3135">
        <v>178</v>
      </c>
      <c r="O3135" t="s">
        <v>1036</v>
      </c>
      <c r="P3135" s="17"/>
      <c r="Q3135" s="17" t="str">
        <f>_xlfn.XLOOKUP(Table2[[#This Row],[buyFromVendorNo]],'Next Day Scheduled'!A:A,'Pending Returns'!O:O,"NOT_FOUND")</f>
        <v>NOT_FOUND</v>
      </c>
    </row>
    <row r="3136" spans="1:17" x14ac:dyDescent="0.3">
      <c r="A3136" s="1">
        <v>46237</v>
      </c>
      <c r="B3136" t="s">
        <v>3304</v>
      </c>
      <c r="C3136" t="s">
        <v>11</v>
      </c>
      <c r="D3136" t="s">
        <v>12</v>
      </c>
      <c r="E3136" t="s">
        <v>8</v>
      </c>
      <c r="F3136" t="s">
        <v>10</v>
      </c>
      <c r="G3136" s="16">
        <v>434</v>
      </c>
      <c r="H3136" s="16">
        <v>499.1</v>
      </c>
      <c r="I3136" s="1">
        <v>46223</v>
      </c>
      <c r="J3136">
        <v>22</v>
      </c>
      <c r="K3136" t="s">
        <v>3099</v>
      </c>
      <c r="L3136" t="s">
        <v>9090</v>
      </c>
      <c r="M3136">
        <v>0</v>
      </c>
      <c r="N3136">
        <v>178</v>
      </c>
      <c r="O3136" t="s">
        <v>1036</v>
      </c>
      <c r="P3136" s="17"/>
      <c r="Q3136" s="17" t="str">
        <f>_xlfn.XLOOKUP(Table2[[#This Row],[buyFromVendorNo]],'Next Day Scheduled'!A:A,'Pending Returns'!O:O,"NOT_FOUND")</f>
        <v>NOT_FOUND</v>
      </c>
    </row>
    <row r="3137" spans="1:17" x14ac:dyDescent="0.3">
      <c r="A3137" s="1">
        <v>46237</v>
      </c>
      <c r="B3137" t="s">
        <v>3698</v>
      </c>
      <c r="C3137" t="s">
        <v>295</v>
      </c>
      <c r="D3137" t="s">
        <v>345</v>
      </c>
      <c r="E3137" t="s">
        <v>8</v>
      </c>
      <c r="F3137" t="s">
        <v>10</v>
      </c>
      <c r="G3137" s="16">
        <v>76.5</v>
      </c>
      <c r="H3137" s="16">
        <v>87.974999999999994</v>
      </c>
      <c r="J3137">
        <v>22</v>
      </c>
      <c r="K3137" t="s">
        <v>9138</v>
      </c>
      <c r="M3137">
        <v>10</v>
      </c>
      <c r="N3137">
        <v>1</v>
      </c>
      <c r="O3137" t="s">
        <v>216</v>
      </c>
      <c r="P3137" s="17"/>
      <c r="Q3137" s="17" t="str">
        <f>_xlfn.XLOOKUP(Table2[[#This Row],[buyFromVendorNo]],'Next Day Scheduled'!A:A,'Pending Returns'!O:O,"NOT_FOUND")</f>
        <v>NOT_FOUND</v>
      </c>
    </row>
    <row r="3138" spans="1:17" x14ac:dyDescent="0.3">
      <c r="A3138" s="1">
        <v>46237</v>
      </c>
      <c r="B3138" t="s">
        <v>2721</v>
      </c>
      <c r="C3138" t="s">
        <v>65</v>
      </c>
      <c r="D3138" t="s">
        <v>66</v>
      </c>
      <c r="E3138" t="s">
        <v>8</v>
      </c>
      <c r="F3138" t="s">
        <v>10</v>
      </c>
      <c r="G3138" s="16">
        <v>3478.1995000000002</v>
      </c>
      <c r="H3138" s="16">
        <v>3999.9292</v>
      </c>
      <c r="I3138" s="1">
        <v>46230</v>
      </c>
      <c r="J3138">
        <v>22</v>
      </c>
      <c r="K3138" t="s">
        <v>6538</v>
      </c>
      <c r="L3138" t="s">
        <v>9058</v>
      </c>
      <c r="M3138">
        <v>8</v>
      </c>
      <c r="N3138">
        <v>5</v>
      </c>
      <c r="O3138" t="s">
        <v>1036</v>
      </c>
      <c r="P3138" s="17"/>
      <c r="Q3138" s="17" t="str">
        <f>_xlfn.XLOOKUP(Table2[[#This Row],[buyFromVendorNo]],'Next Day Scheduled'!A:A,'Pending Returns'!O:O,"NOT_FOUND")</f>
        <v>Posted Credit Note</v>
      </c>
    </row>
    <row r="3139" spans="1:17" x14ac:dyDescent="0.3">
      <c r="A3139" s="1">
        <v>46237</v>
      </c>
      <c r="B3139" t="s">
        <v>642</v>
      </c>
      <c r="C3139" t="s">
        <v>75</v>
      </c>
      <c r="D3139" t="s">
        <v>76</v>
      </c>
      <c r="E3139" t="s">
        <v>8</v>
      </c>
      <c r="F3139" t="s">
        <v>38</v>
      </c>
      <c r="G3139" s="16">
        <v>3300.0005000000001</v>
      </c>
      <c r="H3139" s="16">
        <v>3795.0005000000001</v>
      </c>
      <c r="I3139" s="1">
        <v>46221</v>
      </c>
      <c r="J3139">
        <v>22</v>
      </c>
      <c r="K3139" t="s">
        <v>7680</v>
      </c>
      <c r="L3139" t="s">
        <v>9169</v>
      </c>
      <c r="M3139">
        <v>3</v>
      </c>
      <c r="N3139">
        <v>5</v>
      </c>
      <c r="O3139" t="s">
        <v>1036</v>
      </c>
      <c r="P3139" s="17"/>
      <c r="Q3139" s="17" t="str">
        <f>_xlfn.XLOOKUP(Table2[[#This Row],[buyFromVendorNo]],'Next Day Scheduled'!A:A,'Pending Returns'!O:O,"NOT_FOUND")</f>
        <v>Posted Credit Note</v>
      </c>
    </row>
    <row r="3140" spans="1:17" x14ac:dyDescent="0.3">
      <c r="A3140" s="1">
        <v>46237</v>
      </c>
      <c r="B3140" t="s">
        <v>5323</v>
      </c>
      <c r="C3140" t="s">
        <v>2779</v>
      </c>
      <c r="D3140" t="s">
        <v>2780</v>
      </c>
      <c r="E3140" t="s">
        <v>8</v>
      </c>
      <c r="F3140" t="s">
        <v>10</v>
      </c>
      <c r="G3140" s="16">
        <v>79.92</v>
      </c>
      <c r="H3140" s="16">
        <v>91.908000000000001</v>
      </c>
      <c r="I3140" s="1">
        <v>46229</v>
      </c>
      <c r="J3140">
        <v>22</v>
      </c>
      <c r="K3140" t="s">
        <v>5324</v>
      </c>
      <c r="L3140" t="s">
        <v>9063</v>
      </c>
      <c r="M3140">
        <v>0</v>
      </c>
      <c r="N3140">
        <v>136</v>
      </c>
      <c r="O3140" t="s">
        <v>1036</v>
      </c>
      <c r="P3140" s="17"/>
      <c r="Q3140" s="17" t="str">
        <f>_xlfn.XLOOKUP(Table2[[#This Row],[buyFromVendorNo]],'Next Day Scheduled'!A:A,'Pending Returns'!O:O,"NOT_FOUND")</f>
        <v>NOT_FOUND</v>
      </c>
    </row>
    <row r="3141" spans="1:17" x14ac:dyDescent="0.3">
      <c r="A3141" s="1">
        <v>46237</v>
      </c>
      <c r="B3141" t="s">
        <v>2952</v>
      </c>
      <c r="C3141" t="s">
        <v>448</v>
      </c>
      <c r="D3141" t="s">
        <v>449</v>
      </c>
      <c r="E3141" t="s">
        <v>8</v>
      </c>
      <c r="F3141" t="s">
        <v>38</v>
      </c>
      <c r="G3141" s="16">
        <v>67.349999999999994</v>
      </c>
      <c r="H3141" s="16">
        <v>77.452500000000001</v>
      </c>
      <c r="I3141" s="1">
        <v>46231</v>
      </c>
      <c r="J3141">
        <v>22</v>
      </c>
      <c r="K3141" t="s">
        <v>6986</v>
      </c>
      <c r="L3141" t="s">
        <v>9099</v>
      </c>
      <c r="M3141">
        <v>4</v>
      </c>
      <c r="N3141">
        <v>1</v>
      </c>
      <c r="O3141" t="s">
        <v>1036</v>
      </c>
      <c r="P3141" s="17"/>
      <c r="Q3141" s="17" t="str">
        <f>_xlfn.XLOOKUP(Table2[[#This Row],[buyFromVendorNo]],'Next Day Scheduled'!A:A,'Pending Returns'!O:O,"NOT_FOUND")</f>
        <v>NOT_FOUND</v>
      </c>
    </row>
    <row r="3142" spans="1:17" x14ac:dyDescent="0.3">
      <c r="A3142" s="1">
        <v>46237</v>
      </c>
      <c r="B3142" t="s">
        <v>3387</v>
      </c>
      <c r="C3142" t="s">
        <v>325</v>
      </c>
      <c r="D3142" t="s">
        <v>326</v>
      </c>
      <c r="E3142" t="s">
        <v>8</v>
      </c>
      <c r="F3142" t="s">
        <v>10</v>
      </c>
      <c r="G3142" s="16">
        <v>43.5</v>
      </c>
      <c r="H3142" s="16">
        <v>50.024999999999999</v>
      </c>
      <c r="J3142">
        <v>22</v>
      </c>
      <c r="K3142" t="s">
        <v>9082</v>
      </c>
      <c r="M3142">
        <v>10</v>
      </c>
      <c r="N3142">
        <v>1</v>
      </c>
      <c r="O3142" t="s">
        <v>216</v>
      </c>
      <c r="P3142" s="17"/>
      <c r="Q3142" s="17" t="str">
        <f>_xlfn.XLOOKUP(Table2[[#This Row],[buyFromVendorNo]],'Next Day Scheduled'!A:A,'Pending Returns'!O:O,"NOT_FOUND")</f>
        <v>Posted Credit Note</v>
      </c>
    </row>
    <row r="3143" spans="1:17" x14ac:dyDescent="0.3">
      <c r="A3143" s="1">
        <v>46237</v>
      </c>
      <c r="B3143" t="s">
        <v>1742</v>
      </c>
      <c r="C3143" t="s">
        <v>9055</v>
      </c>
      <c r="D3143" t="s">
        <v>9056</v>
      </c>
      <c r="E3143" t="s">
        <v>8</v>
      </c>
      <c r="F3143" t="s">
        <v>10</v>
      </c>
      <c r="G3143" s="16">
        <v>55</v>
      </c>
      <c r="H3143" s="16">
        <v>63.25</v>
      </c>
      <c r="J3143">
        <v>22</v>
      </c>
      <c r="K3143" t="s">
        <v>9174</v>
      </c>
      <c r="M3143">
        <v>0</v>
      </c>
      <c r="N3143">
        <v>342</v>
      </c>
      <c r="O3143" t="s">
        <v>216</v>
      </c>
      <c r="P3143" s="17"/>
      <c r="Q3143" s="17" t="str">
        <f>_xlfn.XLOOKUP(Table2[[#This Row],[buyFromVendorNo]],'Next Day Scheduled'!A:A,'Pending Returns'!O:O,"NOT_FOUND")</f>
        <v>NOT_FOUND</v>
      </c>
    </row>
    <row r="3144" spans="1:17" x14ac:dyDescent="0.3">
      <c r="A3144" s="1">
        <v>46237</v>
      </c>
      <c r="B3144" t="s">
        <v>308</v>
      </c>
      <c r="C3144" t="s">
        <v>11</v>
      </c>
      <c r="D3144" t="s">
        <v>12</v>
      </c>
      <c r="E3144" t="s">
        <v>8</v>
      </c>
      <c r="F3144" t="s">
        <v>10</v>
      </c>
      <c r="G3144" s="16">
        <v>3144</v>
      </c>
      <c r="H3144" s="16">
        <v>3615.6</v>
      </c>
      <c r="I3144" s="1">
        <v>46223</v>
      </c>
      <c r="J3144">
        <v>22</v>
      </c>
      <c r="K3144" t="s">
        <v>1824</v>
      </c>
      <c r="L3144" t="s">
        <v>9176</v>
      </c>
      <c r="M3144">
        <v>0</v>
      </c>
      <c r="N3144">
        <v>178</v>
      </c>
      <c r="O3144" t="s">
        <v>1036</v>
      </c>
      <c r="P3144" s="17"/>
      <c r="Q3144" s="17" t="str">
        <f>_xlfn.XLOOKUP(Table2[[#This Row],[buyFromVendorNo]],'Next Day Scheduled'!A:A,'Pending Returns'!O:O,"NOT_FOUND")</f>
        <v>NOT_FOUND</v>
      </c>
    </row>
    <row r="3145" spans="1:17" x14ac:dyDescent="0.3">
      <c r="A3145" s="1">
        <v>46237</v>
      </c>
      <c r="B3145" t="s">
        <v>5481</v>
      </c>
      <c r="C3145" t="s">
        <v>1018</v>
      </c>
      <c r="D3145" t="s">
        <v>1019</v>
      </c>
      <c r="E3145" t="s">
        <v>8</v>
      </c>
      <c r="F3145" t="s">
        <v>10</v>
      </c>
      <c r="G3145" s="16">
        <v>320.54852</v>
      </c>
      <c r="H3145" s="16">
        <v>368.63080000000002</v>
      </c>
      <c r="I3145" s="1">
        <v>46236</v>
      </c>
      <c r="J3145">
        <v>22</v>
      </c>
      <c r="K3145" t="s">
        <v>8870</v>
      </c>
      <c r="L3145" t="s">
        <v>9109</v>
      </c>
      <c r="M3145">
        <v>3</v>
      </c>
      <c r="N3145">
        <v>3</v>
      </c>
      <c r="O3145" t="s">
        <v>1036</v>
      </c>
      <c r="P3145" s="17"/>
      <c r="Q3145" s="17" t="str">
        <f>_xlfn.XLOOKUP(Table2[[#This Row],[buyFromVendorNo]],'Next Day Scheduled'!A:A,'Pending Returns'!O:O,"NOT_FOUND")</f>
        <v>NOT_FOUND</v>
      </c>
    </row>
    <row r="3146" spans="1:17" x14ac:dyDescent="0.3">
      <c r="A3146" s="1">
        <v>46237</v>
      </c>
      <c r="B3146" t="s">
        <v>7647</v>
      </c>
      <c r="C3146" t="s">
        <v>531</v>
      </c>
      <c r="D3146" t="s">
        <v>532</v>
      </c>
      <c r="E3146" t="s">
        <v>8</v>
      </c>
      <c r="F3146" t="s">
        <v>10</v>
      </c>
      <c r="G3146" s="16">
        <v>8351.94</v>
      </c>
      <c r="H3146" s="16">
        <v>9604.7309999999998</v>
      </c>
      <c r="I3146" s="1">
        <v>46237</v>
      </c>
      <c r="J3146">
        <v>22</v>
      </c>
      <c r="K3146" t="s">
        <v>1745</v>
      </c>
      <c r="L3146" t="s">
        <v>9111</v>
      </c>
      <c r="M3146">
        <v>1</v>
      </c>
      <c r="N3146">
        <v>15</v>
      </c>
      <c r="O3146" t="s">
        <v>1036</v>
      </c>
      <c r="P3146" s="17"/>
      <c r="Q3146" s="17" t="str">
        <f>_xlfn.XLOOKUP(Table2[[#This Row],[buyFromVendorNo]],'Next Day Scheduled'!A:A,'Pending Returns'!O:O,"NOT_FOUND")</f>
        <v>NOT_FOUND</v>
      </c>
    </row>
    <row r="3147" spans="1:17" x14ac:dyDescent="0.3">
      <c r="A3147" s="1">
        <v>46237</v>
      </c>
      <c r="B3147" t="s">
        <v>2725</v>
      </c>
      <c r="C3147" t="s">
        <v>11</v>
      </c>
      <c r="D3147" t="s">
        <v>12</v>
      </c>
      <c r="E3147" t="s">
        <v>8</v>
      </c>
      <c r="F3147" t="s">
        <v>10</v>
      </c>
      <c r="G3147" s="16">
        <v>1380</v>
      </c>
      <c r="H3147" s="16">
        <v>1587</v>
      </c>
      <c r="I3147" s="1">
        <v>46223</v>
      </c>
      <c r="J3147">
        <v>22</v>
      </c>
      <c r="K3147" t="s">
        <v>6514</v>
      </c>
      <c r="L3147" t="s">
        <v>9110</v>
      </c>
      <c r="M3147">
        <v>0</v>
      </c>
      <c r="N3147">
        <v>178</v>
      </c>
      <c r="O3147" t="s">
        <v>1036</v>
      </c>
      <c r="P3147" s="17"/>
      <c r="Q3147" s="17" t="str">
        <f>_xlfn.XLOOKUP(Table2[[#This Row],[buyFromVendorNo]],'Next Day Scheduled'!A:A,'Pending Returns'!O:O,"NOT_FOUND")</f>
        <v>NOT_FOUND</v>
      </c>
    </row>
    <row r="3148" spans="1:17" x14ac:dyDescent="0.3">
      <c r="A3148" s="1">
        <v>46237</v>
      </c>
      <c r="B3148" t="s">
        <v>264</v>
      </c>
      <c r="C3148" t="s">
        <v>11</v>
      </c>
      <c r="D3148" t="s">
        <v>12</v>
      </c>
      <c r="E3148" t="s">
        <v>8</v>
      </c>
      <c r="F3148" t="s">
        <v>10</v>
      </c>
      <c r="G3148" s="16">
        <v>2246</v>
      </c>
      <c r="H3148" s="16">
        <v>2582.9</v>
      </c>
      <c r="I3148" s="1">
        <v>46223</v>
      </c>
      <c r="J3148">
        <v>22</v>
      </c>
      <c r="K3148" t="s">
        <v>166</v>
      </c>
      <c r="L3148" t="s">
        <v>9155</v>
      </c>
      <c r="M3148">
        <v>0</v>
      </c>
      <c r="N3148">
        <v>178</v>
      </c>
      <c r="O3148" t="s">
        <v>1036</v>
      </c>
      <c r="P3148" s="17"/>
      <c r="Q3148" s="17" t="str">
        <f>_xlfn.XLOOKUP(Table2[[#This Row],[buyFromVendorNo]],'Next Day Scheduled'!A:A,'Pending Returns'!O:O,"NOT_FOUND")</f>
        <v>NOT_FOUND</v>
      </c>
    </row>
    <row r="3149" spans="1:17" x14ac:dyDescent="0.3">
      <c r="A3149" s="1">
        <v>46237</v>
      </c>
      <c r="B3149" t="s">
        <v>1779</v>
      </c>
      <c r="C3149" t="s">
        <v>302</v>
      </c>
      <c r="D3149" t="s">
        <v>303</v>
      </c>
      <c r="E3149" t="s">
        <v>8</v>
      </c>
      <c r="F3149" t="s">
        <v>10</v>
      </c>
      <c r="G3149" s="16">
        <v>96.992999999999995</v>
      </c>
      <c r="H3149" s="16">
        <v>111.54195</v>
      </c>
      <c r="I3149" s="1">
        <v>46230</v>
      </c>
      <c r="J3149">
        <v>22</v>
      </c>
      <c r="K3149" t="s">
        <v>8217</v>
      </c>
      <c r="L3149" t="s">
        <v>9118</v>
      </c>
      <c r="M3149">
        <v>3</v>
      </c>
      <c r="N3149">
        <v>1</v>
      </c>
      <c r="O3149" t="s">
        <v>1036</v>
      </c>
      <c r="P3149" s="17"/>
      <c r="Q3149" s="17" t="str">
        <f>_xlfn.XLOOKUP(Table2[[#This Row],[buyFromVendorNo]],'Next Day Scheduled'!A:A,'Pending Returns'!O:O,"NOT_FOUND")</f>
        <v>NOT_FOUND</v>
      </c>
    </row>
    <row r="3150" spans="1:17" x14ac:dyDescent="0.3">
      <c r="A3150" s="1">
        <v>46237</v>
      </c>
      <c r="B3150" t="s">
        <v>2522</v>
      </c>
      <c r="C3150" t="s">
        <v>65</v>
      </c>
      <c r="D3150" t="s">
        <v>66</v>
      </c>
      <c r="E3150" t="s">
        <v>8</v>
      </c>
      <c r="F3150" t="s">
        <v>10</v>
      </c>
      <c r="G3150" s="16">
        <v>4109.7592999999997</v>
      </c>
      <c r="H3150" s="16">
        <v>4726.223</v>
      </c>
      <c r="I3150" s="1">
        <v>46230</v>
      </c>
      <c r="J3150">
        <v>22</v>
      </c>
      <c r="K3150" t="s">
        <v>7516</v>
      </c>
      <c r="L3150" t="s">
        <v>9120</v>
      </c>
      <c r="M3150">
        <v>8</v>
      </c>
      <c r="N3150">
        <v>5</v>
      </c>
      <c r="O3150" t="s">
        <v>1036</v>
      </c>
      <c r="P3150" s="17"/>
      <c r="Q3150" s="17" t="str">
        <f>_xlfn.XLOOKUP(Table2[[#This Row],[buyFromVendorNo]],'Next Day Scheduled'!A:A,'Pending Returns'!O:O,"NOT_FOUND")</f>
        <v>Posted Credit Note</v>
      </c>
    </row>
    <row r="3151" spans="1:17" x14ac:dyDescent="0.3">
      <c r="A3151" s="1">
        <v>46237</v>
      </c>
      <c r="B3151" t="s">
        <v>8197</v>
      </c>
      <c r="C3151" t="s">
        <v>1424</v>
      </c>
      <c r="D3151" t="s">
        <v>1425</v>
      </c>
      <c r="E3151" t="s">
        <v>8</v>
      </c>
      <c r="F3151" t="s">
        <v>10</v>
      </c>
      <c r="G3151" s="16">
        <v>1701</v>
      </c>
      <c r="H3151" s="16">
        <v>1956.15</v>
      </c>
      <c r="I3151" s="1">
        <v>46233</v>
      </c>
      <c r="J3151">
        <v>22</v>
      </c>
      <c r="K3151" t="s">
        <v>8198</v>
      </c>
      <c r="L3151" t="s">
        <v>9121</v>
      </c>
      <c r="M3151">
        <v>0</v>
      </c>
      <c r="N3151">
        <v>50</v>
      </c>
      <c r="O3151" t="s">
        <v>1036</v>
      </c>
      <c r="P3151" s="17"/>
      <c r="Q3151" s="17" t="str">
        <f>_xlfn.XLOOKUP(Table2[[#This Row],[buyFromVendorNo]],'Next Day Scheduled'!A:A,'Pending Returns'!O:O,"NOT_FOUND")</f>
        <v>Posted Credit Note</v>
      </c>
    </row>
    <row r="3152" spans="1:17" x14ac:dyDescent="0.3">
      <c r="A3152" s="1">
        <v>46237</v>
      </c>
      <c r="B3152" t="s">
        <v>8213</v>
      </c>
      <c r="C3152" t="s">
        <v>846</v>
      </c>
      <c r="D3152" t="s">
        <v>847</v>
      </c>
      <c r="E3152" t="s">
        <v>8</v>
      </c>
      <c r="F3152" t="s">
        <v>10</v>
      </c>
      <c r="G3152" s="16">
        <v>389.7</v>
      </c>
      <c r="H3152" s="16">
        <v>448.15499999999997</v>
      </c>
      <c r="I3152" s="1">
        <v>46237</v>
      </c>
      <c r="J3152">
        <v>22</v>
      </c>
      <c r="K3152" t="s">
        <v>8566</v>
      </c>
      <c r="L3152" t="s">
        <v>9040</v>
      </c>
      <c r="M3152">
        <v>3</v>
      </c>
      <c r="N3152">
        <v>5</v>
      </c>
      <c r="O3152" t="s">
        <v>223</v>
      </c>
      <c r="P3152" s="17"/>
      <c r="Q3152" s="17" t="str">
        <f>_xlfn.XLOOKUP(Table2[[#This Row],[buyFromVendorNo]],'Next Day Scheduled'!A:A,'Pending Returns'!O:O,"NOT_FOUND")</f>
        <v>NOT_FOUND</v>
      </c>
    </row>
    <row r="3153" spans="1:17" x14ac:dyDescent="0.3">
      <c r="A3153" s="1">
        <v>46237</v>
      </c>
      <c r="B3153" t="s">
        <v>8180</v>
      </c>
      <c r="C3153" t="s">
        <v>931</v>
      </c>
      <c r="D3153" t="s">
        <v>1767</v>
      </c>
      <c r="E3153" t="s">
        <v>8</v>
      </c>
      <c r="F3153" t="s">
        <v>10</v>
      </c>
      <c r="G3153" s="16">
        <v>273.44</v>
      </c>
      <c r="H3153" s="16">
        <v>314.45600000000002</v>
      </c>
      <c r="I3153" s="1">
        <v>46230</v>
      </c>
      <c r="J3153">
        <v>22</v>
      </c>
      <c r="K3153" t="s">
        <v>8181</v>
      </c>
      <c r="L3153" t="s">
        <v>9042</v>
      </c>
      <c r="M3153">
        <v>4</v>
      </c>
      <c r="N3153">
        <v>3</v>
      </c>
      <c r="O3153" t="s">
        <v>1036</v>
      </c>
      <c r="P3153" s="17"/>
      <c r="Q3153" s="17" t="str">
        <f>_xlfn.XLOOKUP(Table2[[#This Row],[buyFromVendorNo]],'Next Day Scheduled'!A:A,'Pending Returns'!O:O,"NOT_FOUND")</f>
        <v>NOT_FOUND</v>
      </c>
    </row>
    <row r="3154" spans="1:17" x14ac:dyDescent="0.3">
      <c r="A3154" s="1">
        <v>46237</v>
      </c>
      <c r="B3154" t="s">
        <v>2730</v>
      </c>
      <c r="C3154" t="s">
        <v>3773</v>
      </c>
      <c r="D3154" t="s">
        <v>3774</v>
      </c>
      <c r="E3154" t="s">
        <v>8</v>
      </c>
      <c r="F3154" t="s">
        <v>10</v>
      </c>
      <c r="G3154" s="16">
        <v>11294.087</v>
      </c>
      <c r="H3154" s="16">
        <v>12988.2</v>
      </c>
      <c r="I3154" s="1">
        <v>46238</v>
      </c>
      <c r="J3154">
        <v>22</v>
      </c>
      <c r="K3154" t="s">
        <v>9074</v>
      </c>
      <c r="L3154" t="s">
        <v>9075</v>
      </c>
      <c r="M3154">
        <v>3</v>
      </c>
      <c r="N3154">
        <v>2</v>
      </c>
      <c r="O3154" t="s">
        <v>223</v>
      </c>
      <c r="P3154" s="17"/>
      <c r="Q3154" s="17" t="str">
        <f>_xlfn.XLOOKUP(Table2[[#This Row],[buyFromVendorNo]],'Next Day Scheduled'!A:A,'Pending Returns'!O:O,"NOT_FOUND")</f>
        <v>NOT_FOUND</v>
      </c>
    </row>
    <row r="3155" spans="1:17" x14ac:dyDescent="0.3">
      <c r="A3155" s="1">
        <v>46237</v>
      </c>
      <c r="B3155" t="s">
        <v>2641</v>
      </c>
      <c r="C3155" t="s">
        <v>51</v>
      </c>
      <c r="D3155" t="s">
        <v>52</v>
      </c>
      <c r="E3155" t="s">
        <v>8</v>
      </c>
      <c r="F3155" t="s">
        <v>10</v>
      </c>
      <c r="G3155" s="16">
        <v>3546.12</v>
      </c>
      <c r="H3155" s="16">
        <v>4078.038</v>
      </c>
      <c r="J3155">
        <v>22</v>
      </c>
      <c r="K3155" t="s">
        <v>9076</v>
      </c>
      <c r="M3155">
        <v>2</v>
      </c>
      <c r="N3155">
        <v>1</v>
      </c>
      <c r="O3155" t="s">
        <v>216</v>
      </c>
      <c r="P3155" s="17"/>
      <c r="Q3155" s="17" t="str">
        <f>_xlfn.XLOOKUP(Table2[[#This Row],[buyFromVendorNo]],'Next Day Scheduled'!A:A,'Pending Returns'!O:O,"NOT_FOUND")</f>
        <v>NOT_FOUND</v>
      </c>
    </row>
    <row r="3156" spans="1:17" x14ac:dyDescent="0.3">
      <c r="A3156" s="1">
        <v>46237</v>
      </c>
      <c r="B3156" t="s">
        <v>3351</v>
      </c>
      <c r="C3156" t="s">
        <v>804</v>
      </c>
      <c r="D3156" t="s">
        <v>805</v>
      </c>
      <c r="E3156" t="s">
        <v>8</v>
      </c>
      <c r="F3156" t="s">
        <v>10</v>
      </c>
      <c r="G3156" s="16">
        <v>161.32</v>
      </c>
      <c r="H3156" s="16">
        <v>185.518</v>
      </c>
      <c r="J3156">
        <v>22</v>
      </c>
      <c r="K3156" t="s">
        <v>9182</v>
      </c>
      <c r="M3156">
        <v>0</v>
      </c>
      <c r="N3156">
        <v>206</v>
      </c>
      <c r="O3156" t="s">
        <v>216</v>
      </c>
      <c r="P3156" s="17"/>
      <c r="Q3156" s="17" t="str">
        <f>_xlfn.XLOOKUP(Table2[[#This Row],[buyFromVendorNo]],'Next Day Scheduled'!A:A,'Pending Returns'!O:O,"NOT_FOUND")</f>
        <v>NOT_FOUND</v>
      </c>
    </row>
    <row r="3157" spans="1:17" x14ac:dyDescent="0.3">
      <c r="A3157" s="1">
        <v>46237</v>
      </c>
      <c r="B3157" t="s">
        <v>3695</v>
      </c>
      <c r="C3157" t="s">
        <v>882</v>
      </c>
      <c r="D3157" t="s">
        <v>883</v>
      </c>
      <c r="E3157" t="s">
        <v>8</v>
      </c>
      <c r="F3157" t="s">
        <v>10</v>
      </c>
      <c r="G3157" s="16">
        <v>267</v>
      </c>
      <c r="H3157" s="16">
        <v>307.05</v>
      </c>
      <c r="J3157">
        <v>22</v>
      </c>
      <c r="K3157" t="s">
        <v>9124</v>
      </c>
      <c r="M3157">
        <v>2</v>
      </c>
      <c r="N3157">
        <v>12</v>
      </c>
      <c r="O3157" t="s">
        <v>216</v>
      </c>
      <c r="P3157" s="17"/>
      <c r="Q3157" s="17" t="str">
        <f>_xlfn.XLOOKUP(Table2[[#This Row],[buyFromVendorNo]],'Next Day Scheduled'!A:A,'Pending Returns'!O:O,"NOT_FOUND")</f>
        <v>Posted Credit Note</v>
      </c>
    </row>
    <row r="3158" spans="1:17" x14ac:dyDescent="0.3">
      <c r="A3158" s="1">
        <v>46237</v>
      </c>
      <c r="B3158" t="s">
        <v>1535</v>
      </c>
      <c r="C3158" t="s">
        <v>448</v>
      </c>
      <c r="D3158" t="s">
        <v>449</v>
      </c>
      <c r="E3158" t="s">
        <v>8</v>
      </c>
      <c r="F3158" t="s">
        <v>38</v>
      </c>
      <c r="G3158" s="16">
        <v>30.75</v>
      </c>
      <c r="H3158" s="16">
        <v>35.362499999999997</v>
      </c>
      <c r="I3158" s="1">
        <v>46231</v>
      </c>
      <c r="J3158">
        <v>22</v>
      </c>
      <c r="K3158" t="s">
        <v>8627</v>
      </c>
      <c r="L3158" t="s">
        <v>9183</v>
      </c>
      <c r="M3158">
        <v>4</v>
      </c>
      <c r="N3158">
        <v>1</v>
      </c>
      <c r="O3158" t="s">
        <v>1036</v>
      </c>
      <c r="P3158" s="17"/>
      <c r="Q3158" s="17" t="str">
        <f>_xlfn.XLOOKUP(Table2[[#This Row],[buyFromVendorNo]],'Next Day Scheduled'!A:A,'Pending Returns'!O:O,"NOT_FOUND")</f>
        <v>NOT_FOUND</v>
      </c>
    </row>
    <row r="3159" spans="1:17" x14ac:dyDescent="0.3">
      <c r="A3159" s="1">
        <v>46237</v>
      </c>
      <c r="B3159" t="s">
        <v>3313</v>
      </c>
      <c r="C3159" t="s">
        <v>5154</v>
      </c>
      <c r="D3159" t="s">
        <v>5155</v>
      </c>
      <c r="E3159" t="s">
        <v>8</v>
      </c>
      <c r="F3159" t="s">
        <v>10</v>
      </c>
      <c r="G3159" s="16">
        <v>36.874000000000002</v>
      </c>
      <c r="H3159" s="16">
        <v>42.405099999999997</v>
      </c>
      <c r="I3159" s="1">
        <v>46237</v>
      </c>
      <c r="J3159">
        <v>22</v>
      </c>
      <c r="K3159" t="s">
        <v>8704</v>
      </c>
      <c r="L3159" t="s">
        <v>9185</v>
      </c>
      <c r="M3159">
        <v>2</v>
      </c>
      <c r="N3159">
        <v>10</v>
      </c>
      <c r="O3159" t="s">
        <v>1036</v>
      </c>
      <c r="P3159" s="17"/>
      <c r="Q3159" s="17" t="str">
        <f>_xlfn.XLOOKUP(Table2[[#This Row],[buyFromVendorNo]],'Next Day Scheduled'!A:A,'Pending Returns'!O:O,"NOT_FOUND")</f>
        <v>Posted Credit Note</v>
      </c>
    </row>
    <row r="3160" spans="1:17" x14ac:dyDescent="0.3">
      <c r="A3160" s="1">
        <v>46237</v>
      </c>
      <c r="B3160" t="s">
        <v>5634</v>
      </c>
      <c r="C3160" t="s">
        <v>531</v>
      </c>
      <c r="D3160" t="s">
        <v>532</v>
      </c>
      <c r="E3160" t="s">
        <v>8</v>
      </c>
      <c r="F3160" t="s">
        <v>10</v>
      </c>
      <c r="G3160" s="16">
        <v>2304.94</v>
      </c>
      <c r="H3160" s="16">
        <v>2650.681</v>
      </c>
      <c r="I3160" s="1">
        <v>46237</v>
      </c>
      <c r="J3160">
        <v>22</v>
      </c>
      <c r="K3160" t="s">
        <v>2590</v>
      </c>
      <c r="L3160" t="s">
        <v>9127</v>
      </c>
      <c r="M3160">
        <v>1</v>
      </c>
      <c r="N3160">
        <v>15</v>
      </c>
      <c r="O3160" t="s">
        <v>1036</v>
      </c>
      <c r="P3160" s="17"/>
      <c r="Q3160" s="17" t="str">
        <f>_xlfn.XLOOKUP(Table2[[#This Row],[buyFromVendorNo]],'Next Day Scheduled'!A:A,'Pending Returns'!O:O,"NOT_FOUND")</f>
        <v>NOT_FOUND</v>
      </c>
    </row>
    <row r="3161" spans="1:17" x14ac:dyDescent="0.3">
      <c r="A3161" s="1">
        <v>46237</v>
      </c>
      <c r="B3161" t="s">
        <v>642</v>
      </c>
      <c r="C3161" t="s">
        <v>508</v>
      </c>
      <c r="D3161" t="s">
        <v>509</v>
      </c>
      <c r="E3161" t="s">
        <v>8</v>
      </c>
      <c r="F3161" t="s">
        <v>38</v>
      </c>
      <c r="G3161" s="16">
        <v>525.87</v>
      </c>
      <c r="H3161" s="16">
        <v>604.75049999999999</v>
      </c>
      <c r="I3161" s="1">
        <v>46205</v>
      </c>
      <c r="J3161">
        <v>22</v>
      </c>
      <c r="K3161" t="s">
        <v>6482</v>
      </c>
      <c r="L3161" t="s">
        <v>9081</v>
      </c>
      <c r="M3161">
        <v>3</v>
      </c>
      <c r="N3161">
        <v>9</v>
      </c>
      <c r="O3161" t="s">
        <v>1036</v>
      </c>
      <c r="P3161" s="17"/>
      <c r="Q3161" s="17" t="str">
        <f>_xlfn.XLOOKUP(Table2[[#This Row],[buyFromVendorNo]],'Next Day Scheduled'!A:A,'Pending Returns'!O:O,"NOT_FOUND")</f>
        <v>Posted Credit Note</v>
      </c>
    </row>
    <row r="3162" spans="1:17" x14ac:dyDescent="0.3">
      <c r="A3162" s="1">
        <v>46237</v>
      </c>
      <c r="B3162" t="s">
        <v>1567</v>
      </c>
      <c r="C3162" t="s">
        <v>931</v>
      </c>
      <c r="D3162" t="s">
        <v>1767</v>
      </c>
      <c r="E3162" t="s">
        <v>8</v>
      </c>
      <c r="F3162" t="s">
        <v>10</v>
      </c>
      <c r="G3162" s="16">
        <v>92.65</v>
      </c>
      <c r="H3162" s="16">
        <v>106.5475</v>
      </c>
      <c r="I3162" s="1">
        <v>46230</v>
      </c>
      <c r="J3162">
        <v>22</v>
      </c>
      <c r="K3162" t="s">
        <v>8449</v>
      </c>
      <c r="L3162" t="s">
        <v>9043</v>
      </c>
      <c r="M3162">
        <v>4</v>
      </c>
      <c r="N3162">
        <v>3</v>
      </c>
      <c r="O3162" t="s">
        <v>1036</v>
      </c>
      <c r="P3162" s="17"/>
      <c r="Q3162" s="17" t="str">
        <f>_xlfn.XLOOKUP(Table2[[#This Row],[buyFromVendorNo]],'Next Day Scheduled'!A:A,'Pending Returns'!O:O,"NOT_FOUND")</f>
        <v>NOT_FOUND</v>
      </c>
    </row>
    <row r="3163" spans="1:17" x14ac:dyDescent="0.3">
      <c r="A3163" s="1">
        <v>46237</v>
      </c>
      <c r="B3163" t="s">
        <v>3372</v>
      </c>
      <c r="C3163" t="s">
        <v>882</v>
      </c>
      <c r="D3163" t="s">
        <v>883</v>
      </c>
      <c r="E3163" t="s">
        <v>8</v>
      </c>
      <c r="F3163" t="s">
        <v>10</v>
      </c>
      <c r="G3163" s="16">
        <v>297</v>
      </c>
      <c r="H3163" s="16">
        <v>341.55</v>
      </c>
      <c r="I3163" s="1">
        <v>46237</v>
      </c>
      <c r="J3163">
        <v>22</v>
      </c>
      <c r="K3163" t="s">
        <v>8562</v>
      </c>
      <c r="L3163" t="s">
        <v>9044</v>
      </c>
      <c r="M3163">
        <v>2</v>
      </c>
      <c r="N3163">
        <v>12</v>
      </c>
      <c r="O3163" t="s">
        <v>223</v>
      </c>
      <c r="P3163" s="17"/>
      <c r="Q3163" s="17" t="str">
        <f>_xlfn.XLOOKUP(Table2[[#This Row],[buyFromVendorNo]],'Next Day Scheduled'!A:A,'Pending Returns'!O:O,"NOT_FOUND")</f>
        <v>Posted Credit Note</v>
      </c>
    </row>
    <row r="3164" spans="1:17" x14ac:dyDescent="0.3">
      <c r="A3164" s="1">
        <v>46237</v>
      </c>
      <c r="B3164" t="s">
        <v>2617</v>
      </c>
      <c r="C3164" t="s">
        <v>65</v>
      </c>
      <c r="D3164" t="s">
        <v>66</v>
      </c>
      <c r="E3164" t="s">
        <v>8</v>
      </c>
      <c r="F3164" t="s">
        <v>10</v>
      </c>
      <c r="G3164" s="16">
        <v>5371.8860000000004</v>
      </c>
      <c r="H3164" s="16">
        <v>6177.6693999999998</v>
      </c>
      <c r="I3164" s="1">
        <v>46230</v>
      </c>
      <c r="J3164">
        <v>22</v>
      </c>
      <c r="K3164" t="s">
        <v>6988</v>
      </c>
      <c r="L3164" t="s">
        <v>9085</v>
      </c>
      <c r="M3164">
        <v>8</v>
      </c>
      <c r="N3164">
        <v>5</v>
      </c>
      <c r="O3164" t="s">
        <v>1036</v>
      </c>
      <c r="P3164" s="17"/>
      <c r="Q3164" s="17" t="str">
        <f>_xlfn.XLOOKUP(Table2[[#This Row],[buyFromVendorNo]],'Next Day Scheduled'!A:A,'Pending Returns'!O:O,"NOT_FOUND")</f>
        <v>Posted Credit Note</v>
      </c>
    </row>
    <row r="3165" spans="1:17" x14ac:dyDescent="0.3">
      <c r="A3165" s="1">
        <v>46238</v>
      </c>
      <c r="B3165" t="s">
        <v>2942</v>
      </c>
      <c r="C3165" t="s">
        <v>199</v>
      </c>
      <c r="D3165" t="s">
        <v>200</v>
      </c>
      <c r="E3165" t="s">
        <v>8</v>
      </c>
      <c r="F3165" t="s">
        <v>10</v>
      </c>
      <c r="G3165" s="16">
        <v>490</v>
      </c>
      <c r="H3165" s="16">
        <v>563.5</v>
      </c>
      <c r="I3165" s="1">
        <v>46232</v>
      </c>
      <c r="J3165">
        <v>21</v>
      </c>
      <c r="K3165" t="s">
        <v>8662</v>
      </c>
      <c r="L3165" t="s">
        <v>9203</v>
      </c>
      <c r="M3165">
        <v>3</v>
      </c>
      <c r="N3165">
        <v>6</v>
      </c>
      <c r="O3165" t="s">
        <v>1036</v>
      </c>
      <c r="P3165" s="17"/>
      <c r="Q3165" s="17" t="str">
        <f>_xlfn.XLOOKUP(Table2[[#This Row],[buyFromVendorNo]],'Next Day Scheduled'!A:A,'Pending Returns'!O:O,"NOT_FOUND")</f>
        <v>NOT_FOUND</v>
      </c>
    </row>
    <row r="3166" spans="1:17" x14ac:dyDescent="0.3">
      <c r="A3166" s="1">
        <v>46238</v>
      </c>
      <c r="B3166" t="s">
        <v>3065</v>
      </c>
      <c r="C3166" t="s">
        <v>2346</v>
      </c>
      <c r="D3166" t="s">
        <v>2347</v>
      </c>
      <c r="E3166" t="s">
        <v>8</v>
      </c>
      <c r="F3166" t="s">
        <v>38</v>
      </c>
      <c r="G3166" s="16">
        <v>48.09</v>
      </c>
      <c r="H3166" s="16">
        <v>55.3035</v>
      </c>
      <c r="I3166" s="1">
        <v>46238</v>
      </c>
      <c r="J3166">
        <v>21</v>
      </c>
      <c r="K3166" t="s">
        <v>6539</v>
      </c>
      <c r="L3166" t="s">
        <v>9204</v>
      </c>
      <c r="M3166">
        <v>1</v>
      </c>
      <c r="N3166">
        <v>13</v>
      </c>
      <c r="O3166" t="s">
        <v>1036</v>
      </c>
      <c r="P3166" s="17"/>
      <c r="Q3166" s="17" t="str">
        <f>_xlfn.XLOOKUP(Table2[[#This Row],[buyFromVendorNo]],'Next Day Scheduled'!A:A,'Pending Returns'!O:O,"NOT_FOUND")</f>
        <v>NOT_FOUND</v>
      </c>
    </row>
    <row r="3167" spans="1:17" x14ac:dyDescent="0.3">
      <c r="A3167" s="1">
        <v>46238</v>
      </c>
      <c r="B3167" t="s">
        <v>2730</v>
      </c>
      <c r="C3167" t="s">
        <v>34</v>
      </c>
      <c r="D3167" t="s">
        <v>35</v>
      </c>
      <c r="E3167" t="s">
        <v>8</v>
      </c>
      <c r="F3167" t="s">
        <v>10</v>
      </c>
      <c r="G3167" s="16">
        <v>3682.13</v>
      </c>
      <c r="H3167" s="16">
        <v>4234.4497000000001</v>
      </c>
      <c r="I3167" s="1">
        <v>46232</v>
      </c>
      <c r="J3167">
        <v>21</v>
      </c>
      <c r="K3167" t="s">
        <v>7412</v>
      </c>
      <c r="L3167" t="s">
        <v>9230</v>
      </c>
      <c r="M3167">
        <v>3</v>
      </c>
      <c r="N3167">
        <v>8</v>
      </c>
      <c r="O3167" t="s">
        <v>1036</v>
      </c>
      <c r="P3167" s="17"/>
      <c r="Q3167" s="17" t="str">
        <f>_xlfn.XLOOKUP(Table2[[#This Row],[buyFromVendorNo]],'Next Day Scheduled'!A:A,'Pending Returns'!O:O,"NOT_FOUND")</f>
        <v>Posted Credit Note</v>
      </c>
    </row>
    <row r="3168" spans="1:17" x14ac:dyDescent="0.3">
      <c r="A3168" s="1">
        <v>46238</v>
      </c>
      <c r="B3168" t="s">
        <v>3532</v>
      </c>
      <c r="C3168" t="s">
        <v>2298</v>
      </c>
      <c r="D3168" t="s">
        <v>2299</v>
      </c>
      <c r="E3168" t="s">
        <v>8</v>
      </c>
      <c r="F3168" t="s">
        <v>10</v>
      </c>
      <c r="G3168" s="16">
        <v>9.5196799999999993</v>
      </c>
      <c r="H3168" s="16">
        <v>10.94764</v>
      </c>
      <c r="I3168" s="1">
        <v>46238</v>
      </c>
      <c r="J3168">
        <v>21</v>
      </c>
      <c r="K3168" t="s">
        <v>8178</v>
      </c>
      <c r="L3168" t="s">
        <v>9215</v>
      </c>
      <c r="M3168">
        <v>2</v>
      </c>
      <c r="N3168">
        <v>7</v>
      </c>
      <c r="O3168" t="s">
        <v>1036</v>
      </c>
      <c r="P3168" s="17"/>
      <c r="Q3168" s="17" t="str">
        <f>_xlfn.XLOOKUP(Table2[[#This Row],[buyFromVendorNo]],'Next Day Scheduled'!A:A,'Pending Returns'!O:O,"NOT_FOUND")</f>
        <v>NOT_FOUND</v>
      </c>
    </row>
    <row r="3169" spans="1:17" x14ac:dyDescent="0.3">
      <c r="A3169" s="1">
        <v>46238</v>
      </c>
      <c r="B3169" t="s">
        <v>8130</v>
      </c>
      <c r="C3169" t="s">
        <v>199</v>
      </c>
      <c r="D3169" t="s">
        <v>200</v>
      </c>
      <c r="E3169" t="s">
        <v>8</v>
      </c>
      <c r="F3169" t="s">
        <v>10</v>
      </c>
      <c r="G3169" s="16">
        <v>1609</v>
      </c>
      <c r="H3169" s="16">
        <v>1850.35</v>
      </c>
      <c r="I3169" s="1">
        <v>46232</v>
      </c>
      <c r="J3169">
        <v>21</v>
      </c>
      <c r="K3169" t="s">
        <v>8131</v>
      </c>
      <c r="L3169" t="s">
        <v>9231</v>
      </c>
      <c r="M3169">
        <v>3</v>
      </c>
      <c r="N3169">
        <v>6</v>
      </c>
      <c r="O3169" t="s">
        <v>1036</v>
      </c>
      <c r="P3169" s="17"/>
      <c r="Q3169" s="17" t="str">
        <f>_xlfn.XLOOKUP(Table2[[#This Row],[buyFromVendorNo]],'Next Day Scheduled'!A:A,'Pending Returns'!O:O,"NOT_FOUND")</f>
        <v>NOT_FOUND</v>
      </c>
    </row>
    <row r="3170" spans="1:17" x14ac:dyDescent="0.3">
      <c r="A3170" s="1">
        <v>46238</v>
      </c>
      <c r="B3170" t="s">
        <v>7298</v>
      </c>
      <c r="C3170" t="s">
        <v>164</v>
      </c>
      <c r="D3170" t="s">
        <v>165</v>
      </c>
      <c r="E3170" t="s">
        <v>8</v>
      </c>
      <c r="F3170" t="s">
        <v>10</v>
      </c>
      <c r="G3170" s="16">
        <v>104</v>
      </c>
      <c r="H3170" s="16">
        <v>119.6</v>
      </c>
      <c r="I3170" s="1">
        <v>46232</v>
      </c>
      <c r="J3170">
        <v>21</v>
      </c>
      <c r="K3170" t="s">
        <v>8444</v>
      </c>
      <c r="L3170" t="s">
        <v>9208</v>
      </c>
      <c r="M3170">
        <v>4</v>
      </c>
      <c r="N3170">
        <v>3</v>
      </c>
      <c r="O3170" t="s">
        <v>1036</v>
      </c>
      <c r="P3170" s="17"/>
      <c r="Q3170" s="17" t="str">
        <f>_xlfn.XLOOKUP(Table2[[#This Row],[buyFromVendorNo]],'Next Day Scheduled'!A:A,'Pending Returns'!O:O,"NOT_FOUND")</f>
        <v>NOT_FOUND</v>
      </c>
    </row>
    <row r="3171" spans="1:17" x14ac:dyDescent="0.3">
      <c r="A3171" s="1">
        <v>46238</v>
      </c>
      <c r="B3171" t="s">
        <v>7745</v>
      </c>
      <c r="C3171" t="s">
        <v>164</v>
      </c>
      <c r="D3171" t="s">
        <v>165</v>
      </c>
      <c r="E3171" t="s">
        <v>8</v>
      </c>
      <c r="F3171" t="s">
        <v>10</v>
      </c>
      <c r="G3171" s="16">
        <v>111.43</v>
      </c>
      <c r="H3171" s="16">
        <v>128.14449999999999</v>
      </c>
      <c r="I3171" s="1">
        <v>46232</v>
      </c>
      <c r="J3171">
        <v>21</v>
      </c>
      <c r="K3171" t="s">
        <v>7746</v>
      </c>
      <c r="L3171" t="s">
        <v>9226</v>
      </c>
      <c r="M3171">
        <v>4</v>
      </c>
      <c r="N3171">
        <v>3</v>
      </c>
      <c r="O3171" t="s">
        <v>1036</v>
      </c>
      <c r="P3171" s="17"/>
      <c r="Q3171" s="17" t="str">
        <f>_xlfn.XLOOKUP(Table2[[#This Row],[buyFromVendorNo]],'Next Day Scheduled'!A:A,'Pending Returns'!O:O,"NOT_FOUND")</f>
        <v>NOT_FOUND</v>
      </c>
    </row>
    <row r="3172" spans="1:17" x14ac:dyDescent="0.3">
      <c r="A3172" s="1">
        <v>46238</v>
      </c>
      <c r="B3172" t="s">
        <v>2533</v>
      </c>
      <c r="C3172" t="s">
        <v>43</v>
      </c>
      <c r="D3172" t="s">
        <v>44</v>
      </c>
      <c r="E3172" t="s">
        <v>8</v>
      </c>
      <c r="F3172" t="s">
        <v>10</v>
      </c>
      <c r="G3172" s="16">
        <v>144.41</v>
      </c>
      <c r="H3172" s="16">
        <v>166.07149999999999</v>
      </c>
      <c r="I3172" s="1">
        <v>46238</v>
      </c>
      <c r="J3172">
        <v>21</v>
      </c>
      <c r="K3172" t="s">
        <v>8647</v>
      </c>
      <c r="L3172" t="s">
        <v>9217</v>
      </c>
      <c r="M3172">
        <v>6</v>
      </c>
      <c r="N3172">
        <v>2</v>
      </c>
      <c r="O3172" t="s">
        <v>1036</v>
      </c>
      <c r="P3172" s="17"/>
      <c r="Q3172" s="17" t="str">
        <f>_xlfn.XLOOKUP(Table2[[#This Row],[buyFromVendorNo]],'Next Day Scheduled'!A:A,'Pending Returns'!O:O,"NOT_FOUND")</f>
        <v>Posted Credit Note</v>
      </c>
    </row>
    <row r="3173" spans="1:17" x14ac:dyDescent="0.3">
      <c r="A3173" s="1">
        <v>46238</v>
      </c>
      <c r="B3173" t="s">
        <v>6532</v>
      </c>
      <c r="C3173" t="s">
        <v>2346</v>
      </c>
      <c r="D3173" t="s">
        <v>2347</v>
      </c>
      <c r="E3173" t="s">
        <v>8</v>
      </c>
      <c r="F3173" t="s">
        <v>38</v>
      </c>
      <c r="G3173" s="16">
        <v>48.09</v>
      </c>
      <c r="H3173" s="16">
        <v>55.3035</v>
      </c>
      <c r="I3173" s="1">
        <v>46238</v>
      </c>
      <c r="J3173">
        <v>21</v>
      </c>
      <c r="K3173" t="s">
        <v>6307</v>
      </c>
      <c r="L3173" t="s">
        <v>9209</v>
      </c>
      <c r="M3173">
        <v>1</v>
      </c>
      <c r="N3173">
        <v>13</v>
      </c>
      <c r="O3173" t="s">
        <v>1036</v>
      </c>
      <c r="P3173" s="17"/>
      <c r="Q3173" s="17" t="str">
        <f>_xlfn.XLOOKUP(Table2[[#This Row],[buyFromVendorNo]],'Next Day Scheduled'!A:A,'Pending Returns'!O:O,"NOT_FOUND")</f>
        <v>NOT_FOUND</v>
      </c>
    </row>
    <row r="3174" spans="1:17" x14ac:dyDescent="0.3">
      <c r="A3174" s="1">
        <v>46238</v>
      </c>
      <c r="B3174" t="s">
        <v>8080</v>
      </c>
      <c r="C3174" t="s">
        <v>504</v>
      </c>
      <c r="D3174" t="s">
        <v>505</v>
      </c>
      <c r="E3174" t="s">
        <v>8</v>
      </c>
      <c r="F3174" t="s">
        <v>10</v>
      </c>
      <c r="G3174" s="16">
        <v>20</v>
      </c>
      <c r="H3174" s="16">
        <v>23</v>
      </c>
      <c r="I3174" s="1">
        <v>46238</v>
      </c>
      <c r="J3174">
        <v>21</v>
      </c>
      <c r="K3174" t="s">
        <v>8557</v>
      </c>
      <c r="L3174" t="s">
        <v>9219</v>
      </c>
      <c r="M3174">
        <v>1</v>
      </c>
      <c r="N3174">
        <v>13</v>
      </c>
      <c r="O3174" t="s">
        <v>1036</v>
      </c>
      <c r="P3174" s="17"/>
      <c r="Q3174" s="17" t="str">
        <f>_xlfn.XLOOKUP(Table2[[#This Row],[buyFromVendorNo]],'Next Day Scheduled'!A:A,'Pending Returns'!O:O,"NOT_FOUND")</f>
        <v>NOT_FOUND</v>
      </c>
    </row>
    <row r="3175" spans="1:17" x14ac:dyDescent="0.3">
      <c r="A3175" s="1">
        <v>46238</v>
      </c>
      <c r="B3175" t="s">
        <v>5280</v>
      </c>
      <c r="C3175" t="s">
        <v>43</v>
      </c>
      <c r="D3175" t="s">
        <v>44</v>
      </c>
      <c r="E3175" t="s">
        <v>8</v>
      </c>
      <c r="F3175" t="s">
        <v>10</v>
      </c>
      <c r="G3175" s="16">
        <v>145.79</v>
      </c>
      <c r="H3175" s="16">
        <v>167.6585</v>
      </c>
      <c r="I3175" s="1">
        <v>46238</v>
      </c>
      <c r="J3175">
        <v>21</v>
      </c>
      <c r="K3175" t="s">
        <v>7524</v>
      </c>
      <c r="L3175" t="s">
        <v>9211</v>
      </c>
      <c r="M3175">
        <v>6</v>
      </c>
      <c r="N3175">
        <v>2</v>
      </c>
      <c r="O3175" t="s">
        <v>1036</v>
      </c>
      <c r="P3175" s="17"/>
      <c r="Q3175" s="17" t="str">
        <f>_xlfn.XLOOKUP(Table2[[#This Row],[buyFromVendorNo]],'Next Day Scheduled'!A:A,'Pending Returns'!O:O,"NOT_FOUND")</f>
        <v>Posted Credit Note</v>
      </c>
    </row>
    <row r="3176" spans="1:17" x14ac:dyDescent="0.3">
      <c r="A3176" s="1">
        <v>46238</v>
      </c>
      <c r="B3176" t="s">
        <v>2942</v>
      </c>
      <c r="C3176" t="s">
        <v>177</v>
      </c>
      <c r="D3176" t="s">
        <v>178</v>
      </c>
      <c r="E3176" t="s">
        <v>8</v>
      </c>
      <c r="F3176" t="s">
        <v>10</v>
      </c>
      <c r="G3176" s="16">
        <v>385.78989999999999</v>
      </c>
      <c r="H3176" s="16">
        <v>443.65839999999997</v>
      </c>
      <c r="I3176" s="1">
        <v>46232</v>
      </c>
      <c r="J3176">
        <v>21</v>
      </c>
      <c r="K3176" t="s">
        <v>9263</v>
      </c>
      <c r="L3176" t="s">
        <v>9264</v>
      </c>
      <c r="M3176">
        <v>8</v>
      </c>
      <c r="N3176">
        <v>2</v>
      </c>
      <c r="O3176" t="s">
        <v>1036</v>
      </c>
      <c r="P3176" s="17"/>
      <c r="Q3176" s="17" t="str">
        <f>_xlfn.XLOOKUP(Table2[[#This Row],[buyFromVendorNo]],'Next Day Scheduled'!A:A,'Pending Returns'!O:O,"NOT_FOUND")</f>
        <v>Posted Credit Note</v>
      </c>
    </row>
    <row r="3177" spans="1:17" x14ac:dyDescent="0.3">
      <c r="A3177" s="1">
        <v>46238</v>
      </c>
      <c r="B3177" t="s">
        <v>5284</v>
      </c>
      <c r="C3177" t="s">
        <v>34</v>
      </c>
      <c r="D3177" t="s">
        <v>35</v>
      </c>
      <c r="E3177" t="s">
        <v>8</v>
      </c>
      <c r="F3177" t="s">
        <v>10</v>
      </c>
      <c r="G3177" s="16">
        <v>7155.5</v>
      </c>
      <c r="H3177" s="16">
        <v>8228.8250000000007</v>
      </c>
      <c r="I3177" s="1">
        <v>46232</v>
      </c>
      <c r="J3177">
        <v>21</v>
      </c>
      <c r="K3177" t="s">
        <v>7274</v>
      </c>
      <c r="L3177" t="s">
        <v>9212</v>
      </c>
      <c r="M3177">
        <v>3</v>
      </c>
      <c r="N3177">
        <v>8</v>
      </c>
      <c r="O3177" t="s">
        <v>1036</v>
      </c>
      <c r="P3177" s="17"/>
      <c r="Q3177" s="17" t="str">
        <f>_xlfn.XLOOKUP(Table2[[#This Row],[buyFromVendorNo]],'Next Day Scheduled'!A:A,'Pending Returns'!O:O,"NOT_FOUND")</f>
        <v>Posted Credit Note</v>
      </c>
    </row>
    <row r="3178" spans="1:17" x14ac:dyDescent="0.3">
      <c r="A3178" s="1">
        <v>46238</v>
      </c>
      <c r="B3178" t="s">
        <v>2675</v>
      </c>
      <c r="C3178" t="s">
        <v>34</v>
      </c>
      <c r="D3178" t="s">
        <v>35</v>
      </c>
      <c r="E3178" t="s">
        <v>8</v>
      </c>
      <c r="F3178" t="s">
        <v>10</v>
      </c>
      <c r="G3178" s="16">
        <v>771.61</v>
      </c>
      <c r="H3178" s="16">
        <v>887.35149999999999</v>
      </c>
      <c r="I3178" s="1">
        <v>46232</v>
      </c>
      <c r="J3178">
        <v>21</v>
      </c>
      <c r="K3178" t="s">
        <v>8378</v>
      </c>
      <c r="L3178" t="s">
        <v>9205</v>
      </c>
      <c r="M3178">
        <v>3</v>
      </c>
      <c r="N3178">
        <v>8</v>
      </c>
      <c r="O3178" t="s">
        <v>1036</v>
      </c>
      <c r="P3178" s="17"/>
      <c r="Q3178" s="17" t="str">
        <f>_xlfn.XLOOKUP(Table2[[#This Row],[buyFromVendorNo]],'Next Day Scheduled'!A:A,'Pending Returns'!O:O,"NOT_FOUND")</f>
        <v>Posted Credit Note</v>
      </c>
    </row>
    <row r="3179" spans="1:17" x14ac:dyDescent="0.3">
      <c r="A3179" s="1">
        <v>46238</v>
      </c>
      <c r="B3179" t="s">
        <v>3279</v>
      </c>
      <c r="C3179" t="s">
        <v>2448</v>
      </c>
      <c r="D3179" t="s">
        <v>2449</v>
      </c>
      <c r="E3179" t="s">
        <v>8</v>
      </c>
      <c r="F3179" t="s">
        <v>10</v>
      </c>
      <c r="G3179" s="16">
        <v>2243.42</v>
      </c>
      <c r="H3179" s="16">
        <v>2579.933</v>
      </c>
      <c r="I3179" s="1">
        <v>46217</v>
      </c>
      <c r="J3179">
        <v>21</v>
      </c>
      <c r="K3179" t="s">
        <v>5360</v>
      </c>
      <c r="L3179" t="s">
        <v>9229</v>
      </c>
      <c r="M3179">
        <v>2</v>
      </c>
      <c r="N3179">
        <v>7</v>
      </c>
      <c r="O3179" t="s">
        <v>1036</v>
      </c>
      <c r="P3179" s="17"/>
      <c r="Q3179" s="17" t="str">
        <f>_xlfn.XLOOKUP(Table2[[#This Row],[buyFromVendorNo]],'Next Day Scheduled'!A:A,'Pending Returns'!O:O,"NOT_FOUND")</f>
        <v>NOT_FOUND</v>
      </c>
    </row>
    <row r="3180" spans="1:17" x14ac:dyDescent="0.3">
      <c r="A3180" s="1">
        <v>46238</v>
      </c>
      <c r="B3180" t="s">
        <v>5336</v>
      </c>
      <c r="C3180" t="s">
        <v>304</v>
      </c>
      <c r="D3180" t="s">
        <v>307</v>
      </c>
      <c r="E3180" t="s">
        <v>8</v>
      </c>
      <c r="F3180" t="s">
        <v>10</v>
      </c>
      <c r="G3180" s="16">
        <v>951.58776999999998</v>
      </c>
      <c r="H3180" s="16">
        <v>1094.3259</v>
      </c>
      <c r="I3180" s="1">
        <v>46236</v>
      </c>
      <c r="J3180">
        <v>21</v>
      </c>
      <c r="K3180" t="s">
        <v>8427</v>
      </c>
      <c r="L3180" t="s">
        <v>9221</v>
      </c>
      <c r="M3180">
        <v>3</v>
      </c>
      <c r="N3180">
        <v>6</v>
      </c>
      <c r="O3180" t="s">
        <v>1036</v>
      </c>
      <c r="P3180" s="17"/>
      <c r="Q3180" s="17" t="str">
        <f>_xlfn.XLOOKUP(Table2[[#This Row],[buyFromVendorNo]],'Next Day Scheduled'!A:A,'Pending Returns'!O:O,"NOT_FOUND")</f>
        <v>NOT_FOUND</v>
      </c>
    </row>
    <row r="3181" spans="1:17" x14ac:dyDescent="0.3">
      <c r="A3181" s="1">
        <v>46238</v>
      </c>
      <c r="B3181" t="s">
        <v>2531</v>
      </c>
      <c r="C3181" t="s">
        <v>34</v>
      </c>
      <c r="D3181" t="s">
        <v>35</v>
      </c>
      <c r="E3181" t="s">
        <v>8</v>
      </c>
      <c r="F3181" t="s">
        <v>10</v>
      </c>
      <c r="G3181" s="16">
        <v>4533.95</v>
      </c>
      <c r="H3181" s="16">
        <v>5214.0424999999996</v>
      </c>
      <c r="I3181" s="1">
        <v>46232</v>
      </c>
      <c r="J3181">
        <v>21</v>
      </c>
      <c r="K3181" t="s">
        <v>7736</v>
      </c>
      <c r="L3181" t="s">
        <v>9223</v>
      </c>
      <c r="M3181">
        <v>3</v>
      </c>
      <c r="N3181">
        <v>8</v>
      </c>
      <c r="O3181" t="s">
        <v>1036</v>
      </c>
      <c r="P3181" s="17"/>
      <c r="Q3181" s="17" t="str">
        <f>_xlfn.XLOOKUP(Table2[[#This Row],[buyFromVendorNo]],'Next Day Scheduled'!A:A,'Pending Returns'!O:O,"NOT_FOUND")</f>
        <v>Posted Credit Note</v>
      </c>
    </row>
    <row r="3182" spans="1:17" x14ac:dyDescent="0.3">
      <c r="A3182" s="1">
        <v>46238</v>
      </c>
      <c r="B3182" t="s">
        <v>2566</v>
      </c>
      <c r="C3182" t="s">
        <v>776</v>
      </c>
      <c r="D3182" t="s">
        <v>777</v>
      </c>
      <c r="E3182" t="s">
        <v>8</v>
      </c>
      <c r="F3182" t="s">
        <v>10</v>
      </c>
      <c r="G3182" s="16">
        <v>69.540000000000006</v>
      </c>
      <c r="H3182" s="16">
        <v>79.971000000000004</v>
      </c>
      <c r="I3182" s="1">
        <v>46233</v>
      </c>
      <c r="J3182">
        <v>21</v>
      </c>
      <c r="K3182" t="s">
        <v>8679</v>
      </c>
      <c r="L3182" t="s">
        <v>9224</v>
      </c>
      <c r="M3182">
        <v>8</v>
      </c>
      <c r="N3182">
        <v>2</v>
      </c>
      <c r="O3182" t="s">
        <v>1036</v>
      </c>
      <c r="P3182" s="17"/>
      <c r="Q3182" s="17" t="str">
        <f>_xlfn.XLOOKUP(Table2[[#This Row],[buyFromVendorNo]],'Next Day Scheduled'!A:A,'Pending Returns'!O:O,"NOT_FOUND")</f>
        <v>Posted Credit Note</v>
      </c>
    </row>
    <row r="3183" spans="1:17" x14ac:dyDescent="0.3">
      <c r="A3183" s="1">
        <v>46238</v>
      </c>
      <c r="B3183" t="s">
        <v>6775</v>
      </c>
      <c r="C3183" t="s">
        <v>327</v>
      </c>
      <c r="D3183" t="s">
        <v>328</v>
      </c>
      <c r="E3183" t="s">
        <v>8</v>
      </c>
      <c r="F3183" t="s">
        <v>169</v>
      </c>
      <c r="G3183" s="16">
        <v>125.75</v>
      </c>
      <c r="H3183" s="16">
        <v>144.61250000000001</v>
      </c>
      <c r="I3183" s="1">
        <v>46238</v>
      </c>
      <c r="J3183">
        <v>21</v>
      </c>
      <c r="K3183" t="s">
        <v>8785</v>
      </c>
      <c r="L3183" t="s">
        <v>9225</v>
      </c>
      <c r="M3183">
        <v>3</v>
      </c>
      <c r="N3183">
        <v>5</v>
      </c>
      <c r="O3183" t="s">
        <v>1036</v>
      </c>
      <c r="P3183" s="17"/>
      <c r="Q3183" s="17" t="str">
        <f>_xlfn.XLOOKUP(Table2[[#This Row],[buyFromVendorNo]],'Next Day Scheduled'!A:A,'Pending Returns'!O:O,"NOT_FOUND")</f>
        <v>NOT_FOUND</v>
      </c>
    </row>
    <row r="3184" spans="1:17" x14ac:dyDescent="0.3">
      <c r="A3184" s="1">
        <v>46238</v>
      </c>
      <c r="B3184" t="s">
        <v>5598</v>
      </c>
      <c r="C3184" t="s">
        <v>2346</v>
      </c>
      <c r="D3184" t="s">
        <v>2347</v>
      </c>
      <c r="E3184" t="s">
        <v>8</v>
      </c>
      <c r="F3184" t="s">
        <v>38</v>
      </c>
      <c r="G3184" s="16">
        <v>144.27000000000001</v>
      </c>
      <c r="H3184" s="16">
        <v>165.91050000000001</v>
      </c>
      <c r="I3184" s="1">
        <v>46238</v>
      </c>
      <c r="J3184">
        <v>21</v>
      </c>
      <c r="K3184" t="s">
        <v>7457</v>
      </c>
      <c r="L3184" t="s">
        <v>9232</v>
      </c>
      <c r="M3184">
        <v>1</v>
      </c>
      <c r="N3184">
        <v>13</v>
      </c>
      <c r="O3184" t="s">
        <v>1036</v>
      </c>
      <c r="P3184" s="17"/>
      <c r="Q3184" s="17" t="str">
        <f>_xlfn.XLOOKUP(Table2[[#This Row],[buyFromVendorNo]],'Next Day Scheduled'!A:A,'Pending Returns'!O:O,"NOT_FOUND")</f>
        <v>NOT_FOUND</v>
      </c>
    </row>
    <row r="3185" spans="1:17" x14ac:dyDescent="0.3">
      <c r="A3185" s="1">
        <v>46238</v>
      </c>
      <c r="B3185" t="s">
        <v>2873</v>
      </c>
      <c r="C3185" t="s">
        <v>199</v>
      </c>
      <c r="D3185" t="s">
        <v>200</v>
      </c>
      <c r="E3185" t="s">
        <v>8</v>
      </c>
      <c r="F3185" t="s">
        <v>10</v>
      </c>
      <c r="G3185" s="16">
        <v>880.5</v>
      </c>
      <c r="H3185" s="16">
        <v>1012.575</v>
      </c>
      <c r="I3185" s="1">
        <v>46232</v>
      </c>
      <c r="J3185">
        <v>21</v>
      </c>
      <c r="K3185" t="s">
        <v>7690</v>
      </c>
      <c r="L3185" t="s">
        <v>9227</v>
      </c>
      <c r="M3185">
        <v>3</v>
      </c>
      <c r="N3185">
        <v>6</v>
      </c>
      <c r="O3185" t="s">
        <v>1036</v>
      </c>
      <c r="P3185" s="17"/>
      <c r="Q3185" s="17" t="str">
        <f>_xlfn.XLOOKUP(Table2[[#This Row],[buyFromVendorNo]],'Next Day Scheduled'!A:A,'Pending Returns'!O:O,"NOT_FOUND")</f>
        <v>NOT_FOUND</v>
      </c>
    </row>
    <row r="3186" spans="1:17" x14ac:dyDescent="0.3">
      <c r="A3186" s="1">
        <v>46238</v>
      </c>
      <c r="B3186" t="s">
        <v>2591</v>
      </c>
      <c r="C3186" t="s">
        <v>139</v>
      </c>
      <c r="D3186" t="s">
        <v>140</v>
      </c>
      <c r="E3186" t="s">
        <v>8</v>
      </c>
      <c r="F3186" t="s">
        <v>10</v>
      </c>
      <c r="G3186" s="16">
        <v>15.9903</v>
      </c>
      <c r="H3186" s="16">
        <v>18.388839999999998</v>
      </c>
      <c r="I3186" s="1">
        <v>46238</v>
      </c>
      <c r="J3186">
        <v>21</v>
      </c>
      <c r="K3186" t="s">
        <v>8834</v>
      </c>
      <c r="L3186" t="s">
        <v>9218</v>
      </c>
      <c r="M3186">
        <v>4</v>
      </c>
      <c r="N3186">
        <v>7</v>
      </c>
      <c r="O3186" t="s">
        <v>1036</v>
      </c>
      <c r="P3186" s="17"/>
      <c r="Q3186" s="17" t="str">
        <f>_xlfn.XLOOKUP(Table2[[#This Row],[buyFromVendorNo]],'Next Day Scheduled'!A:A,'Pending Returns'!O:O,"NOT_FOUND")</f>
        <v>NOT_FOUND</v>
      </c>
    </row>
    <row r="3187" spans="1:17" x14ac:dyDescent="0.3">
      <c r="A3187" s="1">
        <v>46238</v>
      </c>
      <c r="B3187" t="s">
        <v>3587</v>
      </c>
      <c r="C3187" t="s">
        <v>321</v>
      </c>
      <c r="D3187" t="s">
        <v>322</v>
      </c>
      <c r="E3187" t="s">
        <v>8</v>
      </c>
      <c r="F3187" t="s">
        <v>10</v>
      </c>
      <c r="G3187" s="16">
        <v>261.8612</v>
      </c>
      <c r="H3187" s="16">
        <v>301.1404</v>
      </c>
      <c r="I3187" s="1">
        <v>46233</v>
      </c>
      <c r="J3187">
        <v>21</v>
      </c>
      <c r="K3187" t="s">
        <v>8558</v>
      </c>
      <c r="L3187" t="s">
        <v>9235</v>
      </c>
      <c r="M3187">
        <v>3</v>
      </c>
      <c r="N3187">
        <v>5</v>
      </c>
      <c r="O3187" t="s">
        <v>1036</v>
      </c>
      <c r="P3187" s="17"/>
      <c r="Q3187" s="17" t="str">
        <f>_xlfn.XLOOKUP(Table2[[#This Row],[buyFromVendorNo]],'Next Day Scheduled'!A:A,'Pending Returns'!O:O,"NOT_FOUND")</f>
        <v>NOT_FOUND</v>
      </c>
    </row>
    <row r="3188" spans="1:17" x14ac:dyDescent="0.3">
      <c r="A3188" s="1">
        <v>46238</v>
      </c>
      <c r="B3188" t="s">
        <v>2211</v>
      </c>
      <c r="C3188" t="s">
        <v>177</v>
      </c>
      <c r="D3188" t="s">
        <v>178</v>
      </c>
      <c r="E3188" t="s">
        <v>8</v>
      </c>
      <c r="F3188" t="s">
        <v>10</v>
      </c>
      <c r="G3188" s="16">
        <v>207.77</v>
      </c>
      <c r="H3188" s="16">
        <v>238.93549999999999</v>
      </c>
      <c r="I3188" s="1">
        <v>46232</v>
      </c>
      <c r="J3188">
        <v>21</v>
      </c>
      <c r="K3188" t="s">
        <v>5507</v>
      </c>
      <c r="L3188" t="s">
        <v>9220</v>
      </c>
      <c r="M3188">
        <v>8</v>
      </c>
      <c r="N3188">
        <v>2</v>
      </c>
      <c r="O3188" t="s">
        <v>1036</v>
      </c>
      <c r="P3188" s="17"/>
      <c r="Q3188" s="17" t="str">
        <f>_xlfn.XLOOKUP(Table2[[#This Row],[buyFromVendorNo]],'Next Day Scheduled'!A:A,'Pending Returns'!O:O,"NOT_FOUND")</f>
        <v>Posted Credit Note</v>
      </c>
    </row>
    <row r="3189" spans="1:17" x14ac:dyDescent="0.3">
      <c r="A3189" s="1">
        <v>46238</v>
      </c>
      <c r="B3189" t="s">
        <v>3557</v>
      </c>
      <c r="C3189" t="s">
        <v>177</v>
      </c>
      <c r="D3189" t="s">
        <v>178</v>
      </c>
      <c r="E3189" t="s">
        <v>8</v>
      </c>
      <c r="F3189" t="s">
        <v>10</v>
      </c>
      <c r="G3189" s="16">
        <v>936.08</v>
      </c>
      <c r="H3189" s="16">
        <v>1076.492</v>
      </c>
      <c r="I3189" s="1">
        <v>46232</v>
      </c>
      <c r="J3189">
        <v>21</v>
      </c>
      <c r="K3189" t="s">
        <v>9261</v>
      </c>
      <c r="L3189" t="s">
        <v>9262</v>
      </c>
      <c r="M3189">
        <v>8</v>
      </c>
      <c r="N3189">
        <v>2</v>
      </c>
      <c r="O3189" t="s">
        <v>1036</v>
      </c>
      <c r="P3189" s="17"/>
      <c r="Q3189" s="17" t="str">
        <f>_xlfn.XLOOKUP(Table2[[#This Row],[buyFromVendorNo]],'Next Day Scheduled'!A:A,'Pending Returns'!O:O,"NOT_FOUND")</f>
        <v>Posted Credit Note</v>
      </c>
    </row>
    <row r="3190" spans="1:17" x14ac:dyDescent="0.3">
      <c r="A3190" s="1">
        <v>46238</v>
      </c>
      <c r="B3190" t="s">
        <v>7201</v>
      </c>
      <c r="C3190" t="s">
        <v>2448</v>
      </c>
      <c r="D3190" t="s">
        <v>2449</v>
      </c>
      <c r="E3190" t="s">
        <v>8</v>
      </c>
      <c r="F3190" t="s">
        <v>10</v>
      </c>
      <c r="G3190" s="16">
        <v>171.22</v>
      </c>
      <c r="H3190" s="16">
        <v>196.90299999999999</v>
      </c>
      <c r="I3190" s="1">
        <v>46217</v>
      </c>
      <c r="J3190">
        <v>21</v>
      </c>
      <c r="K3190" t="s">
        <v>7202</v>
      </c>
      <c r="L3190" t="s">
        <v>9222</v>
      </c>
      <c r="M3190">
        <v>2</v>
      </c>
      <c r="N3190">
        <v>7</v>
      </c>
      <c r="O3190" t="s">
        <v>1036</v>
      </c>
      <c r="P3190" s="17"/>
      <c r="Q3190" s="17" t="str">
        <f>_xlfn.XLOOKUP(Table2[[#This Row],[buyFromVendorNo]],'Next Day Scheduled'!A:A,'Pending Returns'!O:O,"NOT_FOUND")</f>
        <v>NOT_FOUND</v>
      </c>
    </row>
    <row r="3191" spans="1:17" x14ac:dyDescent="0.3">
      <c r="A3191" s="1">
        <v>46238</v>
      </c>
      <c r="B3191" t="s">
        <v>280</v>
      </c>
      <c r="C3191" t="s">
        <v>34</v>
      </c>
      <c r="D3191" t="s">
        <v>35</v>
      </c>
      <c r="E3191" t="s">
        <v>8</v>
      </c>
      <c r="F3191" t="s">
        <v>10</v>
      </c>
      <c r="G3191" s="16">
        <v>9605.23</v>
      </c>
      <c r="H3191" s="16">
        <v>11046.016</v>
      </c>
      <c r="I3191" s="1">
        <v>46232</v>
      </c>
      <c r="J3191">
        <v>21</v>
      </c>
      <c r="K3191" t="s">
        <v>6813</v>
      </c>
      <c r="L3191" t="s">
        <v>9214</v>
      </c>
      <c r="M3191">
        <v>3</v>
      </c>
      <c r="N3191">
        <v>8</v>
      </c>
      <c r="O3191" t="s">
        <v>1036</v>
      </c>
      <c r="P3191" s="17"/>
      <c r="Q3191" s="17" t="str">
        <f>_xlfn.XLOOKUP(Table2[[#This Row],[buyFromVendorNo]],'Next Day Scheduled'!A:A,'Pending Returns'!O:O,"NOT_FOUND")</f>
        <v>Posted Credit Note</v>
      </c>
    </row>
    <row r="3192" spans="1:17" x14ac:dyDescent="0.3">
      <c r="A3192" s="1">
        <v>46238</v>
      </c>
      <c r="B3192" t="s">
        <v>3025</v>
      </c>
      <c r="C3192" t="s">
        <v>381</v>
      </c>
      <c r="D3192" t="s">
        <v>382</v>
      </c>
      <c r="E3192" t="s">
        <v>8</v>
      </c>
      <c r="F3192" t="s">
        <v>10</v>
      </c>
      <c r="G3192" s="16">
        <v>697</v>
      </c>
      <c r="H3192" s="16">
        <v>801.55</v>
      </c>
      <c r="I3192" s="1">
        <v>46238</v>
      </c>
      <c r="J3192">
        <v>21</v>
      </c>
      <c r="K3192" t="s">
        <v>8960</v>
      </c>
      <c r="L3192" t="s">
        <v>9213</v>
      </c>
      <c r="M3192">
        <v>3</v>
      </c>
      <c r="N3192">
        <v>3</v>
      </c>
      <c r="O3192" t="s">
        <v>1036</v>
      </c>
      <c r="P3192" s="17"/>
      <c r="Q3192" s="17" t="str">
        <f>_xlfn.XLOOKUP(Table2[[#This Row],[buyFromVendorNo]],'Next Day Scheduled'!A:A,'Pending Returns'!O:O,"NOT_FOUND")</f>
        <v>NOT_FOUND</v>
      </c>
    </row>
    <row r="3193" spans="1:17" x14ac:dyDescent="0.3">
      <c r="A3193" s="1">
        <v>46238</v>
      </c>
      <c r="B3193" t="s">
        <v>2580</v>
      </c>
      <c r="C3193" t="s">
        <v>34</v>
      </c>
      <c r="D3193" t="s">
        <v>35</v>
      </c>
      <c r="E3193" t="s">
        <v>8</v>
      </c>
      <c r="F3193" t="s">
        <v>10</v>
      </c>
      <c r="G3193" s="16">
        <v>2225.12</v>
      </c>
      <c r="H3193" s="16">
        <v>2558.8879999999999</v>
      </c>
      <c r="I3193" s="1">
        <v>46232</v>
      </c>
      <c r="J3193">
        <v>21</v>
      </c>
      <c r="K3193" t="s">
        <v>7511</v>
      </c>
      <c r="L3193" t="s">
        <v>9216</v>
      </c>
      <c r="M3193">
        <v>3</v>
      </c>
      <c r="N3193">
        <v>8</v>
      </c>
      <c r="O3193" t="s">
        <v>1036</v>
      </c>
      <c r="P3193" s="17"/>
      <c r="Q3193" s="17" t="str">
        <f>_xlfn.XLOOKUP(Table2[[#This Row],[buyFromVendorNo]],'Next Day Scheduled'!A:A,'Pending Returns'!O:O,"NOT_FOUND")</f>
        <v>Posted Credit Note</v>
      </c>
    </row>
    <row r="3194" spans="1:17" x14ac:dyDescent="0.3">
      <c r="A3194" s="1">
        <v>46238</v>
      </c>
      <c r="B3194" t="s">
        <v>2893</v>
      </c>
      <c r="C3194" t="s">
        <v>2346</v>
      </c>
      <c r="D3194" t="s">
        <v>2347</v>
      </c>
      <c r="E3194" t="s">
        <v>8</v>
      </c>
      <c r="F3194" t="s">
        <v>38</v>
      </c>
      <c r="G3194" s="16">
        <v>384.72</v>
      </c>
      <c r="H3194" s="16">
        <v>442.428</v>
      </c>
      <c r="I3194" s="1">
        <v>46238</v>
      </c>
      <c r="J3194">
        <v>21</v>
      </c>
      <c r="K3194" t="s">
        <v>6962</v>
      </c>
      <c r="L3194" t="s">
        <v>9206</v>
      </c>
      <c r="M3194">
        <v>1</v>
      </c>
      <c r="N3194">
        <v>13</v>
      </c>
      <c r="O3194" t="s">
        <v>1036</v>
      </c>
      <c r="P3194" s="17"/>
      <c r="Q3194" s="17" t="str">
        <f>_xlfn.XLOOKUP(Table2[[#This Row],[buyFromVendorNo]],'Next Day Scheduled'!A:A,'Pending Returns'!O:O,"NOT_FOUND")</f>
        <v>NOT_FOUND</v>
      </c>
    </row>
    <row r="3195" spans="1:17" x14ac:dyDescent="0.3">
      <c r="A3195" s="1">
        <v>46238</v>
      </c>
      <c r="B3195" t="s">
        <v>4904</v>
      </c>
      <c r="C3195" t="s">
        <v>2298</v>
      </c>
      <c r="D3195" t="s">
        <v>2299</v>
      </c>
      <c r="E3195" t="s">
        <v>8</v>
      </c>
      <c r="F3195" t="s">
        <v>10</v>
      </c>
      <c r="G3195" s="16">
        <v>38.297739999999997</v>
      </c>
      <c r="H3195" s="16">
        <v>44.042400000000001</v>
      </c>
      <c r="I3195" s="1">
        <v>46238</v>
      </c>
      <c r="J3195">
        <v>21</v>
      </c>
      <c r="K3195" t="s">
        <v>8697</v>
      </c>
      <c r="L3195" t="s">
        <v>9207</v>
      </c>
      <c r="M3195">
        <v>2</v>
      </c>
      <c r="N3195">
        <v>7</v>
      </c>
      <c r="O3195" t="s">
        <v>1036</v>
      </c>
      <c r="P3195" s="17"/>
      <c r="Q3195" s="17" t="str">
        <f>_xlfn.XLOOKUP(Table2[[#This Row],[buyFromVendorNo]],'Next Day Scheduled'!A:A,'Pending Returns'!O:O,"NOT_FOUND")</f>
        <v>NOT_FOUND</v>
      </c>
    </row>
    <row r="3196" spans="1:17" x14ac:dyDescent="0.3">
      <c r="A3196" s="1">
        <v>46238</v>
      </c>
      <c r="B3196" t="s">
        <v>5087</v>
      </c>
      <c r="C3196" t="s">
        <v>43</v>
      </c>
      <c r="D3196" t="s">
        <v>44</v>
      </c>
      <c r="E3196" t="s">
        <v>8</v>
      </c>
      <c r="F3196" t="s">
        <v>10</v>
      </c>
      <c r="G3196" s="16">
        <v>1255.25</v>
      </c>
      <c r="H3196" s="16">
        <v>1443.5374999999999</v>
      </c>
      <c r="I3196" s="1">
        <v>46238</v>
      </c>
      <c r="J3196">
        <v>21</v>
      </c>
      <c r="K3196" t="s">
        <v>7183</v>
      </c>
      <c r="L3196" t="s">
        <v>9234</v>
      </c>
      <c r="M3196">
        <v>6</v>
      </c>
      <c r="N3196">
        <v>2</v>
      </c>
      <c r="O3196" t="s">
        <v>1036</v>
      </c>
      <c r="P3196" s="17"/>
      <c r="Q3196" s="17" t="str">
        <f>_xlfn.XLOOKUP(Table2[[#This Row],[buyFromVendorNo]],'Next Day Scheduled'!A:A,'Pending Returns'!O:O,"NOT_FOUND")</f>
        <v>Posted Credit Note</v>
      </c>
    </row>
    <row r="3197" spans="1:17" x14ac:dyDescent="0.3">
      <c r="A3197" s="1">
        <v>46238</v>
      </c>
      <c r="B3197" t="s">
        <v>1709</v>
      </c>
      <c r="C3197" t="s">
        <v>2448</v>
      </c>
      <c r="D3197" t="s">
        <v>2449</v>
      </c>
      <c r="E3197" t="s">
        <v>8</v>
      </c>
      <c r="F3197" t="s">
        <v>10</v>
      </c>
      <c r="G3197" s="16">
        <v>471.18</v>
      </c>
      <c r="H3197" s="16">
        <v>541.85699999999997</v>
      </c>
      <c r="I3197" s="1">
        <v>46217</v>
      </c>
      <c r="J3197">
        <v>21</v>
      </c>
      <c r="K3197" t="s">
        <v>6618</v>
      </c>
      <c r="L3197" t="s">
        <v>9228</v>
      </c>
      <c r="M3197">
        <v>2</v>
      </c>
      <c r="N3197">
        <v>7</v>
      </c>
      <c r="O3197" t="s">
        <v>1036</v>
      </c>
      <c r="P3197" s="17"/>
      <c r="Q3197" s="17" t="str">
        <f>_xlfn.XLOOKUP(Table2[[#This Row],[buyFromVendorNo]],'Next Day Scheduled'!A:A,'Pending Returns'!O:O,"NOT_FOUND")</f>
        <v>NOT_FOUND</v>
      </c>
    </row>
    <row r="3198" spans="1:17" x14ac:dyDescent="0.3">
      <c r="A3198" s="1">
        <v>46238</v>
      </c>
      <c r="B3198" t="s">
        <v>2566</v>
      </c>
      <c r="C3198" t="s">
        <v>880</v>
      </c>
      <c r="D3198" t="s">
        <v>881</v>
      </c>
      <c r="E3198" t="s">
        <v>8</v>
      </c>
      <c r="F3198" t="s">
        <v>10</v>
      </c>
      <c r="G3198" s="16">
        <v>234.56</v>
      </c>
      <c r="H3198" s="16">
        <v>269.74400000000003</v>
      </c>
      <c r="I3198" s="1">
        <v>46238</v>
      </c>
      <c r="J3198">
        <v>21</v>
      </c>
      <c r="K3198" t="s">
        <v>8790</v>
      </c>
      <c r="L3198" t="s">
        <v>9236</v>
      </c>
      <c r="M3198">
        <v>1</v>
      </c>
      <c r="N3198">
        <v>13</v>
      </c>
      <c r="O3198" t="s">
        <v>1036</v>
      </c>
      <c r="P3198" s="17"/>
      <c r="Q3198" s="17" t="str">
        <f>_xlfn.XLOOKUP(Table2[[#This Row],[buyFromVendorNo]],'Next Day Scheduled'!A:A,'Pending Returns'!O:O,"NOT_FOUND")</f>
        <v>NOT_FOUND</v>
      </c>
    </row>
    <row r="3199" spans="1:17" x14ac:dyDescent="0.3">
      <c r="A3199" s="1">
        <v>46238</v>
      </c>
      <c r="B3199" t="s">
        <v>2632</v>
      </c>
      <c r="C3199" t="s">
        <v>34</v>
      </c>
      <c r="D3199" t="s">
        <v>35</v>
      </c>
      <c r="E3199" t="s">
        <v>8</v>
      </c>
      <c r="F3199" t="s">
        <v>10</v>
      </c>
      <c r="G3199" s="16">
        <v>3511.1318000000001</v>
      </c>
      <c r="H3199" s="16">
        <v>4037.8015</v>
      </c>
      <c r="I3199" s="1">
        <v>46232</v>
      </c>
      <c r="J3199">
        <v>21</v>
      </c>
      <c r="K3199" t="s">
        <v>8674</v>
      </c>
      <c r="L3199" t="s">
        <v>9210</v>
      </c>
      <c r="M3199">
        <v>3</v>
      </c>
      <c r="N3199">
        <v>8</v>
      </c>
      <c r="O3199" t="s">
        <v>1036</v>
      </c>
      <c r="P3199" s="17"/>
      <c r="Q3199" s="17" t="str">
        <f>_xlfn.XLOOKUP(Table2[[#This Row],[buyFromVendorNo]],'Next Day Scheduled'!A:A,'Pending Returns'!O:O,"NOT_FOUND")</f>
        <v>Posted Credit Note</v>
      </c>
    </row>
    <row r="3200" spans="1:17" x14ac:dyDescent="0.3">
      <c r="A3200" s="1">
        <v>46239</v>
      </c>
      <c r="B3200" t="s">
        <v>731</v>
      </c>
      <c r="C3200" t="s">
        <v>39</v>
      </c>
      <c r="D3200" t="s">
        <v>40</v>
      </c>
      <c r="E3200" t="s">
        <v>8</v>
      </c>
      <c r="F3200" t="s">
        <v>10</v>
      </c>
      <c r="G3200" s="16">
        <v>2134.0889999999999</v>
      </c>
      <c r="H3200" s="16">
        <v>2454.2026000000001</v>
      </c>
      <c r="I3200" s="1">
        <v>46237</v>
      </c>
      <c r="J3200">
        <v>20</v>
      </c>
      <c r="K3200" t="s">
        <v>496</v>
      </c>
      <c r="L3200" t="s">
        <v>9266</v>
      </c>
      <c r="M3200">
        <v>6</v>
      </c>
      <c r="N3200">
        <v>1</v>
      </c>
      <c r="O3200" t="s">
        <v>1036</v>
      </c>
      <c r="P3200" s="17"/>
      <c r="Q3200" s="17" t="str">
        <f>_xlfn.XLOOKUP(Table2[[#This Row],[buyFromVendorNo]],'Next Day Scheduled'!A:A,'Pending Returns'!O:O,"NOT_FOUND")</f>
        <v>Posted Credit Note</v>
      </c>
    </row>
    <row r="3201" spans="1:17" x14ac:dyDescent="0.3">
      <c r="A3201" s="1">
        <v>46239</v>
      </c>
      <c r="B3201" t="s">
        <v>2692</v>
      </c>
      <c r="C3201" t="s">
        <v>16</v>
      </c>
      <c r="D3201" t="s">
        <v>17</v>
      </c>
      <c r="E3201" t="s">
        <v>8</v>
      </c>
      <c r="F3201" t="s">
        <v>10</v>
      </c>
      <c r="G3201" s="16">
        <v>193.4</v>
      </c>
      <c r="H3201" s="16">
        <v>222.41</v>
      </c>
      <c r="I3201" s="1">
        <v>46229</v>
      </c>
      <c r="J3201">
        <v>20</v>
      </c>
      <c r="K3201" t="s">
        <v>8241</v>
      </c>
      <c r="L3201" t="s">
        <v>9267</v>
      </c>
      <c r="M3201">
        <v>3</v>
      </c>
      <c r="N3201">
        <v>3</v>
      </c>
      <c r="O3201" t="s">
        <v>1036</v>
      </c>
      <c r="P3201" s="17"/>
      <c r="Q3201" s="17" t="str">
        <f>_xlfn.XLOOKUP(Table2[[#This Row],[buyFromVendorNo]],'Next Day Scheduled'!A:A,'Pending Returns'!O:O,"NOT_FOUND")</f>
        <v>Posted Credit Note</v>
      </c>
    </row>
    <row r="3202" spans="1:17" x14ac:dyDescent="0.3">
      <c r="A3202" s="1">
        <v>46239</v>
      </c>
      <c r="B3202" t="s">
        <v>3578</v>
      </c>
      <c r="C3202" t="s">
        <v>71</v>
      </c>
      <c r="D3202" t="s">
        <v>72</v>
      </c>
      <c r="E3202" t="s">
        <v>8</v>
      </c>
      <c r="F3202" t="s">
        <v>10</v>
      </c>
      <c r="G3202" s="16">
        <v>1586.0377000000001</v>
      </c>
      <c r="H3202" s="16">
        <v>1823.9434000000001</v>
      </c>
      <c r="I3202" s="1">
        <v>46238</v>
      </c>
      <c r="J3202">
        <v>20</v>
      </c>
      <c r="K3202" t="s">
        <v>8571</v>
      </c>
      <c r="L3202" t="s">
        <v>9268</v>
      </c>
      <c r="M3202">
        <v>2</v>
      </c>
      <c r="N3202">
        <v>8</v>
      </c>
      <c r="O3202" t="s">
        <v>1036</v>
      </c>
      <c r="P3202" s="17"/>
      <c r="Q3202" s="17" t="str">
        <f>_xlfn.XLOOKUP(Table2[[#This Row],[buyFromVendorNo]],'Next Day Scheduled'!A:A,'Pending Returns'!O:O,"NOT_FOUND")</f>
        <v>Posted Credit Note</v>
      </c>
    </row>
    <row r="3203" spans="1:17" x14ac:dyDescent="0.3">
      <c r="A3203" s="1">
        <v>46239</v>
      </c>
      <c r="B3203" t="s">
        <v>642</v>
      </c>
      <c r="C3203" t="s">
        <v>5151</v>
      </c>
      <c r="D3203" t="s">
        <v>5152</v>
      </c>
      <c r="E3203" t="s">
        <v>8</v>
      </c>
      <c r="F3203" t="s">
        <v>38</v>
      </c>
      <c r="G3203" s="16">
        <v>18.013200000000001</v>
      </c>
      <c r="H3203" s="16">
        <v>20.71518</v>
      </c>
      <c r="I3203" s="1">
        <v>46239</v>
      </c>
      <c r="J3203">
        <v>20</v>
      </c>
      <c r="K3203" t="s">
        <v>8817</v>
      </c>
      <c r="L3203" t="s">
        <v>9243</v>
      </c>
      <c r="M3203">
        <v>1</v>
      </c>
      <c r="N3203">
        <v>12</v>
      </c>
      <c r="O3203" t="s">
        <v>223</v>
      </c>
      <c r="P3203" s="17"/>
      <c r="Q3203" s="17" t="str">
        <f>_xlfn.XLOOKUP(Table2[[#This Row],[buyFromVendorNo]],'Next Day Scheduled'!A:A,'Pending Returns'!O:O,"NOT_FOUND")</f>
        <v>NOT_FOUND</v>
      </c>
    </row>
    <row r="3204" spans="1:17" x14ac:dyDescent="0.3">
      <c r="A3204" s="1">
        <v>46239</v>
      </c>
      <c r="B3204" t="s">
        <v>642</v>
      </c>
      <c r="C3204" t="s">
        <v>562</v>
      </c>
      <c r="D3204" t="s">
        <v>563</v>
      </c>
      <c r="E3204" t="s">
        <v>8</v>
      </c>
      <c r="F3204" t="s">
        <v>38</v>
      </c>
      <c r="G3204" s="16">
        <v>2441.2543999999998</v>
      </c>
      <c r="H3204" s="16">
        <v>2807.4423999999999</v>
      </c>
      <c r="I3204" s="1">
        <v>46237</v>
      </c>
      <c r="J3204">
        <v>20</v>
      </c>
      <c r="K3204" t="s">
        <v>7844</v>
      </c>
      <c r="L3204" t="s">
        <v>9308</v>
      </c>
      <c r="M3204">
        <v>0</v>
      </c>
      <c r="N3204">
        <v>23</v>
      </c>
      <c r="O3204" t="s">
        <v>1036</v>
      </c>
      <c r="P3204" s="17"/>
      <c r="Q3204" s="17" t="str">
        <f>_xlfn.XLOOKUP(Table2[[#This Row],[buyFromVendorNo]],'Next Day Scheduled'!A:A,'Pending Returns'!O:O,"NOT_FOUND")</f>
        <v>NOT_FOUND</v>
      </c>
    </row>
    <row r="3205" spans="1:17" x14ac:dyDescent="0.3">
      <c r="A3205" s="1">
        <v>46239</v>
      </c>
      <c r="B3205" t="s">
        <v>5386</v>
      </c>
      <c r="C3205" t="s">
        <v>3132</v>
      </c>
      <c r="D3205" t="s">
        <v>3133</v>
      </c>
      <c r="E3205" t="s">
        <v>8</v>
      </c>
      <c r="F3205" t="s">
        <v>10</v>
      </c>
      <c r="G3205" s="16">
        <v>1460.9041999999999</v>
      </c>
      <c r="H3205" s="16">
        <v>1680.0398</v>
      </c>
      <c r="I3205" s="1">
        <v>46239</v>
      </c>
      <c r="J3205">
        <v>20</v>
      </c>
      <c r="K3205" t="s">
        <v>6552</v>
      </c>
      <c r="L3205" t="s">
        <v>9246</v>
      </c>
      <c r="M3205">
        <v>0</v>
      </c>
      <c r="N3205">
        <v>22</v>
      </c>
      <c r="O3205" t="s">
        <v>223</v>
      </c>
      <c r="P3205" s="17"/>
      <c r="Q3205" s="17" t="str">
        <f>_xlfn.XLOOKUP(Table2[[#This Row],[buyFromVendorNo]],'Next Day Scheduled'!A:A,'Pending Returns'!O:O,"NOT_FOUND")</f>
        <v>NOT_FOUND</v>
      </c>
    </row>
    <row r="3206" spans="1:17" x14ac:dyDescent="0.3">
      <c r="A3206" s="1">
        <v>46239</v>
      </c>
      <c r="B3206" t="s">
        <v>3285</v>
      </c>
      <c r="C3206" t="s">
        <v>84</v>
      </c>
      <c r="D3206" t="s">
        <v>85</v>
      </c>
      <c r="E3206" t="s">
        <v>8</v>
      </c>
      <c r="F3206" t="s">
        <v>10</v>
      </c>
      <c r="G3206" s="16">
        <v>867.91859999999997</v>
      </c>
      <c r="H3206" s="16">
        <v>998.10630000000003</v>
      </c>
      <c r="I3206" s="1">
        <v>46238</v>
      </c>
      <c r="J3206">
        <v>20</v>
      </c>
      <c r="K3206" t="s">
        <v>7793</v>
      </c>
      <c r="L3206" t="s">
        <v>9304</v>
      </c>
      <c r="M3206">
        <v>3</v>
      </c>
      <c r="N3206">
        <v>2</v>
      </c>
      <c r="O3206" t="s">
        <v>1036</v>
      </c>
      <c r="P3206" s="17"/>
      <c r="Q3206" s="17" t="str">
        <f>_xlfn.XLOOKUP(Table2[[#This Row],[buyFromVendorNo]],'Next Day Scheduled'!A:A,'Pending Returns'!O:O,"NOT_FOUND")</f>
        <v>NOT_FOUND</v>
      </c>
    </row>
    <row r="3207" spans="1:17" x14ac:dyDescent="0.3">
      <c r="A3207" s="1">
        <v>46239</v>
      </c>
      <c r="B3207" t="s">
        <v>2745</v>
      </c>
      <c r="C3207" t="s">
        <v>1161</v>
      </c>
      <c r="D3207" t="s">
        <v>1162</v>
      </c>
      <c r="E3207" t="s">
        <v>8</v>
      </c>
      <c r="F3207" t="s">
        <v>10</v>
      </c>
      <c r="G3207" s="16">
        <v>5101.16</v>
      </c>
      <c r="H3207" s="16">
        <v>5866.3339999999998</v>
      </c>
      <c r="I3207" s="1">
        <v>46238</v>
      </c>
      <c r="J3207">
        <v>20</v>
      </c>
      <c r="K3207" t="s">
        <v>8969</v>
      </c>
      <c r="L3207" t="s">
        <v>9239</v>
      </c>
      <c r="M3207">
        <v>2</v>
      </c>
      <c r="N3207">
        <v>6</v>
      </c>
      <c r="O3207" t="s">
        <v>1036</v>
      </c>
      <c r="P3207" s="17"/>
      <c r="Q3207" s="17" t="str">
        <f>_xlfn.XLOOKUP(Table2[[#This Row],[buyFromVendorNo]],'Next Day Scheduled'!A:A,'Pending Returns'!O:O,"NOT_FOUND")</f>
        <v>NOT_FOUND</v>
      </c>
    </row>
    <row r="3208" spans="1:17" x14ac:dyDescent="0.3">
      <c r="A3208" s="1">
        <v>46239</v>
      </c>
      <c r="B3208" t="s">
        <v>2786</v>
      </c>
      <c r="C3208" t="s">
        <v>494</v>
      </c>
      <c r="D3208" t="s">
        <v>495</v>
      </c>
      <c r="E3208" t="s">
        <v>8</v>
      </c>
      <c r="F3208" t="s">
        <v>10</v>
      </c>
      <c r="G3208" s="16">
        <v>4576.99</v>
      </c>
      <c r="H3208" s="16">
        <v>5263.5385999999999</v>
      </c>
      <c r="I3208" s="1">
        <v>46229</v>
      </c>
      <c r="J3208">
        <v>20</v>
      </c>
      <c r="K3208" t="s">
        <v>8208</v>
      </c>
      <c r="L3208" t="s">
        <v>9314</v>
      </c>
      <c r="M3208">
        <v>3</v>
      </c>
      <c r="N3208">
        <v>7</v>
      </c>
      <c r="O3208" t="s">
        <v>1036</v>
      </c>
      <c r="P3208" s="17"/>
      <c r="Q3208" s="17" t="str">
        <f>_xlfn.XLOOKUP(Table2[[#This Row],[buyFromVendorNo]],'Next Day Scheduled'!A:A,'Pending Returns'!O:O,"NOT_FOUND")</f>
        <v>Posted Credit Note</v>
      </c>
    </row>
    <row r="3209" spans="1:17" x14ac:dyDescent="0.3">
      <c r="A3209" s="1">
        <v>46239</v>
      </c>
      <c r="B3209" t="s">
        <v>1741</v>
      </c>
      <c r="C3209" t="s">
        <v>3132</v>
      </c>
      <c r="D3209" t="s">
        <v>3133</v>
      </c>
      <c r="E3209" t="s">
        <v>8</v>
      </c>
      <c r="F3209" t="s">
        <v>10</v>
      </c>
      <c r="G3209" s="16">
        <v>9.6782599999999999</v>
      </c>
      <c r="H3209" s="16">
        <v>11.13</v>
      </c>
      <c r="J3209">
        <v>20</v>
      </c>
      <c r="K3209" t="s">
        <v>9315</v>
      </c>
      <c r="M3209">
        <v>0</v>
      </c>
      <c r="N3209">
        <v>22</v>
      </c>
      <c r="O3209" t="s">
        <v>216</v>
      </c>
      <c r="P3209" s="17"/>
      <c r="Q3209" s="17" t="str">
        <f>_xlfn.XLOOKUP(Table2[[#This Row],[buyFromVendorNo]],'Next Day Scheduled'!A:A,'Pending Returns'!O:O,"NOT_FOUND")</f>
        <v>NOT_FOUND</v>
      </c>
    </row>
    <row r="3210" spans="1:17" x14ac:dyDescent="0.3">
      <c r="A3210" s="1">
        <v>46239</v>
      </c>
      <c r="B3210" t="s">
        <v>1249</v>
      </c>
      <c r="C3210" t="s">
        <v>3132</v>
      </c>
      <c r="D3210" t="s">
        <v>3133</v>
      </c>
      <c r="E3210" t="s">
        <v>8</v>
      </c>
      <c r="F3210" t="s">
        <v>10</v>
      </c>
      <c r="G3210" s="16">
        <v>2615.069</v>
      </c>
      <c r="H3210" s="16">
        <v>3007.3292999999999</v>
      </c>
      <c r="I3210" s="1">
        <v>46239</v>
      </c>
      <c r="J3210">
        <v>20</v>
      </c>
      <c r="K3210" t="s">
        <v>5038</v>
      </c>
      <c r="L3210" t="s">
        <v>9244</v>
      </c>
      <c r="M3210">
        <v>0</v>
      </c>
      <c r="N3210">
        <v>22</v>
      </c>
      <c r="O3210" t="s">
        <v>223</v>
      </c>
      <c r="P3210" s="17"/>
      <c r="Q3210" s="17" t="str">
        <f>_xlfn.XLOOKUP(Table2[[#This Row],[buyFromVendorNo]],'Next Day Scheduled'!A:A,'Pending Returns'!O:O,"NOT_FOUND")</f>
        <v>NOT_FOUND</v>
      </c>
    </row>
    <row r="3211" spans="1:17" x14ac:dyDescent="0.3">
      <c r="A3211" s="1">
        <v>46239</v>
      </c>
      <c r="B3211" t="s">
        <v>7158</v>
      </c>
      <c r="C3211" t="s">
        <v>1024</v>
      </c>
      <c r="D3211" t="s">
        <v>1025</v>
      </c>
      <c r="E3211" t="s">
        <v>8</v>
      </c>
      <c r="F3211" t="s">
        <v>10</v>
      </c>
      <c r="G3211" s="16">
        <v>55.863999999999997</v>
      </c>
      <c r="H3211" s="16">
        <v>64.243600000000001</v>
      </c>
      <c r="I3211" s="1">
        <v>46226</v>
      </c>
      <c r="J3211">
        <v>20</v>
      </c>
      <c r="K3211" t="s">
        <v>7800</v>
      </c>
      <c r="L3211" t="s">
        <v>9270</v>
      </c>
      <c r="M3211">
        <v>3</v>
      </c>
      <c r="N3211">
        <v>5</v>
      </c>
      <c r="O3211" t="s">
        <v>1036</v>
      </c>
      <c r="P3211" s="17"/>
      <c r="Q3211" s="17" t="str">
        <f>_xlfn.XLOOKUP(Table2[[#This Row],[buyFromVendorNo]],'Next Day Scheduled'!A:A,'Pending Returns'!O:O,"NOT_FOUND")</f>
        <v>NOT_FOUND</v>
      </c>
    </row>
    <row r="3212" spans="1:17" x14ac:dyDescent="0.3">
      <c r="A3212" s="1">
        <v>46239</v>
      </c>
      <c r="B3212" t="s">
        <v>638</v>
      </c>
      <c r="C3212" t="s">
        <v>39</v>
      </c>
      <c r="D3212" t="s">
        <v>40</v>
      </c>
      <c r="E3212" t="s">
        <v>8</v>
      </c>
      <c r="F3212" t="s">
        <v>10</v>
      </c>
      <c r="G3212" s="16">
        <v>1949.1958999999999</v>
      </c>
      <c r="H3212" s="16">
        <v>2241.5752000000002</v>
      </c>
      <c r="I3212" s="1">
        <v>46237</v>
      </c>
      <c r="J3212">
        <v>20</v>
      </c>
      <c r="K3212" t="s">
        <v>9034</v>
      </c>
      <c r="L3212" t="s">
        <v>9271</v>
      </c>
      <c r="M3212">
        <v>6</v>
      </c>
      <c r="N3212">
        <v>1</v>
      </c>
      <c r="O3212" t="s">
        <v>1036</v>
      </c>
      <c r="P3212" s="17"/>
      <c r="Q3212" s="17" t="str">
        <f>_xlfn.XLOOKUP(Table2[[#This Row],[buyFromVendorNo]],'Next Day Scheduled'!A:A,'Pending Returns'!O:O,"NOT_FOUND")</f>
        <v>Posted Credit Note</v>
      </c>
    </row>
    <row r="3213" spans="1:17" x14ac:dyDescent="0.3">
      <c r="A3213" s="1">
        <v>46239</v>
      </c>
      <c r="B3213" t="s">
        <v>5384</v>
      </c>
      <c r="C3213" t="s">
        <v>3132</v>
      </c>
      <c r="D3213" t="s">
        <v>3133</v>
      </c>
      <c r="E3213" t="s">
        <v>8</v>
      </c>
      <c r="F3213" t="s">
        <v>10</v>
      </c>
      <c r="G3213" s="16">
        <v>1183.7129</v>
      </c>
      <c r="H3213" s="16">
        <v>1361.2698</v>
      </c>
      <c r="I3213" s="1">
        <v>46239</v>
      </c>
      <c r="J3213">
        <v>20</v>
      </c>
      <c r="K3213" t="s">
        <v>7286</v>
      </c>
      <c r="L3213" t="s">
        <v>9245</v>
      </c>
      <c r="M3213">
        <v>0</v>
      </c>
      <c r="N3213">
        <v>22</v>
      </c>
      <c r="O3213" t="s">
        <v>223</v>
      </c>
      <c r="P3213" s="17"/>
      <c r="Q3213" s="17" t="str">
        <f>_xlfn.XLOOKUP(Table2[[#This Row],[buyFromVendorNo]],'Next Day Scheduled'!A:A,'Pending Returns'!O:O,"NOT_FOUND")</f>
        <v>NOT_FOUND</v>
      </c>
    </row>
    <row r="3214" spans="1:17" x14ac:dyDescent="0.3">
      <c r="A3214" s="1">
        <v>46239</v>
      </c>
      <c r="B3214" t="s">
        <v>4898</v>
      </c>
      <c r="C3214" t="s">
        <v>84</v>
      </c>
      <c r="D3214" t="s">
        <v>85</v>
      </c>
      <c r="E3214" t="s">
        <v>8</v>
      </c>
      <c r="F3214" t="s">
        <v>10</v>
      </c>
      <c r="G3214" s="16">
        <v>2832.8703999999998</v>
      </c>
      <c r="H3214" s="16">
        <v>3257.8008</v>
      </c>
      <c r="I3214" s="1">
        <v>46238</v>
      </c>
      <c r="J3214">
        <v>20</v>
      </c>
      <c r="K3214" t="s">
        <v>6623</v>
      </c>
      <c r="L3214" t="s">
        <v>9272</v>
      </c>
      <c r="M3214">
        <v>3</v>
      </c>
      <c r="N3214">
        <v>2</v>
      </c>
      <c r="O3214" t="s">
        <v>1036</v>
      </c>
      <c r="P3214" s="17"/>
      <c r="Q3214" s="17" t="str">
        <f>_xlfn.XLOOKUP(Table2[[#This Row],[buyFromVendorNo]],'Next Day Scheduled'!A:A,'Pending Returns'!O:O,"NOT_FOUND")</f>
        <v>NOT_FOUND</v>
      </c>
    </row>
    <row r="3215" spans="1:17" x14ac:dyDescent="0.3">
      <c r="A3215" s="1">
        <v>46239</v>
      </c>
      <c r="B3215" t="s">
        <v>427</v>
      </c>
      <c r="C3215" t="s">
        <v>164</v>
      </c>
      <c r="D3215" t="s">
        <v>165</v>
      </c>
      <c r="E3215" t="s">
        <v>8</v>
      </c>
      <c r="F3215" t="s">
        <v>10</v>
      </c>
      <c r="G3215" s="16">
        <v>172.87</v>
      </c>
      <c r="H3215" s="16">
        <v>198.8005</v>
      </c>
      <c r="J3215">
        <v>20</v>
      </c>
      <c r="K3215" t="s">
        <v>9309</v>
      </c>
      <c r="M3215">
        <v>4</v>
      </c>
      <c r="N3215">
        <v>3</v>
      </c>
      <c r="O3215" t="s">
        <v>216</v>
      </c>
      <c r="P3215" s="17"/>
      <c r="Q3215" s="17" t="str">
        <f>_xlfn.XLOOKUP(Table2[[#This Row],[buyFromVendorNo]],'Next Day Scheduled'!A:A,'Pending Returns'!O:O,"NOT_FOUND")</f>
        <v>NOT_FOUND</v>
      </c>
    </row>
    <row r="3216" spans="1:17" x14ac:dyDescent="0.3">
      <c r="A3216" s="1">
        <v>46239</v>
      </c>
      <c r="B3216" t="s">
        <v>638</v>
      </c>
      <c r="C3216" t="s">
        <v>39</v>
      </c>
      <c r="D3216" t="s">
        <v>40</v>
      </c>
      <c r="E3216" t="s">
        <v>8</v>
      </c>
      <c r="F3216" t="s">
        <v>10</v>
      </c>
      <c r="G3216" s="16">
        <v>3218</v>
      </c>
      <c r="H3216" s="16">
        <v>3700.7</v>
      </c>
      <c r="I3216" s="1">
        <v>46237</v>
      </c>
      <c r="J3216">
        <v>20</v>
      </c>
      <c r="K3216" t="s">
        <v>9035</v>
      </c>
      <c r="L3216" t="s">
        <v>9301</v>
      </c>
      <c r="M3216">
        <v>6</v>
      </c>
      <c r="N3216">
        <v>1</v>
      </c>
      <c r="O3216" t="s">
        <v>1036</v>
      </c>
      <c r="P3216" s="17"/>
      <c r="Q3216" s="17" t="str">
        <f>_xlfn.XLOOKUP(Table2[[#This Row],[buyFromVendorNo]],'Next Day Scheduled'!A:A,'Pending Returns'!O:O,"NOT_FOUND")</f>
        <v>Posted Credit Note</v>
      </c>
    </row>
    <row r="3217" spans="1:17" x14ac:dyDescent="0.3">
      <c r="A3217" s="1">
        <v>46239</v>
      </c>
      <c r="B3217" t="s">
        <v>1822</v>
      </c>
      <c r="C3217" t="s">
        <v>7001</v>
      </c>
      <c r="D3217" t="s">
        <v>7002</v>
      </c>
      <c r="E3217" t="s">
        <v>8</v>
      </c>
      <c r="F3217" t="s">
        <v>10</v>
      </c>
      <c r="G3217" s="16">
        <v>222</v>
      </c>
      <c r="H3217" s="16">
        <v>255.3</v>
      </c>
      <c r="I3217" s="1">
        <v>46217</v>
      </c>
      <c r="J3217">
        <v>20</v>
      </c>
      <c r="K3217" t="s">
        <v>7384</v>
      </c>
      <c r="L3217" t="s">
        <v>9292</v>
      </c>
      <c r="M3217">
        <v>3</v>
      </c>
      <c r="N3217">
        <v>7</v>
      </c>
      <c r="O3217" t="s">
        <v>1036</v>
      </c>
      <c r="P3217" s="17"/>
      <c r="Q3217" s="17" t="str">
        <f>_xlfn.XLOOKUP(Table2[[#This Row],[buyFromVendorNo]],'Next Day Scheduled'!A:A,'Pending Returns'!O:O,"NOT_FOUND")</f>
        <v>Posted Credit Note</v>
      </c>
    </row>
    <row r="3218" spans="1:17" x14ac:dyDescent="0.3">
      <c r="A3218" s="1">
        <v>46239</v>
      </c>
      <c r="B3218" t="s">
        <v>5061</v>
      </c>
      <c r="C3218" t="s">
        <v>3773</v>
      </c>
      <c r="D3218" t="s">
        <v>3774</v>
      </c>
      <c r="E3218" t="s">
        <v>8</v>
      </c>
      <c r="F3218" t="s">
        <v>10</v>
      </c>
      <c r="G3218" s="16">
        <v>1600.8</v>
      </c>
      <c r="H3218" s="16">
        <v>1840.92</v>
      </c>
      <c r="I3218" s="1">
        <v>46230</v>
      </c>
      <c r="J3218">
        <v>20</v>
      </c>
      <c r="K3218" t="s">
        <v>7998</v>
      </c>
      <c r="L3218" t="s">
        <v>9275</v>
      </c>
      <c r="M3218">
        <v>3</v>
      </c>
      <c r="N3218">
        <v>2</v>
      </c>
      <c r="O3218" t="s">
        <v>1036</v>
      </c>
      <c r="P3218" s="17"/>
      <c r="Q3218" s="17" t="str">
        <f>_xlfn.XLOOKUP(Table2[[#This Row],[buyFromVendorNo]],'Next Day Scheduled'!A:A,'Pending Returns'!O:O,"NOT_FOUND")</f>
        <v>NOT_FOUND</v>
      </c>
    </row>
    <row r="3219" spans="1:17" x14ac:dyDescent="0.3">
      <c r="A3219" s="1">
        <v>46239</v>
      </c>
      <c r="B3219" t="s">
        <v>340</v>
      </c>
      <c r="C3219" t="s">
        <v>183</v>
      </c>
      <c r="D3219" t="s">
        <v>184</v>
      </c>
      <c r="E3219" t="s">
        <v>8</v>
      </c>
      <c r="F3219" t="s">
        <v>10</v>
      </c>
      <c r="G3219" s="16">
        <v>5601</v>
      </c>
      <c r="H3219" s="16">
        <v>6441.15</v>
      </c>
      <c r="I3219" s="1">
        <v>46225</v>
      </c>
      <c r="J3219">
        <v>20</v>
      </c>
      <c r="K3219" t="s">
        <v>1869</v>
      </c>
      <c r="L3219" t="s">
        <v>9311</v>
      </c>
      <c r="M3219">
        <v>0</v>
      </c>
      <c r="N3219">
        <v>195</v>
      </c>
      <c r="O3219" t="s">
        <v>1036</v>
      </c>
      <c r="P3219" s="17"/>
      <c r="Q3219" s="17" t="str">
        <f>_xlfn.XLOOKUP(Table2[[#This Row],[buyFromVendorNo]],'Next Day Scheduled'!A:A,'Pending Returns'!O:O,"NOT_FOUND")</f>
        <v>NOT_FOUND</v>
      </c>
    </row>
    <row r="3220" spans="1:17" x14ac:dyDescent="0.3">
      <c r="A3220" s="1">
        <v>46239</v>
      </c>
      <c r="B3220" t="s">
        <v>2207</v>
      </c>
      <c r="C3220" t="s">
        <v>1722</v>
      </c>
      <c r="D3220" t="s">
        <v>1723</v>
      </c>
      <c r="E3220" t="s">
        <v>8</v>
      </c>
      <c r="F3220" t="s">
        <v>10</v>
      </c>
      <c r="G3220" s="16">
        <v>503.33334000000002</v>
      </c>
      <c r="H3220" s="16">
        <v>578.83330000000001</v>
      </c>
      <c r="I3220" s="1">
        <v>46226</v>
      </c>
      <c r="J3220">
        <v>20</v>
      </c>
      <c r="K3220" t="s">
        <v>8128</v>
      </c>
      <c r="L3220" t="s">
        <v>9312</v>
      </c>
      <c r="M3220">
        <v>1</v>
      </c>
      <c r="N3220">
        <v>1</v>
      </c>
      <c r="O3220" t="s">
        <v>1036</v>
      </c>
      <c r="P3220" s="17"/>
      <c r="Q3220" s="17" t="str">
        <f>_xlfn.XLOOKUP(Table2[[#This Row],[buyFromVendorNo]],'Next Day Scheduled'!A:A,'Pending Returns'!O:O,"NOT_FOUND")</f>
        <v>NOT_FOUND</v>
      </c>
    </row>
    <row r="3221" spans="1:17" x14ac:dyDescent="0.3">
      <c r="A3221" s="1">
        <v>46239</v>
      </c>
      <c r="B3221" t="s">
        <v>1567</v>
      </c>
      <c r="C3221" t="s">
        <v>7001</v>
      </c>
      <c r="D3221" t="s">
        <v>7002</v>
      </c>
      <c r="E3221" t="s">
        <v>8</v>
      </c>
      <c r="F3221" t="s">
        <v>10</v>
      </c>
      <c r="G3221" s="16">
        <v>12.32</v>
      </c>
      <c r="H3221" s="16">
        <v>14.167999999999999</v>
      </c>
      <c r="I3221" s="1">
        <v>46217</v>
      </c>
      <c r="J3221">
        <v>20</v>
      </c>
      <c r="K3221" t="s">
        <v>7379</v>
      </c>
      <c r="L3221" t="s">
        <v>9305</v>
      </c>
      <c r="M3221">
        <v>3</v>
      </c>
      <c r="N3221">
        <v>7</v>
      </c>
      <c r="O3221" t="s">
        <v>1036</v>
      </c>
      <c r="P3221" s="17"/>
      <c r="Q3221" s="17" t="str">
        <f>_xlfn.XLOOKUP(Table2[[#This Row],[buyFromVendorNo]],'Next Day Scheduled'!A:A,'Pending Returns'!O:O,"NOT_FOUND")</f>
        <v>Posted Credit Note</v>
      </c>
    </row>
    <row r="3222" spans="1:17" x14ac:dyDescent="0.3">
      <c r="A3222" s="1">
        <v>46239</v>
      </c>
      <c r="B3222" t="s">
        <v>2113</v>
      </c>
      <c r="C3222" t="s">
        <v>5151</v>
      </c>
      <c r="D3222" t="s">
        <v>5152</v>
      </c>
      <c r="E3222" t="s">
        <v>8</v>
      </c>
      <c r="F3222" t="s">
        <v>10</v>
      </c>
      <c r="G3222" s="16">
        <v>76.44</v>
      </c>
      <c r="H3222" s="16">
        <v>87.906000000000006</v>
      </c>
      <c r="I3222" s="1">
        <v>46239</v>
      </c>
      <c r="J3222">
        <v>20</v>
      </c>
      <c r="K3222" t="s">
        <v>7157</v>
      </c>
      <c r="L3222" t="s">
        <v>9238</v>
      </c>
      <c r="M3222">
        <v>1</v>
      </c>
      <c r="N3222">
        <v>2</v>
      </c>
      <c r="O3222" t="s">
        <v>223</v>
      </c>
      <c r="P3222" s="17"/>
      <c r="Q3222" s="17" t="str">
        <f>_xlfn.XLOOKUP(Table2[[#This Row],[buyFromVendorNo]],'Next Day Scheduled'!A:A,'Pending Returns'!O:O,"NOT_FOUND")</f>
        <v>NOT_FOUND</v>
      </c>
    </row>
    <row r="3223" spans="1:17" x14ac:dyDescent="0.3">
      <c r="A3223" s="1">
        <v>46239</v>
      </c>
      <c r="B3223" t="s">
        <v>332</v>
      </c>
      <c r="C3223" t="s">
        <v>3132</v>
      </c>
      <c r="D3223" t="s">
        <v>3133</v>
      </c>
      <c r="E3223" t="s">
        <v>8</v>
      </c>
      <c r="F3223" t="s">
        <v>10</v>
      </c>
      <c r="G3223" s="16">
        <v>8781.8510000000006</v>
      </c>
      <c r="H3223" s="16">
        <v>10099.128000000001</v>
      </c>
      <c r="I3223" s="1">
        <v>46239</v>
      </c>
      <c r="J3223">
        <v>20</v>
      </c>
      <c r="K3223" t="s">
        <v>4490</v>
      </c>
      <c r="L3223" t="s">
        <v>9240</v>
      </c>
      <c r="M3223">
        <v>0</v>
      </c>
      <c r="N3223">
        <v>22</v>
      </c>
      <c r="O3223" t="s">
        <v>223</v>
      </c>
      <c r="P3223" s="17"/>
      <c r="Q3223" s="17" t="str">
        <f>_xlfn.XLOOKUP(Table2[[#This Row],[buyFromVendorNo]],'Next Day Scheduled'!A:A,'Pending Returns'!O:O,"NOT_FOUND")</f>
        <v>NOT_FOUND</v>
      </c>
    </row>
    <row r="3224" spans="1:17" x14ac:dyDescent="0.3">
      <c r="A3224" s="1">
        <v>46239</v>
      </c>
      <c r="B3224" t="s">
        <v>5072</v>
      </c>
      <c r="C3224" t="s">
        <v>3132</v>
      </c>
      <c r="D3224" t="s">
        <v>3133</v>
      </c>
      <c r="E3224" t="s">
        <v>8</v>
      </c>
      <c r="F3224" t="s">
        <v>10</v>
      </c>
      <c r="G3224" s="16">
        <v>4654.5820000000003</v>
      </c>
      <c r="H3224" s="16">
        <v>5352.7690000000002</v>
      </c>
      <c r="I3224" s="1">
        <v>46239</v>
      </c>
      <c r="J3224">
        <v>20</v>
      </c>
      <c r="K3224" t="s">
        <v>4724</v>
      </c>
      <c r="L3224" t="s">
        <v>9248</v>
      </c>
      <c r="M3224">
        <v>0</v>
      </c>
      <c r="N3224">
        <v>22</v>
      </c>
      <c r="O3224" t="s">
        <v>223</v>
      </c>
      <c r="P3224" s="17"/>
      <c r="Q3224" s="17" t="str">
        <f>_xlfn.XLOOKUP(Table2[[#This Row],[buyFromVendorNo]],'Next Day Scheduled'!A:A,'Pending Returns'!O:O,"NOT_FOUND")</f>
        <v>NOT_FOUND</v>
      </c>
    </row>
    <row r="3225" spans="1:17" x14ac:dyDescent="0.3">
      <c r="A3225" s="1">
        <v>46239</v>
      </c>
      <c r="B3225" t="s">
        <v>3060</v>
      </c>
      <c r="C3225" t="s">
        <v>71</v>
      </c>
      <c r="D3225" t="s">
        <v>72</v>
      </c>
      <c r="E3225" t="s">
        <v>8</v>
      </c>
      <c r="F3225" t="s">
        <v>10</v>
      </c>
      <c r="G3225" s="16">
        <v>117.39131999999999</v>
      </c>
      <c r="H3225" s="16">
        <v>135.00002000000001</v>
      </c>
      <c r="I3225" s="1">
        <v>46238</v>
      </c>
      <c r="J3225">
        <v>20</v>
      </c>
      <c r="K3225" t="s">
        <v>8113</v>
      </c>
      <c r="L3225" t="s">
        <v>9316</v>
      </c>
      <c r="M3225">
        <v>2</v>
      </c>
      <c r="N3225">
        <v>8</v>
      </c>
      <c r="O3225" t="s">
        <v>1036</v>
      </c>
      <c r="P3225" s="17"/>
      <c r="Q3225" s="17" t="str">
        <f>_xlfn.XLOOKUP(Table2[[#This Row],[buyFromVendorNo]],'Next Day Scheduled'!A:A,'Pending Returns'!O:O,"NOT_FOUND")</f>
        <v>Posted Credit Note</v>
      </c>
    </row>
    <row r="3226" spans="1:17" x14ac:dyDescent="0.3">
      <c r="A3226" s="1">
        <v>46239</v>
      </c>
      <c r="B3226" t="s">
        <v>5509</v>
      </c>
      <c r="C3226" t="s">
        <v>84</v>
      </c>
      <c r="D3226" t="s">
        <v>85</v>
      </c>
      <c r="E3226" t="s">
        <v>8</v>
      </c>
      <c r="F3226" t="s">
        <v>10</v>
      </c>
      <c r="G3226" s="16">
        <v>646.6146</v>
      </c>
      <c r="H3226" s="16">
        <v>743.60680000000002</v>
      </c>
      <c r="I3226" s="1">
        <v>46238</v>
      </c>
      <c r="J3226">
        <v>20</v>
      </c>
      <c r="K3226" t="s">
        <v>5510</v>
      </c>
      <c r="L3226" t="s">
        <v>9317</v>
      </c>
      <c r="M3226">
        <v>3</v>
      </c>
      <c r="N3226">
        <v>2</v>
      </c>
      <c r="O3226" t="s">
        <v>1036</v>
      </c>
      <c r="P3226" s="17"/>
      <c r="Q3226" s="17" t="str">
        <f>_xlfn.XLOOKUP(Table2[[#This Row],[buyFromVendorNo]],'Next Day Scheduled'!A:A,'Pending Returns'!O:O,"NOT_FOUND")</f>
        <v>NOT_FOUND</v>
      </c>
    </row>
    <row r="3227" spans="1:17" x14ac:dyDescent="0.3">
      <c r="A3227" s="1">
        <v>46239</v>
      </c>
      <c r="B3227" t="s">
        <v>2823</v>
      </c>
      <c r="C3227" t="s">
        <v>3132</v>
      </c>
      <c r="D3227" t="s">
        <v>3133</v>
      </c>
      <c r="E3227" t="s">
        <v>8</v>
      </c>
      <c r="F3227" t="s">
        <v>10</v>
      </c>
      <c r="G3227" s="16">
        <v>2380.643</v>
      </c>
      <c r="H3227" s="16">
        <v>2737.7395000000001</v>
      </c>
      <c r="I3227" s="1">
        <v>46239</v>
      </c>
      <c r="J3227">
        <v>20</v>
      </c>
      <c r="K3227" t="s">
        <v>4603</v>
      </c>
      <c r="L3227" t="s">
        <v>9242</v>
      </c>
      <c r="M3227">
        <v>0</v>
      </c>
      <c r="N3227">
        <v>22</v>
      </c>
      <c r="O3227" t="s">
        <v>223</v>
      </c>
      <c r="P3227" s="17"/>
      <c r="Q3227" s="17" t="str">
        <f>_xlfn.XLOOKUP(Table2[[#This Row],[buyFromVendorNo]],'Next Day Scheduled'!A:A,'Pending Returns'!O:O,"NOT_FOUND")</f>
        <v>NOT_FOUND</v>
      </c>
    </row>
    <row r="3228" spans="1:17" x14ac:dyDescent="0.3">
      <c r="A3228" s="1">
        <v>46239</v>
      </c>
      <c r="B3228" t="s">
        <v>2645</v>
      </c>
      <c r="C3228" t="s">
        <v>420</v>
      </c>
      <c r="D3228" t="s">
        <v>421</v>
      </c>
      <c r="E3228" t="s">
        <v>8</v>
      </c>
      <c r="F3228" t="s">
        <v>10</v>
      </c>
      <c r="G3228" s="16">
        <v>379.42926</v>
      </c>
      <c r="H3228" s="16">
        <v>436.34363000000002</v>
      </c>
      <c r="I3228" s="1">
        <v>46226</v>
      </c>
      <c r="J3228">
        <v>20</v>
      </c>
      <c r="K3228" t="s">
        <v>7732</v>
      </c>
      <c r="L3228" t="s">
        <v>9265</v>
      </c>
      <c r="M3228">
        <v>3</v>
      </c>
      <c r="N3228">
        <v>3</v>
      </c>
      <c r="O3228" t="s">
        <v>1036</v>
      </c>
      <c r="P3228" s="17"/>
      <c r="Q3228" s="17" t="str">
        <f>_xlfn.XLOOKUP(Table2[[#This Row],[buyFromVendorNo]],'Next Day Scheduled'!A:A,'Pending Returns'!O:O,"NOT_FOUND")</f>
        <v>NOT_FOUND</v>
      </c>
    </row>
    <row r="3229" spans="1:17" x14ac:dyDescent="0.3">
      <c r="A3229" s="1">
        <v>46239</v>
      </c>
      <c r="B3229" t="s">
        <v>3298</v>
      </c>
      <c r="C3229" t="s">
        <v>420</v>
      </c>
      <c r="D3229" t="s">
        <v>421</v>
      </c>
      <c r="E3229" t="s">
        <v>8</v>
      </c>
      <c r="F3229" t="s">
        <v>10</v>
      </c>
      <c r="G3229" s="16">
        <v>806.5299</v>
      </c>
      <c r="H3229" s="16">
        <v>927.50940000000003</v>
      </c>
      <c r="I3229" s="1">
        <v>46226</v>
      </c>
      <c r="J3229">
        <v>20</v>
      </c>
      <c r="K3229" t="s">
        <v>7297</v>
      </c>
      <c r="L3229" t="s">
        <v>9290</v>
      </c>
      <c r="M3229">
        <v>3</v>
      </c>
      <c r="N3229">
        <v>3</v>
      </c>
      <c r="O3229" t="s">
        <v>1036</v>
      </c>
      <c r="P3229" s="17"/>
      <c r="Q3229" s="17" t="str">
        <f>_xlfn.XLOOKUP(Table2[[#This Row],[buyFromVendorNo]],'Next Day Scheduled'!A:A,'Pending Returns'!O:O,"NOT_FOUND")</f>
        <v>NOT_FOUND</v>
      </c>
    </row>
    <row r="3230" spans="1:17" x14ac:dyDescent="0.3">
      <c r="A3230" s="1">
        <v>46239</v>
      </c>
      <c r="B3230" t="s">
        <v>2730</v>
      </c>
      <c r="C3230" t="s">
        <v>7001</v>
      </c>
      <c r="D3230" t="s">
        <v>7002</v>
      </c>
      <c r="E3230" t="s">
        <v>8</v>
      </c>
      <c r="F3230" t="s">
        <v>10</v>
      </c>
      <c r="G3230" s="16">
        <v>682.52</v>
      </c>
      <c r="H3230" s="16">
        <v>784.89800000000002</v>
      </c>
      <c r="I3230" s="1">
        <v>46223</v>
      </c>
      <c r="J3230">
        <v>20</v>
      </c>
      <c r="K3230" t="s">
        <v>7815</v>
      </c>
      <c r="L3230" t="s">
        <v>9310</v>
      </c>
      <c r="M3230">
        <v>3</v>
      </c>
      <c r="N3230">
        <v>7</v>
      </c>
      <c r="O3230" t="s">
        <v>1036</v>
      </c>
      <c r="P3230" s="17"/>
      <c r="Q3230" s="17" t="str">
        <f>_xlfn.XLOOKUP(Table2[[#This Row],[buyFromVendorNo]],'Next Day Scheduled'!A:A,'Pending Returns'!O:O,"NOT_FOUND")</f>
        <v>Posted Credit Note</v>
      </c>
    </row>
    <row r="3231" spans="1:17" x14ac:dyDescent="0.3">
      <c r="A3231" s="1">
        <v>46239</v>
      </c>
      <c r="B3231" t="s">
        <v>8073</v>
      </c>
      <c r="C3231" t="s">
        <v>84</v>
      </c>
      <c r="D3231" t="s">
        <v>85</v>
      </c>
      <c r="E3231" t="s">
        <v>8</v>
      </c>
      <c r="F3231" t="s">
        <v>10</v>
      </c>
      <c r="G3231" s="16">
        <v>367.38830000000002</v>
      </c>
      <c r="H3231" s="16">
        <v>422.49655000000001</v>
      </c>
      <c r="I3231" s="1">
        <v>46238</v>
      </c>
      <c r="J3231">
        <v>20</v>
      </c>
      <c r="K3231" t="s">
        <v>8074</v>
      </c>
      <c r="L3231" t="s">
        <v>9300</v>
      </c>
      <c r="M3231">
        <v>3</v>
      </c>
      <c r="N3231">
        <v>2</v>
      </c>
      <c r="O3231" t="s">
        <v>1036</v>
      </c>
      <c r="P3231" s="17"/>
      <c r="Q3231" s="17" t="str">
        <f>_xlfn.XLOOKUP(Table2[[#This Row],[buyFromVendorNo]],'Next Day Scheduled'!A:A,'Pending Returns'!O:O,"NOT_FOUND")</f>
        <v>NOT_FOUND</v>
      </c>
    </row>
    <row r="3232" spans="1:17" x14ac:dyDescent="0.3">
      <c r="A3232" s="1">
        <v>46239</v>
      </c>
      <c r="B3232" t="s">
        <v>8382</v>
      </c>
      <c r="C3232" t="s">
        <v>84</v>
      </c>
      <c r="D3232" t="s">
        <v>85</v>
      </c>
      <c r="E3232" t="s">
        <v>8</v>
      </c>
      <c r="F3232" t="s">
        <v>10</v>
      </c>
      <c r="G3232" s="16">
        <v>555.67944</v>
      </c>
      <c r="H3232" s="16">
        <v>639.03139999999996</v>
      </c>
      <c r="I3232" s="1">
        <v>46238</v>
      </c>
      <c r="J3232">
        <v>20</v>
      </c>
      <c r="K3232" t="s">
        <v>8383</v>
      </c>
      <c r="L3232" t="s">
        <v>9276</v>
      </c>
      <c r="M3232">
        <v>3</v>
      </c>
      <c r="N3232">
        <v>2</v>
      </c>
      <c r="O3232" t="s">
        <v>1036</v>
      </c>
      <c r="P3232" s="17"/>
      <c r="Q3232" s="17" t="str">
        <f>_xlfn.XLOOKUP(Table2[[#This Row],[buyFromVendorNo]],'Next Day Scheduled'!A:A,'Pending Returns'!O:O,"NOT_FOUND")</f>
        <v>NOT_FOUND</v>
      </c>
    </row>
    <row r="3233" spans="1:17" x14ac:dyDescent="0.3">
      <c r="A3233" s="1">
        <v>46239</v>
      </c>
      <c r="B3233" t="s">
        <v>390</v>
      </c>
      <c r="C3233" t="s">
        <v>126</v>
      </c>
      <c r="D3233" t="s">
        <v>127</v>
      </c>
      <c r="E3233" t="s">
        <v>8</v>
      </c>
      <c r="F3233" t="s">
        <v>38</v>
      </c>
      <c r="G3233" s="16">
        <v>364.07040000000001</v>
      </c>
      <c r="H3233" s="16">
        <v>418.68097</v>
      </c>
      <c r="I3233" s="1">
        <v>46221</v>
      </c>
      <c r="J3233">
        <v>20</v>
      </c>
      <c r="K3233" t="s">
        <v>7456</v>
      </c>
      <c r="L3233" t="s">
        <v>9293</v>
      </c>
      <c r="M3233">
        <v>1</v>
      </c>
      <c r="N3233">
        <v>12</v>
      </c>
      <c r="O3233" t="s">
        <v>1036</v>
      </c>
      <c r="P3233" s="17"/>
      <c r="Q3233" s="17" t="str">
        <f>_xlfn.XLOOKUP(Table2[[#This Row],[buyFromVendorNo]],'Next Day Scheduled'!A:A,'Pending Returns'!O:O,"NOT_FOUND")</f>
        <v>NOT_FOUND</v>
      </c>
    </row>
    <row r="3234" spans="1:17" x14ac:dyDescent="0.3">
      <c r="A3234" s="1">
        <v>46239</v>
      </c>
      <c r="B3234" t="s">
        <v>3500</v>
      </c>
      <c r="C3234" t="s">
        <v>858</v>
      </c>
      <c r="D3234" t="s">
        <v>2336</v>
      </c>
      <c r="E3234" t="s">
        <v>8</v>
      </c>
      <c r="F3234" t="s">
        <v>10</v>
      </c>
      <c r="G3234" s="16">
        <v>251.74</v>
      </c>
      <c r="H3234" s="16">
        <v>289.50099999999998</v>
      </c>
      <c r="I3234" s="1">
        <v>46223</v>
      </c>
      <c r="J3234">
        <v>20</v>
      </c>
      <c r="K3234" t="s">
        <v>7179</v>
      </c>
      <c r="L3234" t="s">
        <v>9277</v>
      </c>
      <c r="M3234">
        <v>2</v>
      </c>
      <c r="N3234">
        <v>1</v>
      </c>
      <c r="O3234" t="s">
        <v>1036</v>
      </c>
      <c r="P3234" s="17"/>
      <c r="Q3234" s="17" t="str">
        <f>_xlfn.XLOOKUP(Table2[[#This Row],[buyFromVendorNo]],'Next Day Scheduled'!A:A,'Pending Returns'!O:O,"NOT_FOUND")</f>
        <v>NOT_FOUND</v>
      </c>
    </row>
    <row r="3235" spans="1:17" x14ac:dyDescent="0.3">
      <c r="A3235" s="1">
        <v>46239</v>
      </c>
      <c r="B3235" t="s">
        <v>9014</v>
      </c>
      <c r="C3235" t="s">
        <v>562</v>
      </c>
      <c r="D3235" t="s">
        <v>563</v>
      </c>
      <c r="E3235" t="s">
        <v>8</v>
      </c>
      <c r="F3235" t="s">
        <v>10</v>
      </c>
      <c r="G3235" s="16">
        <v>99</v>
      </c>
      <c r="H3235" s="16">
        <v>113.85</v>
      </c>
      <c r="I3235" s="1">
        <v>46238</v>
      </c>
      <c r="J3235">
        <v>20</v>
      </c>
      <c r="K3235" t="s">
        <v>9015</v>
      </c>
      <c r="L3235" t="s">
        <v>9294</v>
      </c>
      <c r="M3235">
        <v>12</v>
      </c>
      <c r="N3235">
        <v>1</v>
      </c>
      <c r="O3235" t="s">
        <v>1036</v>
      </c>
      <c r="P3235" s="17"/>
      <c r="Q3235" s="17" t="str">
        <f>_xlfn.XLOOKUP(Table2[[#This Row],[buyFromVendorNo]],'Next Day Scheduled'!A:A,'Pending Returns'!O:O,"NOT_FOUND")</f>
        <v>NOT_FOUND</v>
      </c>
    </row>
    <row r="3236" spans="1:17" x14ac:dyDescent="0.3">
      <c r="A3236" s="1">
        <v>46239</v>
      </c>
      <c r="B3236" t="s">
        <v>8588</v>
      </c>
      <c r="C3236" t="s">
        <v>71</v>
      </c>
      <c r="D3236" t="s">
        <v>72</v>
      </c>
      <c r="E3236" t="s">
        <v>8</v>
      </c>
      <c r="F3236" t="s">
        <v>10</v>
      </c>
      <c r="G3236" s="16">
        <v>1770.2335</v>
      </c>
      <c r="H3236" s="16">
        <v>2035.7686000000001</v>
      </c>
      <c r="I3236" s="1">
        <v>46238</v>
      </c>
      <c r="J3236">
        <v>20</v>
      </c>
      <c r="K3236" t="s">
        <v>8964</v>
      </c>
      <c r="L3236" t="s">
        <v>9237</v>
      </c>
      <c r="M3236">
        <v>2</v>
      </c>
      <c r="N3236">
        <v>8</v>
      </c>
      <c r="O3236" t="s">
        <v>1036</v>
      </c>
      <c r="P3236" s="17"/>
      <c r="Q3236" s="17" t="str">
        <f>_xlfn.XLOOKUP(Table2[[#This Row],[buyFromVendorNo]],'Next Day Scheduled'!A:A,'Pending Returns'!O:O,"NOT_FOUND")</f>
        <v>Posted Credit Note</v>
      </c>
    </row>
    <row r="3237" spans="1:17" x14ac:dyDescent="0.3">
      <c r="A3237" s="1">
        <v>46239</v>
      </c>
      <c r="B3237" t="s">
        <v>638</v>
      </c>
      <c r="C3237" t="s">
        <v>39</v>
      </c>
      <c r="D3237" t="s">
        <v>40</v>
      </c>
      <c r="E3237" t="s">
        <v>8</v>
      </c>
      <c r="F3237" t="s">
        <v>10</v>
      </c>
      <c r="G3237" s="16">
        <v>3218.2312000000002</v>
      </c>
      <c r="H3237" s="16">
        <v>3700.9657999999999</v>
      </c>
      <c r="I3237" s="1">
        <v>46237</v>
      </c>
      <c r="J3237">
        <v>20</v>
      </c>
      <c r="K3237" t="s">
        <v>9036</v>
      </c>
      <c r="L3237" t="s">
        <v>9295</v>
      </c>
      <c r="M3237">
        <v>6</v>
      </c>
      <c r="N3237">
        <v>1</v>
      </c>
      <c r="O3237" t="s">
        <v>1036</v>
      </c>
      <c r="P3237" s="17"/>
      <c r="Q3237" s="17" t="str">
        <f>_xlfn.XLOOKUP(Table2[[#This Row],[buyFromVendorNo]],'Next Day Scheduled'!A:A,'Pending Returns'!O:O,"NOT_FOUND")</f>
        <v>Posted Credit Note</v>
      </c>
    </row>
    <row r="3238" spans="1:17" x14ac:dyDescent="0.3">
      <c r="A3238" s="1">
        <v>46239</v>
      </c>
      <c r="B3238" t="s">
        <v>642</v>
      </c>
      <c r="C3238" t="s">
        <v>812</v>
      </c>
      <c r="D3238" t="s">
        <v>2394</v>
      </c>
      <c r="E3238" t="s">
        <v>8</v>
      </c>
      <c r="F3238" t="s">
        <v>38</v>
      </c>
      <c r="G3238" s="16">
        <v>792</v>
      </c>
      <c r="H3238" s="16">
        <v>910.8</v>
      </c>
      <c r="I3238" s="1">
        <v>46231</v>
      </c>
      <c r="J3238">
        <v>20</v>
      </c>
      <c r="K3238" t="s">
        <v>8545</v>
      </c>
      <c r="L3238" t="s">
        <v>9283</v>
      </c>
      <c r="M3238">
        <v>3</v>
      </c>
      <c r="N3238">
        <v>6</v>
      </c>
      <c r="O3238" t="s">
        <v>1036</v>
      </c>
      <c r="P3238" s="17"/>
      <c r="Q3238" s="17" t="str">
        <f>_xlfn.XLOOKUP(Table2[[#This Row],[buyFromVendorNo]],'Next Day Scheduled'!A:A,'Pending Returns'!O:O,"NOT_FOUND")</f>
        <v>NOT_FOUND</v>
      </c>
    </row>
    <row r="3239" spans="1:17" x14ac:dyDescent="0.3">
      <c r="A3239" s="1">
        <v>46239</v>
      </c>
      <c r="B3239" t="s">
        <v>8108</v>
      </c>
      <c r="C3239" t="s">
        <v>943</v>
      </c>
      <c r="D3239" t="s">
        <v>944</v>
      </c>
      <c r="E3239" t="s">
        <v>8</v>
      </c>
      <c r="F3239" t="s">
        <v>10</v>
      </c>
      <c r="G3239" s="16">
        <v>30.42</v>
      </c>
      <c r="H3239" s="16">
        <v>34.982999999999997</v>
      </c>
      <c r="I3239" s="1">
        <v>46226</v>
      </c>
      <c r="J3239">
        <v>20</v>
      </c>
      <c r="K3239" t="s">
        <v>8109</v>
      </c>
      <c r="L3239" t="s">
        <v>9313</v>
      </c>
      <c r="M3239">
        <v>0</v>
      </c>
      <c r="N3239">
        <v>23</v>
      </c>
      <c r="O3239" t="s">
        <v>1036</v>
      </c>
      <c r="P3239" s="17"/>
      <c r="Q3239" s="17" t="str">
        <f>_xlfn.XLOOKUP(Table2[[#This Row],[buyFromVendorNo]],'Next Day Scheduled'!A:A,'Pending Returns'!O:O,"NOT_FOUND")</f>
        <v>NOT_FOUND</v>
      </c>
    </row>
    <row r="3240" spans="1:17" x14ac:dyDescent="0.3">
      <c r="A3240" s="1">
        <v>46239</v>
      </c>
      <c r="B3240" t="s">
        <v>3281</v>
      </c>
      <c r="C3240" t="s">
        <v>2283</v>
      </c>
      <c r="D3240" t="s">
        <v>2284</v>
      </c>
      <c r="E3240" t="s">
        <v>8</v>
      </c>
      <c r="F3240" t="s">
        <v>10</v>
      </c>
      <c r="G3240" s="16">
        <v>60</v>
      </c>
      <c r="H3240" s="16">
        <v>69</v>
      </c>
      <c r="I3240" s="1">
        <v>46233</v>
      </c>
      <c r="J3240">
        <v>20</v>
      </c>
      <c r="K3240" t="s">
        <v>7169</v>
      </c>
      <c r="L3240" t="s">
        <v>9284</v>
      </c>
      <c r="M3240">
        <v>5</v>
      </c>
      <c r="N3240">
        <v>3</v>
      </c>
      <c r="O3240" t="s">
        <v>1036</v>
      </c>
      <c r="P3240" s="17"/>
      <c r="Q3240" s="17" t="str">
        <f>_xlfn.XLOOKUP(Table2[[#This Row],[buyFromVendorNo]],'Next Day Scheduled'!A:A,'Pending Returns'!O:O,"NOT_FOUND")</f>
        <v>NOT_FOUND</v>
      </c>
    </row>
    <row r="3241" spans="1:17" x14ac:dyDescent="0.3">
      <c r="A3241" s="1">
        <v>46239</v>
      </c>
      <c r="B3241" t="s">
        <v>2687</v>
      </c>
      <c r="C3241" t="s">
        <v>3132</v>
      </c>
      <c r="D3241" t="s">
        <v>3133</v>
      </c>
      <c r="E3241" t="s">
        <v>8</v>
      </c>
      <c r="F3241" t="s">
        <v>10</v>
      </c>
      <c r="G3241" s="16">
        <v>4652.6166999999996</v>
      </c>
      <c r="H3241" s="16">
        <v>5350.5092999999997</v>
      </c>
      <c r="I3241" s="1">
        <v>46239</v>
      </c>
      <c r="J3241">
        <v>20</v>
      </c>
      <c r="K3241" t="s">
        <v>4859</v>
      </c>
      <c r="L3241" t="s">
        <v>9241</v>
      </c>
      <c r="M3241">
        <v>0</v>
      </c>
      <c r="N3241">
        <v>22</v>
      </c>
      <c r="O3241" t="s">
        <v>223</v>
      </c>
      <c r="P3241" s="17"/>
      <c r="Q3241" s="17" t="str">
        <f>_xlfn.XLOOKUP(Table2[[#This Row],[buyFromVendorNo]],'Next Day Scheduled'!A:A,'Pending Returns'!O:O,"NOT_FOUND")</f>
        <v>NOT_FOUND</v>
      </c>
    </row>
    <row r="3242" spans="1:17" x14ac:dyDescent="0.3">
      <c r="A3242" s="1">
        <v>46239</v>
      </c>
      <c r="B3242" t="s">
        <v>638</v>
      </c>
      <c r="C3242" t="s">
        <v>39</v>
      </c>
      <c r="D3242" t="s">
        <v>40</v>
      </c>
      <c r="E3242" t="s">
        <v>8</v>
      </c>
      <c r="F3242" t="s">
        <v>10</v>
      </c>
      <c r="G3242" s="16">
        <v>2464.3166999999999</v>
      </c>
      <c r="H3242" s="16">
        <v>2833.9639999999999</v>
      </c>
      <c r="I3242" s="1">
        <v>46237</v>
      </c>
      <c r="J3242">
        <v>20</v>
      </c>
      <c r="K3242" t="s">
        <v>9038</v>
      </c>
      <c r="L3242" t="s">
        <v>9287</v>
      </c>
      <c r="M3242">
        <v>6</v>
      </c>
      <c r="N3242">
        <v>1</v>
      </c>
      <c r="O3242" t="s">
        <v>1036</v>
      </c>
      <c r="P3242" s="17"/>
      <c r="Q3242" s="17" t="str">
        <f>_xlfn.XLOOKUP(Table2[[#This Row],[buyFromVendorNo]],'Next Day Scheduled'!A:A,'Pending Returns'!O:O,"NOT_FOUND")</f>
        <v>Posted Credit Note</v>
      </c>
    </row>
    <row r="3243" spans="1:17" x14ac:dyDescent="0.3">
      <c r="A3243" s="1">
        <v>46239</v>
      </c>
      <c r="B3243" t="s">
        <v>3333</v>
      </c>
      <c r="C3243" t="s">
        <v>126</v>
      </c>
      <c r="D3243" t="s">
        <v>127</v>
      </c>
      <c r="E3243" t="s">
        <v>8</v>
      </c>
      <c r="F3243" t="s">
        <v>10</v>
      </c>
      <c r="G3243" s="16">
        <v>200.72</v>
      </c>
      <c r="H3243" s="16">
        <v>230.828</v>
      </c>
      <c r="I3243" s="1">
        <v>46212</v>
      </c>
      <c r="J3243">
        <v>20</v>
      </c>
      <c r="K3243" t="s">
        <v>5563</v>
      </c>
      <c r="L3243" t="s">
        <v>9288</v>
      </c>
      <c r="M3243">
        <v>2</v>
      </c>
      <c r="N3243">
        <v>12</v>
      </c>
      <c r="O3243" t="s">
        <v>1036</v>
      </c>
      <c r="P3243" s="17"/>
      <c r="Q3243" s="17" t="str">
        <f>_xlfn.XLOOKUP(Table2[[#This Row],[buyFromVendorNo]],'Next Day Scheduled'!A:A,'Pending Returns'!O:O,"NOT_FOUND")</f>
        <v>NOT_FOUND</v>
      </c>
    </row>
    <row r="3244" spans="1:17" x14ac:dyDescent="0.3">
      <c r="A3244" s="1">
        <v>46239</v>
      </c>
      <c r="B3244" t="s">
        <v>3268</v>
      </c>
      <c r="C3244" t="s">
        <v>3132</v>
      </c>
      <c r="D3244" t="s">
        <v>3133</v>
      </c>
      <c r="E3244" t="s">
        <v>8</v>
      </c>
      <c r="F3244" t="s">
        <v>10</v>
      </c>
      <c r="G3244" s="16">
        <v>1826.7736</v>
      </c>
      <c r="H3244" s="16">
        <v>2100.7896000000001</v>
      </c>
      <c r="I3244" s="1">
        <v>46239</v>
      </c>
      <c r="J3244">
        <v>20</v>
      </c>
      <c r="K3244" t="s">
        <v>4263</v>
      </c>
      <c r="L3244" t="s">
        <v>9250</v>
      </c>
      <c r="M3244">
        <v>0</v>
      </c>
      <c r="N3244">
        <v>22</v>
      </c>
      <c r="O3244" t="s">
        <v>223</v>
      </c>
      <c r="P3244" s="17"/>
      <c r="Q3244" s="17" t="str">
        <f>_xlfn.XLOOKUP(Table2[[#This Row],[buyFromVendorNo]],'Next Day Scheduled'!A:A,'Pending Returns'!O:O,"NOT_FOUND")</f>
        <v>NOT_FOUND</v>
      </c>
    </row>
    <row r="3245" spans="1:17" x14ac:dyDescent="0.3">
      <c r="A3245" s="1">
        <v>46239</v>
      </c>
      <c r="B3245" t="s">
        <v>2853</v>
      </c>
      <c r="C3245" t="s">
        <v>3132</v>
      </c>
      <c r="D3245" t="s">
        <v>3133</v>
      </c>
      <c r="E3245" t="s">
        <v>8</v>
      </c>
      <c r="F3245" t="s">
        <v>10</v>
      </c>
      <c r="G3245" s="16">
        <v>694.86945000000003</v>
      </c>
      <c r="H3245" s="16">
        <v>799.09984999999995</v>
      </c>
      <c r="I3245" s="1">
        <v>46239</v>
      </c>
      <c r="J3245">
        <v>20</v>
      </c>
      <c r="K3245" t="s">
        <v>5292</v>
      </c>
      <c r="L3245" t="s">
        <v>9251</v>
      </c>
      <c r="M3245">
        <v>0</v>
      </c>
      <c r="N3245">
        <v>22</v>
      </c>
      <c r="O3245" t="s">
        <v>223</v>
      </c>
      <c r="P3245" s="17"/>
      <c r="Q3245" s="17" t="str">
        <f>_xlfn.XLOOKUP(Table2[[#This Row],[buyFromVendorNo]],'Next Day Scheduled'!A:A,'Pending Returns'!O:O,"NOT_FOUND")</f>
        <v>NOT_FOUND</v>
      </c>
    </row>
    <row r="3246" spans="1:17" x14ac:dyDescent="0.3">
      <c r="A3246" s="1">
        <v>46239</v>
      </c>
      <c r="B3246" t="s">
        <v>4096</v>
      </c>
      <c r="C3246" t="s">
        <v>51</v>
      </c>
      <c r="D3246" t="s">
        <v>52</v>
      </c>
      <c r="E3246" t="s">
        <v>8</v>
      </c>
      <c r="F3246" t="s">
        <v>10</v>
      </c>
      <c r="G3246" s="16">
        <v>1036.8</v>
      </c>
      <c r="H3246" s="16">
        <v>1192.32</v>
      </c>
      <c r="J3246">
        <v>20</v>
      </c>
      <c r="K3246" t="s">
        <v>9269</v>
      </c>
      <c r="M3246">
        <v>1</v>
      </c>
      <c r="N3246">
        <v>1</v>
      </c>
      <c r="O3246" t="s">
        <v>216</v>
      </c>
      <c r="P3246" s="17"/>
      <c r="Q3246" s="17" t="str">
        <f>_xlfn.XLOOKUP(Table2[[#This Row],[buyFromVendorNo]],'Next Day Scheduled'!A:A,'Pending Returns'!O:O,"NOT_FOUND")</f>
        <v>NOT_FOUND</v>
      </c>
    </row>
    <row r="3247" spans="1:17" x14ac:dyDescent="0.3">
      <c r="A3247" s="1">
        <v>46239</v>
      </c>
      <c r="B3247" t="s">
        <v>1467</v>
      </c>
      <c r="C3247" t="s">
        <v>126</v>
      </c>
      <c r="D3247" t="s">
        <v>127</v>
      </c>
      <c r="E3247" t="s">
        <v>8</v>
      </c>
      <c r="F3247" t="s">
        <v>38</v>
      </c>
      <c r="G3247" s="16">
        <v>944.70799999999997</v>
      </c>
      <c r="H3247" s="16">
        <v>1086.4141999999999</v>
      </c>
      <c r="I3247" s="1">
        <v>46221</v>
      </c>
      <c r="J3247">
        <v>20</v>
      </c>
      <c r="K3247" t="s">
        <v>4088</v>
      </c>
      <c r="L3247" t="s">
        <v>9274</v>
      </c>
      <c r="M3247">
        <v>1</v>
      </c>
      <c r="N3247">
        <v>12</v>
      </c>
      <c r="O3247" t="s">
        <v>1036</v>
      </c>
      <c r="P3247" s="17"/>
      <c r="Q3247" s="17" t="str">
        <f>_xlfn.XLOOKUP(Table2[[#This Row],[buyFromVendorNo]],'Next Day Scheduled'!A:A,'Pending Returns'!O:O,"NOT_FOUND")</f>
        <v>NOT_FOUND</v>
      </c>
    </row>
    <row r="3248" spans="1:17" x14ac:dyDescent="0.3">
      <c r="A3248" s="1">
        <v>46239</v>
      </c>
      <c r="B3248" t="s">
        <v>2890</v>
      </c>
      <c r="C3248" t="s">
        <v>47</v>
      </c>
      <c r="D3248" t="s">
        <v>48</v>
      </c>
      <c r="E3248" t="s">
        <v>8</v>
      </c>
      <c r="F3248" t="s">
        <v>38</v>
      </c>
      <c r="G3248" s="16">
        <v>1282.8499999999999</v>
      </c>
      <c r="H3248" s="16">
        <v>1475.2774999999999</v>
      </c>
      <c r="I3248" s="1">
        <v>46238</v>
      </c>
      <c r="J3248">
        <v>20</v>
      </c>
      <c r="K3248" t="s">
        <v>7461</v>
      </c>
      <c r="L3248" t="s">
        <v>9302</v>
      </c>
      <c r="M3248">
        <v>0</v>
      </c>
      <c r="N3248">
        <v>117</v>
      </c>
      <c r="O3248" t="s">
        <v>1036</v>
      </c>
      <c r="P3248" s="17"/>
      <c r="Q3248" s="17" t="str">
        <f>_xlfn.XLOOKUP(Table2[[#This Row],[buyFromVendorNo]],'Next Day Scheduled'!A:A,'Pending Returns'!O:O,"NOT_FOUND")</f>
        <v>NOT_FOUND</v>
      </c>
    </row>
    <row r="3249" spans="1:17" x14ac:dyDescent="0.3">
      <c r="A3249" s="1">
        <v>46239</v>
      </c>
      <c r="B3249" t="s">
        <v>3592</v>
      </c>
      <c r="C3249" t="s">
        <v>562</v>
      </c>
      <c r="D3249" t="s">
        <v>563</v>
      </c>
      <c r="E3249" t="s">
        <v>8</v>
      </c>
      <c r="F3249" t="s">
        <v>10</v>
      </c>
      <c r="G3249" s="16">
        <v>86.2</v>
      </c>
      <c r="H3249" s="16">
        <v>99.13</v>
      </c>
      <c r="I3249" s="1">
        <v>46238</v>
      </c>
      <c r="J3249">
        <v>20</v>
      </c>
      <c r="K3249" t="s">
        <v>8579</v>
      </c>
      <c r="L3249" t="s">
        <v>9278</v>
      </c>
      <c r="M3249">
        <v>12</v>
      </c>
      <c r="N3249">
        <v>1</v>
      </c>
      <c r="O3249" t="s">
        <v>1036</v>
      </c>
      <c r="P3249" s="17"/>
      <c r="Q3249" s="17" t="str">
        <f>_xlfn.XLOOKUP(Table2[[#This Row],[buyFromVendorNo]],'Next Day Scheduled'!A:A,'Pending Returns'!O:O,"NOT_FOUND")</f>
        <v>NOT_FOUND</v>
      </c>
    </row>
    <row r="3250" spans="1:17" x14ac:dyDescent="0.3">
      <c r="A3250" s="1">
        <v>46239</v>
      </c>
      <c r="B3250" t="s">
        <v>3378</v>
      </c>
      <c r="C3250" t="s">
        <v>943</v>
      </c>
      <c r="D3250" t="s">
        <v>944</v>
      </c>
      <c r="E3250" t="s">
        <v>8</v>
      </c>
      <c r="F3250" t="s">
        <v>10</v>
      </c>
      <c r="G3250" s="16">
        <v>47.8643</v>
      </c>
      <c r="H3250" s="16">
        <v>55.043939999999999</v>
      </c>
      <c r="I3250" s="1">
        <v>46226</v>
      </c>
      <c r="J3250">
        <v>20</v>
      </c>
      <c r="K3250" t="s">
        <v>8195</v>
      </c>
      <c r="L3250" t="s">
        <v>9280</v>
      </c>
      <c r="M3250">
        <v>0</v>
      </c>
      <c r="N3250">
        <v>23</v>
      </c>
      <c r="O3250" t="s">
        <v>1036</v>
      </c>
      <c r="P3250" s="17"/>
      <c r="Q3250" s="17" t="str">
        <f>_xlfn.XLOOKUP(Table2[[#This Row],[buyFromVendorNo]],'Next Day Scheduled'!A:A,'Pending Returns'!O:O,"NOT_FOUND")</f>
        <v>NOT_FOUND</v>
      </c>
    </row>
    <row r="3251" spans="1:17" x14ac:dyDescent="0.3">
      <c r="A3251" s="1">
        <v>46239</v>
      </c>
      <c r="B3251" t="s">
        <v>6933</v>
      </c>
      <c r="C3251" t="s">
        <v>2344</v>
      </c>
      <c r="D3251" t="s">
        <v>2345</v>
      </c>
      <c r="E3251" t="s">
        <v>8</v>
      </c>
      <c r="F3251" t="s">
        <v>10</v>
      </c>
      <c r="G3251" s="16">
        <v>5.25</v>
      </c>
      <c r="H3251" s="16">
        <v>6.0374999999999996</v>
      </c>
      <c r="I3251" s="1">
        <v>46233</v>
      </c>
      <c r="J3251">
        <v>20</v>
      </c>
      <c r="K3251" t="s">
        <v>8648</v>
      </c>
      <c r="L3251" t="s">
        <v>9279</v>
      </c>
      <c r="M3251">
        <v>1</v>
      </c>
      <c r="N3251">
        <v>1</v>
      </c>
      <c r="O3251" t="s">
        <v>1036</v>
      </c>
      <c r="P3251" s="17"/>
      <c r="Q3251" s="17" t="str">
        <f>_xlfn.XLOOKUP(Table2[[#This Row],[buyFromVendorNo]],'Next Day Scheduled'!A:A,'Pending Returns'!O:O,"NOT_FOUND")</f>
        <v>NOT_FOUND</v>
      </c>
    </row>
    <row r="3252" spans="1:17" x14ac:dyDescent="0.3">
      <c r="A3252" s="1">
        <v>46239</v>
      </c>
      <c r="B3252" t="s">
        <v>3301</v>
      </c>
      <c r="C3252" t="s">
        <v>84</v>
      </c>
      <c r="D3252" t="s">
        <v>85</v>
      </c>
      <c r="E3252" t="s">
        <v>8</v>
      </c>
      <c r="F3252" t="s">
        <v>10</v>
      </c>
      <c r="G3252" s="16">
        <v>358.10687000000001</v>
      </c>
      <c r="H3252" s="16">
        <v>411.82288</v>
      </c>
      <c r="I3252" s="1">
        <v>46238</v>
      </c>
      <c r="J3252">
        <v>20</v>
      </c>
      <c r="K3252" t="s">
        <v>8703</v>
      </c>
      <c r="L3252" t="s">
        <v>9281</v>
      </c>
      <c r="M3252">
        <v>3</v>
      </c>
      <c r="N3252">
        <v>2</v>
      </c>
      <c r="O3252" t="s">
        <v>1036</v>
      </c>
      <c r="P3252" s="17"/>
      <c r="Q3252" s="17" t="str">
        <f>_xlfn.XLOOKUP(Table2[[#This Row],[buyFromVendorNo]],'Next Day Scheduled'!A:A,'Pending Returns'!O:O,"NOT_FOUND")</f>
        <v>NOT_FOUND</v>
      </c>
    </row>
    <row r="3253" spans="1:17" x14ac:dyDescent="0.3">
      <c r="A3253" s="1">
        <v>46239</v>
      </c>
      <c r="B3253" t="s">
        <v>5255</v>
      </c>
      <c r="C3253" t="s">
        <v>494</v>
      </c>
      <c r="D3253" t="s">
        <v>495</v>
      </c>
      <c r="E3253" t="s">
        <v>8</v>
      </c>
      <c r="F3253" t="s">
        <v>10</v>
      </c>
      <c r="G3253" s="16">
        <v>1959.63</v>
      </c>
      <c r="H3253" s="16">
        <v>2253.5745000000002</v>
      </c>
      <c r="I3253" s="1">
        <v>46229</v>
      </c>
      <c r="J3253">
        <v>20</v>
      </c>
      <c r="K3253" t="s">
        <v>7039</v>
      </c>
      <c r="L3253" t="s">
        <v>9282</v>
      </c>
      <c r="M3253">
        <v>3</v>
      </c>
      <c r="N3253">
        <v>7</v>
      </c>
      <c r="O3253" t="s">
        <v>1036</v>
      </c>
      <c r="P3253" s="17"/>
      <c r="Q3253" s="17" t="str">
        <f>_xlfn.XLOOKUP(Table2[[#This Row],[buyFromVendorNo]],'Next Day Scheduled'!A:A,'Pending Returns'!O:O,"NOT_FOUND")</f>
        <v>Posted Credit Note</v>
      </c>
    </row>
    <row r="3254" spans="1:17" x14ac:dyDescent="0.3">
      <c r="A3254" s="1">
        <v>46239</v>
      </c>
      <c r="B3254" t="s">
        <v>1742</v>
      </c>
      <c r="C3254" t="s">
        <v>3132</v>
      </c>
      <c r="D3254" t="s">
        <v>3133</v>
      </c>
      <c r="E3254" t="s">
        <v>8</v>
      </c>
      <c r="F3254" t="s">
        <v>10</v>
      </c>
      <c r="G3254" s="16">
        <v>136.19128000000001</v>
      </c>
      <c r="H3254" s="16">
        <v>156.62</v>
      </c>
      <c r="I3254" s="1">
        <v>46239</v>
      </c>
      <c r="J3254">
        <v>20</v>
      </c>
      <c r="K3254" t="s">
        <v>7742</v>
      </c>
      <c r="L3254" t="s">
        <v>9247</v>
      </c>
      <c r="M3254">
        <v>0</v>
      </c>
      <c r="N3254">
        <v>22</v>
      </c>
      <c r="O3254" t="s">
        <v>223</v>
      </c>
      <c r="P3254" s="17"/>
      <c r="Q3254" s="17" t="str">
        <f>_xlfn.XLOOKUP(Table2[[#This Row],[buyFromVendorNo]],'Next Day Scheduled'!A:A,'Pending Returns'!O:O,"NOT_FOUND")</f>
        <v>NOT_FOUND</v>
      </c>
    </row>
    <row r="3255" spans="1:17" x14ac:dyDescent="0.3">
      <c r="A3255" s="1">
        <v>46239</v>
      </c>
      <c r="B3255" t="s">
        <v>2562</v>
      </c>
      <c r="C3255" t="s">
        <v>502</v>
      </c>
      <c r="D3255" t="s">
        <v>503</v>
      </c>
      <c r="E3255" t="s">
        <v>8</v>
      </c>
      <c r="F3255" t="s">
        <v>10</v>
      </c>
      <c r="G3255" s="16">
        <v>162.36000000000001</v>
      </c>
      <c r="H3255" s="16">
        <v>186.714</v>
      </c>
      <c r="I3255" s="1">
        <v>46239</v>
      </c>
      <c r="J3255">
        <v>20</v>
      </c>
      <c r="K3255" t="s">
        <v>9177</v>
      </c>
      <c r="L3255" t="s">
        <v>9306</v>
      </c>
      <c r="M3255">
        <v>1</v>
      </c>
      <c r="N3255">
        <v>1</v>
      </c>
      <c r="O3255" t="s">
        <v>1036</v>
      </c>
      <c r="P3255" s="17"/>
      <c r="Q3255" s="17" t="str">
        <f>_xlfn.XLOOKUP(Table2[[#This Row],[buyFromVendorNo]],'Next Day Scheduled'!A:A,'Pending Returns'!O:O,"NOT_FOUND")</f>
        <v>NOT_FOUND</v>
      </c>
    </row>
    <row r="3256" spans="1:17" x14ac:dyDescent="0.3">
      <c r="A3256" s="1">
        <v>46239</v>
      </c>
      <c r="B3256" t="s">
        <v>642</v>
      </c>
      <c r="C3256" t="s">
        <v>201</v>
      </c>
      <c r="D3256" t="s">
        <v>202</v>
      </c>
      <c r="E3256" t="s">
        <v>8</v>
      </c>
      <c r="F3256" t="s">
        <v>38</v>
      </c>
      <c r="G3256" s="16">
        <v>88.528180000000006</v>
      </c>
      <c r="H3256" s="16">
        <v>101.8074</v>
      </c>
      <c r="I3256" s="1">
        <v>46239</v>
      </c>
      <c r="J3256">
        <v>20</v>
      </c>
      <c r="K3256" t="s">
        <v>6816</v>
      </c>
      <c r="L3256" t="s">
        <v>9252</v>
      </c>
      <c r="M3256">
        <v>2</v>
      </c>
      <c r="N3256">
        <v>7</v>
      </c>
      <c r="O3256" t="s">
        <v>223</v>
      </c>
      <c r="P3256" s="17"/>
      <c r="Q3256" s="17" t="str">
        <f>_xlfn.XLOOKUP(Table2[[#This Row],[buyFromVendorNo]],'Next Day Scheduled'!A:A,'Pending Returns'!O:O,"NOT_FOUND")</f>
        <v>Pending for Collection</v>
      </c>
    </row>
    <row r="3257" spans="1:17" x14ac:dyDescent="0.3">
      <c r="A3257" s="1">
        <v>46239</v>
      </c>
      <c r="B3257" t="s">
        <v>3259</v>
      </c>
      <c r="C3257" t="s">
        <v>71</v>
      </c>
      <c r="D3257" t="s">
        <v>72</v>
      </c>
      <c r="E3257" t="s">
        <v>8</v>
      </c>
      <c r="F3257" t="s">
        <v>10</v>
      </c>
      <c r="G3257" s="16">
        <v>1583.0006000000001</v>
      </c>
      <c r="H3257" s="16">
        <v>1820.4507000000001</v>
      </c>
      <c r="I3257" s="1">
        <v>46238</v>
      </c>
      <c r="J3257">
        <v>20</v>
      </c>
      <c r="K3257" t="s">
        <v>8221</v>
      </c>
      <c r="L3257" t="s">
        <v>9253</v>
      </c>
      <c r="M3257">
        <v>2</v>
      </c>
      <c r="N3257">
        <v>8</v>
      </c>
      <c r="O3257" t="s">
        <v>1036</v>
      </c>
      <c r="P3257" s="17"/>
      <c r="Q3257" s="17" t="str">
        <f>_xlfn.XLOOKUP(Table2[[#This Row],[buyFromVendorNo]],'Next Day Scheduled'!A:A,'Pending Returns'!O:O,"NOT_FOUND")</f>
        <v>Posted Credit Note</v>
      </c>
    </row>
    <row r="3258" spans="1:17" x14ac:dyDescent="0.3">
      <c r="A3258" s="1">
        <v>46239</v>
      </c>
      <c r="B3258" t="s">
        <v>2630</v>
      </c>
      <c r="C3258" t="s">
        <v>494</v>
      </c>
      <c r="D3258" t="s">
        <v>495</v>
      </c>
      <c r="E3258" t="s">
        <v>8</v>
      </c>
      <c r="F3258" t="s">
        <v>10</v>
      </c>
      <c r="G3258" s="16">
        <v>839.79</v>
      </c>
      <c r="H3258" s="16">
        <v>965.75850000000003</v>
      </c>
      <c r="I3258" s="1">
        <v>46229</v>
      </c>
      <c r="J3258">
        <v>20</v>
      </c>
      <c r="K3258" t="s">
        <v>6588</v>
      </c>
      <c r="L3258" t="s">
        <v>9298</v>
      </c>
      <c r="M3258">
        <v>3</v>
      </c>
      <c r="N3258">
        <v>7</v>
      </c>
      <c r="O3258" t="s">
        <v>1036</v>
      </c>
      <c r="P3258" s="17"/>
      <c r="Q3258" s="17" t="str">
        <f>_xlfn.XLOOKUP(Table2[[#This Row],[buyFromVendorNo]],'Next Day Scheduled'!A:A,'Pending Returns'!O:O,"NOT_FOUND")</f>
        <v>Posted Credit Note</v>
      </c>
    </row>
    <row r="3259" spans="1:17" x14ac:dyDescent="0.3">
      <c r="A3259" s="1">
        <v>46239</v>
      </c>
      <c r="B3259" t="s">
        <v>2623</v>
      </c>
      <c r="C3259" t="s">
        <v>43</v>
      </c>
      <c r="D3259" t="s">
        <v>44</v>
      </c>
      <c r="E3259" t="s">
        <v>8</v>
      </c>
      <c r="F3259" t="s">
        <v>10</v>
      </c>
      <c r="G3259" s="16">
        <v>262.63</v>
      </c>
      <c r="H3259" s="16">
        <v>302.02449999999999</v>
      </c>
      <c r="I3259" s="1">
        <v>46238</v>
      </c>
      <c r="J3259">
        <v>20</v>
      </c>
      <c r="K3259" t="s">
        <v>8298</v>
      </c>
      <c r="L3259" t="s">
        <v>9286</v>
      </c>
      <c r="M3259">
        <v>5</v>
      </c>
      <c r="N3259">
        <v>2</v>
      </c>
      <c r="O3259" t="s">
        <v>1036</v>
      </c>
      <c r="P3259" s="17"/>
      <c r="Q3259" s="17" t="str">
        <f>_xlfn.XLOOKUP(Table2[[#This Row],[buyFromVendorNo]],'Next Day Scheduled'!A:A,'Pending Returns'!O:O,"NOT_FOUND")</f>
        <v>Posted Credit Note</v>
      </c>
    </row>
    <row r="3260" spans="1:17" x14ac:dyDescent="0.3">
      <c r="A3260" s="1">
        <v>46239</v>
      </c>
      <c r="B3260" t="s">
        <v>2452</v>
      </c>
      <c r="C3260" t="s">
        <v>3132</v>
      </c>
      <c r="D3260" t="s">
        <v>3133</v>
      </c>
      <c r="E3260" t="s">
        <v>8</v>
      </c>
      <c r="F3260" t="s">
        <v>10</v>
      </c>
      <c r="G3260" s="16">
        <v>5034.9989999999998</v>
      </c>
      <c r="H3260" s="16">
        <v>5790.2489999999998</v>
      </c>
      <c r="I3260" s="1">
        <v>46239</v>
      </c>
      <c r="J3260">
        <v>20</v>
      </c>
      <c r="K3260" t="s">
        <v>4435</v>
      </c>
      <c r="L3260" t="s">
        <v>9249</v>
      </c>
      <c r="M3260">
        <v>0</v>
      </c>
      <c r="N3260">
        <v>22</v>
      </c>
      <c r="O3260" t="s">
        <v>223</v>
      </c>
      <c r="P3260" s="17"/>
      <c r="Q3260" s="17" t="str">
        <f>_xlfn.XLOOKUP(Table2[[#This Row],[buyFromVendorNo]],'Next Day Scheduled'!A:A,'Pending Returns'!O:O,"NOT_FOUND")</f>
        <v>NOT_FOUND</v>
      </c>
    </row>
    <row r="3261" spans="1:17" x14ac:dyDescent="0.3">
      <c r="A3261" s="1">
        <v>46239</v>
      </c>
      <c r="B3261" t="s">
        <v>2175</v>
      </c>
      <c r="C3261" t="s">
        <v>420</v>
      </c>
      <c r="D3261" t="s">
        <v>421</v>
      </c>
      <c r="E3261" t="s">
        <v>8</v>
      </c>
      <c r="F3261" t="s">
        <v>10</v>
      </c>
      <c r="G3261" s="16">
        <v>305.16647</v>
      </c>
      <c r="H3261" s="16">
        <v>350.94144</v>
      </c>
      <c r="I3261" s="1">
        <v>46226</v>
      </c>
      <c r="J3261">
        <v>20</v>
      </c>
      <c r="K3261" t="s">
        <v>8211</v>
      </c>
      <c r="L3261" t="s">
        <v>9299</v>
      </c>
      <c r="M3261">
        <v>3</v>
      </c>
      <c r="N3261">
        <v>3</v>
      </c>
      <c r="O3261" t="s">
        <v>1036</v>
      </c>
      <c r="P3261" s="17"/>
      <c r="Q3261" s="17" t="str">
        <f>_xlfn.XLOOKUP(Table2[[#This Row],[buyFromVendorNo]],'Next Day Scheduled'!A:A,'Pending Returns'!O:O,"NOT_FOUND")</f>
        <v>NOT_FOUND</v>
      </c>
    </row>
    <row r="3262" spans="1:17" x14ac:dyDescent="0.3">
      <c r="A3262" s="1">
        <v>46240</v>
      </c>
      <c r="B3262" t="s">
        <v>3753</v>
      </c>
      <c r="C3262" t="s">
        <v>2963</v>
      </c>
      <c r="D3262" t="s">
        <v>2964</v>
      </c>
      <c r="E3262" t="s">
        <v>8</v>
      </c>
      <c r="F3262" t="s">
        <v>10</v>
      </c>
      <c r="G3262" s="16">
        <v>446.52886999999998</v>
      </c>
      <c r="H3262" s="16">
        <v>513.50819999999999</v>
      </c>
      <c r="I3262" s="1">
        <v>46240</v>
      </c>
      <c r="J3262">
        <v>19</v>
      </c>
      <c r="K3262" t="s">
        <v>8743</v>
      </c>
      <c r="L3262" t="s">
        <v>9319</v>
      </c>
      <c r="M3262">
        <v>0</v>
      </c>
      <c r="N3262">
        <v>184</v>
      </c>
      <c r="O3262" t="s">
        <v>223</v>
      </c>
      <c r="P3262" s="17"/>
      <c r="Q3262" s="17" t="str">
        <f>_xlfn.XLOOKUP(Table2[[#This Row],[buyFromVendorNo]],'Next Day Scheduled'!A:A,'Pending Returns'!O:O,"NOT_FOUND")</f>
        <v>NOT_FOUND</v>
      </c>
    </row>
    <row r="3263" spans="1:17" x14ac:dyDescent="0.3">
      <c r="A3263" s="1">
        <v>46240</v>
      </c>
      <c r="B3263" t="s">
        <v>620</v>
      </c>
      <c r="C3263" t="s">
        <v>2963</v>
      </c>
      <c r="D3263" t="s">
        <v>2964</v>
      </c>
      <c r="E3263" t="s">
        <v>8</v>
      </c>
      <c r="F3263" t="s">
        <v>10</v>
      </c>
      <c r="G3263" s="16">
        <v>10218.982</v>
      </c>
      <c r="H3263" s="16">
        <v>11751.829</v>
      </c>
      <c r="I3263" s="1">
        <v>46240</v>
      </c>
      <c r="J3263">
        <v>19</v>
      </c>
      <c r="K3263" t="s">
        <v>6470</v>
      </c>
      <c r="L3263" t="s">
        <v>9323</v>
      </c>
      <c r="M3263">
        <v>0</v>
      </c>
      <c r="N3263">
        <v>184</v>
      </c>
      <c r="O3263" t="s">
        <v>223</v>
      </c>
      <c r="P3263" s="17"/>
      <c r="Q3263" s="17" t="str">
        <f>_xlfn.XLOOKUP(Table2[[#This Row],[buyFromVendorNo]],'Next Day Scheduled'!A:A,'Pending Returns'!O:O,"NOT_FOUND")</f>
        <v>NOT_FOUND</v>
      </c>
    </row>
    <row r="3264" spans="1:17" x14ac:dyDescent="0.3">
      <c r="A3264" s="1">
        <v>46240</v>
      </c>
      <c r="B3264" t="s">
        <v>1357</v>
      </c>
      <c r="C3264" t="s">
        <v>183</v>
      </c>
      <c r="D3264" t="s">
        <v>184</v>
      </c>
      <c r="E3264" t="s">
        <v>8</v>
      </c>
      <c r="F3264" t="s">
        <v>10</v>
      </c>
      <c r="G3264" s="16">
        <v>6189.92</v>
      </c>
      <c r="H3264" s="16">
        <v>7118.4080000000004</v>
      </c>
      <c r="I3264" s="1">
        <v>46225</v>
      </c>
      <c r="J3264">
        <v>19</v>
      </c>
      <c r="K3264" t="s">
        <v>2158</v>
      </c>
      <c r="L3264" t="s">
        <v>9368</v>
      </c>
      <c r="M3264">
        <v>0</v>
      </c>
      <c r="N3264">
        <v>195</v>
      </c>
      <c r="O3264" t="s">
        <v>1036</v>
      </c>
      <c r="P3264" s="17"/>
      <c r="Q3264" s="17" t="str">
        <f>_xlfn.XLOOKUP(Table2[[#This Row],[buyFromVendorNo]],'Next Day Scheduled'!A:A,'Pending Returns'!O:O,"NOT_FOUND")</f>
        <v>NOT_FOUND</v>
      </c>
    </row>
    <row r="3265" spans="1:17" x14ac:dyDescent="0.3">
      <c r="A3265" s="1">
        <v>46240</v>
      </c>
      <c r="B3265" t="s">
        <v>3467</v>
      </c>
      <c r="C3265" t="s">
        <v>665</v>
      </c>
      <c r="D3265" t="s">
        <v>666</v>
      </c>
      <c r="E3265" t="s">
        <v>8</v>
      </c>
      <c r="F3265" t="s">
        <v>10</v>
      </c>
      <c r="G3265" s="16">
        <v>19.78248</v>
      </c>
      <c r="H3265" s="16">
        <v>22.749849999999999</v>
      </c>
      <c r="I3265" s="1">
        <v>46238</v>
      </c>
      <c r="J3265">
        <v>19</v>
      </c>
      <c r="K3265" t="s">
        <v>8881</v>
      </c>
      <c r="L3265" t="s">
        <v>9343</v>
      </c>
      <c r="M3265">
        <v>0</v>
      </c>
      <c r="N3265">
        <v>147</v>
      </c>
      <c r="O3265" t="s">
        <v>1036</v>
      </c>
      <c r="P3265" s="17"/>
      <c r="Q3265" s="17" t="str">
        <f>_xlfn.XLOOKUP(Table2[[#This Row],[buyFromVendorNo]],'Next Day Scheduled'!A:A,'Pending Returns'!O:O,"NOT_FOUND")</f>
        <v>NOT_FOUND</v>
      </c>
    </row>
    <row r="3266" spans="1:17" x14ac:dyDescent="0.3">
      <c r="A3266" s="1">
        <v>46240</v>
      </c>
      <c r="B3266" t="s">
        <v>5609</v>
      </c>
      <c r="C3266" t="s">
        <v>69</v>
      </c>
      <c r="D3266" t="s">
        <v>70</v>
      </c>
      <c r="E3266" t="s">
        <v>8</v>
      </c>
      <c r="F3266" t="s">
        <v>169</v>
      </c>
      <c r="G3266" s="16">
        <v>6.72</v>
      </c>
      <c r="H3266" s="16">
        <v>7.7279999999999998</v>
      </c>
      <c r="J3266">
        <v>19</v>
      </c>
      <c r="K3266" t="s">
        <v>9338</v>
      </c>
      <c r="M3266">
        <v>4</v>
      </c>
      <c r="N3266">
        <v>5</v>
      </c>
      <c r="O3266" t="s">
        <v>216</v>
      </c>
      <c r="P3266" s="17"/>
      <c r="Q3266" s="17" t="str">
        <f>_xlfn.XLOOKUP(Table2[[#This Row],[buyFromVendorNo]],'Next Day Scheduled'!A:A,'Pending Returns'!O:O,"NOT_FOUND")</f>
        <v>Posted Credit Note</v>
      </c>
    </row>
    <row r="3267" spans="1:17" x14ac:dyDescent="0.3">
      <c r="A3267" s="1">
        <v>46240</v>
      </c>
      <c r="B3267" t="s">
        <v>2533</v>
      </c>
      <c r="C3267" t="s">
        <v>158</v>
      </c>
      <c r="D3267" t="s">
        <v>159</v>
      </c>
      <c r="E3267" t="s">
        <v>8</v>
      </c>
      <c r="F3267" t="s">
        <v>10</v>
      </c>
      <c r="G3267" s="16">
        <v>234.36</v>
      </c>
      <c r="H3267" s="16">
        <v>269.51400000000001</v>
      </c>
      <c r="I3267" s="1">
        <v>46230</v>
      </c>
      <c r="J3267">
        <v>19</v>
      </c>
      <c r="K3267" t="s">
        <v>8087</v>
      </c>
      <c r="L3267" t="s">
        <v>9356</v>
      </c>
      <c r="M3267">
        <v>1</v>
      </c>
      <c r="N3267">
        <v>6</v>
      </c>
      <c r="O3267" t="s">
        <v>1036</v>
      </c>
      <c r="P3267" s="17"/>
      <c r="Q3267" s="17" t="str">
        <f>_xlfn.XLOOKUP(Table2[[#This Row],[buyFromVendorNo]],'Next Day Scheduled'!A:A,'Pending Returns'!O:O,"NOT_FOUND")</f>
        <v>Posted Credit Note</v>
      </c>
    </row>
    <row r="3268" spans="1:17" x14ac:dyDescent="0.3">
      <c r="A3268" s="1">
        <v>46240</v>
      </c>
      <c r="B3268" t="s">
        <v>8063</v>
      </c>
      <c r="C3268" t="s">
        <v>2963</v>
      </c>
      <c r="D3268" t="s">
        <v>2964</v>
      </c>
      <c r="E3268" t="s">
        <v>8</v>
      </c>
      <c r="F3268" t="s">
        <v>10</v>
      </c>
      <c r="G3268" s="16">
        <v>6166.5522000000001</v>
      </c>
      <c r="H3268" s="16">
        <v>7091.5347000000002</v>
      </c>
      <c r="I3268" s="1">
        <v>46240</v>
      </c>
      <c r="J3268">
        <v>19</v>
      </c>
      <c r="K3268" t="s">
        <v>8064</v>
      </c>
      <c r="L3268" t="s">
        <v>9326</v>
      </c>
      <c r="M3268">
        <v>0</v>
      </c>
      <c r="N3268">
        <v>184</v>
      </c>
      <c r="O3268" t="s">
        <v>223</v>
      </c>
      <c r="P3268" s="17"/>
      <c r="Q3268" s="17" t="str">
        <f>_xlfn.XLOOKUP(Table2[[#This Row],[buyFromVendorNo]],'Next Day Scheduled'!A:A,'Pending Returns'!O:O,"NOT_FOUND")</f>
        <v>NOT_FOUND</v>
      </c>
    </row>
    <row r="3269" spans="1:17" x14ac:dyDescent="0.3">
      <c r="A3269" s="1">
        <v>46240</v>
      </c>
      <c r="B3269" t="s">
        <v>3259</v>
      </c>
      <c r="C3269" t="s">
        <v>183</v>
      </c>
      <c r="D3269" t="s">
        <v>184</v>
      </c>
      <c r="E3269" t="s">
        <v>8</v>
      </c>
      <c r="F3269" t="s">
        <v>10</v>
      </c>
      <c r="G3269" s="16">
        <v>473</v>
      </c>
      <c r="H3269" s="16">
        <v>543.95000000000005</v>
      </c>
      <c r="I3269" s="1">
        <v>46225</v>
      </c>
      <c r="J3269">
        <v>19</v>
      </c>
      <c r="K3269" t="s">
        <v>3162</v>
      </c>
      <c r="L3269" t="s">
        <v>9371</v>
      </c>
      <c r="M3269">
        <v>0</v>
      </c>
      <c r="N3269">
        <v>195</v>
      </c>
      <c r="O3269" t="s">
        <v>1036</v>
      </c>
      <c r="P3269" s="17"/>
      <c r="Q3269" s="17" t="str">
        <f>_xlfn.XLOOKUP(Table2[[#This Row],[buyFromVendorNo]],'Next Day Scheduled'!A:A,'Pending Returns'!O:O,"NOT_FOUND")</f>
        <v>NOT_FOUND</v>
      </c>
    </row>
    <row r="3270" spans="1:17" x14ac:dyDescent="0.3">
      <c r="A3270" s="1">
        <v>46240</v>
      </c>
      <c r="B3270" t="s">
        <v>4102</v>
      </c>
      <c r="C3270" t="s">
        <v>444</v>
      </c>
      <c r="D3270" t="s">
        <v>445</v>
      </c>
      <c r="E3270" t="s">
        <v>8</v>
      </c>
      <c r="F3270" t="s">
        <v>38</v>
      </c>
      <c r="G3270" s="16">
        <v>326.08</v>
      </c>
      <c r="H3270" s="16">
        <v>374.99200000000002</v>
      </c>
      <c r="I3270" s="1">
        <v>46214</v>
      </c>
      <c r="J3270">
        <v>19</v>
      </c>
      <c r="K3270" t="s">
        <v>6237</v>
      </c>
      <c r="L3270" t="s">
        <v>9341</v>
      </c>
      <c r="M3270">
        <v>1</v>
      </c>
      <c r="N3270">
        <v>9</v>
      </c>
      <c r="O3270" t="s">
        <v>1036</v>
      </c>
      <c r="P3270" s="17"/>
      <c r="Q3270" s="17" t="str">
        <f>_xlfn.XLOOKUP(Table2[[#This Row],[buyFromVendorNo]],'Next Day Scheduled'!A:A,'Pending Returns'!O:O,"NOT_FOUND")</f>
        <v>NOT_FOUND</v>
      </c>
    </row>
    <row r="3271" spans="1:17" x14ac:dyDescent="0.3">
      <c r="A3271" s="1">
        <v>46240</v>
      </c>
      <c r="B3271" t="s">
        <v>2517</v>
      </c>
      <c r="C3271" t="s">
        <v>183</v>
      </c>
      <c r="D3271" t="s">
        <v>184</v>
      </c>
      <c r="E3271" t="s">
        <v>8</v>
      </c>
      <c r="F3271" t="s">
        <v>10</v>
      </c>
      <c r="G3271" s="16">
        <v>297</v>
      </c>
      <c r="H3271" s="16">
        <v>341.55</v>
      </c>
      <c r="I3271" s="1">
        <v>46225</v>
      </c>
      <c r="J3271">
        <v>19</v>
      </c>
      <c r="K3271" t="s">
        <v>7250</v>
      </c>
      <c r="L3271" t="s">
        <v>9363</v>
      </c>
      <c r="M3271">
        <v>0</v>
      </c>
      <c r="N3271">
        <v>195</v>
      </c>
      <c r="O3271" t="s">
        <v>1036</v>
      </c>
      <c r="P3271" s="17"/>
      <c r="Q3271" s="17" t="str">
        <f>_xlfn.XLOOKUP(Table2[[#This Row],[buyFromVendorNo]],'Next Day Scheduled'!A:A,'Pending Returns'!O:O,"NOT_FOUND")</f>
        <v>NOT_FOUND</v>
      </c>
    </row>
    <row r="3272" spans="1:17" x14ac:dyDescent="0.3">
      <c r="A3272" s="1">
        <v>46240</v>
      </c>
      <c r="B3272" t="s">
        <v>1731</v>
      </c>
      <c r="C3272" t="s">
        <v>183</v>
      </c>
      <c r="D3272" t="s">
        <v>184</v>
      </c>
      <c r="E3272" t="s">
        <v>8</v>
      </c>
      <c r="F3272" t="s">
        <v>10</v>
      </c>
      <c r="G3272" s="16">
        <v>287</v>
      </c>
      <c r="H3272" s="16">
        <v>330.05</v>
      </c>
      <c r="I3272" s="1">
        <v>46225</v>
      </c>
      <c r="J3272">
        <v>19</v>
      </c>
      <c r="K3272" t="s">
        <v>5533</v>
      </c>
      <c r="L3272" t="s">
        <v>9365</v>
      </c>
      <c r="M3272">
        <v>0</v>
      </c>
      <c r="N3272">
        <v>195</v>
      </c>
      <c r="O3272" t="s">
        <v>1036</v>
      </c>
      <c r="P3272" s="17"/>
      <c r="Q3272" s="17" t="str">
        <f>_xlfn.XLOOKUP(Table2[[#This Row],[buyFromVendorNo]],'Next Day Scheduled'!A:A,'Pending Returns'!O:O,"NOT_FOUND")</f>
        <v>NOT_FOUND</v>
      </c>
    </row>
    <row r="3273" spans="1:17" x14ac:dyDescent="0.3">
      <c r="A3273" s="1">
        <v>46240</v>
      </c>
      <c r="B3273" t="s">
        <v>1741</v>
      </c>
      <c r="C3273" t="s">
        <v>57</v>
      </c>
      <c r="D3273" t="s">
        <v>58</v>
      </c>
      <c r="E3273" t="s">
        <v>8</v>
      </c>
      <c r="F3273" t="s">
        <v>10</v>
      </c>
      <c r="G3273" s="16">
        <v>1499.32</v>
      </c>
      <c r="H3273" s="16">
        <v>1724.2180000000001</v>
      </c>
      <c r="I3273" s="1">
        <v>46238</v>
      </c>
      <c r="J3273">
        <v>19</v>
      </c>
      <c r="K3273" t="s">
        <v>8669</v>
      </c>
      <c r="L3273" t="s">
        <v>9348</v>
      </c>
      <c r="M3273">
        <v>2</v>
      </c>
      <c r="N3273">
        <v>8</v>
      </c>
      <c r="O3273" t="s">
        <v>1036</v>
      </c>
      <c r="P3273" s="17"/>
      <c r="Q3273" s="17" t="str">
        <f>_xlfn.XLOOKUP(Table2[[#This Row],[buyFromVendorNo]],'Next Day Scheduled'!A:A,'Pending Returns'!O:O,"NOT_FOUND")</f>
        <v>Posted Credit Note</v>
      </c>
    </row>
    <row r="3274" spans="1:17" x14ac:dyDescent="0.3">
      <c r="A3274" s="1">
        <v>46240</v>
      </c>
      <c r="B3274" t="s">
        <v>3352</v>
      </c>
      <c r="C3274" t="s">
        <v>2963</v>
      </c>
      <c r="D3274" t="s">
        <v>2964</v>
      </c>
      <c r="E3274" t="s">
        <v>8</v>
      </c>
      <c r="F3274" t="s">
        <v>10</v>
      </c>
      <c r="G3274" s="16">
        <v>9457.6180000000004</v>
      </c>
      <c r="H3274" s="16">
        <v>10876.261</v>
      </c>
      <c r="I3274" s="1">
        <v>46240</v>
      </c>
      <c r="J3274">
        <v>19</v>
      </c>
      <c r="K3274" t="s">
        <v>6547</v>
      </c>
      <c r="L3274" t="s">
        <v>9322</v>
      </c>
      <c r="M3274">
        <v>0</v>
      </c>
      <c r="N3274">
        <v>184</v>
      </c>
      <c r="O3274" t="s">
        <v>223</v>
      </c>
      <c r="P3274" s="17"/>
      <c r="Q3274" s="17" t="str">
        <f>_xlfn.XLOOKUP(Table2[[#This Row],[buyFromVendorNo]],'Next Day Scheduled'!A:A,'Pending Returns'!O:O,"NOT_FOUND")</f>
        <v>NOT_FOUND</v>
      </c>
    </row>
    <row r="3275" spans="1:17" x14ac:dyDescent="0.3">
      <c r="A3275" s="1">
        <v>46240</v>
      </c>
      <c r="B3275" t="s">
        <v>2640</v>
      </c>
      <c r="C3275" t="s">
        <v>158</v>
      </c>
      <c r="D3275" t="s">
        <v>159</v>
      </c>
      <c r="E3275" t="s">
        <v>8</v>
      </c>
      <c r="F3275" t="s">
        <v>10</v>
      </c>
      <c r="G3275" s="16">
        <v>886.28</v>
      </c>
      <c r="H3275" s="16">
        <v>1019.222</v>
      </c>
      <c r="I3275" s="1">
        <v>46230</v>
      </c>
      <c r="J3275">
        <v>19</v>
      </c>
      <c r="K3275" t="s">
        <v>7779</v>
      </c>
      <c r="L3275" t="s">
        <v>9349</v>
      </c>
      <c r="M3275">
        <v>1</v>
      </c>
      <c r="N3275">
        <v>6</v>
      </c>
      <c r="O3275" t="s">
        <v>1036</v>
      </c>
      <c r="P3275" s="17"/>
      <c r="Q3275" s="17" t="str">
        <f>_xlfn.XLOOKUP(Table2[[#This Row],[buyFromVendorNo]],'Next Day Scheduled'!A:A,'Pending Returns'!O:O,"NOT_FOUND")</f>
        <v>Posted Credit Note</v>
      </c>
    </row>
    <row r="3276" spans="1:17" x14ac:dyDescent="0.3">
      <c r="A3276" s="1">
        <v>46240</v>
      </c>
      <c r="B3276" t="s">
        <v>4225</v>
      </c>
      <c r="C3276" t="s">
        <v>183</v>
      </c>
      <c r="D3276" t="s">
        <v>184</v>
      </c>
      <c r="E3276" t="s">
        <v>8</v>
      </c>
      <c r="F3276" t="s">
        <v>10</v>
      </c>
      <c r="G3276" s="16">
        <v>2594</v>
      </c>
      <c r="H3276" s="16">
        <v>2983.1</v>
      </c>
      <c r="I3276" s="1">
        <v>46225</v>
      </c>
      <c r="J3276">
        <v>19</v>
      </c>
      <c r="K3276" t="s">
        <v>3335</v>
      </c>
      <c r="L3276" t="s">
        <v>9366</v>
      </c>
      <c r="M3276">
        <v>0</v>
      </c>
      <c r="N3276">
        <v>195</v>
      </c>
      <c r="O3276" t="s">
        <v>1036</v>
      </c>
      <c r="P3276" s="17"/>
      <c r="Q3276" s="17" t="str">
        <f>_xlfn.XLOOKUP(Table2[[#This Row],[buyFromVendorNo]],'Next Day Scheduled'!A:A,'Pending Returns'!O:O,"NOT_FOUND")</f>
        <v>NOT_FOUND</v>
      </c>
    </row>
    <row r="3277" spans="1:17" x14ac:dyDescent="0.3">
      <c r="A3277" s="1">
        <v>46240</v>
      </c>
      <c r="B3277" t="s">
        <v>642</v>
      </c>
      <c r="C3277" t="s">
        <v>75</v>
      </c>
      <c r="D3277" t="s">
        <v>76</v>
      </c>
      <c r="E3277" t="s">
        <v>8</v>
      </c>
      <c r="F3277" t="s">
        <v>38</v>
      </c>
      <c r="G3277" s="16">
        <v>169.41668999999999</v>
      </c>
      <c r="H3277" s="16">
        <v>194.82918000000001</v>
      </c>
      <c r="I3277" s="1">
        <v>46221</v>
      </c>
      <c r="J3277">
        <v>19</v>
      </c>
      <c r="K3277" t="s">
        <v>7527</v>
      </c>
      <c r="L3277" t="s">
        <v>9358</v>
      </c>
      <c r="M3277">
        <v>2</v>
      </c>
      <c r="N3277">
        <v>5</v>
      </c>
      <c r="O3277" t="s">
        <v>1036</v>
      </c>
      <c r="P3277" s="17"/>
      <c r="Q3277" s="17" t="str">
        <f>_xlfn.XLOOKUP(Table2[[#This Row],[buyFromVendorNo]],'Next Day Scheduled'!A:A,'Pending Returns'!O:O,"NOT_FOUND")</f>
        <v>Posted Credit Note</v>
      </c>
    </row>
    <row r="3278" spans="1:17" x14ac:dyDescent="0.3">
      <c r="A3278" s="1">
        <v>46240</v>
      </c>
      <c r="B3278" t="s">
        <v>2583</v>
      </c>
      <c r="C3278" t="s">
        <v>3773</v>
      </c>
      <c r="D3278" t="s">
        <v>3774</v>
      </c>
      <c r="E3278" t="s">
        <v>8</v>
      </c>
      <c r="F3278" t="s">
        <v>10</v>
      </c>
      <c r="G3278" s="16">
        <v>2707.2417</v>
      </c>
      <c r="H3278" s="16">
        <v>3113.328</v>
      </c>
      <c r="J3278">
        <v>19</v>
      </c>
      <c r="K3278" t="s">
        <v>9364</v>
      </c>
      <c r="M3278">
        <v>3</v>
      </c>
      <c r="N3278">
        <v>2</v>
      </c>
      <c r="O3278" t="s">
        <v>216</v>
      </c>
      <c r="P3278" s="17"/>
      <c r="Q3278" s="17" t="str">
        <f>_xlfn.XLOOKUP(Table2[[#This Row],[buyFromVendorNo]],'Next Day Scheduled'!A:A,'Pending Returns'!O:O,"NOT_FOUND")</f>
        <v>NOT_FOUND</v>
      </c>
    </row>
    <row r="3279" spans="1:17" x14ac:dyDescent="0.3">
      <c r="A3279" s="1">
        <v>46240</v>
      </c>
      <c r="B3279" t="s">
        <v>3344</v>
      </c>
      <c r="C3279" t="s">
        <v>183</v>
      </c>
      <c r="D3279" t="s">
        <v>184</v>
      </c>
      <c r="E3279" t="s">
        <v>8</v>
      </c>
      <c r="F3279" t="s">
        <v>10</v>
      </c>
      <c r="G3279" s="16">
        <v>448</v>
      </c>
      <c r="H3279" s="16">
        <v>515.20000000000005</v>
      </c>
      <c r="I3279" s="1">
        <v>46225</v>
      </c>
      <c r="J3279">
        <v>19</v>
      </c>
      <c r="K3279" t="s">
        <v>7170</v>
      </c>
      <c r="L3279" t="s">
        <v>9369</v>
      </c>
      <c r="M3279">
        <v>0</v>
      </c>
      <c r="N3279">
        <v>195</v>
      </c>
      <c r="O3279" t="s">
        <v>1036</v>
      </c>
      <c r="P3279" s="17"/>
      <c r="Q3279" s="17" t="str">
        <f>_xlfn.XLOOKUP(Table2[[#This Row],[buyFromVendorNo]],'Next Day Scheduled'!A:A,'Pending Returns'!O:O,"NOT_FOUND")</f>
        <v>NOT_FOUND</v>
      </c>
    </row>
    <row r="3280" spans="1:17" x14ac:dyDescent="0.3">
      <c r="A3280" s="1">
        <v>46240</v>
      </c>
      <c r="B3280" t="s">
        <v>2877</v>
      </c>
      <c r="C3280" t="s">
        <v>158</v>
      </c>
      <c r="D3280" t="s">
        <v>159</v>
      </c>
      <c r="E3280" t="s">
        <v>8</v>
      </c>
      <c r="F3280" t="s">
        <v>10</v>
      </c>
      <c r="G3280" s="16">
        <v>257.976</v>
      </c>
      <c r="H3280" s="16">
        <v>296.67239999999998</v>
      </c>
      <c r="I3280" s="1">
        <v>46230</v>
      </c>
      <c r="J3280">
        <v>19</v>
      </c>
      <c r="K3280" t="s">
        <v>7309</v>
      </c>
      <c r="L3280" t="s">
        <v>9340</v>
      </c>
      <c r="M3280">
        <v>1</v>
      </c>
      <c r="N3280">
        <v>6</v>
      </c>
      <c r="O3280" t="s">
        <v>1036</v>
      </c>
      <c r="P3280" s="17"/>
      <c r="Q3280" s="17" t="str">
        <f>_xlfn.XLOOKUP(Table2[[#This Row],[buyFromVendorNo]],'Next Day Scheduled'!A:A,'Pending Returns'!O:O,"NOT_FOUND")</f>
        <v>Posted Credit Note</v>
      </c>
    </row>
    <row r="3281" spans="1:17" x14ac:dyDescent="0.3">
      <c r="A3281" s="1">
        <v>46240</v>
      </c>
      <c r="B3281" t="s">
        <v>8758</v>
      </c>
      <c r="C3281" t="s">
        <v>1615</v>
      </c>
      <c r="D3281" t="s">
        <v>1616</v>
      </c>
      <c r="E3281" t="s">
        <v>8</v>
      </c>
      <c r="F3281" t="s">
        <v>10</v>
      </c>
      <c r="G3281" s="16">
        <v>102</v>
      </c>
      <c r="H3281" s="16">
        <v>117.3</v>
      </c>
      <c r="I3281" s="1">
        <v>46240</v>
      </c>
      <c r="J3281">
        <v>19</v>
      </c>
      <c r="K3281" t="s">
        <v>8708</v>
      </c>
      <c r="L3281" t="s">
        <v>9325</v>
      </c>
      <c r="M3281">
        <v>2</v>
      </c>
      <c r="N3281">
        <v>5</v>
      </c>
      <c r="O3281" t="s">
        <v>1036</v>
      </c>
      <c r="P3281" s="17"/>
      <c r="Q3281" s="17" t="str">
        <f>_xlfn.XLOOKUP(Table2[[#This Row],[buyFromVendorNo]],'Next Day Scheduled'!A:A,'Pending Returns'!O:O,"NOT_FOUND")</f>
        <v>NOT_FOUND</v>
      </c>
    </row>
    <row r="3282" spans="1:17" x14ac:dyDescent="0.3">
      <c r="A3282" s="1">
        <v>46240</v>
      </c>
      <c r="B3282" t="s">
        <v>5598</v>
      </c>
      <c r="C3282" t="s">
        <v>444</v>
      </c>
      <c r="D3282" t="s">
        <v>445</v>
      </c>
      <c r="E3282" t="s">
        <v>8</v>
      </c>
      <c r="F3282" t="s">
        <v>38</v>
      </c>
      <c r="G3282" s="16">
        <v>6414.49</v>
      </c>
      <c r="H3282" s="16">
        <v>7376.6635999999999</v>
      </c>
      <c r="I3282" s="1">
        <v>46214</v>
      </c>
      <c r="J3282">
        <v>19</v>
      </c>
      <c r="K3282" t="s">
        <v>5542</v>
      </c>
      <c r="L3282" t="s">
        <v>9353</v>
      </c>
      <c r="M3282">
        <v>1</v>
      </c>
      <c r="N3282">
        <v>9</v>
      </c>
      <c r="O3282" t="s">
        <v>1036</v>
      </c>
      <c r="P3282" s="17"/>
      <c r="Q3282" s="17" t="str">
        <f>_xlfn.XLOOKUP(Table2[[#This Row],[buyFromVendorNo]],'Next Day Scheduled'!A:A,'Pending Returns'!O:O,"NOT_FOUND")</f>
        <v>NOT_FOUND</v>
      </c>
    </row>
    <row r="3283" spans="1:17" x14ac:dyDescent="0.3">
      <c r="A3283" s="1">
        <v>46240</v>
      </c>
      <c r="B3283" t="s">
        <v>3418</v>
      </c>
      <c r="C3283" t="s">
        <v>1022</v>
      </c>
      <c r="D3283" t="s">
        <v>1023</v>
      </c>
      <c r="E3283" t="s">
        <v>8</v>
      </c>
      <c r="F3283" t="s">
        <v>10</v>
      </c>
      <c r="G3283" s="16">
        <v>108</v>
      </c>
      <c r="H3283" s="16">
        <v>124.2</v>
      </c>
      <c r="I3283" s="1">
        <v>46220</v>
      </c>
      <c r="J3283">
        <v>19</v>
      </c>
      <c r="K3283" t="s">
        <v>7517</v>
      </c>
      <c r="L3283" t="s">
        <v>9337</v>
      </c>
      <c r="M3283">
        <v>3</v>
      </c>
      <c r="N3283">
        <v>5</v>
      </c>
      <c r="O3283" t="s">
        <v>1036</v>
      </c>
      <c r="P3283" s="17"/>
      <c r="Q3283" s="17" t="str">
        <f>_xlfn.XLOOKUP(Table2[[#This Row],[buyFromVendorNo]],'Next Day Scheduled'!A:A,'Pending Returns'!O:O,"NOT_FOUND")</f>
        <v>Posted Credit Note</v>
      </c>
    </row>
    <row r="3284" spans="1:17" x14ac:dyDescent="0.3">
      <c r="A3284" s="1">
        <v>46240</v>
      </c>
      <c r="B3284" t="s">
        <v>227</v>
      </c>
      <c r="C3284" t="s">
        <v>183</v>
      </c>
      <c r="D3284" t="s">
        <v>184</v>
      </c>
      <c r="E3284" t="s">
        <v>8</v>
      </c>
      <c r="F3284" t="s">
        <v>10</v>
      </c>
      <c r="G3284" s="16">
        <v>6111</v>
      </c>
      <c r="H3284" s="16">
        <v>7027.65</v>
      </c>
      <c r="I3284" s="1">
        <v>46225</v>
      </c>
      <c r="J3284">
        <v>19</v>
      </c>
      <c r="K3284" t="s">
        <v>518</v>
      </c>
      <c r="L3284" t="s">
        <v>9367</v>
      </c>
      <c r="M3284">
        <v>0</v>
      </c>
      <c r="N3284">
        <v>195</v>
      </c>
      <c r="O3284" t="s">
        <v>1036</v>
      </c>
      <c r="P3284" s="17"/>
      <c r="Q3284" s="17" t="str">
        <f>_xlfn.XLOOKUP(Table2[[#This Row],[buyFromVendorNo]],'Next Day Scheduled'!A:A,'Pending Returns'!O:O,"NOT_FOUND")</f>
        <v>NOT_FOUND</v>
      </c>
    </row>
    <row r="3285" spans="1:17" x14ac:dyDescent="0.3">
      <c r="A3285" s="1">
        <v>46240</v>
      </c>
      <c r="B3285" t="s">
        <v>2507</v>
      </c>
      <c r="C3285" t="s">
        <v>444</v>
      </c>
      <c r="D3285" t="s">
        <v>445</v>
      </c>
      <c r="E3285" t="s">
        <v>8</v>
      </c>
      <c r="F3285" t="s">
        <v>38</v>
      </c>
      <c r="G3285" s="16">
        <v>2843.66</v>
      </c>
      <c r="H3285" s="16">
        <v>3270.2089999999998</v>
      </c>
      <c r="I3285" s="1">
        <v>46214</v>
      </c>
      <c r="J3285">
        <v>19</v>
      </c>
      <c r="K3285" t="s">
        <v>2480</v>
      </c>
      <c r="L3285" t="s">
        <v>9357</v>
      </c>
      <c r="M3285">
        <v>1</v>
      </c>
      <c r="N3285">
        <v>9</v>
      </c>
      <c r="O3285" t="s">
        <v>1036</v>
      </c>
      <c r="P3285" s="17"/>
      <c r="Q3285" s="17" t="str">
        <f>_xlfn.XLOOKUP(Table2[[#This Row],[buyFromVendorNo]],'Next Day Scheduled'!A:A,'Pending Returns'!O:O,"NOT_FOUND")</f>
        <v>NOT_FOUND</v>
      </c>
    </row>
    <row r="3286" spans="1:17" x14ac:dyDescent="0.3">
      <c r="A3286" s="1">
        <v>46240</v>
      </c>
      <c r="B3286" t="s">
        <v>7055</v>
      </c>
      <c r="C3286" t="s">
        <v>2963</v>
      </c>
      <c r="D3286" t="s">
        <v>2964</v>
      </c>
      <c r="E3286" t="s">
        <v>8</v>
      </c>
      <c r="F3286" t="s">
        <v>10</v>
      </c>
      <c r="G3286" s="16">
        <v>6580.8440000000001</v>
      </c>
      <c r="H3286" s="16">
        <v>7567.9709999999995</v>
      </c>
      <c r="I3286" s="1">
        <v>46240</v>
      </c>
      <c r="J3286">
        <v>19</v>
      </c>
      <c r="K3286" t="s">
        <v>7056</v>
      </c>
      <c r="L3286" t="s">
        <v>9324</v>
      </c>
      <c r="M3286">
        <v>0</v>
      </c>
      <c r="N3286">
        <v>184</v>
      </c>
      <c r="O3286" t="s">
        <v>223</v>
      </c>
      <c r="P3286" s="17"/>
      <c r="Q3286" s="17" t="str">
        <f>_xlfn.XLOOKUP(Table2[[#This Row],[buyFromVendorNo]],'Next Day Scheduled'!A:A,'Pending Returns'!O:O,"NOT_FOUND")</f>
        <v>NOT_FOUND</v>
      </c>
    </row>
    <row r="3287" spans="1:17" x14ac:dyDescent="0.3">
      <c r="A3287" s="1">
        <v>46240</v>
      </c>
      <c r="B3287" t="s">
        <v>8060</v>
      </c>
      <c r="C3287" t="s">
        <v>665</v>
      </c>
      <c r="D3287" t="s">
        <v>666</v>
      </c>
      <c r="E3287" t="s">
        <v>8</v>
      </c>
      <c r="F3287" t="s">
        <v>10</v>
      </c>
      <c r="G3287" s="16">
        <v>59.347439999999999</v>
      </c>
      <c r="H3287" s="16">
        <v>68.249560000000002</v>
      </c>
      <c r="I3287" s="1">
        <v>46238</v>
      </c>
      <c r="J3287">
        <v>19</v>
      </c>
      <c r="K3287" t="s">
        <v>8061</v>
      </c>
      <c r="L3287" t="s">
        <v>9351</v>
      </c>
      <c r="M3287">
        <v>0</v>
      </c>
      <c r="N3287">
        <v>147</v>
      </c>
      <c r="O3287" t="s">
        <v>1036</v>
      </c>
      <c r="P3287" s="17"/>
      <c r="Q3287" s="17" t="str">
        <f>_xlfn.XLOOKUP(Table2[[#This Row],[buyFromVendorNo]],'Next Day Scheduled'!A:A,'Pending Returns'!O:O,"NOT_FOUND")</f>
        <v>NOT_FOUND</v>
      </c>
    </row>
    <row r="3288" spans="1:17" x14ac:dyDescent="0.3">
      <c r="A3288" s="1">
        <v>46240</v>
      </c>
      <c r="B3288" t="s">
        <v>3355</v>
      </c>
      <c r="C3288" t="s">
        <v>1022</v>
      </c>
      <c r="D3288" t="s">
        <v>1023</v>
      </c>
      <c r="E3288" t="s">
        <v>8</v>
      </c>
      <c r="F3288" t="s">
        <v>10</v>
      </c>
      <c r="G3288" s="16">
        <v>1748</v>
      </c>
      <c r="H3288" s="16">
        <v>2010.2</v>
      </c>
      <c r="I3288" s="1">
        <v>46220</v>
      </c>
      <c r="J3288">
        <v>19</v>
      </c>
      <c r="K3288" t="s">
        <v>7378</v>
      </c>
      <c r="L3288" t="s">
        <v>9345</v>
      </c>
      <c r="M3288">
        <v>3</v>
      </c>
      <c r="N3288">
        <v>5</v>
      </c>
      <c r="O3288" t="s">
        <v>1036</v>
      </c>
      <c r="P3288" s="17"/>
      <c r="Q3288" s="17" t="str">
        <f>_xlfn.XLOOKUP(Table2[[#This Row],[buyFromVendorNo]],'Next Day Scheduled'!A:A,'Pending Returns'!O:O,"NOT_FOUND")</f>
        <v>Posted Credit Note</v>
      </c>
    </row>
    <row r="3289" spans="1:17" x14ac:dyDescent="0.3">
      <c r="A3289" s="1">
        <v>46240</v>
      </c>
      <c r="B3289" t="s">
        <v>3366</v>
      </c>
      <c r="C3289" t="s">
        <v>2963</v>
      </c>
      <c r="D3289" t="s">
        <v>2964</v>
      </c>
      <c r="E3289" t="s">
        <v>8</v>
      </c>
      <c r="F3289" t="s">
        <v>10</v>
      </c>
      <c r="G3289" s="16">
        <v>2101.7429999999999</v>
      </c>
      <c r="H3289" s="16">
        <v>2417.0041999999999</v>
      </c>
      <c r="I3289" s="1">
        <v>46240</v>
      </c>
      <c r="J3289">
        <v>19</v>
      </c>
      <c r="K3289" t="s">
        <v>8380</v>
      </c>
      <c r="L3289" t="s">
        <v>9320</v>
      </c>
      <c r="M3289">
        <v>0</v>
      </c>
      <c r="N3289">
        <v>184</v>
      </c>
      <c r="O3289" t="s">
        <v>223</v>
      </c>
      <c r="P3289" s="17"/>
      <c r="Q3289" s="17" t="str">
        <f>_xlfn.XLOOKUP(Table2[[#This Row],[buyFromVendorNo]],'Next Day Scheduled'!A:A,'Pending Returns'!O:O,"NOT_FOUND")</f>
        <v>NOT_FOUND</v>
      </c>
    </row>
    <row r="3290" spans="1:17" x14ac:dyDescent="0.3">
      <c r="A3290" s="1">
        <v>46240</v>
      </c>
      <c r="B3290" t="s">
        <v>3304</v>
      </c>
      <c r="C3290" t="s">
        <v>1615</v>
      </c>
      <c r="D3290" t="s">
        <v>1616</v>
      </c>
      <c r="E3290" t="s">
        <v>8</v>
      </c>
      <c r="F3290" t="s">
        <v>10</v>
      </c>
      <c r="G3290" s="16">
        <v>364.7</v>
      </c>
      <c r="H3290" s="16">
        <v>419.40499999999997</v>
      </c>
      <c r="I3290" s="1">
        <v>46240</v>
      </c>
      <c r="J3290">
        <v>19</v>
      </c>
      <c r="K3290" t="s">
        <v>8204</v>
      </c>
      <c r="L3290" t="s">
        <v>9321</v>
      </c>
      <c r="M3290">
        <v>2</v>
      </c>
      <c r="N3290">
        <v>5</v>
      </c>
      <c r="O3290" t="s">
        <v>1036</v>
      </c>
      <c r="P3290" s="17"/>
      <c r="Q3290" s="17" t="str">
        <f>_xlfn.XLOOKUP(Table2[[#This Row],[buyFromVendorNo]],'Next Day Scheduled'!A:A,'Pending Returns'!O:O,"NOT_FOUND")</f>
        <v>NOT_FOUND</v>
      </c>
    </row>
    <row r="3291" spans="1:17" x14ac:dyDescent="0.3">
      <c r="A3291" s="1">
        <v>46241</v>
      </c>
      <c r="B3291" t="s">
        <v>642</v>
      </c>
      <c r="C3291" t="s">
        <v>618</v>
      </c>
      <c r="D3291" t="s">
        <v>6379</v>
      </c>
      <c r="E3291" t="s">
        <v>8</v>
      </c>
      <c r="F3291" t="s">
        <v>38</v>
      </c>
      <c r="G3291" s="16">
        <v>2688.2082999999998</v>
      </c>
      <c r="H3291" s="16">
        <v>2688.2082999999998</v>
      </c>
      <c r="I3291" s="1">
        <v>46239</v>
      </c>
      <c r="J3291">
        <v>18</v>
      </c>
      <c r="K3291" t="s">
        <v>9285</v>
      </c>
      <c r="L3291" t="s">
        <v>9372</v>
      </c>
      <c r="M3291">
        <v>19</v>
      </c>
      <c r="N3291">
        <v>0</v>
      </c>
      <c r="O3291" t="s">
        <v>1036</v>
      </c>
      <c r="P3291" s="17"/>
      <c r="Q3291" s="17" t="str">
        <f>_xlfn.XLOOKUP(Table2[[#This Row],[buyFromVendorNo]],'Next Day Scheduled'!A:A,'Pending Returns'!O:O,"NOT_FOUND")</f>
        <v>NOT_FOUND</v>
      </c>
    </row>
    <row r="3292" spans="1:17" x14ac:dyDescent="0.3">
      <c r="A3292" s="1">
        <v>46242</v>
      </c>
      <c r="B3292" t="s">
        <v>441</v>
      </c>
      <c r="C3292" t="s">
        <v>173</v>
      </c>
      <c r="D3292" t="s">
        <v>174</v>
      </c>
      <c r="E3292" t="s">
        <v>8</v>
      </c>
      <c r="F3292" t="s">
        <v>10</v>
      </c>
      <c r="G3292" s="16">
        <v>27.12</v>
      </c>
      <c r="H3292" s="16">
        <v>31.187999999999999</v>
      </c>
      <c r="J3292">
        <v>17</v>
      </c>
      <c r="K3292" t="s">
        <v>9431</v>
      </c>
      <c r="M3292">
        <v>8</v>
      </c>
      <c r="N3292">
        <v>1</v>
      </c>
      <c r="O3292" t="s">
        <v>216</v>
      </c>
      <c r="P3292" s="17"/>
      <c r="Q3292" s="17" t="str">
        <f>_xlfn.XLOOKUP(Table2[[#This Row],[buyFromVendorNo]],'Next Day Scheduled'!A:A,'Pending Returns'!O:O,"NOT_FOUND")</f>
        <v>NOT_FOUND</v>
      </c>
    </row>
    <row r="3293" spans="1:17" x14ac:dyDescent="0.3">
      <c r="A3293" s="1">
        <v>46242</v>
      </c>
      <c r="B3293" t="s">
        <v>4197</v>
      </c>
      <c r="C3293" t="s">
        <v>173</v>
      </c>
      <c r="D3293" t="s">
        <v>174</v>
      </c>
      <c r="E3293" t="s">
        <v>8</v>
      </c>
      <c r="F3293" t="s">
        <v>10</v>
      </c>
      <c r="G3293" s="16">
        <v>3045.97</v>
      </c>
      <c r="H3293" s="16">
        <v>3502.8654999999999</v>
      </c>
      <c r="J3293">
        <v>17</v>
      </c>
      <c r="K3293" t="s">
        <v>9384</v>
      </c>
      <c r="M3293">
        <v>8</v>
      </c>
      <c r="N3293">
        <v>1</v>
      </c>
      <c r="O3293" t="s">
        <v>216</v>
      </c>
      <c r="P3293" s="17"/>
      <c r="Q3293" s="17" t="str">
        <f>_xlfn.XLOOKUP(Table2[[#This Row],[buyFromVendorNo]],'Next Day Scheduled'!A:A,'Pending Returns'!O:O,"NOT_FOUND")</f>
        <v>NOT_FOUND</v>
      </c>
    </row>
    <row r="3294" spans="1:17" x14ac:dyDescent="0.3">
      <c r="A3294" s="1">
        <v>46242</v>
      </c>
      <c r="B3294" t="s">
        <v>1697</v>
      </c>
      <c r="C3294" t="s">
        <v>865</v>
      </c>
      <c r="D3294" t="s">
        <v>866</v>
      </c>
      <c r="E3294" t="s">
        <v>8</v>
      </c>
      <c r="F3294" t="s">
        <v>10</v>
      </c>
      <c r="G3294" s="16">
        <v>50</v>
      </c>
      <c r="H3294" s="16">
        <v>57.5</v>
      </c>
      <c r="I3294" s="1">
        <v>46239</v>
      </c>
      <c r="J3294">
        <v>17</v>
      </c>
      <c r="K3294" t="s">
        <v>8985</v>
      </c>
      <c r="L3294" t="s">
        <v>9448</v>
      </c>
      <c r="M3294">
        <v>2</v>
      </c>
      <c r="N3294">
        <v>7</v>
      </c>
      <c r="O3294" t="s">
        <v>1036</v>
      </c>
      <c r="P3294" s="17"/>
      <c r="Q3294" s="17" t="str">
        <f>_xlfn.XLOOKUP(Table2[[#This Row],[buyFromVendorNo]],'Next Day Scheduled'!A:A,'Pending Returns'!O:O,"NOT_FOUND")</f>
        <v>Posted Credit Note</v>
      </c>
    </row>
    <row r="3295" spans="1:17" x14ac:dyDescent="0.3">
      <c r="A3295" s="1">
        <v>46242</v>
      </c>
      <c r="B3295" t="s">
        <v>4899</v>
      </c>
      <c r="C3295" t="s">
        <v>2273</v>
      </c>
      <c r="D3295" t="s">
        <v>2274</v>
      </c>
      <c r="E3295" t="s">
        <v>8</v>
      </c>
      <c r="F3295" t="s">
        <v>10</v>
      </c>
      <c r="G3295" s="16">
        <v>1677.71</v>
      </c>
      <c r="H3295" s="16">
        <v>1929.3665000000001</v>
      </c>
      <c r="J3295">
        <v>17</v>
      </c>
      <c r="K3295" t="s">
        <v>9453</v>
      </c>
      <c r="M3295">
        <v>0</v>
      </c>
      <c r="N3295">
        <v>92</v>
      </c>
      <c r="O3295" t="s">
        <v>216</v>
      </c>
      <c r="P3295" s="17"/>
      <c r="Q3295" s="17" t="str">
        <f>_xlfn.XLOOKUP(Table2[[#This Row],[buyFromVendorNo]],'Next Day Scheduled'!A:A,'Pending Returns'!O:O,"NOT_FOUND")</f>
        <v>NOT_FOUND</v>
      </c>
    </row>
    <row r="3296" spans="1:17" x14ac:dyDescent="0.3">
      <c r="A3296" s="1">
        <v>46242</v>
      </c>
      <c r="B3296" t="s">
        <v>642</v>
      </c>
      <c r="C3296" t="s">
        <v>643</v>
      </c>
      <c r="D3296" t="s">
        <v>644</v>
      </c>
      <c r="E3296" t="s">
        <v>8</v>
      </c>
      <c r="F3296" t="s">
        <v>38</v>
      </c>
      <c r="G3296" s="16">
        <v>1356.5</v>
      </c>
      <c r="H3296" s="16">
        <v>1559.9749999999999</v>
      </c>
      <c r="I3296" s="1">
        <v>46228</v>
      </c>
      <c r="J3296">
        <v>17</v>
      </c>
      <c r="K3296" t="s">
        <v>4480</v>
      </c>
      <c r="L3296" t="s">
        <v>9389</v>
      </c>
      <c r="M3296">
        <v>2</v>
      </c>
      <c r="N3296">
        <v>5</v>
      </c>
      <c r="O3296" t="s">
        <v>1036</v>
      </c>
      <c r="P3296" s="17"/>
      <c r="Q3296" s="17" t="str">
        <f>_xlfn.XLOOKUP(Table2[[#This Row],[buyFromVendorNo]],'Next Day Scheduled'!A:A,'Pending Returns'!O:O,"NOT_FOUND")</f>
        <v>NOT_FOUND</v>
      </c>
    </row>
    <row r="3297" spans="1:17" x14ac:dyDescent="0.3">
      <c r="A3297" s="1">
        <v>46242</v>
      </c>
      <c r="B3297" t="s">
        <v>2213</v>
      </c>
      <c r="C3297" t="s">
        <v>43</v>
      </c>
      <c r="D3297" t="s">
        <v>44</v>
      </c>
      <c r="E3297" t="s">
        <v>8</v>
      </c>
      <c r="F3297" t="s">
        <v>10</v>
      </c>
      <c r="G3297" s="16">
        <v>506.64</v>
      </c>
      <c r="H3297" s="16">
        <v>582.63599999999997</v>
      </c>
      <c r="J3297">
        <v>17</v>
      </c>
      <c r="K3297" t="s">
        <v>9425</v>
      </c>
      <c r="M3297">
        <v>4</v>
      </c>
      <c r="N3297">
        <v>2</v>
      </c>
      <c r="O3297" t="s">
        <v>216</v>
      </c>
      <c r="P3297" s="17"/>
      <c r="Q3297" s="17" t="str">
        <f>_xlfn.XLOOKUP(Table2[[#This Row],[buyFromVendorNo]],'Next Day Scheduled'!A:A,'Pending Returns'!O:O,"NOT_FOUND")</f>
        <v>Posted Credit Note</v>
      </c>
    </row>
    <row r="3298" spans="1:17" x14ac:dyDescent="0.3">
      <c r="A3298" s="1">
        <v>46242</v>
      </c>
      <c r="B3298" t="s">
        <v>3516</v>
      </c>
      <c r="C3298" t="s">
        <v>111</v>
      </c>
      <c r="D3298" t="s">
        <v>112</v>
      </c>
      <c r="E3298" t="s">
        <v>8</v>
      </c>
      <c r="F3298" t="s">
        <v>10</v>
      </c>
      <c r="G3298" s="16">
        <v>196.37497999999999</v>
      </c>
      <c r="H3298" s="16">
        <v>225.83124000000001</v>
      </c>
      <c r="J3298">
        <v>17</v>
      </c>
      <c r="K3298" t="s">
        <v>9426</v>
      </c>
      <c r="M3298">
        <v>1</v>
      </c>
      <c r="N3298">
        <v>15</v>
      </c>
      <c r="O3298" t="s">
        <v>216</v>
      </c>
      <c r="P3298" s="17"/>
      <c r="Q3298" s="17" t="str">
        <f>_xlfn.XLOOKUP(Table2[[#This Row],[buyFromVendorNo]],'Next Day Scheduled'!A:A,'Pending Returns'!O:O,"NOT_FOUND")</f>
        <v>Posted Credit Note</v>
      </c>
    </row>
    <row r="3299" spans="1:17" x14ac:dyDescent="0.3">
      <c r="A3299" s="1">
        <v>46242</v>
      </c>
      <c r="B3299" t="s">
        <v>9412</v>
      </c>
      <c r="C3299" t="s">
        <v>580</v>
      </c>
      <c r="D3299" t="s">
        <v>581</v>
      </c>
      <c r="E3299" t="s">
        <v>8</v>
      </c>
      <c r="F3299" t="s">
        <v>10</v>
      </c>
      <c r="G3299" s="16">
        <v>540</v>
      </c>
      <c r="H3299" s="16">
        <v>621</v>
      </c>
      <c r="J3299">
        <v>17</v>
      </c>
      <c r="K3299" t="s">
        <v>9413</v>
      </c>
      <c r="M3299">
        <v>2</v>
      </c>
      <c r="N3299">
        <v>3</v>
      </c>
      <c r="O3299" t="s">
        <v>216</v>
      </c>
      <c r="P3299" s="17"/>
      <c r="Q3299" s="17" t="str">
        <f>_xlfn.XLOOKUP(Table2[[#This Row],[buyFromVendorNo]],'Next Day Scheduled'!A:A,'Pending Returns'!O:O,"NOT_FOUND")</f>
        <v>NOT_FOUND</v>
      </c>
    </row>
    <row r="3300" spans="1:17" x14ac:dyDescent="0.3">
      <c r="A3300" s="1">
        <v>46242</v>
      </c>
      <c r="B3300" t="s">
        <v>3438</v>
      </c>
      <c r="C3300" t="s">
        <v>843</v>
      </c>
      <c r="D3300" t="s">
        <v>844</v>
      </c>
      <c r="E3300" t="s">
        <v>8</v>
      </c>
      <c r="F3300" t="s">
        <v>10</v>
      </c>
      <c r="G3300" s="16">
        <v>66</v>
      </c>
      <c r="H3300" s="16">
        <v>75.900000000000006</v>
      </c>
      <c r="J3300">
        <v>17</v>
      </c>
      <c r="K3300" t="s">
        <v>9464</v>
      </c>
      <c r="M3300">
        <v>0</v>
      </c>
      <c r="N3300">
        <v>310</v>
      </c>
      <c r="O3300" t="s">
        <v>216</v>
      </c>
      <c r="P3300" s="17"/>
      <c r="Q3300" s="17" t="str">
        <f>_xlfn.XLOOKUP(Table2[[#This Row],[buyFromVendorNo]],'Next Day Scheduled'!A:A,'Pending Returns'!O:O,"NOT_FOUND")</f>
        <v>NOT_FOUND</v>
      </c>
    </row>
    <row r="3301" spans="1:17" x14ac:dyDescent="0.3">
      <c r="A3301" s="1">
        <v>46242</v>
      </c>
      <c r="B3301" t="s">
        <v>1776</v>
      </c>
      <c r="C3301" t="s">
        <v>39</v>
      </c>
      <c r="D3301" t="s">
        <v>40</v>
      </c>
      <c r="E3301" t="s">
        <v>8</v>
      </c>
      <c r="F3301" t="s">
        <v>10</v>
      </c>
      <c r="G3301" s="16">
        <v>4126.4679999999998</v>
      </c>
      <c r="H3301" s="16">
        <v>4745.4380000000001</v>
      </c>
      <c r="J3301">
        <v>17</v>
      </c>
      <c r="K3301" t="s">
        <v>9460</v>
      </c>
      <c r="M3301">
        <v>5</v>
      </c>
      <c r="N3301">
        <v>1</v>
      </c>
      <c r="O3301" t="s">
        <v>216</v>
      </c>
      <c r="P3301" s="17"/>
      <c r="Q3301" s="17" t="str">
        <f>_xlfn.XLOOKUP(Table2[[#This Row],[buyFromVendorNo]],'Next Day Scheduled'!A:A,'Pending Returns'!O:O,"NOT_FOUND")</f>
        <v>Posted Credit Note</v>
      </c>
    </row>
    <row r="3302" spans="1:17" x14ac:dyDescent="0.3">
      <c r="A3302" s="1">
        <v>46242</v>
      </c>
      <c r="B3302" t="s">
        <v>3547</v>
      </c>
      <c r="C3302" t="s">
        <v>104</v>
      </c>
      <c r="D3302" t="s">
        <v>105</v>
      </c>
      <c r="E3302" t="s">
        <v>8</v>
      </c>
      <c r="F3302" t="s">
        <v>10</v>
      </c>
      <c r="G3302" s="16">
        <v>352.38200000000001</v>
      </c>
      <c r="H3302" s="16">
        <v>405.23930000000001</v>
      </c>
      <c r="I3302" s="1">
        <v>46240</v>
      </c>
      <c r="J3302">
        <v>17</v>
      </c>
      <c r="K3302" t="s">
        <v>7330</v>
      </c>
      <c r="L3302" t="s">
        <v>9461</v>
      </c>
      <c r="M3302">
        <v>2</v>
      </c>
      <c r="N3302">
        <v>6</v>
      </c>
      <c r="O3302" t="s">
        <v>1036</v>
      </c>
      <c r="P3302" s="17"/>
      <c r="Q3302" s="17" t="str">
        <f>_xlfn.XLOOKUP(Table2[[#This Row],[buyFromVendorNo]],'Next Day Scheduled'!A:A,'Pending Returns'!O:O,"NOT_FOUND")</f>
        <v>NOT_FOUND</v>
      </c>
    </row>
    <row r="3303" spans="1:17" x14ac:dyDescent="0.3">
      <c r="A3303" s="1">
        <v>46242</v>
      </c>
      <c r="B3303" t="s">
        <v>642</v>
      </c>
      <c r="C3303" t="s">
        <v>643</v>
      </c>
      <c r="D3303" t="s">
        <v>644</v>
      </c>
      <c r="E3303" t="s">
        <v>8</v>
      </c>
      <c r="F3303" t="s">
        <v>38</v>
      </c>
      <c r="G3303" s="16">
        <v>427</v>
      </c>
      <c r="H3303" s="16">
        <v>491.05</v>
      </c>
      <c r="I3303" s="1">
        <v>46228</v>
      </c>
      <c r="J3303">
        <v>17</v>
      </c>
      <c r="K3303" t="s">
        <v>7950</v>
      </c>
      <c r="L3303" t="s">
        <v>9383</v>
      </c>
      <c r="M3303">
        <v>2</v>
      </c>
      <c r="N3303">
        <v>5</v>
      </c>
      <c r="O3303" t="s">
        <v>1036</v>
      </c>
      <c r="P3303" s="17"/>
      <c r="Q3303" s="17" t="str">
        <f>_xlfn.XLOOKUP(Table2[[#This Row],[buyFromVendorNo]],'Next Day Scheduled'!A:A,'Pending Returns'!O:O,"NOT_FOUND")</f>
        <v>NOT_FOUND</v>
      </c>
    </row>
    <row r="3304" spans="1:17" x14ac:dyDescent="0.3">
      <c r="A3304" s="1">
        <v>46242</v>
      </c>
      <c r="B3304" t="s">
        <v>9401</v>
      </c>
      <c r="C3304" t="s">
        <v>358</v>
      </c>
      <c r="D3304" t="s">
        <v>359</v>
      </c>
      <c r="E3304" t="s">
        <v>8</v>
      </c>
      <c r="F3304" t="s">
        <v>10</v>
      </c>
      <c r="G3304" s="16">
        <v>154.80000000000001</v>
      </c>
      <c r="H3304" s="16">
        <v>178.02</v>
      </c>
      <c r="J3304">
        <v>17</v>
      </c>
      <c r="K3304" t="s">
        <v>9402</v>
      </c>
      <c r="M3304">
        <v>2</v>
      </c>
      <c r="N3304">
        <v>1</v>
      </c>
      <c r="O3304" t="s">
        <v>216</v>
      </c>
      <c r="P3304" s="17"/>
      <c r="Q3304" s="17" t="str">
        <f>_xlfn.XLOOKUP(Table2[[#This Row],[buyFromVendorNo]],'Next Day Scheduled'!A:A,'Pending Returns'!O:O,"NOT_FOUND")</f>
        <v>NOT_FOUND</v>
      </c>
    </row>
    <row r="3305" spans="1:17" x14ac:dyDescent="0.3">
      <c r="A3305" s="1">
        <v>46242</v>
      </c>
      <c r="B3305" t="s">
        <v>3467</v>
      </c>
      <c r="C3305" t="s">
        <v>1346</v>
      </c>
      <c r="D3305" t="s">
        <v>1347</v>
      </c>
      <c r="E3305" t="s">
        <v>8</v>
      </c>
      <c r="F3305" t="s">
        <v>10</v>
      </c>
      <c r="G3305" s="16">
        <v>181.48</v>
      </c>
      <c r="H3305" s="16">
        <v>208.702</v>
      </c>
      <c r="J3305">
        <v>17</v>
      </c>
      <c r="K3305" t="s">
        <v>9470</v>
      </c>
      <c r="M3305">
        <v>1</v>
      </c>
      <c r="N3305">
        <v>9</v>
      </c>
      <c r="O3305" t="s">
        <v>216</v>
      </c>
      <c r="P3305" s="17"/>
      <c r="Q3305" s="17" t="str">
        <f>_xlfn.XLOOKUP(Table2[[#This Row],[buyFromVendorNo]],'Next Day Scheduled'!A:A,'Pending Returns'!O:O,"NOT_FOUND")</f>
        <v>NOT_FOUND</v>
      </c>
    </row>
    <row r="3306" spans="1:17" x14ac:dyDescent="0.3">
      <c r="A3306" s="1">
        <v>46242</v>
      </c>
      <c r="B3306" t="s">
        <v>3245</v>
      </c>
      <c r="C3306" t="s">
        <v>1031</v>
      </c>
      <c r="D3306" t="s">
        <v>1032</v>
      </c>
      <c r="E3306" t="s">
        <v>8</v>
      </c>
      <c r="F3306" t="s">
        <v>10</v>
      </c>
      <c r="G3306" s="16">
        <v>29.4</v>
      </c>
      <c r="H3306" s="16">
        <v>33.81</v>
      </c>
      <c r="I3306" s="1">
        <v>46242</v>
      </c>
      <c r="J3306">
        <v>17</v>
      </c>
      <c r="K3306" t="s">
        <v>8046</v>
      </c>
      <c r="L3306" t="s">
        <v>9452</v>
      </c>
      <c r="M3306">
        <v>2</v>
      </c>
      <c r="N3306">
        <v>7</v>
      </c>
      <c r="O3306" t="s">
        <v>1036</v>
      </c>
      <c r="P3306" s="17"/>
      <c r="Q3306" s="17" t="str">
        <f>_xlfn.XLOOKUP(Table2[[#This Row],[buyFromVendorNo]],'Next Day Scheduled'!A:A,'Pending Returns'!O:O,"NOT_FOUND")</f>
        <v>Pending for Collection</v>
      </c>
    </row>
    <row r="3307" spans="1:17" x14ac:dyDescent="0.3">
      <c r="A3307" s="1">
        <v>46242</v>
      </c>
      <c r="B3307" t="s">
        <v>642</v>
      </c>
      <c r="C3307" t="s">
        <v>643</v>
      </c>
      <c r="D3307" t="s">
        <v>644</v>
      </c>
      <c r="E3307" t="s">
        <v>8</v>
      </c>
      <c r="F3307" t="s">
        <v>38</v>
      </c>
      <c r="G3307" s="16">
        <v>102</v>
      </c>
      <c r="H3307" s="16">
        <v>117.3</v>
      </c>
      <c r="I3307" s="1">
        <v>46228</v>
      </c>
      <c r="J3307">
        <v>17</v>
      </c>
      <c r="K3307" t="s">
        <v>7727</v>
      </c>
      <c r="L3307" t="s">
        <v>9388</v>
      </c>
      <c r="M3307">
        <v>2</v>
      </c>
      <c r="N3307">
        <v>5</v>
      </c>
      <c r="O3307" t="s">
        <v>1036</v>
      </c>
      <c r="P3307" s="17"/>
      <c r="Q3307" s="17" t="str">
        <f>_xlfn.XLOOKUP(Table2[[#This Row],[buyFromVendorNo]],'Next Day Scheduled'!A:A,'Pending Returns'!O:O,"NOT_FOUND")</f>
        <v>NOT_FOUND</v>
      </c>
    </row>
    <row r="3308" spans="1:17" x14ac:dyDescent="0.3">
      <c r="A3308" s="1">
        <v>46242</v>
      </c>
      <c r="B3308" t="s">
        <v>2665</v>
      </c>
      <c r="C3308" t="s">
        <v>7245</v>
      </c>
      <c r="D3308" t="s">
        <v>7246</v>
      </c>
      <c r="E3308" t="s">
        <v>8</v>
      </c>
      <c r="F3308" t="s">
        <v>10</v>
      </c>
      <c r="G3308" s="16">
        <v>2456.6</v>
      </c>
      <c r="H3308" s="16">
        <v>2825.09</v>
      </c>
      <c r="J3308">
        <v>17</v>
      </c>
      <c r="K3308" t="s">
        <v>9455</v>
      </c>
      <c r="M3308">
        <v>0</v>
      </c>
      <c r="N3308">
        <v>164</v>
      </c>
      <c r="O3308" t="s">
        <v>216</v>
      </c>
      <c r="P3308" s="17"/>
      <c r="Q3308" s="17" t="str">
        <f>_xlfn.XLOOKUP(Table2[[#This Row],[buyFromVendorNo]],'Next Day Scheduled'!A:A,'Pending Returns'!O:O,"NOT_FOUND")</f>
        <v>NOT_FOUND</v>
      </c>
    </row>
    <row r="3309" spans="1:17" x14ac:dyDescent="0.3">
      <c r="A3309" s="1">
        <v>46242</v>
      </c>
      <c r="B3309" t="s">
        <v>8261</v>
      </c>
      <c r="C3309" t="s">
        <v>2373</v>
      </c>
      <c r="D3309" t="s">
        <v>2374</v>
      </c>
      <c r="E3309" t="s">
        <v>8</v>
      </c>
      <c r="F3309" t="s">
        <v>10</v>
      </c>
      <c r="G3309" s="16">
        <v>136</v>
      </c>
      <c r="H3309" s="16">
        <v>156.4</v>
      </c>
      <c r="I3309" s="1">
        <v>46240</v>
      </c>
      <c r="J3309">
        <v>17</v>
      </c>
      <c r="K3309" t="s">
        <v>8836</v>
      </c>
      <c r="L3309" t="s">
        <v>9440</v>
      </c>
      <c r="M3309">
        <v>2</v>
      </c>
      <c r="N3309">
        <v>5</v>
      </c>
      <c r="O3309" t="s">
        <v>1036</v>
      </c>
      <c r="P3309" s="17"/>
      <c r="Q3309" s="17" t="str">
        <f>_xlfn.XLOOKUP(Table2[[#This Row],[buyFromVendorNo]],'Next Day Scheduled'!A:A,'Pending Returns'!O:O,"NOT_FOUND")</f>
        <v>NOT_FOUND</v>
      </c>
    </row>
    <row r="3310" spans="1:17" x14ac:dyDescent="0.3">
      <c r="A3310" s="1">
        <v>46242</v>
      </c>
      <c r="B3310" t="s">
        <v>3285</v>
      </c>
      <c r="C3310" t="s">
        <v>84</v>
      </c>
      <c r="D3310" t="s">
        <v>85</v>
      </c>
      <c r="E3310" t="s">
        <v>8</v>
      </c>
      <c r="F3310" t="s">
        <v>10</v>
      </c>
      <c r="G3310" s="16">
        <v>888.08385999999996</v>
      </c>
      <c r="H3310" s="16">
        <v>1021.29645</v>
      </c>
      <c r="J3310">
        <v>17</v>
      </c>
      <c r="K3310" t="s">
        <v>9427</v>
      </c>
      <c r="M3310">
        <v>3</v>
      </c>
      <c r="N3310">
        <v>2</v>
      </c>
      <c r="O3310" t="s">
        <v>216</v>
      </c>
      <c r="P3310" s="17"/>
      <c r="Q3310" s="17" t="str">
        <f>_xlfn.XLOOKUP(Table2[[#This Row],[buyFromVendorNo]],'Next Day Scheduled'!A:A,'Pending Returns'!O:O,"NOT_FOUND")</f>
        <v>NOT_FOUND</v>
      </c>
    </row>
    <row r="3311" spans="1:17" x14ac:dyDescent="0.3">
      <c r="A3311" s="1">
        <v>46242</v>
      </c>
      <c r="B3311" t="s">
        <v>3276</v>
      </c>
      <c r="C3311" t="s">
        <v>1031</v>
      </c>
      <c r="D3311" t="s">
        <v>1032</v>
      </c>
      <c r="E3311" t="s">
        <v>8</v>
      </c>
      <c r="F3311" t="s">
        <v>10</v>
      </c>
      <c r="G3311" s="16">
        <v>441</v>
      </c>
      <c r="H3311" s="16">
        <v>507.15</v>
      </c>
      <c r="I3311" s="1">
        <v>46242</v>
      </c>
      <c r="J3311">
        <v>17</v>
      </c>
      <c r="K3311" t="s">
        <v>8830</v>
      </c>
      <c r="L3311" t="s">
        <v>9441</v>
      </c>
      <c r="M3311">
        <v>2</v>
      </c>
      <c r="N3311">
        <v>7</v>
      </c>
      <c r="O3311" t="s">
        <v>1036</v>
      </c>
      <c r="P3311" s="17"/>
      <c r="Q3311" s="17" t="str">
        <f>_xlfn.XLOOKUP(Table2[[#This Row],[buyFromVendorNo]],'Next Day Scheduled'!A:A,'Pending Returns'!O:O,"NOT_FOUND")</f>
        <v>Pending for Collection</v>
      </c>
    </row>
    <row r="3312" spans="1:17" x14ac:dyDescent="0.3">
      <c r="A3312" s="1">
        <v>46242</v>
      </c>
      <c r="B3312" t="s">
        <v>3352</v>
      </c>
      <c r="C3312" t="s">
        <v>102</v>
      </c>
      <c r="D3312" t="s">
        <v>103</v>
      </c>
      <c r="E3312" t="s">
        <v>8</v>
      </c>
      <c r="F3312" t="s">
        <v>10</v>
      </c>
      <c r="G3312" s="16">
        <v>1673.65</v>
      </c>
      <c r="H3312" s="16">
        <v>1924.6975</v>
      </c>
      <c r="J3312">
        <v>17</v>
      </c>
      <c r="K3312" t="s">
        <v>9465</v>
      </c>
      <c r="M3312">
        <v>0</v>
      </c>
      <c r="N3312">
        <v>330</v>
      </c>
      <c r="O3312" t="s">
        <v>216</v>
      </c>
      <c r="P3312" s="17"/>
      <c r="Q3312" s="17" t="str">
        <f>_xlfn.XLOOKUP(Table2[[#This Row],[buyFromVendorNo]],'Next Day Scheduled'!A:A,'Pending Returns'!O:O,"NOT_FOUND")</f>
        <v>NOT_FOUND</v>
      </c>
    </row>
    <row r="3313" spans="1:17" x14ac:dyDescent="0.3">
      <c r="A3313" s="1">
        <v>46242</v>
      </c>
      <c r="B3313" t="s">
        <v>2522</v>
      </c>
      <c r="C3313" t="s">
        <v>566</v>
      </c>
      <c r="D3313" t="s">
        <v>590</v>
      </c>
      <c r="E3313" t="s">
        <v>8</v>
      </c>
      <c r="F3313" t="s">
        <v>10</v>
      </c>
      <c r="G3313" s="16">
        <v>75.416669999999996</v>
      </c>
      <c r="H3313" s="16">
        <v>86.729169999999996</v>
      </c>
      <c r="J3313">
        <v>17</v>
      </c>
      <c r="K3313" t="s">
        <v>9432</v>
      </c>
      <c r="M3313">
        <v>3</v>
      </c>
      <c r="N3313">
        <v>1</v>
      </c>
      <c r="O3313" t="s">
        <v>216</v>
      </c>
      <c r="P3313" s="17"/>
      <c r="Q3313" s="17" t="str">
        <f>_xlfn.XLOOKUP(Table2[[#This Row],[buyFromVendorNo]],'Next Day Scheduled'!A:A,'Pending Returns'!O:O,"NOT_FOUND")</f>
        <v>NOT_FOUND</v>
      </c>
    </row>
    <row r="3314" spans="1:17" x14ac:dyDescent="0.3">
      <c r="A3314" s="1">
        <v>46242</v>
      </c>
      <c r="B3314" t="s">
        <v>3299</v>
      </c>
      <c r="C3314" t="s">
        <v>854</v>
      </c>
      <c r="D3314" t="s">
        <v>855</v>
      </c>
      <c r="E3314" t="s">
        <v>8</v>
      </c>
      <c r="F3314" t="s">
        <v>10</v>
      </c>
      <c r="G3314" s="16">
        <v>476.57080000000002</v>
      </c>
      <c r="H3314" s="16">
        <v>548.05640000000005</v>
      </c>
      <c r="J3314">
        <v>17</v>
      </c>
      <c r="K3314" t="s">
        <v>9399</v>
      </c>
      <c r="M3314">
        <v>3</v>
      </c>
      <c r="N3314">
        <v>6</v>
      </c>
      <c r="O3314" t="s">
        <v>216</v>
      </c>
      <c r="P3314" s="17"/>
      <c r="Q3314" s="17" t="str">
        <f>_xlfn.XLOOKUP(Table2[[#This Row],[buyFromVendorNo]],'Next Day Scheduled'!A:A,'Pending Returns'!O:O,"NOT_FOUND")</f>
        <v>Posted Credit Note</v>
      </c>
    </row>
    <row r="3315" spans="1:17" x14ac:dyDescent="0.3">
      <c r="A3315" s="1">
        <v>46242</v>
      </c>
      <c r="B3315" t="s">
        <v>6286</v>
      </c>
      <c r="C3315" t="s">
        <v>43</v>
      </c>
      <c r="D3315" t="s">
        <v>44</v>
      </c>
      <c r="E3315" t="s">
        <v>8</v>
      </c>
      <c r="F3315" t="s">
        <v>38</v>
      </c>
      <c r="G3315" s="16">
        <v>3911.22</v>
      </c>
      <c r="H3315" s="16">
        <v>4497.9030000000002</v>
      </c>
      <c r="I3315" s="1">
        <v>46240</v>
      </c>
      <c r="J3315">
        <v>17</v>
      </c>
      <c r="K3315" t="s">
        <v>9291</v>
      </c>
      <c r="L3315" t="s">
        <v>9445</v>
      </c>
      <c r="M3315">
        <v>15</v>
      </c>
      <c r="N3315">
        <v>1</v>
      </c>
      <c r="O3315" t="s">
        <v>1036</v>
      </c>
      <c r="P3315" s="17"/>
      <c r="Q3315" s="17" t="str">
        <f>_xlfn.XLOOKUP(Table2[[#This Row],[buyFromVendorNo]],'Next Day Scheduled'!A:A,'Pending Returns'!O:O,"NOT_FOUND")</f>
        <v>Posted Credit Note</v>
      </c>
    </row>
    <row r="3316" spans="1:17" x14ac:dyDescent="0.3">
      <c r="A3316" s="1">
        <v>46242</v>
      </c>
      <c r="B3316" t="s">
        <v>2632</v>
      </c>
      <c r="C3316" t="s">
        <v>323</v>
      </c>
      <c r="D3316" t="s">
        <v>324</v>
      </c>
      <c r="E3316" t="s">
        <v>8</v>
      </c>
      <c r="F3316" t="s">
        <v>10</v>
      </c>
      <c r="G3316" s="16">
        <v>164</v>
      </c>
      <c r="H3316" s="16">
        <v>188.6</v>
      </c>
      <c r="J3316">
        <v>17</v>
      </c>
      <c r="K3316" t="s">
        <v>9404</v>
      </c>
      <c r="M3316">
        <v>0</v>
      </c>
      <c r="N3316">
        <v>31</v>
      </c>
      <c r="O3316" t="s">
        <v>216</v>
      </c>
      <c r="P3316" s="17"/>
      <c r="Q3316" s="17" t="str">
        <f>_xlfn.XLOOKUP(Table2[[#This Row],[buyFromVendorNo]],'Next Day Scheduled'!A:A,'Pending Returns'!O:O,"NOT_FOUND")</f>
        <v>NOT_FOUND</v>
      </c>
    </row>
    <row r="3317" spans="1:17" x14ac:dyDescent="0.3">
      <c r="A3317" s="1">
        <v>46242</v>
      </c>
      <c r="B3317" t="s">
        <v>1697</v>
      </c>
      <c r="C3317" t="s">
        <v>361</v>
      </c>
      <c r="D3317" t="s">
        <v>7334</v>
      </c>
      <c r="E3317" t="s">
        <v>8</v>
      </c>
      <c r="F3317" t="s">
        <v>10</v>
      </c>
      <c r="G3317" s="16">
        <v>4426.5</v>
      </c>
      <c r="H3317" s="16">
        <v>5090.4750000000004</v>
      </c>
      <c r="J3317">
        <v>17</v>
      </c>
      <c r="K3317" t="s">
        <v>9436</v>
      </c>
      <c r="M3317">
        <v>7</v>
      </c>
      <c r="N3317">
        <v>2</v>
      </c>
      <c r="O3317" t="s">
        <v>216</v>
      </c>
      <c r="P3317" s="17"/>
      <c r="Q3317" s="17" t="str">
        <f>_xlfn.XLOOKUP(Table2[[#This Row],[buyFromVendorNo]],'Next Day Scheduled'!A:A,'Pending Returns'!O:O,"NOT_FOUND")</f>
        <v>NOT_FOUND</v>
      </c>
    </row>
    <row r="3318" spans="1:17" x14ac:dyDescent="0.3">
      <c r="A3318" s="1">
        <v>46242</v>
      </c>
      <c r="B3318" t="s">
        <v>2214</v>
      </c>
      <c r="C3318" t="s">
        <v>69</v>
      </c>
      <c r="D3318" t="s">
        <v>70</v>
      </c>
      <c r="E3318" t="s">
        <v>8</v>
      </c>
      <c r="F3318" t="s">
        <v>10</v>
      </c>
      <c r="G3318" s="16">
        <v>3676.91</v>
      </c>
      <c r="H3318" s="16">
        <v>4228.4462999999996</v>
      </c>
      <c r="J3318">
        <v>17</v>
      </c>
      <c r="K3318" t="s">
        <v>9405</v>
      </c>
      <c r="M3318">
        <v>17</v>
      </c>
      <c r="N3318">
        <v>1</v>
      </c>
      <c r="O3318" t="s">
        <v>216</v>
      </c>
      <c r="P3318" s="17"/>
      <c r="Q3318" s="17" t="str">
        <f>_xlfn.XLOOKUP(Table2[[#This Row],[buyFromVendorNo]],'Next Day Scheduled'!A:A,'Pending Returns'!O:O,"NOT_FOUND")</f>
        <v>Posted Credit Note</v>
      </c>
    </row>
    <row r="3319" spans="1:17" x14ac:dyDescent="0.3">
      <c r="A3319" s="1">
        <v>46242</v>
      </c>
      <c r="B3319" t="s">
        <v>2602</v>
      </c>
      <c r="C3319" t="s">
        <v>104</v>
      </c>
      <c r="D3319" t="s">
        <v>105</v>
      </c>
      <c r="E3319" t="s">
        <v>8</v>
      </c>
      <c r="F3319" t="s">
        <v>10</v>
      </c>
      <c r="G3319" s="16">
        <v>62.672199999999997</v>
      </c>
      <c r="H3319" s="16">
        <v>72.073030000000003</v>
      </c>
      <c r="I3319" s="1">
        <v>46240</v>
      </c>
      <c r="J3319">
        <v>17</v>
      </c>
      <c r="K3319" t="s">
        <v>8553</v>
      </c>
      <c r="L3319" t="s">
        <v>9447</v>
      </c>
      <c r="M3319">
        <v>2</v>
      </c>
      <c r="N3319">
        <v>6</v>
      </c>
      <c r="O3319" t="s">
        <v>1036</v>
      </c>
      <c r="P3319" s="17"/>
      <c r="Q3319" s="17" t="str">
        <f>_xlfn.XLOOKUP(Table2[[#This Row],[buyFromVendorNo]],'Next Day Scheduled'!A:A,'Pending Returns'!O:O,"NOT_FOUND")</f>
        <v>NOT_FOUND</v>
      </c>
    </row>
    <row r="3320" spans="1:17" x14ac:dyDescent="0.3">
      <c r="A3320" s="1">
        <v>46242</v>
      </c>
      <c r="B3320" t="s">
        <v>3244</v>
      </c>
      <c r="C3320" t="s">
        <v>5416</v>
      </c>
      <c r="D3320" t="s">
        <v>5417</v>
      </c>
      <c r="E3320" t="s">
        <v>8</v>
      </c>
      <c r="F3320" t="s">
        <v>10</v>
      </c>
      <c r="G3320" s="16">
        <v>31.652170000000002</v>
      </c>
      <c r="H3320" s="16">
        <v>36.4</v>
      </c>
      <c r="J3320">
        <v>17</v>
      </c>
      <c r="K3320" t="s">
        <v>9420</v>
      </c>
      <c r="M3320">
        <v>1</v>
      </c>
      <c r="N3320">
        <v>12</v>
      </c>
      <c r="O3320" t="s">
        <v>216</v>
      </c>
      <c r="P3320" s="17"/>
      <c r="Q3320" s="17" t="str">
        <f>_xlfn.XLOOKUP(Table2[[#This Row],[buyFromVendorNo]],'Next Day Scheduled'!A:A,'Pending Returns'!O:O,"NOT_FOUND")</f>
        <v>NOT_FOUND</v>
      </c>
    </row>
    <row r="3321" spans="1:17" x14ac:dyDescent="0.3">
      <c r="A3321" s="1">
        <v>46242</v>
      </c>
      <c r="B3321" t="s">
        <v>9027</v>
      </c>
      <c r="C3321" t="s">
        <v>104</v>
      </c>
      <c r="D3321" t="s">
        <v>105</v>
      </c>
      <c r="E3321" t="s">
        <v>8</v>
      </c>
      <c r="F3321" t="s">
        <v>10</v>
      </c>
      <c r="G3321" s="16">
        <v>78.84</v>
      </c>
      <c r="H3321" s="16">
        <v>90.665999999999997</v>
      </c>
      <c r="I3321" s="1">
        <v>46240</v>
      </c>
      <c r="J3321">
        <v>17</v>
      </c>
      <c r="K3321" t="s">
        <v>9028</v>
      </c>
      <c r="L3321" t="s">
        <v>9437</v>
      </c>
      <c r="M3321">
        <v>2</v>
      </c>
      <c r="N3321">
        <v>6</v>
      </c>
      <c r="O3321" t="s">
        <v>1036</v>
      </c>
      <c r="P3321" s="17"/>
      <c r="Q3321" s="17" t="str">
        <f>_xlfn.XLOOKUP(Table2[[#This Row],[buyFromVendorNo]],'Next Day Scheduled'!A:A,'Pending Returns'!O:O,"NOT_FOUND")</f>
        <v>NOT_FOUND</v>
      </c>
    </row>
    <row r="3322" spans="1:17" x14ac:dyDescent="0.3">
      <c r="A3322" s="1">
        <v>46242</v>
      </c>
      <c r="B3322" t="s">
        <v>9438</v>
      </c>
      <c r="C3322" t="s">
        <v>1743</v>
      </c>
      <c r="D3322" t="s">
        <v>1744</v>
      </c>
      <c r="E3322" t="s">
        <v>8</v>
      </c>
      <c r="F3322" t="s">
        <v>10</v>
      </c>
      <c r="G3322" s="16">
        <v>90</v>
      </c>
      <c r="H3322" s="16">
        <v>103.5</v>
      </c>
      <c r="J3322">
        <v>17</v>
      </c>
      <c r="K3322" t="s">
        <v>9439</v>
      </c>
      <c r="M3322">
        <v>0</v>
      </c>
      <c r="N3322">
        <v>19</v>
      </c>
      <c r="O3322" t="s">
        <v>216</v>
      </c>
      <c r="P3322" s="17"/>
      <c r="Q3322" s="17" t="str">
        <f>_xlfn.XLOOKUP(Table2[[#This Row],[buyFromVendorNo]],'Next Day Scheduled'!A:A,'Pending Returns'!O:O,"NOT_FOUND")</f>
        <v>NOT_FOUND</v>
      </c>
    </row>
    <row r="3323" spans="1:17" x14ac:dyDescent="0.3">
      <c r="A3323" s="1">
        <v>46242</v>
      </c>
      <c r="B3323" t="s">
        <v>642</v>
      </c>
      <c r="C3323" t="s">
        <v>643</v>
      </c>
      <c r="D3323" t="s">
        <v>644</v>
      </c>
      <c r="E3323" t="s">
        <v>8</v>
      </c>
      <c r="F3323" t="s">
        <v>38</v>
      </c>
      <c r="G3323" s="16">
        <v>979.5</v>
      </c>
      <c r="H3323" s="16">
        <v>1126.425</v>
      </c>
      <c r="I3323" s="1">
        <v>46228</v>
      </c>
      <c r="J3323">
        <v>17</v>
      </c>
      <c r="K3323" t="s">
        <v>6095</v>
      </c>
      <c r="L3323" t="s">
        <v>9382</v>
      </c>
      <c r="M3323">
        <v>2</v>
      </c>
      <c r="N3323">
        <v>5</v>
      </c>
      <c r="O3323" t="s">
        <v>1036</v>
      </c>
      <c r="P3323" s="17"/>
      <c r="Q3323" s="17" t="str">
        <f>_xlfn.XLOOKUP(Table2[[#This Row],[buyFromVendorNo]],'Next Day Scheduled'!A:A,'Pending Returns'!O:O,"NOT_FOUND")</f>
        <v>NOT_FOUND</v>
      </c>
    </row>
    <row r="3324" spans="1:17" x14ac:dyDescent="0.3">
      <c r="A3324" s="1">
        <v>46242</v>
      </c>
      <c r="B3324" t="s">
        <v>8185</v>
      </c>
      <c r="C3324" t="s">
        <v>183</v>
      </c>
      <c r="D3324" t="s">
        <v>184</v>
      </c>
      <c r="E3324" t="s">
        <v>8</v>
      </c>
      <c r="F3324" t="s">
        <v>10</v>
      </c>
      <c r="G3324" s="16">
        <v>315</v>
      </c>
      <c r="H3324" s="16">
        <v>362.25</v>
      </c>
      <c r="J3324">
        <v>17</v>
      </c>
      <c r="K3324" t="s">
        <v>9451</v>
      </c>
      <c r="M3324">
        <v>0</v>
      </c>
      <c r="N3324">
        <v>195</v>
      </c>
      <c r="O3324" t="s">
        <v>216</v>
      </c>
      <c r="P3324" s="17"/>
      <c r="Q3324" s="17" t="str">
        <f>_xlfn.XLOOKUP(Table2[[#This Row],[buyFromVendorNo]],'Next Day Scheduled'!A:A,'Pending Returns'!O:O,"NOT_FOUND")</f>
        <v>NOT_FOUND</v>
      </c>
    </row>
    <row r="3325" spans="1:17" x14ac:dyDescent="0.3">
      <c r="A3325" s="1">
        <v>46242</v>
      </c>
      <c r="B3325" t="s">
        <v>3515</v>
      </c>
      <c r="C3325" t="s">
        <v>2283</v>
      </c>
      <c r="D3325" t="s">
        <v>2284</v>
      </c>
      <c r="E3325" t="s">
        <v>8</v>
      </c>
      <c r="F3325" t="s">
        <v>10</v>
      </c>
      <c r="G3325" s="16">
        <v>18</v>
      </c>
      <c r="H3325" s="16">
        <v>20.7</v>
      </c>
      <c r="J3325">
        <v>17</v>
      </c>
      <c r="K3325" t="s">
        <v>9398</v>
      </c>
      <c r="M3325">
        <v>3</v>
      </c>
      <c r="N3325">
        <v>3</v>
      </c>
      <c r="O3325" t="s">
        <v>216</v>
      </c>
      <c r="P3325" s="17"/>
      <c r="Q3325" s="17" t="str">
        <f>_xlfn.XLOOKUP(Table2[[#This Row],[buyFromVendorNo]],'Next Day Scheduled'!A:A,'Pending Returns'!O:O,"NOT_FOUND")</f>
        <v>NOT_FOUND</v>
      </c>
    </row>
    <row r="3326" spans="1:17" x14ac:dyDescent="0.3">
      <c r="A3326" s="1">
        <v>46242</v>
      </c>
      <c r="B3326" t="s">
        <v>2202</v>
      </c>
      <c r="C3326" t="s">
        <v>1279</v>
      </c>
      <c r="D3326" t="s">
        <v>1280</v>
      </c>
      <c r="E3326" t="s">
        <v>8</v>
      </c>
      <c r="F3326" t="s">
        <v>10</v>
      </c>
      <c r="G3326" s="16">
        <v>42</v>
      </c>
      <c r="H3326" s="16">
        <v>48.3</v>
      </c>
      <c r="J3326">
        <v>17</v>
      </c>
      <c r="K3326" t="s">
        <v>9416</v>
      </c>
      <c r="M3326">
        <v>3</v>
      </c>
      <c r="N3326">
        <v>3</v>
      </c>
      <c r="O3326" t="s">
        <v>216</v>
      </c>
      <c r="P3326" s="17"/>
      <c r="Q3326" s="17" t="str">
        <f>_xlfn.XLOOKUP(Table2[[#This Row],[buyFromVendorNo]],'Next Day Scheduled'!A:A,'Pending Returns'!O:O,"NOT_FOUND")</f>
        <v>NOT_FOUND</v>
      </c>
    </row>
    <row r="3327" spans="1:17" x14ac:dyDescent="0.3">
      <c r="A3327" s="1">
        <v>46242</v>
      </c>
      <c r="B3327" t="s">
        <v>642</v>
      </c>
      <c r="C3327" t="s">
        <v>8713</v>
      </c>
      <c r="D3327" t="s">
        <v>8714</v>
      </c>
      <c r="E3327" t="s">
        <v>8</v>
      </c>
      <c r="F3327" t="s">
        <v>38</v>
      </c>
      <c r="G3327" s="16">
        <v>2017.47</v>
      </c>
      <c r="H3327" s="16">
        <v>2320.0906</v>
      </c>
      <c r="I3327" s="1">
        <v>46235</v>
      </c>
      <c r="J3327">
        <v>17</v>
      </c>
      <c r="K3327" t="s">
        <v>8765</v>
      </c>
      <c r="L3327" t="s">
        <v>9417</v>
      </c>
      <c r="M3327">
        <v>2</v>
      </c>
      <c r="N3327">
        <v>10</v>
      </c>
      <c r="O3327" t="s">
        <v>1036</v>
      </c>
      <c r="P3327" s="17"/>
      <c r="Q3327" s="17" t="str">
        <f>_xlfn.XLOOKUP(Table2[[#This Row],[buyFromVendorNo]],'Next Day Scheduled'!A:A,'Pending Returns'!O:O,"NOT_FOUND")</f>
        <v>NOT_FOUND</v>
      </c>
    </row>
    <row r="3328" spans="1:17" x14ac:dyDescent="0.3">
      <c r="A3328" s="1">
        <v>46242</v>
      </c>
      <c r="B3328" t="s">
        <v>5464</v>
      </c>
      <c r="C3328" t="s">
        <v>4877</v>
      </c>
      <c r="D3328" t="s">
        <v>5340</v>
      </c>
      <c r="E3328" t="s">
        <v>8</v>
      </c>
      <c r="F3328" t="s">
        <v>10</v>
      </c>
      <c r="G3328" s="16">
        <v>179.59031999999999</v>
      </c>
      <c r="H3328" s="16">
        <v>206.52887000000001</v>
      </c>
      <c r="J3328">
        <v>17</v>
      </c>
      <c r="K3328" t="s">
        <v>9407</v>
      </c>
      <c r="M3328">
        <v>10</v>
      </c>
      <c r="N3328">
        <v>3</v>
      </c>
      <c r="O3328" t="s">
        <v>216</v>
      </c>
      <c r="P3328" s="17"/>
      <c r="Q3328" s="17" t="str">
        <f>_xlfn.XLOOKUP(Table2[[#This Row],[buyFromVendorNo]],'Next Day Scheduled'!A:A,'Pending Returns'!O:O,"NOT_FOUND")</f>
        <v>Posted Credit Note</v>
      </c>
    </row>
    <row r="3329" spans="1:17" x14ac:dyDescent="0.3">
      <c r="A3329" s="1">
        <v>46242</v>
      </c>
      <c r="B3329" t="s">
        <v>3338</v>
      </c>
      <c r="C3329" t="s">
        <v>804</v>
      </c>
      <c r="D3329" t="s">
        <v>805</v>
      </c>
      <c r="E3329" t="s">
        <v>8</v>
      </c>
      <c r="F3329" t="s">
        <v>10</v>
      </c>
      <c r="G3329" s="16">
        <v>56.68</v>
      </c>
      <c r="H3329" s="16">
        <v>65.182000000000002</v>
      </c>
      <c r="J3329">
        <v>17</v>
      </c>
      <c r="K3329" t="s">
        <v>9467</v>
      </c>
      <c r="M3329">
        <v>0</v>
      </c>
      <c r="N3329">
        <v>206</v>
      </c>
      <c r="O3329" t="s">
        <v>216</v>
      </c>
      <c r="P3329" s="17"/>
      <c r="Q3329" s="17" t="str">
        <f>_xlfn.XLOOKUP(Table2[[#This Row],[buyFromVendorNo]],'Next Day Scheduled'!A:A,'Pending Returns'!O:O,"NOT_FOUND")</f>
        <v>NOT_FOUND</v>
      </c>
    </row>
    <row r="3330" spans="1:17" x14ac:dyDescent="0.3">
      <c r="A3330" s="1">
        <v>46242</v>
      </c>
      <c r="B3330" t="s">
        <v>642</v>
      </c>
      <c r="C3330" t="s">
        <v>643</v>
      </c>
      <c r="D3330" t="s">
        <v>644</v>
      </c>
      <c r="E3330" t="s">
        <v>8</v>
      </c>
      <c r="F3330" t="s">
        <v>38</v>
      </c>
      <c r="G3330" s="16">
        <v>908</v>
      </c>
      <c r="H3330" s="16">
        <v>1044.2</v>
      </c>
      <c r="I3330" s="1">
        <v>46228</v>
      </c>
      <c r="J3330">
        <v>17</v>
      </c>
      <c r="K3330" t="s">
        <v>6844</v>
      </c>
      <c r="L3330" t="s">
        <v>9387</v>
      </c>
      <c r="M3330">
        <v>2</v>
      </c>
      <c r="N3330">
        <v>5</v>
      </c>
      <c r="O3330" t="s">
        <v>1036</v>
      </c>
      <c r="P3330" s="17"/>
      <c r="Q3330" s="17" t="str">
        <f>_xlfn.XLOOKUP(Table2[[#This Row],[buyFromVendorNo]],'Next Day Scheduled'!A:A,'Pending Returns'!O:O,"NOT_FOUND")</f>
        <v>NOT_FOUND</v>
      </c>
    </row>
    <row r="3331" spans="1:17" x14ac:dyDescent="0.3">
      <c r="A3331" s="1">
        <v>46242</v>
      </c>
      <c r="B3331" t="s">
        <v>2600</v>
      </c>
      <c r="C3331" t="s">
        <v>104</v>
      </c>
      <c r="D3331" t="s">
        <v>105</v>
      </c>
      <c r="E3331" t="s">
        <v>8</v>
      </c>
      <c r="F3331" t="s">
        <v>10</v>
      </c>
      <c r="G3331" s="16">
        <v>130.93510000000001</v>
      </c>
      <c r="H3331" s="16">
        <v>150.57535999999999</v>
      </c>
      <c r="I3331" s="1">
        <v>46240</v>
      </c>
      <c r="J3331">
        <v>17</v>
      </c>
      <c r="K3331" t="s">
        <v>7777</v>
      </c>
      <c r="L3331" t="s">
        <v>9409</v>
      </c>
      <c r="M3331">
        <v>2</v>
      </c>
      <c r="N3331">
        <v>6</v>
      </c>
      <c r="O3331" t="s">
        <v>1036</v>
      </c>
      <c r="P3331" s="17"/>
      <c r="Q3331" s="17" t="str">
        <f>_xlfn.XLOOKUP(Table2[[#This Row],[buyFromVendorNo]],'Next Day Scheduled'!A:A,'Pending Returns'!O:O,"NOT_FOUND")</f>
        <v>NOT_FOUND</v>
      </c>
    </row>
    <row r="3332" spans="1:17" x14ac:dyDescent="0.3">
      <c r="A3332" s="1">
        <v>46242</v>
      </c>
      <c r="B3332" t="s">
        <v>642</v>
      </c>
      <c r="C3332" t="s">
        <v>643</v>
      </c>
      <c r="D3332" t="s">
        <v>644</v>
      </c>
      <c r="E3332" t="s">
        <v>8</v>
      </c>
      <c r="F3332" t="s">
        <v>38</v>
      </c>
      <c r="G3332" s="16">
        <v>379.5</v>
      </c>
      <c r="H3332" s="16">
        <v>436.42500000000001</v>
      </c>
      <c r="I3332" s="1">
        <v>46228</v>
      </c>
      <c r="J3332">
        <v>17</v>
      </c>
      <c r="K3332" t="s">
        <v>7420</v>
      </c>
      <c r="L3332" t="s">
        <v>9386</v>
      </c>
      <c r="M3332">
        <v>2</v>
      </c>
      <c r="N3332">
        <v>5</v>
      </c>
      <c r="O3332" t="s">
        <v>1036</v>
      </c>
      <c r="P3332" s="17"/>
      <c r="Q3332" s="17" t="str">
        <f>_xlfn.XLOOKUP(Table2[[#This Row],[buyFromVendorNo]],'Next Day Scheduled'!A:A,'Pending Returns'!O:O,"NOT_FOUND")</f>
        <v>NOT_FOUND</v>
      </c>
    </row>
    <row r="3333" spans="1:17" x14ac:dyDescent="0.3">
      <c r="A3333" s="1">
        <v>46242</v>
      </c>
      <c r="B3333" t="s">
        <v>3353</v>
      </c>
      <c r="C3333" t="s">
        <v>932</v>
      </c>
      <c r="D3333" t="s">
        <v>1612</v>
      </c>
      <c r="E3333" t="s">
        <v>8</v>
      </c>
      <c r="F3333" t="s">
        <v>10</v>
      </c>
      <c r="G3333" s="16">
        <v>150</v>
      </c>
      <c r="H3333" s="16">
        <v>172.5</v>
      </c>
      <c r="J3333">
        <v>17</v>
      </c>
      <c r="K3333" t="s">
        <v>9428</v>
      </c>
      <c r="M3333">
        <v>2</v>
      </c>
      <c r="N3333">
        <v>3</v>
      </c>
      <c r="O3333" t="s">
        <v>216</v>
      </c>
      <c r="P3333" s="17"/>
      <c r="Q3333" s="17" t="str">
        <f>_xlfn.XLOOKUP(Table2[[#This Row],[buyFromVendorNo]],'Next Day Scheduled'!A:A,'Pending Returns'!O:O,"NOT_FOUND")</f>
        <v>NOT_FOUND</v>
      </c>
    </row>
    <row r="3334" spans="1:17" x14ac:dyDescent="0.3">
      <c r="A3334" s="1">
        <v>46242</v>
      </c>
      <c r="B3334" t="s">
        <v>642</v>
      </c>
      <c r="C3334" t="s">
        <v>643</v>
      </c>
      <c r="D3334" t="s">
        <v>644</v>
      </c>
      <c r="E3334" t="s">
        <v>8</v>
      </c>
      <c r="F3334" t="s">
        <v>38</v>
      </c>
      <c r="G3334" s="16">
        <v>352</v>
      </c>
      <c r="H3334" s="16">
        <v>404.8</v>
      </c>
      <c r="I3334" s="1">
        <v>46228</v>
      </c>
      <c r="J3334">
        <v>17</v>
      </c>
      <c r="K3334" t="s">
        <v>7498</v>
      </c>
      <c r="L3334" t="s">
        <v>9385</v>
      </c>
      <c r="M3334">
        <v>2</v>
      </c>
      <c r="N3334">
        <v>5</v>
      </c>
      <c r="O3334" t="s">
        <v>1036</v>
      </c>
      <c r="P3334" s="17"/>
      <c r="Q3334" s="17" t="str">
        <f>_xlfn.XLOOKUP(Table2[[#This Row],[buyFromVendorNo]],'Next Day Scheduled'!A:A,'Pending Returns'!O:O,"NOT_FOUND")</f>
        <v>NOT_FOUND</v>
      </c>
    </row>
    <row r="3335" spans="1:17" x14ac:dyDescent="0.3">
      <c r="A3335" s="1">
        <v>46243</v>
      </c>
      <c r="B3335" t="s">
        <v>7158</v>
      </c>
      <c r="C3335" t="s">
        <v>69</v>
      </c>
      <c r="D3335" t="s">
        <v>70</v>
      </c>
      <c r="E3335" t="s">
        <v>8</v>
      </c>
      <c r="F3335" t="s">
        <v>10</v>
      </c>
      <c r="G3335" s="16">
        <v>5257.23</v>
      </c>
      <c r="H3335" s="16">
        <v>6045.8145000000004</v>
      </c>
      <c r="J3335">
        <v>16</v>
      </c>
      <c r="K3335" t="s">
        <v>9593</v>
      </c>
      <c r="M3335">
        <v>16</v>
      </c>
      <c r="N3335">
        <v>1</v>
      </c>
      <c r="O3335" t="s">
        <v>216</v>
      </c>
      <c r="P3335" s="17"/>
      <c r="Q3335" s="17" t="str">
        <f>_xlfn.XLOOKUP(Table2[[#This Row],[buyFromVendorNo]],'Next Day Scheduled'!A:A,'Pending Returns'!O:O,"NOT_FOUND")</f>
        <v>Posted Credit Note</v>
      </c>
    </row>
    <row r="3336" spans="1:17" x14ac:dyDescent="0.3">
      <c r="A3336" s="1">
        <v>46243</v>
      </c>
      <c r="B3336" t="s">
        <v>2162</v>
      </c>
      <c r="C3336" t="s">
        <v>65</v>
      </c>
      <c r="D3336" t="s">
        <v>66</v>
      </c>
      <c r="E3336" t="s">
        <v>8</v>
      </c>
      <c r="F3336" t="s">
        <v>10</v>
      </c>
      <c r="G3336" s="16">
        <v>417.06054999999998</v>
      </c>
      <c r="H3336" s="16">
        <v>479.61962999999997</v>
      </c>
      <c r="J3336">
        <v>16</v>
      </c>
      <c r="K3336" t="s">
        <v>9502</v>
      </c>
      <c r="M3336">
        <v>5</v>
      </c>
      <c r="N3336">
        <v>5</v>
      </c>
      <c r="O3336" t="s">
        <v>216</v>
      </c>
      <c r="P3336" s="17"/>
      <c r="Q3336" s="17" t="str">
        <f>_xlfn.XLOOKUP(Table2[[#This Row],[buyFromVendorNo]],'Next Day Scheduled'!A:A,'Pending Returns'!O:O,"NOT_FOUND")</f>
        <v>Posted Credit Note</v>
      </c>
    </row>
    <row r="3337" spans="1:17" x14ac:dyDescent="0.3">
      <c r="A3337" s="1">
        <v>46243</v>
      </c>
      <c r="B3337" t="s">
        <v>3467</v>
      </c>
      <c r="C3337" t="s">
        <v>6371</v>
      </c>
      <c r="D3337" t="s">
        <v>6372</v>
      </c>
      <c r="E3337" t="s">
        <v>8</v>
      </c>
      <c r="F3337" t="s">
        <v>10</v>
      </c>
      <c r="G3337" s="16">
        <v>11.1</v>
      </c>
      <c r="H3337" s="16">
        <v>12.765000000000001</v>
      </c>
      <c r="I3337" s="1">
        <v>46218</v>
      </c>
      <c r="J3337">
        <v>16</v>
      </c>
      <c r="K3337" t="s">
        <v>6877</v>
      </c>
      <c r="L3337" t="s">
        <v>9549</v>
      </c>
      <c r="M3337">
        <v>2</v>
      </c>
      <c r="N3337">
        <v>2</v>
      </c>
      <c r="O3337" t="s">
        <v>1036</v>
      </c>
      <c r="P3337" s="17"/>
      <c r="Q3337" s="17" t="str">
        <f>_xlfn.XLOOKUP(Table2[[#This Row],[buyFromVendorNo]],'Next Day Scheduled'!A:A,'Pending Returns'!O:O,"NOT_FOUND")</f>
        <v>NOT_FOUND</v>
      </c>
    </row>
    <row r="3338" spans="1:17" x14ac:dyDescent="0.3">
      <c r="A3338" s="1">
        <v>46243</v>
      </c>
      <c r="B3338" t="s">
        <v>3246</v>
      </c>
      <c r="C3338" t="s">
        <v>84</v>
      </c>
      <c r="D3338" t="s">
        <v>85</v>
      </c>
      <c r="E3338" t="s">
        <v>8</v>
      </c>
      <c r="F3338" t="s">
        <v>10</v>
      </c>
      <c r="G3338" s="16">
        <v>357.49299999999999</v>
      </c>
      <c r="H3338" s="16">
        <v>411.11694</v>
      </c>
      <c r="I3338" s="1">
        <v>46238</v>
      </c>
      <c r="J3338">
        <v>16</v>
      </c>
      <c r="K3338" t="s">
        <v>7518</v>
      </c>
      <c r="L3338" t="s">
        <v>9541</v>
      </c>
      <c r="M3338">
        <v>3</v>
      </c>
      <c r="N3338">
        <v>2</v>
      </c>
      <c r="O3338" t="s">
        <v>1036</v>
      </c>
      <c r="P3338" s="17"/>
      <c r="Q3338" s="17" t="str">
        <f>_xlfn.XLOOKUP(Table2[[#This Row],[buyFromVendorNo]],'Next Day Scheduled'!A:A,'Pending Returns'!O:O,"NOT_FOUND")</f>
        <v>NOT_FOUND</v>
      </c>
    </row>
    <row r="3339" spans="1:17" x14ac:dyDescent="0.3">
      <c r="A3339" s="1">
        <v>46243</v>
      </c>
      <c r="B3339" t="s">
        <v>348</v>
      </c>
      <c r="C3339" t="s">
        <v>118</v>
      </c>
      <c r="D3339" t="s">
        <v>119</v>
      </c>
      <c r="E3339" t="s">
        <v>8</v>
      </c>
      <c r="F3339" t="s">
        <v>10</v>
      </c>
      <c r="G3339" s="16">
        <v>117.5</v>
      </c>
      <c r="H3339" s="16">
        <v>135.125</v>
      </c>
      <c r="J3339">
        <v>16</v>
      </c>
      <c r="K3339" t="s">
        <v>9556</v>
      </c>
      <c r="M3339">
        <v>3</v>
      </c>
      <c r="N3339">
        <v>5</v>
      </c>
      <c r="O3339" t="s">
        <v>216</v>
      </c>
      <c r="P3339" s="17"/>
      <c r="Q3339" s="17" t="str">
        <f>_xlfn.XLOOKUP(Table2[[#This Row],[buyFromVendorNo]],'Next Day Scheduled'!A:A,'Pending Returns'!O:O,"NOT_FOUND")</f>
        <v>Posted Credit Note</v>
      </c>
    </row>
    <row r="3340" spans="1:17" x14ac:dyDescent="0.3">
      <c r="A3340" s="1">
        <v>46243</v>
      </c>
      <c r="B3340" t="s">
        <v>2831</v>
      </c>
      <c r="C3340" t="s">
        <v>128</v>
      </c>
      <c r="D3340" t="s">
        <v>129</v>
      </c>
      <c r="E3340" t="s">
        <v>8</v>
      </c>
      <c r="F3340" t="s">
        <v>10</v>
      </c>
      <c r="G3340" s="16">
        <v>868.36</v>
      </c>
      <c r="H3340" s="16">
        <v>998.61400000000003</v>
      </c>
      <c r="J3340">
        <v>16</v>
      </c>
      <c r="K3340" t="s">
        <v>9562</v>
      </c>
      <c r="M3340">
        <v>14</v>
      </c>
      <c r="N3340">
        <v>1</v>
      </c>
      <c r="O3340" t="s">
        <v>216</v>
      </c>
      <c r="P3340" s="17"/>
      <c r="Q3340" s="17" t="str">
        <f>_xlfn.XLOOKUP(Table2[[#This Row],[buyFromVendorNo]],'Next Day Scheduled'!A:A,'Pending Returns'!O:O,"NOT_FOUND")</f>
        <v>Posted Credit Note</v>
      </c>
    </row>
    <row r="3341" spans="1:17" x14ac:dyDescent="0.3">
      <c r="A3341" s="1">
        <v>46243</v>
      </c>
      <c r="B3341" t="s">
        <v>3333</v>
      </c>
      <c r="C3341" t="s">
        <v>2779</v>
      </c>
      <c r="D3341" t="s">
        <v>2780</v>
      </c>
      <c r="E3341" t="s">
        <v>8</v>
      </c>
      <c r="F3341" t="s">
        <v>10</v>
      </c>
      <c r="G3341" s="16">
        <v>6.66</v>
      </c>
      <c r="H3341" s="16">
        <v>7.6589999999999998</v>
      </c>
      <c r="I3341" s="1">
        <v>46229</v>
      </c>
      <c r="J3341">
        <v>16</v>
      </c>
      <c r="K3341" t="s">
        <v>7225</v>
      </c>
      <c r="L3341" t="s">
        <v>9542</v>
      </c>
      <c r="M3341">
        <v>0</v>
      </c>
      <c r="N3341">
        <v>136</v>
      </c>
      <c r="O3341" t="s">
        <v>1036</v>
      </c>
      <c r="P3341" s="17"/>
      <c r="Q3341" s="17" t="str">
        <f>_xlfn.XLOOKUP(Table2[[#This Row],[buyFromVendorNo]],'Next Day Scheduled'!A:A,'Pending Returns'!O:O,"NOT_FOUND")</f>
        <v>NOT_FOUND</v>
      </c>
    </row>
    <row r="3342" spans="1:17" x14ac:dyDescent="0.3">
      <c r="A3342" s="1">
        <v>46243</v>
      </c>
      <c r="B3342" t="s">
        <v>5241</v>
      </c>
      <c r="C3342" t="s">
        <v>323</v>
      </c>
      <c r="D3342" t="s">
        <v>324</v>
      </c>
      <c r="E3342" t="s">
        <v>8</v>
      </c>
      <c r="F3342" t="s">
        <v>10</v>
      </c>
      <c r="G3342" s="16">
        <v>840.5</v>
      </c>
      <c r="H3342" s="16">
        <v>966.57500000000005</v>
      </c>
      <c r="I3342" s="1">
        <v>46207</v>
      </c>
      <c r="J3342">
        <v>16</v>
      </c>
      <c r="K3342" t="s">
        <v>5242</v>
      </c>
      <c r="L3342" t="s">
        <v>9559</v>
      </c>
      <c r="M3342">
        <v>0</v>
      </c>
      <c r="N3342">
        <v>31</v>
      </c>
      <c r="O3342" t="s">
        <v>1036</v>
      </c>
      <c r="P3342" s="17"/>
      <c r="Q3342" s="17" t="str">
        <f>_xlfn.XLOOKUP(Table2[[#This Row],[buyFromVendorNo]],'Next Day Scheduled'!A:A,'Pending Returns'!O:O,"NOT_FOUND")</f>
        <v>NOT_FOUND</v>
      </c>
    </row>
    <row r="3343" spans="1:17" x14ac:dyDescent="0.3">
      <c r="A3343" s="1">
        <v>46243</v>
      </c>
      <c r="B3343" t="s">
        <v>3286</v>
      </c>
      <c r="C3343" t="s">
        <v>177</v>
      </c>
      <c r="D3343" t="s">
        <v>178</v>
      </c>
      <c r="E3343" t="s">
        <v>8</v>
      </c>
      <c r="F3343" t="s">
        <v>10</v>
      </c>
      <c r="G3343" s="16">
        <v>569.96</v>
      </c>
      <c r="H3343" s="16">
        <v>655.45399999999995</v>
      </c>
      <c r="J3343">
        <v>16</v>
      </c>
      <c r="K3343" t="s">
        <v>9571</v>
      </c>
      <c r="M3343">
        <v>6</v>
      </c>
      <c r="N3343">
        <v>2</v>
      </c>
      <c r="O3343" t="s">
        <v>216</v>
      </c>
      <c r="P3343" s="17"/>
      <c r="Q3343" s="17" t="str">
        <f>_xlfn.XLOOKUP(Table2[[#This Row],[buyFromVendorNo]],'Next Day Scheduled'!A:A,'Pending Returns'!O:O,"NOT_FOUND")</f>
        <v>Posted Credit Note</v>
      </c>
    </row>
    <row r="3344" spans="1:17" x14ac:dyDescent="0.3">
      <c r="A3344" s="1">
        <v>46243</v>
      </c>
      <c r="B3344" t="s">
        <v>3305</v>
      </c>
      <c r="C3344" t="s">
        <v>25</v>
      </c>
      <c r="D3344" t="s">
        <v>26</v>
      </c>
      <c r="E3344" t="s">
        <v>8</v>
      </c>
      <c r="F3344" t="s">
        <v>10</v>
      </c>
      <c r="G3344" s="16">
        <v>113.10222</v>
      </c>
      <c r="H3344" s="16">
        <v>130.06755000000001</v>
      </c>
      <c r="J3344">
        <v>16</v>
      </c>
      <c r="K3344" t="s">
        <v>9528</v>
      </c>
      <c r="M3344">
        <v>2</v>
      </c>
      <c r="N3344">
        <v>7</v>
      </c>
      <c r="O3344" t="s">
        <v>216</v>
      </c>
      <c r="P3344" s="17"/>
      <c r="Q3344" s="17" t="str">
        <f>_xlfn.XLOOKUP(Table2[[#This Row],[buyFromVendorNo]],'Next Day Scheduled'!A:A,'Pending Returns'!O:O,"NOT_FOUND")</f>
        <v>NOT_FOUND</v>
      </c>
    </row>
    <row r="3345" spans="1:17" x14ac:dyDescent="0.3">
      <c r="A3345" s="1">
        <v>46243</v>
      </c>
      <c r="B3345" t="s">
        <v>3246</v>
      </c>
      <c r="C3345" t="s">
        <v>931</v>
      </c>
      <c r="D3345" t="s">
        <v>1767</v>
      </c>
      <c r="E3345" t="s">
        <v>8</v>
      </c>
      <c r="F3345" t="s">
        <v>10</v>
      </c>
      <c r="G3345" s="16">
        <v>4000.09</v>
      </c>
      <c r="H3345" s="16">
        <v>4600.1035000000002</v>
      </c>
      <c r="J3345">
        <v>16</v>
      </c>
      <c r="K3345" t="s">
        <v>9499</v>
      </c>
      <c r="M3345">
        <v>3</v>
      </c>
      <c r="N3345">
        <v>3</v>
      </c>
      <c r="O3345" t="s">
        <v>216</v>
      </c>
      <c r="P3345" s="17"/>
      <c r="Q3345" s="17" t="str">
        <f>_xlfn.XLOOKUP(Table2[[#This Row],[buyFromVendorNo]],'Next Day Scheduled'!A:A,'Pending Returns'!O:O,"NOT_FOUND")</f>
        <v>NOT_FOUND</v>
      </c>
    </row>
    <row r="3346" spans="1:17" x14ac:dyDescent="0.3">
      <c r="A3346" s="1">
        <v>46243</v>
      </c>
      <c r="B3346" t="s">
        <v>3715</v>
      </c>
      <c r="C3346" t="s">
        <v>356</v>
      </c>
      <c r="D3346" t="s">
        <v>357</v>
      </c>
      <c r="E3346" t="s">
        <v>8</v>
      </c>
      <c r="F3346" t="s">
        <v>169</v>
      </c>
      <c r="G3346" s="16">
        <v>3.75</v>
      </c>
      <c r="H3346" s="16">
        <v>4.3125</v>
      </c>
      <c r="I3346" s="1">
        <v>46243</v>
      </c>
      <c r="J3346">
        <v>16</v>
      </c>
      <c r="K3346" t="s">
        <v>9493</v>
      </c>
      <c r="L3346" t="s">
        <v>9560</v>
      </c>
      <c r="M3346">
        <v>3</v>
      </c>
      <c r="N3346">
        <v>2</v>
      </c>
      <c r="O3346" t="s">
        <v>223</v>
      </c>
      <c r="P3346" s="17"/>
      <c r="Q3346" s="17" t="str">
        <f>_xlfn.XLOOKUP(Table2[[#This Row],[buyFromVendorNo]],'Next Day Scheduled'!A:A,'Pending Returns'!O:O,"NOT_FOUND")</f>
        <v>NOT_FOUND</v>
      </c>
    </row>
    <row r="3347" spans="1:17" x14ac:dyDescent="0.3">
      <c r="A3347" s="1">
        <v>46243</v>
      </c>
      <c r="B3347" t="s">
        <v>3421</v>
      </c>
      <c r="C3347" t="s">
        <v>2508</v>
      </c>
      <c r="D3347" t="s">
        <v>2509</v>
      </c>
      <c r="E3347" t="s">
        <v>8</v>
      </c>
      <c r="F3347" t="s">
        <v>10</v>
      </c>
      <c r="G3347" s="16">
        <v>1281.6099999999999</v>
      </c>
      <c r="H3347" s="16">
        <v>1473.8514</v>
      </c>
      <c r="I3347" s="1">
        <v>46221</v>
      </c>
      <c r="J3347">
        <v>16</v>
      </c>
      <c r="K3347" t="s">
        <v>6650</v>
      </c>
      <c r="L3347" t="s">
        <v>9537</v>
      </c>
      <c r="M3347">
        <v>0</v>
      </c>
      <c r="N3347">
        <v>167</v>
      </c>
      <c r="O3347" t="s">
        <v>1036</v>
      </c>
      <c r="P3347" s="17"/>
      <c r="Q3347" s="17" t="str">
        <f>_xlfn.XLOOKUP(Table2[[#This Row],[buyFromVendorNo]],'Next Day Scheduled'!A:A,'Pending Returns'!O:O,"NOT_FOUND")</f>
        <v>NOT_FOUND</v>
      </c>
    </row>
    <row r="3348" spans="1:17" x14ac:dyDescent="0.3">
      <c r="A3348" s="1">
        <v>46243</v>
      </c>
      <c r="B3348" t="s">
        <v>9578</v>
      </c>
      <c r="C3348" t="s">
        <v>534</v>
      </c>
      <c r="D3348" t="s">
        <v>535</v>
      </c>
      <c r="E3348" t="s">
        <v>8</v>
      </c>
      <c r="F3348" t="s">
        <v>10</v>
      </c>
      <c r="G3348" s="16">
        <v>15.73</v>
      </c>
      <c r="H3348" s="16">
        <v>18.089500000000001</v>
      </c>
      <c r="J3348">
        <v>16</v>
      </c>
      <c r="K3348" t="s">
        <v>9579</v>
      </c>
      <c r="M3348">
        <v>2</v>
      </c>
      <c r="N3348">
        <v>2</v>
      </c>
      <c r="O3348" t="s">
        <v>216</v>
      </c>
      <c r="P3348" s="17"/>
      <c r="Q3348" s="17" t="str">
        <f>_xlfn.XLOOKUP(Table2[[#This Row],[buyFromVendorNo]],'Next Day Scheduled'!A:A,'Pending Returns'!O:O,"NOT_FOUND")</f>
        <v>NOT_FOUND</v>
      </c>
    </row>
    <row r="3349" spans="1:17" x14ac:dyDescent="0.3">
      <c r="A3349" s="1">
        <v>46243</v>
      </c>
      <c r="B3349" t="s">
        <v>3391</v>
      </c>
      <c r="C3349" t="s">
        <v>173</v>
      </c>
      <c r="D3349" t="s">
        <v>174</v>
      </c>
      <c r="E3349" t="s">
        <v>8</v>
      </c>
      <c r="F3349" t="s">
        <v>10</v>
      </c>
      <c r="G3349" s="16">
        <v>2555.89</v>
      </c>
      <c r="H3349" s="16">
        <v>2939.2734</v>
      </c>
      <c r="J3349">
        <v>16</v>
      </c>
      <c r="K3349" t="s">
        <v>9510</v>
      </c>
      <c r="M3349">
        <v>8</v>
      </c>
      <c r="N3349">
        <v>1</v>
      </c>
      <c r="O3349" t="s">
        <v>216</v>
      </c>
      <c r="P3349" s="17"/>
      <c r="Q3349" s="17" t="str">
        <f>_xlfn.XLOOKUP(Table2[[#This Row],[buyFromVendorNo]],'Next Day Scheduled'!A:A,'Pending Returns'!O:O,"NOT_FOUND")</f>
        <v>NOT_FOUND</v>
      </c>
    </row>
    <row r="3350" spans="1:17" x14ac:dyDescent="0.3">
      <c r="A3350" s="1">
        <v>46243</v>
      </c>
      <c r="B3350" t="s">
        <v>2796</v>
      </c>
      <c r="C3350" t="s">
        <v>2508</v>
      </c>
      <c r="D3350" t="s">
        <v>2509</v>
      </c>
      <c r="E3350" t="s">
        <v>8</v>
      </c>
      <c r="F3350" t="s">
        <v>10</v>
      </c>
      <c r="G3350" s="16">
        <v>1248.06</v>
      </c>
      <c r="H3350" s="16">
        <v>1435.269</v>
      </c>
      <c r="I3350" s="1">
        <v>46221</v>
      </c>
      <c r="J3350">
        <v>16</v>
      </c>
      <c r="K3350" t="s">
        <v>4719</v>
      </c>
      <c r="L3350" t="s">
        <v>9539</v>
      </c>
      <c r="M3350">
        <v>0</v>
      </c>
      <c r="N3350">
        <v>167</v>
      </c>
      <c r="O3350" t="s">
        <v>1036</v>
      </c>
      <c r="P3350" s="17"/>
      <c r="Q3350" s="17" t="str">
        <f>_xlfn.XLOOKUP(Table2[[#This Row],[buyFromVendorNo]],'Next Day Scheduled'!A:A,'Pending Returns'!O:O,"NOT_FOUND")</f>
        <v>NOT_FOUND</v>
      </c>
    </row>
    <row r="3351" spans="1:17" x14ac:dyDescent="0.3">
      <c r="A3351" s="1">
        <v>46243</v>
      </c>
      <c r="B3351" t="s">
        <v>642</v>
      </c>
      <c r="C3351" t="s">
        <v>621</v>
      </c>
      <c r="D3351" t="s">
        <v>622</v>
      </c>
      <c r="E3351" t="s">
        <v>8</v>
      </c>
      <c r="F3351" t="s">
        <v>38</v>
      </c>
      <c r="G3351" s="16">
        <v>87.01</v>
      </c>
      <c r="H3351" s="16">
        <v>100.0615</v>
      </c>
      <c r="I3351" s="1">
        <v>46236</v>
      </c>
      <c r="J3351">
        <v>16</v>
      </c>
      <c r="K3351" t="s">
        <v>8793</v>
      </c>
      <c r="L3351" t="s">
        <v>9540</v>
      </c>
      <c r="M3351">
        <v>1</v>
      </c>
      <c r="N3351">
        <v>10</v>
      </c>
      <c r="O3351" t="s">
        <v>1036</v>
      </c>
      <c r="P3351" s="17"/>
      <c r="Q3351" s="17" t="str">
        <f>_xlfn.XLOOKUP(Table2[[#This Row],[buyFromVendorNo]],'Next Day Scheduled'!A:A,'Pending Returns'!O:O,"NOT_FOUND")</f>
        <v>NOT_FOUND</v>
      </c>
    </row>
    <row r="3352" spans="1:17" x14ac:dyDescent="0.3">
      <c r="A3352" s="1">
        <v>46243</v>
      </c>
      <c r="B3352" t="s">
        <v>2718</v>
      </c>
      <c r="C3352" t="s">
        <v>84</v>
      </c>
      <c r="D3352" t="s">
        <v>85</v>
      </c>
      <c r="E3352" t="s">
        <v>8</v>
      </c>
      <c r="F3352" t="s">
        <v>10</v>
      </c>
      <c r="G3352" s="16">
        <v>1519.1432</v>
      </c>
      <c r="H3352" s="16">
        <v>1747.0146</v>
      </c>
      <c r="I3352" s="1">
        <v>46238</v>
      </c>
      <c r="J3352">
        <v>16</v>
      </c>
      <c r="K3352" t="s">
        <v>4960</v>
      </c>
      <c r="L3352" t="s">
        <v>9534</v>
      </c>
      <c r="M3352">
        <v>3</v>
      </c>
      <c r="N3352">
        <v>2</v>
      </c>
      <c r="O3352" t="s">
        <v>1036</v>
      </c>
      <c r="P3352" s="17"/>
      <c r="Q3352" s="17" t="str">
        <f>_xlfn.XLOOKUP(Table2[[#This Row],[buyFromVendorNo]],'Next Day Scheduled'!A:A,'Pending Returns'!O:O,"NOT_FOUND")</f>
        <v>NOT_FOUND</v>
      </c>
    </row>
    <row r="3353" spans="1:17" x14ac:dyDescent="0.3">
      <c r="A3353" s="1">
        <v>46243</v>
      </c>
      <c r="B3353" t="s">
        <v>3244</v>
      </c>
      <c r="C3353" t="s">
        <v>951</v>
      </c>
      <c r="D3353" t="s">
        <v>952</v>
      </c>
      <c r="E3353" t="s">
        <v>8</v>
      </c>
      <c r="F3353" t="s">
        <v>10</v>
      </c>
      <c r="G3353" s="16">
        <v>377.11124000000001</v>
      </c>
      <c r="H3353" s="16">
        <v>433.67791999999997</v>
      </c>
      <c r="I3353" s="1">
        <v>46243</v>
      </c>
      <c r="J3353">
        <v>16</v>
      </c>
      <c r="K3353" t="s">
        <v>5480</v>
      </c>
      <c r="L3353" t="s">
        <v>9480</v>
      </c>
      <c r="M3353">
        <v>2</v>
      </c>
      <c r="N3353">
        <v>1</v>
      </c>
      <c r="O3353" t="s">
        <v>223</v>
      </c>
      <c r="P3353" s="17"/>
      <c r="Q3353" s="17" t="str">
        <f>_xlfn.XLOOKUP(Table2[[#This Row],[buyFromVendorNo]],'Next Day Scheduled'!A:A,'Pending Returns'!O:O,"NOT_FOUND")</f>
        <v>NOT_FOUND</v>
      </c>
    </row>
    <row r="3354" spans="1:17" x14ac:dyDescent="0.3">
      <c r="A3354" s="1">
        <v>46243</v>
      </c>
      <c r="B3354" t="s">
        <v>8063</v>
      </c>
      <c r="C3354" t="s">
        <v>843</v>
      </c>
      <c r="D3354" t="s">
        <v>844</v>
      </c>
      <c r="E3354" t="s">
        <v>8</v>
      </c>
      <c r="F3354" t="s">
        <v>10</v>
      </c>
      <c r="G3354" s="16">
        <v>33</v>
      </c>
      <c r="H3354" s="16">
        <v>37.950000000000003</v>
      </c>
      <c r="J3354">
        <v>16</v>
      </c>
      <c r="K3354" t="s">
        <v>9567</v>
      </c>
      <c r="M3354">
        <v>0</v>
      </c>
      <c r="N3354">
        <v>310</v>
      </c>
      <c r="O3354" t="s">
        <v>216</v>
      </c>
      <c r="P3354" s="17"/>
      <c r="Q3354" s="17" t="str">
        <f>_xlfn.XLOOKUP(Table2[[#This Row],[buyFromVendorNo]],'Next Day Scheduled'!A:A,'Pending Returns'!O:O,"NOT_FOUND")</f>
        <v>NOT_FOUND</v>
      </c>
    </row>
    <row r="3355" spans="1:17" x14ac:dyDescent="0.3">
      <c r="A3355" s="1">
        <v>46243</v>
      </c>
      <c r="B3355" t="s">
        <v>428</v>
      </c>
      <c r="C3355" t="s">
        <v>329</v>
      </c>
      <c r="D3355" t="s">
        <v>320</v>
      </c>
      <c r="E3355" t="s">
        <v>8</v>
      </c>
      <c r="F3355" t="s">
        <v>38</v>
      </c>
      <c r="G3355" s="16">
        <v>326</v>
      </c>
      <c r="H3355" s="16">
        <v>374.9</v>
      </c>
      <c r="I3355" s="1">
        <v>46243</v>
      </c>
      <c r="J3355">
        <v>16</v>
      </c>
      <c r="K3355" t="s">
        <v>7863</v>
      </c>
      <c r="L3355" t="s">
        <v>9550</v>
      </c>
      <c r="M3355">
        <v>2</v>
      </c>
      <c r="N3355">
        <v>2</v>
      </c>
      <c r="O3355" t="s">
        <v>1036</v>
      </c>
      <c r="P3355" s="17"/>
      <c r="Q3355" s="17" t="str">
        <f>_xlfn.XLOOKUP(Table2[[#This Row],[buyFromVendorNo]],'Next Day Scheduled'!A:A,'Pending Returns'!O:O,"NOT_FOUND")</f>
        <v>NOT_FOUND</v>
      </c>
    </row>
    <row r="3356" spans="1:17" x14ac:dyDescent="0.3">
      <c r="A3356" s="1">
        <v>46243</v>
      </c>
      <c r="B3356" t="s">
        <v>1435</v>
      </c>
      <c r="C3356" t="s">
        <v>53</v>
      </c>
      <c r="D3356" t="s">
        <v>54</v>
      </c>
      <c r="E3356" t="s">
        <v>8</v>
      </c>
      <c r="F3356" t="s">
        <v>10</v>
      </c>
      <c r="G3356" s="16">
        <v>357.625</v>
      </c>
      <c r="H3356" s="16">
        <v>411.26873999999998</v>
      </c>
      <c r="J3356">
        <v>16</v>
      </c>
      <c r="K3356" t="s">
        <v>9557</v>
      </c>
      <c r="M3356">
        <v>10</v>
      </c>
      <c r="N3356">
        <v>1</v>
      </c>
      <c r="O3356" t="s">
        <v>216</v>
      </c>
      <c r="P3356" s="17"/>
      <c r="Q3356" s="17" t="str">
        <f>_xlfn.XLOOKUP(Table2[[#This Row],[buyFromVendorNo]],'Next Day Scheduled'!A:A,'Pending Returns'!O:O,"NOT_FOUND")</f>
        <v>Posted Credit Note</v>
      </c>
    </row>
    <row r="3357" spans="1:17" x14ac:dyDescent="0.3">
      <c r="A3357" s="1">
        <v>46243</v>
      </c>
      <c r="B3357" t="s">
        <v>7198</v>
      </c>
      <c r="C3357" t="s">
        <v>5416</v>
      </c>
      <c r="D3357" t="s">
        <v>5417</v>
      </c>
      <c r="E3357" t="s">
        <v>8</v>
      </c>
      <c r="F3357" t="s">
        <v>10</v>
      </c>
      <c r="G3357" s="16">
        <v>31.652170000000002</v>
      </c>
      <c r="H3357" s="16">
        <v>36.4</v>
      </c>
      <c r="J3357">
        <v>16</v>
      </c>
      <c r="K3357" t="s">
        <v>9568</v>
      </c>
      <c r="M3357">
        <v>1</v>
      </c>
      <c r="N3357">
        <v>12</v>
      </c>
      <c r="O3357" t="s">
        <v>216</v>
      </c>
      <c r="P3357" s="17"/>
      <c r="Q3357" s="17" t="str">
        <f>_xlfn.XLOOKUP(Table2[[#This Row],[buyFromVendorNo]],'Next Day Scheduled'!A:A,'Pending Returns'!O:O,"NOT_FOUND")</f>
        <v>NOT_FOUND</v>
      </c>
    </row>
    <row r="3358" spans="1:17" x14ac:dyDescent="0.3">
      <c r="A3358" s="1">
        <v>46243</v>
      </c>
      <c r="B3358" t="s">
        <v>7094</v>
      </c>
      <c r="C3358" t="s">
        <v>635</v>
      </c>
      <c r="D3358" t="s">
        <v>636</v>
      </c>
      <c r="E3358" t="s">
        <v>8</v>
      </c>
      <c r="F3358" t="s">
        <v>10</v>
      </c>
      <c r="G3358" s="16">
        <v>40.833379999999998</v>
      </c>
      <c r="H3358" s="16">
        <v>46.958390000000001</v>
      </c>
      <c r="I3358" s="1">
        <v>46236</v>
      </c>
      <c r="J3358">
        <v>16</v>
      </c>
      <c r="K3358" t="s">
        <v>8441</v>
      </c>
      <c r="L3358" t="s">
        <v>9482</v>
      </c>
      <c r="M3358">
        <v>2</v>
      </c>
      <c r="N3358">
        <v>2</v>
      </c>
      <c r="O3358" t="s">
        <v>1036</v>
      </c>
      <c r="P3358" s="17"/>
      <c r="Q3358" s="17" t="str">
        <f>_xlfn.XLOOKUP(Table2[[#This Row],[buyFromVendorNo]],'Next Day Scheduled'!A:A,'Pending Returns'!O:O,"NOT_FOUND")</f>
        <v>NOT_FOUND</v>
      </c>
    </row>
    <row r="3359" spans="1:17" x14ac:dyDescent="0.3">
      <c r="A3359" s="1">
        <v>46243</v>
      </c>
      <c r="B3359" t="s">
        <v>3313</v>
      </c>
      <c r="C3359" t="s">
        <v>931</v>
      </c>
      <c r="D3359" t="s">
        <v>1767</v>
      </c>
      <c r="E3359" t="s">
        <v>8</v>
      </c>
      <c r="F3359" t="s">
        <v>10</v>
      </c>
      <c r="G3359" s="16">
        <v>756.65</v>
      </c>
      <c r="H3359" s="16">
        <v>870.14750000000004</v>
      </c>
      <c r="I3359" s="1">
        <v>46243</v>
      </c>
      <c r="J3359">
        <v>16</v>
      </c>
      <c r="K3359" t="s">
        <v>9066</v>
      </c>
      <c r="L3359" t="s">
        <v>9477</v>
      </c>
      <c r="M3359">
        <v>3</v>
      </c>
      <c r="N3359">
        <v>3</v>
      </c>
      <c r="O3359" t="s">
        <v>223</v>
      </c>
      <c r="P3359" s="17"/>
      <c r="Q3359" s="17" t="str">
        <f>_xlfn.XLOOKUP(Table2[[#This Row],[buyFromVendorNo]],'Next Day Scheduled'!A:A,'Pending Returns'!O:O,"NOT_FOUND")</f>
        <v>NOT_FOUND</v>
      </c>
    </row>
    <row r="3360" spans="1:17" x14ac:dyDescent="0.3">
      <c r="A3360" s="1">
        <v>46243</v>
      </c>
      <c r="B3360" t="s">
        <v>3250</v>
      </c>
      <c r="C3360" t="s">
        <v>951</v>
      </c>
      <c r="D3360" t="s">
        <v>952</v>
      </c>
      <c r="E3360" t="s">
        <v>8</v>
      </c>
      <c r="F3360" t="s">
        <v>10</v>
      </c>
      <c r="G3360" s="16">
        <v>140.62375</v>
      </c>
      <c r="H3360" s="16">
        <v>161.71732</v>
      </c>
      <c r="I3360" s="1">
        <v>46243</v>
      </c>
      <c r="J3360">
        <v>16</v>
      </c>
      <c r="K3360" t="s">
        <v>6921</v>
      </c>
      <c r="L3360" t="s">
        <v>9478</v>
      </c>
      <c r="M3360">
        <v>2</v>
      </c>
      <c r="N3360">
        <v>1</v>
      </c>
      <c r="O3360" t="s">
        <v>223</v>
      </c>
      <c r="P3360" s="17"/>
      <c r="Q3360" s="17" t="str">
        <f>_xlfn.XLOOKUP(Table2[[#This Row],[buyFromVendorNo]],'Next Day Scheduled'!A:A,'Pending Returns'!O:O,"NOT_FOUND")</f>
        <v>NOT_FOUND</v>
      </c>
    </row>
    <row r="3361" spans="1:17" x14ac:dyDescent="0.3">
      <c r="A3361" s="1">
        <v>46243</v>
      </c>
      <c r="B3361" t="s">
        <v>7115</v>
      </c>
      <c r="C3361" t="s">
        <v>966</v>
      </c>
      <c r="D3361" t="s">
        <v>967</v>
      </c>
      <c r="E3361" t="s">
        <v>8</v>
      </c>
      <c r="F3361" t="s">
        <v>10</v>
      </c>
      <c r="G3361" s="16">
        <v>496.27</v>
      </c>
      <c r="H3361" s="16">
        <v>570.71050000000002</v>
      </c>
      <c r="I3361" s="1">
        <v>46221</v>
      </c>
      <c r="J3361">
        <v>16</v>
      </c>
      <c r="K3361" t="s">
        <v>7116</v>
      </c>
      <c r="L3361" t="s">
        <v>9551</v>
      </c>
      <c r="M3361">
        <v>1</v>
      </c>
      <c r="N3361">
        <v>10</v>
      </c>
      <c r="O3361" t="s">
        <v>1036</v>
      </c>
      <c r="P3361" s="17"/>
      <c r="Q3361" s="17" t="str">
        <f>_xlfn.XLOOKUP(Table2[[#This Row],[buyFromVendorNo]],'Next Day Scheduled'!A:A,'Pending Returns'!O:O,"NOT_FOUND")</f>
        <v>NOT_FOUND</v>
      </c>
    </row>
    <row r="3362" spans="1:17" x14ac:dyDescent="0.3">
      <c r="A3362" s="1">
        <v>46243</v>
      </c>
      <c r="B3362" t="s">
        <v>2632</v>
      </c>
      <c r="C3362" t="s">
        <v>34</v>
      </c>
      <c r="D3362" t="s">
        <v>35</v>
      </c>
      <c r="E3362" t="s">
        <v>8</v>
      </c>
      <c r="F3362" t="s">
        <v>10</v>
      </c>
      <c r="G3362" s="16">
        <v>2003.8325</v>
      </c>
      <c r="H3362" s="16">
        <v>2304.4074999999998</v>
      </c>
      <c r="I3362" s="1">
        <v>46232</v>
      </c>
      <c r="J3362">
        <v>16</v>
      </c>
      <c r="K3362" t="s">
        <v>8203</v>
      </c>
      <c r="L3362" t="s">
        <v>9576</v>
      </c>
      <c r="M3362">
        <v>2</v>
      </c>
      <c r="N3362">
        <v>8</v>
      </c>
      <c r="O3362" t="s">
        <v>1036</v>
      </c>
      <c r="P3362" s="17"/>
      <c r="Q3362" s="17" t="str">
        <f>_xlfn.XLOOKUP(Table2[[#This Row],[buyFromVendorNo]],'Next Day Scheduled'!A:A,'Pending Returns'!O:O,"NOT_FOUND")</f>
        <v>Posted Credit Note</v>
      </c>
    </row>
    <row r="3363" spans="1:17" x14ac:dyDescent="0.3">
      <c r="A3363" s="1">
        <v>46243</v>
      </c>
      <c r="B3363" t="s">
        <v>1490</v>
      </c>
      <c r="C3363" t="s">
        <v>2779</v>
      </c>
      <c r="D3363" t="s">
        <v>2780</v>
      </c>
      <c r="E3363" t="s">
        <v>8</v>
      </c>
      <c r="F3363" t="s">
        <v>10</v>
      </c>
      <c r="G3363" s="16">
        <v>23.31</v>
      </c>
      <c r="H3363" s="16">
        <v>26.8065</v>
      </c>
      <c r="I3363" s="1">
        <v>46229</v>
      </c>
      <c r="J3363">
        <v>16</v>
      </c>
      <c r="K3363" t="s">
        <v>7029</v>
      </c>
      <c r="L3363" t="s">
        <v>9548</v>
      </c>
      <c r="M3363">
        <v>0</v>
      </c>
      <c r="N3363">
        <v>136</v>
      </c>
      <c r="O3363" t="s">
        <v>1036</v>
      </c>
      <c r="P3363" s="17"/>
      <c r="Q3363" s="17" t="str">
        <f>_xlfn.XLOOKUP(Table2[[#This Row],[buyFromVendorNo]],'Next Day Scheduled'!A:A,'Pending Returns'!O:O,"NOT_FOUND")</f>
        <v>NOT_FOUND</v>
      </c>
    </row>
    <row r="3364" spans="1:17" x14ac:dyDescent="0.3">
      <c r="A3364" s="1">
        <v>46243</v>
      </c>
      <c r="B3364" t="s">
        <v>5609</v>
      </c>
      <c r="C3364" t="s">
        <v>356</v>
      </c>
      <c r="D3364" t="s">
        <v>357</v>
      </c>
      <c r="E3364" t="s">
        <v>8</v>
      </c>
      <c r="F3364" t="s">
        <v>169</v>
      </c>
      <c r="G3364" s="16">
        <v>57.2</v>
      </c>
      <c r="H3364" s="16">
        <v>65.78</v>
      </c>
      <c r="I3364" s="1">
        <v>46243</v>
      </c>
      <c r="J3364">
        <v>16</v>
      </c>
      <c r="K3364" t="s">
        <v>9339</v>
      </c>
      <c r="L3364" t="s">
        <v>9566</v>
      </c>
      <c r="M3364">
        <v>3</v>
      </c>
      <c r="N3364">
        <v>2</v>
      </c>
      <c r="O3364" t="s">
        <v>223</v>
      </c>
      <c r="P3364" s="17"/>
      <c r="Q3364" s="17" t="str">
        <f>_xlfn.XLOOKUP(Table2[[#This Row],[buyFromVendorNo]],'Next Day Scheduled'!A:A,'Pending Returns'!O:O,"NOT_FOUND")</f>
        <v>NOT_FOUND</v>
      </c>
    </row>
    <row r="3365" spans="1:17" x14ac:dyDescent="0.3">
      <c r="A3365" s="1">
        <v>46243</v>
      </c>
      <c r="B3365" t="s">
        <v>1993</v>
      </c>
      <c r="C3365" t="s">
        <v>22</v>
      </c>
      <c r="D3365" t="s">
        <v>23</v>
      </c>
      <c r="E3365" t="s">
        <v>8</v>
      </c>
      <c r="F3365" t="s">
        <v>10</v>
      </c>
      <c r="G3365" s="16">
        <v>7677</v>
      </c>
      <c r="H3365" s="16">
        <v>8828.5499999999993</v>
      </c>
      <c r="J3365">
        <v>16</v>
      </c>
      <c r="K3365" t="s">
        <v>9526</v>
      </c>
      <c r="M3365">
        <v>0</v>
      </c>
      <c r="N3365">
        <v>177</v>
      </c>
      <c r="O3365" t="s">
        <v>216</v>
      </c>
      <c r="P3365" s="17"/>
      <c r="Q3365" s="17" t="str">
        <f>_xlfn.XLOOKUP(Table2[[#This Row],[buyFromVendorNo]],'Next Day Scheduled'!A:A,'Pending Returns'!O:O,"NOT_FOUND")</f>
        <v>NOT_FOUND</v>
      </c>
    </row>
    <row r="3366" spans="1:17" x14ac:dyDescent="0.3">
      <c r="A3366" s="1">
        <v>46243</v>
      </c>
      <c r="B3366" t="s">
        <v>8945</v>
      </c>
      <c r="C3366" t="s">
        <v>2359</v>
      </c>
      <c r="D3366" t="s">
        <v>2360</v>
      </c>
      <c r="E3366" t="s">
        <v>8</v>
      </c>
      <c r="F3366" t="s">
        <v>10</v>
      </c>
      <c r="G3366" s="16">
        <v>67.5</v>
      </c>
      <c r="H3366" s="16">
        <v>77.625</v>
      </c>
      <c r="I3366" s="1">
        <v>46238</v>
      </c>
      <c r="J3366">
        <v>16</v>
      </c>
      <c r="K3366" t="s">
        <v>8946</v>
      </c>
      <c r="L3366" t="s">
        <v>9544</v>
      </c>
      <c r="M3366">
        <v>0</v>
      </c>
      <c r="N3366">
        <v>22</v>
      </c>
      <c r="O3366" t="s">
        <v>1036</v>
      </c>
      <c r="P3366" s="17"/>
      <c r="Q3366" s="17" t="str">
        <f>_xlfn.XLOOKUP(Table2[[#This Row],[buyFromVendorNo]],'Next Day Scheduled'!A:A,'Pending Returns'!O:O,"NOT_FOUND")</f>
        <v>NOT_FOUND</v>
      </c>
    </row>
    <row r="3367" spans="1:17" x14ac:dyDescent="0.3">
      <c r="A3367" s="1">
        <v>46243</v>
      </c>
      <c r="B3367" t="s">
        <v>1697</v>
      </c>
      <c r="C3367" t="s">
        <v>880</v>
      </c>
      <c r="D3367" t="s">
        <v>881</v>
      </c>
      <c r="E3367" t="s">
        <v>8</v>
      </c>
      <c r="F3367" t="s">
        <v>10</v>
      </c>
      <c r="G3367" s="16">
        <v>207.16</v>
      </c>
      <c r="H3367" s="16">
        <v>238.23400000000001</v>
      </c>
      <c r="I3367" s="1">
        <v>46243</v>
      </c>
      <c r="J3367">
        <v>16</v>
      </c>
      <c r="K3367" t="s">
        <v>9318</v>
      </c>
      <c r="L3367" t="s">
        <v>9545</v>
      </c>
      <c r="M3367">
        <v>1</v>
      </c>
      <c r="N3367">
        <v>13</v>
      </c>
      <c r="O3367" t="s">
        <v>1036</v>
      </c>
      <c r="P3367" s="17"/>
      <c r="Q3367" s="17" t="str">
        <f>_xlfn.XLOOKUP(Table2[[#This Row],[buyFromVendorNo]],'Next Day Scheduled'!A:A,'Pending Returns'!O:O,"NOT_FOUND")</f>
        <v>NOT_FOUND</v>
      </c>
    </row>
    <row r="3368" spans="1:17" x14ac:dyDescent="0.3">
      <c r="A3368" s="1">
        <v>46243</v>
      </c>
      <c r="B3368" t="s">
        <v>7055</v>
      </c>
      <c r="C3368" t="s">
        <v>2963</v>
      </c>
      <c r="D3368" t="s">
        <v>2964</v>
      </c>
      <c r="E3368" t="s">
        <v>8</v>
      </c>
      <c r="F3368" t="s">
        <v>10</v>
      </c>
      <c r="G3368" s="16">
        <v>656.5376</v>
      </c>
      <c r="H3368" s="16">
        <v>755.01819999999998</v>
      </c>
      <c r="J3368">
        <v>16</v>
      </c>
      <c r="K3368" t="s">
        <v>9581</v>
      </c>
      <c r="M3368">
        <v>0</v>
      </c>
      <c r="N3368">
        <v>184</v>
      </c>
      <c r="O3368" t="s">
        <v>216</v>
      </c>
      <c r="P3368" s="17"/>
      <c r="Q3368" s="17" t="str">
        <f>_xlfn.XLOOKUP(Table2[[#This Row],[buyFromVendorNo]],'Next Day Scheduled'!A:A,'Pending Returns'!O:O,"NOT_FOUND")</f>
        <v>NOT_FOUND</v>
      </c>
    </row>
    <row r="3369" spans="1:17" x14ac:dyDescent="0.3">
      <c r="A3369" s="1">
        <v>46243</v>
      </c>
      <c r="B3369" t="s">
        <v>3304</v>
      </c>
      <c r="C3369" t="s">
        <v>9359</v>
      </c>
      <c r="D3369" t="s">
        <v>9360</v>
      </c>
      <c r="E3369" t="s">
        <v>8</v>
      </c>
      <c r="F3369" t="s">
        <v>10</v>
      </c>
      <c r="G3369" s="16">
        <v>3.66</v>
      </c>
      <c r="H3369" s="16">
        <v>4.2089999999999996</v>
      </c>
      <c r="I3369" s="1">
        <v>46243</v>
      </c>
      <c r="J3369">
        <v>16</v>
      </c>
      <c r="K3369" t="s">
        <v>9418</v>
      </c>
      <c r="L3369" t="s">
        <v>9538</v>
      </c>
      <c r="M3369">
        <v>2</v>
      </c>
      <c r="N3369">
        <v>6</v>
      </c>
      <c r="O3369" t="s">
        <v>1036</v>
      </c>
      <c r="P3369" s="17"/>
      <c r="Q3369" s="17" t="str">
        <f>_xlfn.XLOOKUP(Table2[[#This Row],[buyFromVendorNo]],'Next Day Scheduled'!A:A,'Pending Returns'!O:O,"NOT_FOUND")</f>
        <v>NOT_FOUND</v>
      </c>
    </row>
    <row r="3370" spans="1:17" x14ac:dyDescent="0.3">
      <c r="A3370" s="1">
        <v>46243</v>
      </c>
      <c r="B3370" t="s">
        <v>3257</v>
      </c>
      <c r="C3370" t="s">
        <v>5199</v>
      </c>
      <c r="D3370" t="s">
        <v>5200</v>
      </c>
      <c r="E3370" t="s">
        <v>8</v>
      </c>
      <c r="F3370" t="s">
        <v>10</v>
      </c>
      <c r="G3370" s="16">
        <v>19.166640000000001</v>
      </c>
      <c r="H3370" s="16">
        <v>22.041640000000001</v>
      </c>
      <c r="J3370">
        <v>16</v>
      </c>
      <c r="K3370" t="s">
        <v>9494</v>
      </c>
      <c r="M3370">
        <v>0</v>
      </c>
      <c r="N3370">
        <v>24</v>
      </c>
      <c r="O3370" t="s">
        <v>216</v>
      </c>
      <c r="P3370" s="17"/>
      <c r="Q3370" s="17" t="str">
        <f>_xlfn.XLOOKUP(Table2[[#This Row],[buyFromVendorNo]],'Next Day Scheduled'!A:A,'Pending Returns'!O:O,"NOT_FOUND")</f>
        <v>Posted Credit Note</v>
      </c>
    </row>
    <row r="3371" spans="1:17" x14ac:dyDescent="0.3">
      <c r="A3371" s="1">
        <v>46243</v>
      </c>
      <c r="B3371" t="s">
        <v>2591</v>
      </c>
      <c r="C3371" t="s">
        <v>804</v>
      </c>
      <c r="D3371" t="s">
        <v>805</v>
      </c>
      <c r="E3371" t="s">
        <v>8</v>
      </c>
      <c r="F3371" t="s">
        <v>10</v>
      </c>
      <c r="G3371" s="16">
        <v>74.12</v>
      </c>
      <c r="H3371" s="16">
        <v>85.238</v>
      </c>
      <c r="J3371">
        <v>16</v>
      </c>
      <c r="K3371" t="s">
        <v>9501</v>
      </c>
      <c r="M3371">
        <v>0</v>
      </c>
      <c r="N3371">
        <v>206</v>
      </c>
      <c r="O3371" t="s">
        <v>216</v>
      </c>
      <c r="P3371" s="17"/>
      <c r="Q3371" s="17" t="str">
        <f>_xlfn.XLOOKUP(Table2[[#This Row],[buyFromVendorNo]],'Next Day Scheduled'!A:A,'Pending Returns'!O:O,"NOT_FOUND")</f>
        <v>NOT_FOUND</v>
      </c>
    </row>
    <row r="3372" spans="1:17" x14ac:dyDescent="0.3">
      <c r="A3372" s="1">
        <v>46243</v>
      </c>
      <c r="B3372" t="s">
        <v>6313</v>
      </c>
      <c r="C3372" t="s">
        <v>2508</v>
      </c>
      <c r="D3372" t="s">
        <v>2509</v>
      </c>
      <c r="E3372" t="s">
        <v>8</v>
      </c>
      <c r="F3372" t="s">
        <v>10</v>
      </c>
      <c r="G3372" s="16">
        <v>1026.6300000000001</v>
      </c>
      <c r="H3372" s="16">
        <v>1180.6244999999999</v>
      </c>
      <c r="I3372" s="1">
        <v>46221</v>
      </c>
      <c r="J3372">
        <v>16</v>
      </c>
      <c r="K3372" t="s">
        <v>5408</v>
      </c>
      <c r="L3372" t="s">
        <v>9546</v>
      </c>
      <c r="M3372">
        <v>0</v>
      </c>
      <c r="N3372">
        <v>167</v>
      </c>
      <c r="O3372" t="s">
        <v>1036</v>
      </c>
      <c r="P3372" s="17"/>
      <c r="Q3372" s="17" t="str">
        <f>_xlfn.XLOOKUP(Table2[[#This Row],[buyFromVendorNo]],'Next Day Scheduled'!A:A,'Pending Returns'!O:O,"NOT_FOUND")</f>
        <v>NOT_FOUND</v>
      </c>
    </row>
    <row r="3373" spans="1:17" x14ac:dyDescent="0.3">
      <c r="A3373" s="1">
        <v>46243</v>
      </c>
      <c r="B3373" t="s">
        <v>3574</v>
      </c>
      <c r="C3373" t="s">
        <v>2508</v>
      </c>
      <c r="D3373" t="s">
        <v>2509</v>
      </c>
      <c r="E3373" t="s">
        <v>8</v>
      </c>
      <c r="F3373" t="s">
        <v>10</v>
      </c>
      <c r="G3373" s="16">
        <v>120.78</v>
      </c>
      <c r="H3373" s="16">
        <v>138.89699999999999</v>
      </c>
      <c r="I3373" s="1">
        <v>46221</v>
      </c>
      <c r="J3373">
        <v>16</v>
      </c>
      <c r="K3373" t="s">
        <v>7380</v>
      </c>
      <c r="L3373" t="s">
        <v>9547</v>
      </c>
      <c r="M3373">
        <v>0</v>
      </c>
      <c r="N3373">
        <v>167</v>
      </c>
      <c r="O3373" t="s">
        <v>1036</v>
      </c>
      <c r="P3373" s="17"/>
      <c r="Q3373" s="17" t="str">
        <f>_xlfn.XLOOKUP(Table2[[#This Row],[buyFromVendorNo]],'Next Day Scheduled'!A:A,'Pending Returns'!O:O,"NOT_FOUND")</f>
        <v>NOT_FOUND</v>
      </c>
    </row>
    <row r="3374" spans="1:17" x14ac:dyDescent="0.3">
      <c r="A3374" s="1">
        <v>46243</v>
      </c>
      <c r="B3374" t="s">
        <v>8222</v>
      </c>
      <c r="C3374" t="s">
        <v>7129</v>
      </c>
      <c r="D3374" t="s">
        <v>7130</v>
      </c>
      <c r="E3374" t="s">
        <v>8</v>
      </c>
      <c r="F3374" t="s">
        <v>10</v>
      </c>
      <c r="G3374" s="16">
        <v>3.5</v>
      </c>
      <c r="H3374" s="16">
        <v>4.0250000000000004</v>
      </c>
      <c r="J3374">
        <v>16</v>
      </c>
      <c r="K3374" t="s">
        <v>9495</v>
      </c>
      <c r="M3374">
        <v>1</v>
      </c>
      <c r="N3374">
        <v>16</v>
      </c>
      <c r="O3374" t="s">
        <v>216</v>
      </c>
      <c r="P3374" s="17"/>
      <c r="Q3374" s="17" t="str">
        <f>_xlfn.XLOOKUP(Table2[[#This Row],[buyFromVendorNo]],'Next Day Scheduled'!A:A,'Pending Returns'!O:O,"NOT_FOUND")</f>
        <v>NOT_FOUND</v>
      </c>
    </row>
    <row r="3375" spans="1:17" x14ac:dyDescent="0.3">
      <c r="A3375" s="1">
        <v>46243</v>
      </c>
      <c r="B3375" t="s">
        <v>3564</v>
      </c>
      <c r="C3375" t="s">
        <v>197</v>
      </c>
      <c r="D3375" t="s">
        <v>198</v>
      </c>
      <c r="E3375" t="s">
        <v>8</v>
      </c>
      <c r="F3375" t="s">
        <v>10</v>
      </c>
      <c r="G3375" s="16">
        <v>1212.1086</v>
      </c>
      <c r="H3375" s="16">
        <v>1393.9249</v>
      </c>
      <c r="J3375">
        <v>16</v>
      </c>
      <c r="K3375" t="s">
        <v>9521</v>
      </c>
      <c r="M3375">
        <v>2</v>
      </c>
      <c r="N3375">
        <v>5</v>
      </c>
      <c r="O3375" t="s">
        <v>216</v>
      </c>
      <c r="P3375" s="17"/>
      <c r="Q3375" s="17" t="str">
        <f>_xlfn.XLOOKUP(Table2[[#This Row],[buyFromVendorNo]],'Next Day Scheduled'!A:A,'Pending Returns'!O:O,"NOT_FOUND")</f>
        <v>NOT_FOUND</v>
      </c>
    </row>
    <row r="3376" spans="1:17" x14ac:dyDescent="0.3">
      <c r="A3376" s="1">
        <v>46243</v>
      </c>
      <c r="B3376" t="s">
        <v>3274</v>
      </c>
      <c r="C3376" t="s">
        <v>6178</v>
      </c>
      <c r="D3376" t="s">
        <v>6261</v>
      </c>
      <c r="E3376" t="s">
        <v>8</v>
      </c>
      <c r="F3376" t="s">
        <v>10</v>
      </c>
      <c r="G3376" s="16">
        <v>53</v>
      </c>
      <c r="H3376" s="16">
        <v>60.95</v>
      </c>
      <c r="J3376">
        <v>16</v>
      </c>
      <c r="K3376" t="s">
        <v>9524</v>
      </c>
      <c r="M3376">
        <v>3</v>
      </c>
      <c r="N3376">
        <v>1</v>
      </c>
      <c r="O3376" t="s">
        <v>216</v>
      </c>
      <c r="P3376" s="17"/>
      <c r="Q3376" s="17" t="str">
        <f>_xlfn.XLOOKUP(Table2[[#This Row],[buyFromVendorNo]],'Next Day Scheduled'!A:A,'Pending Returns'!O:O,"NOT_FOUND")</f>
        <v>NOT_FOUND</v>
      </c>
    </row>
    <row r="3377" spans="1:17" x14ac:dyDescent="0.3">
      <c r="A3377" s="1">
        <v>46243</v>
      </c>
      <c r="B3377" t="s">
        <v>4084</v>
      </c>
      <c r="C3377" t="s">
        <v>494</v>
      </c>
      <c r="D3377" t="s">
        <v>495</v>
      </c>
      <c r="E3377" t="s">
        <v>8</v>
      </c>
      <c r="F3377" t="s">
        <v>10</v>
      </c>
      <c r="G3377" s="16">
        <v>897.67</v>
      </c>
      <c r="H3377" s="16">
        <v>1032.3206</v>
      </c>
      <c r="J3377">
        <v>16</v>
      </c>
      <c r="K3377" t="s">
        <v>9530</v>
      </c>
      <c r="M3377">
        <v>2</v>
      </c>
      <c r="N3377">
        <v>7</v>
      </c>
      <c r="O3377" t="s">
        <v>216</v>
      </c>
      <c r="P3377" s="17"/>
      <c r="Q3377" s="17" t="str">
        <f>_xlfn.XLOOKUP(Table2[[#This Row],[buyFromVendorNo]],'Next Day Scheduled'!A:A,'Pending Returns'!O:O,"NOT_FOUND")</f>
        <v>Posted Credit Note</v>
      </c>
    </row>
    <row r="3378" spans="1:17" x14ac:dyDescent="0.3">
      <c r="A3378" s="1">
        <v>46243</v>
      </c>
      <c r="B3378" t="s">
        <v>8585</v>
      </c>
      <c r="C3378" t="s">
        <v>929</v>
      </c>
      <c r="D3378" t="s">
        <v>930</v>
      </c>
      <c r="E3378" t="s">
        <v>8</v>
      </c>
      <c r="F3378" t="s">
        <v>10</v>
      </c>
      <c r="G3378" s="16">
        <v>535.82629999999995</v>
      </c>
      <c r="H3378" s="16">
        <v>616.20025999999996</v>
      </c>
      <c r="I3378" s="1">
        <v>46232</v>
      </c>
      <c r="J3378">
        <v>16</v>
      </c>
      <c r="K3378" t="s">
        <v>8572</v>
      </c>
      <c r="L3378" t="s">
        <v>9552</v>
      </c>
      <c r="M3378">
        <v>2</v>
      </c>
      <c r="N3378">
        <v>8</v>
      </c>
      <c r="O3378" t="s">
        <v>1036</v>
      </c>
      <c r="P3378" s="17"/>
      <c r="Q3378" s="17" t="str">
        <f>_xlfn.XLOOKUP(Table2[[#This Row],[buyFromVendorNo]],'Next Day Scheduled'!A:A,'Pending Returns'!O:O,"NOT_FOUND")</f>
        <v>NOT_FOUND</v>
      </c>
    </row>
    <row r="3379" spans="1:17" x14ac:dyDescent="0.3">
      <c r="A3379" s="1">
        <v>46243</v>
      </c>
      <c r="B3379" t="s">
        <v>3515</v>
      </c>
      <c r="C3379" t="s">
        <v>951</v>
      </c>
      <c r="D3379" t="s">
        <v>952</v>
      </c>
      <c r="E3379" t="s">
        <v>8</v>
      </c>
      <c r="F3379" t="s">
        <v>10</v>
      </c>
      <c r="G3379" s="16">
        <v>10.199999999999999</v>
      </c>
      <c r="H3379" s="16">
        <v>11.73</v>
      </c>
      <c r="I3379" s="1">
        <v>46243</v>
      </c>
      <c r="J3379">
        <v>16</v>
      </c>
      <c r="K3379" t="s">
        <v>7408</v>
      </c>
      <c r="L3379" t="s">
        <v>9476</v>
      </c>
      <c r="M3379">
        <v>2</v>
      </c>
      <c r="N3379">
        <v>1</v>
      </c>
      <c r="O3379" t="s">
        <v>223</v>
      </c>
      <c r="P3379" s="17"/>
      <c r="Q3379" s="17" t="str">
        <f>_xlfn.XLOOKUP(Table2[[#This Row],[buyFromVendorNo]],'Next Day Scheduled'!A:A,'Pending Returns'!O:O,"NOT_FOUND")</f>
        <v>NOT_FOUND</v>
      </c>
    </row>
    <row r="3380" spans="1:17" x14ac:dyDescent="0.3">
      <c r="A3380" s="1">
        <v>46243</v>
      </c>
      <c r="B3380" t="s">
        <v>6390</v>
      </c>
      <c r="C3380" t="s">
        <v>323</v>
      </c>
      <c r="D3380" t="s">
        <v>324</v>
      </c>
      <c r="E3380" t="s">
        <v>8</v>
      </c>
      <c r="F3380" t="s">
        <v>10</v>
      </c>
      <c r="G3380" s="16">
        <v>2460</v>
      </c>
      <c r="H3380" s="16">
        <v>2829</v>
      </c>
      <c r="I3380" s="1">
        <v>46207</v>
      </c>
      <c r="J3380">
        <v>16</v>
      </c>
      <c r="K3380" t="s">
        <v>5055</v>
      </c>
      <c r="L3380" t="s">
        <v>9572</v>
      </c>
      <c r="M3380">
        <v>0</v>
      </c>
      <c r="N3380">
        <v>31</v>
      </c>
      <c r="O3380" t="s">
        <v>1036</v>
      </c>
      <c r="P3380" s="17"/>
      <c r="Q3380" s="17" t="str">
        <f>_xlfn.XLOOKUP(Table2[[#This Row],[buyFromVendorNo]],'Next Day Scheduled'!A:A,'Pending Returns'!O:O,"NOT_FOUND")</f>
        <v>NOT_FOUND</v>
      </c>
    </row>
    <row r="3381" spans="1:17" x14ac:dyDescent="0.3">
      <c r="A3381" s="1">
        <v>46243</v>
      </c>
      <c r="B3381" t="s">
        <v>2202</v>
      </c>
      <c r="C3381" t="s">
        <v>621</v>
      </c>
      <c r="D3381" t="s">
        <v>622</v>
      </c>
      <c r="E3381" t="s">
        <v>8</v>
      </c>
      <c r="F3381" t="s">
        <v>10</v>
      </c>
      <c r="G3381" s="16">
        <v>3.74</v>
      </c>
      <c r="H3381" s="16">
        <v>4.3010000000000002</v>
      </c>
      <c r="I3381" s="1">
        <v>46237</v>
      </c>
      <c r="J3381">
        <v>16</v>
      </c>
      <c r="K3381" t="s">
        <v>7398</v>
      </c>
      <c r="L3381" t="s">
        <v>9532</v>
      </c>
      <c r="M3381">
        <v>3</v>
      </c>
      <c r="N3381">
        <v>3</v>
      </c>
      <c r="O3381" t="s">
        <v>1036</v>
      </c>
      <c r="P3381" s="17"/>
      <c r="Q3381" s="17" t="str">
        <f>_xlfn.XLOOKUP(Table2[[#This Row],[buyFromVendorNo]],'Next Day Scheduled'!A:A,'Pending Returns'!O:O,"NOT_FOUND")</f>
        <v>NOT_FOUND</v>
      </c>
    </row>
    <row r="3382" spans="1:17" x14ac:dyDescent="0.3">
      <c r="A3382" s="1">
        <v>46243</v>
      </c>
      <c r="B3382" t="s">
        <v>3734</v>
      </c>
      <c r="C3382" t="s">
        <v>6371</v>
      </c>
      <c r="D3382" t="s">
        <v>6372</v>
      </c>
      <c r="E3382" t="s">
        <v>8</v>
      </c>
      <c r="F3382" t="s">
        <v>10</v>
      </c>
      <c r="G3382" s="16">
        <v>4.8</v>
      </c>
      <c r="H3382" s="16">
        <v>5.52</v>
      </c>
      <c r="I3382" s="1">
        <v>46218</v>
      </c>
      <c r="J3382">
        <v>16</v>
      </c>
      <c r="K3382" t="s">
        <v>7400</v>
      </c>
      <c r="L3382" t="s">
        <v>9533</v>
      </c>
      <c r="M3382">
        <v>2</v>
      </c>
      <c r="N3382">
        <v>2</v>
      </c>
      <c r="O3382" t="s">
        <v>1036</v>
      </c>
      <c r="P3382" s="17"/>
      <c r="Q3382" s="17" t="str">
        <f>_xlfn.XLOOKUP(Table2[[#This Row],[buyFromVendorNo]],'Next Day Scheduled'!A:A,'Pending Returns'!O:O,"NOT_FOUND")</f>
        <v>NOT_FOUND</v>
      </c>
    </row>
    <row r="3383" spans="1:17" x14ac:dyDescent="0.3">
      <c r="A3383" s="1">
        <v>46243</v>
      </c>
      <c r="B3383" t="s">
        <v>642</v>
      </c>
      <c r="C3383" t="s">
        <v>643</v>
      </c>
      <c r="D3383" t="s">
        <v>644</v>
      </c>
      <c r="E3383" t="s">
        <v>8</v>
      </c>
      <c r="F3383" t="s">
        <v>38</v>
      </c>
      <c r="G3383" s="16">
        <v>482.5</v>
      </c>
      <c r="H3383" s="16">
        <v>554.875</v>
      </c>
      <c r="I3383" s="1">
        <v>46243</v>
      </c>
      <c r="J3383">
        <v>16</v>
      </c>
      <c r="K3383" t="s">
        <v>8828</v>
      </c>
      <c r="L3383" t="s">
        <v>9535</v>
      </c>
      <c r="M3383">
        <v>1</v>
      </c>
      <c r="N3383">
        <v>5</v>
      </c>
      <c r="O3383" t="s">
        <v>223</v>
      </c>
      <c r="P3383" s="17"/>
      <c r="Q3383" s="17" t="str">
        <f>_xlfn.XLOOKUP(Table2[[#This Row],[buyFromVendorNo]],'Next Day Scheduled'!A:A,'Pending Returns'!O:O,"NOT_FOUND")</f>
        <v>NOT_FOUND</v>
      </c>
    </row>
    <row r="3384" spans="1:17" x14ac:dyDescent="0.3">
      <c r="A3384" s="1">
        <v>46243</v>
      </c>
      <c r="B3384" t="s">
        <v>1490</v>
      </c>
      <c r="C3384" t="s">
        <v>966</v>
      </c>
      <c r="D3384" t="s">
        <v>967</v>
      </c>
      <c r="E3384" t="s">
        <v>8</v>
      </c>
      <c r="F3384" t="s">
        <v>10</v>
      </c>
      <c r="G3384" s="16">
        <v>112.85</v>
      </c>
      <c r="H3384" s="16">
        <v>129.7775</v>
      </c>
      <c r="I3384" s="1">
        <v>46243</v>
      </c>
      <c r="J3384">
        <v>16</v>
      </c>
      <c r="K3384" t="s">
        <v>8954</v>
      </c>
      <c r="L3384" t="s">
        <v>9558</v>
      </c>
      <c r="M3384">
        <v>1</v>
      </c>
      <c r="N3384">
        <v>10</v>
      </c>
      <c r="O3384" t="s">
        <v>1036</v>
      </c>
      <c r="P3384" s="17"/>
      <c r="Q3384" s="17" t="str">
        <f>_xlfn.XLOOKUP(Table2[[#This Row],[buyFromVendorNo]],'Next Day Scheduled'!A:A,'Pending Returns'!O:O,"NOT_FOUND")</f>
        <v>NOT_FOUND</v>
      </c>
    </row>
    <row r="3385" spans="1:17" x14ac:dyDescent="0.3">
      <c r="A3385" s="1">
        <v>46243</v>
      </c>
      <c r="B3385" t="s">
        <v>8294</v>
      </c>
      <c r="C3385" t="s">
        <v>621</v>
      </c>
      <c r="D3385" t="s">
        <v>622</v>
      </c>
      <c r="E3385" t="s">
        <v>8</v>
      </c>
      <c r="F3385" t="s">
        <v>10</v>
      </c>
      <c r="G3385" s="16">
        <v>15.3</v>
      </c>
      <c r="H3385" s="16">
        <v>17.594999999999999</v>
      </c>
      <c r="I3385" s="1">
        <v>46237</v>
      </c>
      <c r="J3385">
        <v>16</v>
      </c>
      <c r="K3385" t="s">
        <v>8295</v>
      </c>
      <c r="L3385" t="s">
        <v>9543</v>
      </c>
      <c r="M3385">
        <v>3</v>
      </c>
      <c r="N3385">
        <v>3</v>
      </c>
      <c r="O3385" t="s">
        <v>1036</v>
      </c>
      <c r="P3385" s="17"/>
      <c r="Q3385" s="17" t="str">
        <f>_xlfn.XLOOKUP(Table2[[#This Row],[buyFromVendorNo]],'Next Day Scheduled'!A:A,'Pending Returns'!O:O,"NOT_FOUND")</f>
        <v>NOT_FOUND</v>
      </c>
    </row>
    <row r="3386" spans="1:17" x14ac:dyDescent="0.3">
      <c r="A3386" s="1">
        <v>46243</v>
      </c>
      <c r="B3386" t="s">
        <v>3274</v>
      </c>
      <c r="C3386" t="s">
        <v>84</v>
      </c>
      <c r="D3386" t="s">
        <v>85</v>
      </c>
      <c r="E3386" t="s">
        <v>8</v>
      </c>
      <c r="F3386" t="s">
        <v>10</v>
      </c>
      <c r="G3386" s="16">
        <v>1453.2126000000001</v>
      </c>
      <c r="H3386" s="16">
        <v>1671.1945000000001</v>
      </c>
      <c r="I3386" s="1">
        <v>46238</v>
      </c>
      <c r="J3386">
        <v>16</v>
      </c>
      <c r="K3386" t="s">
        <v>7209</v>
      </c>
      <c r="L3386" t="s">
        <v>9479</v>
      </c>
      <c r="M3386">
        <v>3</v>
      </c>
      <c r="N3386">
        <v>2</v>
      </c>
      <c r="O3386" t="s">
        <v>1036</v>
      </c>
      <c r="P3386" s="17"/>
      <c r="Q3386" s="17" t="str">
        <f>_xlfn.XLOOKUP(Table2[[#This Row],[buyFromVendorNo]],'Next Day Scheduled'!A:A,'Pending Returns'!O:O,"NOT_FOUND")</f>
        <v>NOT_FOUND</v>
      </c>
    </row>
    <row r="3387" spans="1:17" x14ac:dyDescent="0.3">
      <c r="A3387" s="1">
        <v>46243</v>
      </c>
      <c r="B3387" t="s">
        <v>4053</v>
      </c>
      <c r="C3387" t="s">
        <v>323</v>
      </c>
      <c r="D3387" t="s">
        <v>324</v>
      </c>
      <c r="E3387" t="s">
        <v>8</v>
      </c>
      <c r="F3387" t="s">
        <v>10</v>
      </c>
      <c r="G3387" s="16">
        <v>4182</v>
      </c>
      <c r="H3387" s="16">
        <v>4809.3</v>
      </c>
      <c r="I3387" s="1">
        <v>46207</v>
      </c>
      <c r="J3387">
        <v>16</v>
      </c>
      <c r="K3387" t="s">
        <v>6164</v>
      </c>
      <c r="L3387" t="s">
        <v>9569</v>
      </c>
      <c r="M3387">
        <v>0</v>
      </c>
      <c r="N3387">
        <v>31</v>
      </c>
      <c r="O3387" t="s">
        <v>1036</v>
      </c>
      <c r="P3387" s="17"/>
      <c r="Q3387" s="17" t="str">
        <f>_xlfn.XLOOKUP(Table2[[#This Row],[buyFromVendorNo]],'Next Day Scheduled'!A:A,'Pending Returns'!O:O,"NOT_FOUND")</f>
        <v>NOT_FOUND</v>
      </c>
    </row>
    <row r="3388" spans="1:17" x14ac:dyDescent="0.3">
      <c r="A3388" s="1">
        <v>46243</v>
      </c>
      <c r="B3388" t="s">
        <v>9561</v>
      </c>
      <c r="C3388" t="s">
        <v>128</v>
      </c>
      <c r="D3388" t="s">
        <v>129</v>
      </c>
      <c r="E3388" t="s">
        <v>8</v>
      </c>
      <c r="F3388" t="s">
        <v>10</v>
      </c>
      <c r="G3388" s="16">
        <v>9.9600000000000009</v>
      </c>
      <c r="H3388" s="16">
        <v>11.454000000000001</v>
      </c>
      <c r="J3388">
        <v>16</v>
      </c>
      <c r="K3388" t="s">
        <v>9584</v>
      </c>
      <c r="M3388">
        <v>14</v>
      </c>
      <c r="N3388">
        <v>1</v>
      </c>
      <c r="O3388" t="s">
        <v>216</v>
      </c>
      <c r="P3388" s="17"/>
      <c r="Q3388" s="17" t="str">
        <f>_xlfn.XLOOKUP(Table2[[#This Row],[buyFromVendorNo]],'Next Day Scheduled'!A:A,'Pending Returns'!O:O,"NOT_FOUND")</f>
        <v>Posted Credit Note</v>
      </c>
    </row>
    <row r="3389" spans="1:17" x14ac:dyDescent="0.3">
      <c r="A3389" s="1">
        <v>46243</v>
      </c>
      <c r="B3389" t="s">
        <v>5280</v>
      </c>
      <c r="C3389" t="s">
        <v>151</v>
      </c>
      <c r="D3389" t="s">
        <v>152</v>
      </c>
      <c r="E3389" t="s">
        <v>8</v>
      </c>
      <c r="F3389" t="s">
        <v>10</v>
      </c>
      <c r="G3389" s="16">
        <v>1685.6824999999999</v>
      </c>
      <c r="H3389" s="16">
        <v>1938.5349000000001</v>
      </c>
      <c r="J3389">
        <v>16</v>
      </c>
      <c r="K3389" t="s">
        <v>9522</v>
      </c>
      <c r="M3389">
        <v>1</v>
      </c>
      <c r="N3389">
        <v>2</v>
      </c>
      <c r="O3389" t="s">
        <v>216</v>
      </c>
      <c r="P3389" s="17"/>
      <c r="Q3389" s="17" t="str">
        <f>_xlfn.XLOOKUP(Table2[[#This Row],[buyFromVendorNo]],'Next Day Scheduled'!A:A,'Pending Returns'!O:O,"NOT_FOUND")</f>
        <v>NOT_FOUND</v>
      </c>
    </row>
    <row r="3390" spans="1:17" x14ac:dyDescent="0.3">
      <c r="A3390" s="1">
        <v>46243</v>
      </c>
      <c r="B3390" t="s">
        <v>3291</v>
      </c>
      <c r="C3390" t="s">
        <v>951</v>
      </c>
      <c r="D3390" t="s">
        <v>952</v>
      </c>
      <c r="E3390" t="s">
        <v>8</v>
      </c>
      <c r="F3390" t="s">
        <v>10</v>
      </c>
      <c r="G3390" s="16">
        <v>10.4125</v>
      </c>
      <c r="H3390" s="16">
        <v>11.97438</v>
      </c>
      <c r="I3390" s="1">
        <v>46243</v>
      </c>
      <c r="J3390">
        <v>16</v>
      </c>
      <c r="K3390" t="s">
        <v>7806</v>
      </c>
      <c r="L3390" t="s">
        <v>9481</v>
      </c>
      <c r="M3390">
        <v>2</v>
      </c>
      <c r="N3390">
        <v>1</v>
      </c>
      <c r="O3390" t="s">
        <v>223</v>
      </c>
      <c r="P3390" s="17"/>
      <c r="Q3390" s="17" t="str">
        <f>_xlfn.XLOOKUP(Table2[[#This Row],[buyFromVendorNo]],'Next Day Scheduled'!A:A,'Pending Returns'!O:O,"NOT_FOUND")</f>
        <v>NOT_FOUND</v>
      </c>
    </row>
    <row r="3391" spans="1:17" x14ac:dyDescent="0.3">
      <c r="A3391" s="1">
        <v>46243</v>
      </c>
      <c r="B3391" t="s">
        <v>3353</v>
      </c>
      <c r="C3391" t="s">
        <v>621</v>
      </c>
      <c r="D3391" t="s">
        <v>622</v>
      </c>
      <c r="E3391" t="s">
        <v>8</v>
      </c>
      <c r="F3391" t="s">
        <v>10</v>
      </c>
      <c r="G3391" s="16">
        <v>39.1</v>
      </c>
      <c r="H3391" s="16">
        <v>44.965000000000003</v>
      </c>
      <c r="I3391" s="1">
        <v>46237</v>
      </c>
      <c r="J3391">
        <v>16</v>
      </c>
      <c r="K3391" t="s">
        <v>8698</v>
      </c>
      <c r="L3391" t="s">
        <v>9536</v>
      </c>
      <c r="M3391">
        <v>3</v>
      </c>
      <c r="N3391">
        <v>3</v>
      </c>
      <c r="O3391" t="s">
        <v>1036</v>
      </c>
      <c r="P3391" s="17"/>
      <c r="Q3391" s="17" t="str">
        <f>_xlfn.XLOOKUP(Table2[[#This Row],[buyFromVendorNo]],'Next Day Scheduled'!A:A,'Pending Returns'!O:O,"NOT_FOUND")</f>
        <v>NOT_FOUND</v>
      </c>
    </row>
    <row r="3392" spans="1:17" x14ac:dyDescent="0.3">
      <c r="A3392" s="1">
        <v>46243</v>
      </c>
      <c r="B3392" t="s">
        <v>2689</v>
      </c>
      <c r="C3392" t="s">
        <v>188</v>
      </c>
      <c r="D3392" t="s">
        <v>189</v>
      </c>
      <c r="E3392" t="s">
        <v>8</v>
      </c>
      <c r="F3392" t="s">
        <v>10</v>
      </c>
      <c r="G3392" s="16">
        <v>223.125</v>
      </c>
      <c r="H3392" s="16">
        <v>256.59375</v>
      </c>
      <c r="J3392">
        <v>16</v>
      </c>
      <c r="K3392" t="s">
        <v>9519</v>
      </c>
      <c r="M3392">
        <v>0</v>
      </c>
      <c r="N3392">
        <v>607</v>
      </c>
      <c r="O3392" t="s">
        <v>216</v>
      </c>
      <c r="P3392" s="17"/>
      <c r="Q3392" s="17" t="str">
        <f>_xlfn.XLOOKUP(Table2[[#This Row],[buyFromVendorNo]],'Next Day Scheduled'!A:A,'Pending Returns'!O:O,"NOT_FOUND")</f>
        <v>NOT_FOUND</v>
      </c>
    </row>
    <row r="3393" spans="1:17" x14ac:dyDescent="0.3">
      <c r="A3393" s="1">
        <v>46243</v>
      </c>
      <c r="B3393" t="s">
        <v>3445</v>
      </c>
      <c r="C3393" t="s">
        <v>2166</v>
      </c>
      <c r="D3393" t="s">
        <v>2167</v>
      </c>
      <c r="E3393" t="s">
        <v>8</v>
      </c>
      <c r="F3393" t="s">
        <v>10</v>
      </c>
      <c r="G3393" s="16">
        <v>1647.5142000000001</v>
      </c>
      <c r="H3393" s="16">
        <v>1894.6414</v>
      </c>
      <c r="J3393">
        <v>16</v>
      </c>
      <c r="K3393" t="s">
        <v>9577</v>
      </c>
      <c r="M3393">
        <v>1</v>
      </c>
      <c r="N3393">
        <v>8</v>
      </c>
      <c r="O3393" t="s">
        <v>216</v>
      </c>
      <c r="P3393" s="17"/>
      <c r="Q3393" s="17" t="str">
        <f>_xlfn.XLOOKUP(Table2[[#This Row],[buyFromVendorNo]],'Next Day Scheduled'!A:A,'Pending Returns'!O:O,"NOT_FOUND")</f>
        <v>NOT_FOUND</v>
      </c>
    </row>
    <row r="3394" spans="1:17" x14ac:dyDescent="0.3">
      <c r="A3394" s="1">
        <v>46243</v>
      </c>
      <c r="B3394" t="s">
        <v>3289</v>
      </c>
      <c r="C3394" t="s">
        <v>173</v>
      </c>
      <c r="D3394" t="s">
        <v>174</v>
      </c>
      <c r="E3394" t="s">
        <v>8</v>
      </c>
      <c r="F3394" t="s">
        <v>10</v>
      </c>
      <c r="G3394" s="16">
        <v>2275.3200000000002</v>
      </c>
      <c r="H3394" s="16">
        <v>2616.6179999999999</v>
      </c>
      <c r="J3394">
        <v>16</v>
      </c>
      <c r="K3394" t="s">
        <v>9594</v>
      </c>
      <c r="M3394">
        <v>8</v>
      </c>
      <c r="N3394">
        <v>1</v>
      </c>
      <c r="O3394" t="s">
        <v>216</v>
      </c>
      <c r="P3394" s="17"/>
      <c r="Q3394" s="17" t="str">
        <f>_xlfn.XLOOKUP(Table2[[#This Row],[buyFromVendorNo]],'Next Day Scheduled'!A:A,'Pending Returns'!O:O,"NOT_FOUND")</f>
        <v>NOT_FOUND</v>
      </c>
    </row>
    <row r="3395" spans="1:17" x14ac:dyDescent="0.3">
      <c r="A3395" s="1">
        <v>46244</v>
      </c>
      <c r="B3395" t="s">
        <v>3326</v>
      </c>
      <c r="C3395" t="s">
        <v>5199</v>
      </c>
      <c r="D3395" t="s">
        <v>5200</v>
      </c>
      <c r="E3395" t="s">
        <v>8</v>
      </c>
      <c r="F3395" t="s">
        <v>10</v>
      </c>
      <c r="G3395" s="16">
        <v>117.39567</v>
      </c>
      <c r="H3395" s="16">
        <v>135.00502</v>
      </c>
      <c r="J3395">
        <v>15</v>
      </c>
      <c r="K3395" t="s">
        <v>9600</v>
      </c>
      <c r="M3395">
        <v>0</v>
      </c>
      <c r="N3395">
        <v>24</v>
      </c>
      <c r="O3395" t="s">
        <v>216</v>
      </c>
      <c r="P3395" s="17"/>
      <c r="Q3395" s="17" t="str">
        <f>_xlfn.XLOOKUP(Table2[[#This Row],[buyFromVendorNo]],'Next Day Scheduled'!A:A,'Pending Returns'!O:O,"NOT_FOUND")</f>
        <v>Posted Credit Note</v>
      </c>
    </row>
    <row r="3396" spans="1:17" x14ac:dyDescent="0.3">
      <c r="A3396" s="1">
        <v>46244</v>
      </c>
      <c r="B3396" t="s">
        <v>1997</v>
      </c>
      <c r="C3396" t="s">
        <v>304</v>
      </c>
      <c r="D3396" t="s">
        <v>307</v>
      </c>
      <c r="E3396" t="s">
        <v>8</v>
      </c>
      <c r="F3396" t="s">
        <v>10</v>
      </c>
      <c r="G3396" s="16">
        <v>2817.1853000000001</v>
      </c>
      <c r="H3396" s="16">
        <v>3239.7631999999999</v>
      </c>
      <c r="I3396" s="1">
        <v>46236</v>
      </c>
      <c r="J3396">
        <v>15</v>
      </c>
      <c r="K3396" t="s">
        <v>8831</v>
      </c>
      <c r="L3396" t="s">
        <v>9628</v>
      </c>
      <c r="M3396">
        <v>2</v>
      </c>
      <c r="N3396">
        <v>6</v>
      </c>
      <c r="O3396" t="s">
        <v>1036</v>
      </c>
      <c r="P3396" s="17"/>
      <c r="Q3396" s="17" t="str">
        <f>_xlfn.XLOOKUP(Table2[[#This Row],[buyFromVendorNo]],'Next Day Scheduled'!A:A,'Pending Returns'!O:O,"NOT_FOUND")</f>
        <v>NOT_FOUND</v>
      </c>
    </row>
    <row r="3397" spans="1:17" x14ac:dyDescent="0.3">
      <c r="A3397" s="1">
        <v>46244</v>
      </c>
      <c r="B3397" t="s">
        <v>397</v>
      </c>
      <c r="C3397" t="s">
        <v>69</v>
      </c>
      <c r="D3397" t="s">
        <v>70</v>
      </c>
      <c r="E3397" t="s">
        <v>8</v>
      </c>
      <c r="F3397" t="s">
        <v>10</v>
      </c>
      <c r="G3397" s="16">
        <v>4845.04</v>
      </c>
      <c r="H3397" s="16">
        <v>5571.7960000000003</v>
      </c>
      <c r="J3397">
        <v>15</v>
      </c>
      <c r="K3397" t="s">
        <v>9657</v>
      </c>
      <c r="M3397">
        <v>15</v>
      </c>
      <c r="N3397">
        <v>1</v>
      </c>
      <c r="O3397" t="s">
        <v>216</v>
      </c>
      <c r="P3397" s="17"/>
      <c r="Q3397" s="17" t="str">
        <f>_xlfn.XLOOKUP(Table2[[#This Row],[buyFromVendorNo]],'Next Day Scheduled'!A:A,'Pending Returns'!O:O,"NOT_FOUND")</f>
        <v>Posted Credit Note</v>
      </c>
    </row>
    <row r="3398" spans="1:17" x14ac:dyDescent="0.3">
      <c r="A3398" s="1">
        <v>46244</v>
      </c>
      <c r="B3398" t="s">
        <v>3295</v>
      </c>
      <c r="C3398" t="s">
        <v>39</v>
      </c>
      <c r="D3398" t="s">
        <v>40</v>
      </c>
      <c r="E3398" t="s">
        <v>8</v>
      </c>
      <c r="F3398" t="s">
        <v>10</v>
      </c>
      <c r="G3398" s="16">
        <v>3998.4225999999999</v>
      </c>
      <c r="H3398" s="16">
        <v>4598.1859999999997</v>
      </c>
      <c r="J3398">
        <v>15</v>
      </c>
      <c r="K3398" t="s">
        <v>9658</v>
      </c>
      <c r="M3398">
        <v>5</v>
      </c>
      <c r="N3398">
        <v>1</v>
      </c>
      <c r="O3398" t="s">
        <v>216</v>
      </c>
      <c r="P3398" s="17"/>
      <c r="Q3398" s="17" t="str">
        <f>_xlfn.XLOOKUP(Table2[[#This Row],[buyFromVendorNo]],'Next Day Scheduled'!A:A,'Pending Returns'!O:O,"NOT_FOUND")</f>
        <v>Posted Credit Note</v>
      </c>
    </row>
    <row r="3399" spans="1:17" x14ac:dyDescent="0.3">
      <c r="A3399" s="1">
        <v>46244</v>
      </c>
      <c r="B3399" t="s">
        <v>2138</v>
      </c>
      <c r="C3399" t="s">
        <v>73</v>
      </c>
      <c r="D3399" t="s">
        <v>74</v>
      </c>
      <c r="E3399" t="s">
        <v>8</v>
      </c>
      <c r="F3399" t="s">
        <v>10</v>
      </c>
      <c r="G3399" s="16">
        <v>680.3913</v>
      </c>
      <c r="H3399" s="16">
        <v>782.45</v>
      </c>
      <c r="J3399">
        <v>15</v>
      </c>
      <c r="K3399" t="s">
        <v>9641</v>
      </c>
      <c r="M3399">
        <v>10</v>
      </c>
      <c r="N3399">
        <v>1</v>
      </c>
      <c r="O3399" t="s">
        <v>216</v>
      </c>
      <c r="P3399" s="17"/>
      <c r="Q3399" s="17" t="str">
        <f>_xlfn.XLOOKUP(Table2[[#This Row],[buyFromVendorNo]],'Next Day Scheduled'!A:A,'Pending Returns'!O:O,"NOT_FOUND")</f>
        <v>NOT_FOUND</v>
      </c>
    </row>
    <row r="3400" spans="1:17" x14ac:dyDescent="0.3">
      <c r="A3400" s="1">
        <v>46244</v>
      </c>
      <c r="B3400" t="s">
        <v>2903</v>
      </c>
      <c r="C3400" t="s">
        <v>9055</v>
      </c>
      <c r="D3400" t="s">
        <v>9056</v>
      </c>
      <c r="E3400" t="s">
        <v>8</v>
      </c>
      <c r="F3400" t="s">
        <v>10</v>
      </c>
      <c r="G3400" s="16">
        <v>52</v>
      </c>
      <c r="H3400" s="16">
        <v>59.8</v>
      </c>
      <c r="J3400">
        <v>15</v>
      </c>
      <c r="K3400" t="s">
        <v>9613</v>
      </c>
      <c r="M3400">
        <v>0</v>
      </c>
      <c r="N3400">
        <v>342</v>
      </c>
      <c r="O3400" t="s">
        <v>216</v>
      </c>
      <c r="P3400" s="17"/>
      <c r="Q3400" s="17" t="str">
        <f>_xlfn.XLOOKUP(Table2[[#This Row],[buyFromVendorNo]],'Next Day Scheduled'!A:A,'Pending Returns'!O:O,"NOT_FOUND")</f>
        <v>NOT_FOUND</v>
      </c>
    </row>
    <row r="3401" spans="1:17" x14ac:dyDescent="0.3">
      <c r="A3401" s="1">
        <v>46244</v>
      </c>
      <c r="B3401" t="s">
        <v>6286</v>
      </c>
      <c r="C3401" t="s">
        <v>886</v>
      </c>
      <c r="D3401" t="s">
        <v>887</v>
      </c>
      <c r="E3401" t="s">
        <v>8</v>
      </c>
      <c r="F3401" t="s">
        <v>38</v>
      </c>
      <c r="G3401" s="16">
        <v>13153.69</v>
      </c>
      <c r="H3401" s="16">
        <v>15126.743</v>
      </c>
      <c r="J3401">
        <v>15</v>
      </c>
      <c r="K3401" t="s">
        <v>9603</v>
      </c>
      <c r="M3401">
        <v>2</v>
      </c>
      <c r="N3401">
        <v>6</v>
      </c>
      <c r="O3401" t="s">
        <v>216</v>
      </c>
      <c r="P3401" s="17"/>
      <c r="Q3401" s="17" t="str">
        <f>_xlfn.XLOOKUP(Table2[[#This Row],[buyFromVendorNo]],'Next Day Scheduled'!A:A,'Pending Returns'!O:O,"NOT_FOUND")</f>
        <v>NOT_FOUND</v>
      </c>
    </row>
    <row r="3402" spans="1:17" x14ac:dyDescent="0.3">
      <c r="A3402" s="1">
        <v>46244</v>
      </c>
      <c r="B3402" t="s">
        <v>2853</v>
      </c>
      <c r="C3402" t="s">
        <v>531</v>
      </c>
      <c r="D3402" t="s">
        <v>532</v>
      </c>
      <c r="E3402" t="s">
        <v>8</v>
      </c>
      <c r="F3402" t="s">
        <v>10</v>
      </c>
      <c r="G3402" s="16">
        <v>40</v>
      </c>
      <c r="H3402" s="16">
        <v>46</v>
      </c>
      <c r="J3402">
        <v>15</v>
      </c>
      <c r="K3402" t="s">
        <v>9633</v>
      </c>
      <c r="M3402">
        <v>1</v>
      </c>
      <c r="N3402">
        <v>15</v>
      </c>
      <c r="O3402" t="s">
        <v>216</v>
      </c>
      <c r="P3402" s="17"/>
      <c r="Q3402" s="17" t="str">
        <f>_xlfn.XLOOKUP(Table2[[#This Row],[buyFromVendorNo]],'Next Day Scheduled'!A:A,'Pending Returns'!O:O,"NOT_FOUND")</f>
        <v>NOT_FOUND</v>
      </c>
    </row>
    <row r="3403" spans="1:17" x14ac:dyDescent="0.3">
      <c r="A3403" s="1">
        <v>46244</v>
      </c>
      <c r="B3403" t="s">
        <v>3720</v>
      </c>
      <c r="C3403" t="s">
        <v>781</v>
      </c>
      <c r="D3403" t="s">
        <v>782</v>
      </c>
      <c r="E3403" t="s">
        <v>8</v>
      </c>
      <c r="F3403" t="s">
        <v>10</v>
      </c>
      <c r="G3403" s="16">
        <v>147</v>
      </c>
      <c r="H3403" s="16">
        <v>169.05</v>
      </c>
      <c r="I3403" s="1">
        <v>46237</v>
      </c>
      <c r="J3403">
        <v>15</v>
      </c>
      <c r="K3403" t="s">
        <v>8307</v>
      </c>
      <c r="L3403" t="s">
        <v>9650</v>
      </c>
      <c r="M3403">
        <v>2</v>
      </c>
      <c r="N3403">
        <v>2</v>
      </c>
      <c r="O3403" t="s">
        <v>1036</v>
      </c>
      <c r="P3403" s="17"/>
      <c r="Q3403" s="17" t="str">
        <f>_xlfn.XLOOKUP(Table2[[#This Row],[buyFromVendorNo]],'Next Day Scheduled'!A:A,'Pending Returns'!O:O,"NOT_FOUND")</f>
        <v>NOT_FOUND</v>
      </c>
    </row>
    <row r="3404" spans="1:17" x14ac:dyDescent="0.3">
      <c r="A3404" s="1">
        <v>46244</v>
      </c>
      <c r="B3404" t="s">
        <v>1773</v>
      </c>
      <c r="C3404" t="s">
        <v>5199</v>
      </c>
      <c r="D3404" t="s">
        <v>5200</v>
      </c>
      <c r="E3404" t="s">
        <v>8</v>
      </c>
      <c r="F3404" t="s">
        <v>10</v>
      </c>
      <c r="G3404" s="16">
        <v>191.66640000000001</v>
      </c>
      <c r="H3404" s="16">
        <v>220.41637</v>
      </c>
      <c r="I3404" s="1">
        <v>46244</v>
      </c>
      <c r="J3404">
        <v>15</v>
      </c>
      <c r="K3404" t="s">
        <v>7217</v>
      </c>
      <c r="L3404" t="s">
        <v>9585</v>
      </c>
      <c r="M3404">
        <v>0</v>
      </c>
      <c r="N3404">
        <v>24</v>
      </c>
      <c r="O3404" t="s">
        <v>223</v>
      </c>
      <c r="P3404" s="17"/>
      <c r="Q3404" s="17" t="str">
        <f>_xlfn.XLOOKUP(Table2[[#This Row],[buyFromVendorNo]],'Next Day Scheduled'!A:A,'Pending Returns'!O:O,"NOT_FOUND")</f>
        <v>Posted Credit Note</v>
      </c>
    </row>
    <row r="3405" spans="1:17" x14ac:dyDescent="0.3">
      <c r="A3405" s="1">
        <v>46244</v>
      </c>
      <c r="B3405" t="s">
        <v>6933</v>
      </c>
      <c r="C3405" t="s">
        <v>9055</v>
      </c>
      <c r="D3405" t="s">
        <v>9056</v>
      </c>
      <c r="E3405" t="s">
        <v>8</v>
      </c>
      <c r="F3405" t="s">
        <v>10</v>
      </c>
      <c r="G3405" s="16">
        <v>55</v>
      </c>
      <c r="H3405" s="16">
        <v>63.25</v>
      </c>
      <c r="J3405">
        <v>15</v>
      </c>
      <c r="K3405" t="s">
        <v>9636</v>
      </c>
      <c r="M3405">
        <v>0</v>
      </c>
      <c r="N3405">
        <v>342</v>
      </c>
      <c r="O3405" t="s">
        <v>216</v>
      </c>
      <c r="P3405" s="17"/>
      <c r="Q3405" s="17" t="str">
        <f>_xlfn.XLOOKUP(Table2[[#This Row],[buyFromVendorNo]],'Next Day Scheduled'!A:A,'Pending Returns'!O:O,"NOT_FOUND")</f>
        <v>NOT_FOUND</v>
      </c>
    </row>
    <row r="3406" spans="1:17" x14ac:dyDescent="0.3">
      <c r="A3406" s="1">
        <v>46244</v>
      </c>
      <c r="B3406" t="s">
        <v>5391</v>
      </c>
      <c r="C3406" t="s">
        <v>837</v>
      </c>
      <c r="D3406" t="s">
        <v>838</v>
      </c>
      <c r="E3406" t="s">
        <v>8</v>
      </c>
      <c r="F3406" t="s">
        <v>10</v>
      </c>
      <c r="G3406" s="16">
        <v>228.50984</v>
      </c>
      <c r="H3406" s="16">
        <v>262.78631999999999</v>
      </c>
      <c r="I3406" s="1">
        <v>46238</v>
      </c>
      <c r="J3406">
        <v>15</v>
      </c>
      <c r="K3406" t="s">
        <v>9010</v>
      </c>
      <c r="L3406" t="s">
        <v>9653</v>
      </c>
      <c r="M3406">
        <v>2</v>
      </c>
      <c r="N3406">
        <v>2</v>
      </c>
      <c r="O3406" t="s">
        <v>1036</v>
      </c>
      <c r="P3406" s="17"/>
      <c r="Q3406" s="17" t="str">
        <f>_xlfn.XLOOKUP(Table2[[#This Row],[buyFromVendorNo]],'Next Day Scheduled'!A:A,'Pending Returns'!O:O,"NOT_FOUND")</f>
        <v>NOT_FOUND</v>
      </c>
    </row>
    <row r="3407" spans="1:17" x14ac:dyDescent="0.3">
      <c r="A3407" s="1">
        <v>46244</v>
      </c>
      <c r="B3407" t="s">
        <v>1992</v>
      </c>
      <c r="C3407" t="s">
        <v>141</v>
      </c>
      <c r="D3407" t="s">
        <v>142</v>
      </c>
      <c r="E3407" t="s">
        <v>8</v>
      </c>
      <c r="F3407" t="s">
        <v>10</v>
      </c>
      <c r="G3407" s="16">
        <v>108.46</v>
      </c>
      <c r="H3407" s="16">
        <v>124.729</v>
      </c>
      <c r="I3407" s="1">
        <v>46233</v>
      </c>
      <c r="J3407">
        <v>15</v>
      </c>
      <c r="K3407" t="s">
        <v>8421</v>
      </c>
      <c r="L3407" t="s">
        <v>9660</v>
      </c>
      <c r="M3407">
        <v>2</v>
      </c>
      <c r="N3407">
        <v>6</v>
      </c>
      <c r="O3407" t="s">
        <v>1036</v>
      </c>
      <c r="P3407" s="17"/>
      <c r="Q3407" s="17" t="str">
        <f>_xlfn.XLOOKUP(Table2[[#This Row],[buyFromVendorNo]],'Next Day Scheduled'!A:A,'Pending Returns'!O:O,"NOT_FOUND")</f>
        <v>NOT_FOUND</v>
      </c>
    </row>
    <row r="3408" spans="1:17" x14ac:dyDescent="0.3">
      <c r="A3408" s="1">
        <v>46244</v>
      </c>
      <c r="B3408" t="s">
        <v>1567</v>
      </c>
      <c r="C3408" t="s">
        <v>141</v>
      </c>
      <c r="D3408" t="s">
        <v>142</v>
      </c>
      <c r="E3408" t="s">
        <v>8</v>
      </c>
      <c r="F3408" t="s">
        <v>10</v>
      </c>
      <c r="G3408" s="16">
        <v>171.36</v>
      </c>
      <c r="H3408" s="16">
        <v>197.06399999999999</v>
      </c>
      <c r="I3408" s="1">
        <v>46233</v>
      </c>
      <c r="J3408">
        <v>15</v>
      </c>
      <c r="K3408" t="s">
        <v>8821</v>
      </c>
      <c r="L3408" t="s">
        <v>9663</v>
      </c>
      <c r="M3408">
        <v>2</v>
      </c>
      <c r="N3408">
        <v>6</v>
      </c>
      <c r="O3408" t="s">
        <v>1036</v>
      </c>
      <c r="P3408" s="17"/>
      <c r="Q3408" s="17" t="str">
        <f>_xlfn.XLOOKUP(Table2[[#This Row],[buyFromVendorNo]],'Next Day Scheduled'!A:A,'Pending Returns'!O:O,"NOT_FOUND")</f>
        <v>NOT_FOUND</v>
      </c>
    </row>
    <row r="3409" spans="1:17" x14ac:dyDescent="0.3">
      <c r="A3409" s="1">
        <v>46244</v>
      </c>
      <c r="B3409" t="s">
        <v>5314</v>
      </c>
      <c r="C3409" t="s">
        <v>987</v>
      </c>
      <c r="D3409" t="s">
        <v>988</v>
      </c>
      <c r="E3409" t="s">
        <v>8</v>
      </c>
      <c r="F3409" t="s">
        <v>10</v>
      </c>
      <c r="G3409" s="16">
        <v>186</v>
      </c>
      <c r="H3409" s="16">
        <v>213.9</v>
      </c>
      <c r="J3409">
        <v>15</v>
      </c>
      <c r="K3409" t="s">
        <v>9606</v>
      </c>
      <c r="M3409">
        <v>0</v>
      </c>
      <c r="N3409">
        <v>240</v>
      </c>
      <c r="O3409" t="s">
        <v>216</v>
      </c>
      <c r="P3409" s="17"/>
      <c r="Q3409" s="17" t="str">
        <f>_xlfn.XLOOKUP(Table2[[#This Row],[buyFromVendorNo]],'Next Day Scheduled'!A:A,'Pending Returns'!O:O,"NOT_FOUND")</f>
        <v>NOT_FOUND</v>
      </c>
    </row>
    <row r="3410" spans="1:17" x14ac:dyDescent="0.3">
      <c r="A3410" s="1">
        <v>46244</v>
      </c>
      <c r="B3410" t="s">
        <v>3371</v>
      </c>
      <c r="C3410" t="s">
        <v>536</v>
      </c>
      <c r="D3410" t="s">
        <v>537</v>
      </c>
      <c r="E3410" t="s">
        <v>8</v>
      </c>
      <c r="F3410" t="s">
        <v>10</v>
      </c>
      <c r="G3410" s="16">
        <v>6.75</v>
      </c>
      <c r="H3410" s="16">
        <v>7.7625000000000002</v>
      </c>
      <c r="I3410" s="1">
        <v>46244</v>
      </c>
      <c r="J3410">
        <v>15</v>
      </c>
      <c r="K3410" t="s">
        <v>8974</v>
      </c>
      <c r="L3410" t="s">
        <v>9608</v>
      </c>
      <c r="M3410">
        <v>2</v>
      </c>
      <c r="N3410">
        <v>2</v>
      </c>
      <c r="O3410" t="s">
        <v>1036</v>
      </c>
      <c r="P3410" s="17"/>
      <c r="Q3410" s="17" t="str">
        <f>_xlfn.XLOOKUP(Table2[[#This Row],[buyFromVendorNo]],'Next Day Scheduled'!A:A,'Pending Returns'!O:O,"NOT_FOUND")</f>
        <v>NOT_FOUND</v>
      </c>
    </row>
    <row r="3411" spans="1:17" x14ac:dyDescent="0.3">
      <c r="A3411" s="1">
        <v>46244</v>
      </c>
      <c r="B3411" t="s">
        <v>642</v>
      </c>
      <c r="C3411" t="s">
        <v>75</v>
      </c>
      <c r="D3411" t="s">
        <v>76</v>
      </c>
      <c r="E3411" t="s">
        <v>8</v>
      </c>
      <c r="F3411" t="s">
        <v>38</v>
      </c>
      <c r="G3411" s="16">
        <v>1680.5558000000001</v>
      </c>
      <c r="H3411" s="16">
        <v>1932.6392000000001</v>
      </c>
      <c r="I3411" s="1">
        <v>46244</v>
      </c>
      <c r="J3411">
        <v>15</v>
      </c>
      <c r="K3411" t="s">
        <v>9609</v>
      </c>
      <c r="L3411" t="s">
        <v>9610</v>
      </c>
      <c r="M3411">
        <v>2</v>
      </c>
      <c r="N3411">
        <v>5</v>
      </c>
      <c r="O3411" t="s">
        <v>223</v>
      </c>
      <c r="P3411" s="17"/>
      <c r="Q3411" s="17" t="str">
        <f>_xlfn.XLOOKUP(Table2[[#This Row],[buyFromVendorNo]],'Next Day Scheduled'!A:A,'Pending Returns'!O:O,"NOT_FOUND")</f>
        <v>Posted Credit Note</v>
      </c>
    </row>
    <row r="3412" spans="1:17" x14ac:dyDescent="0.3">
      <c r="A3412" s="1">
        <v>46244</v>
      </c>
      <c r="B3412" t="s">
        <v>2891</v>
      </c>
      <c r="C3412" t="s">
        <v>804</v>
      </c>
      <c r="D3412" t="s">
        <v>805</v>
      </c>
      <c r="E3412" t="s">
        <v>8</v>
      </c>
      <c r="F3412" t="s">
        <v>10</v>
      </c>
      <c r="G3412" s="16">
        <v>111.18</v>
      </c>
      <c r="H3412" s="16">
        <v>127.857</v>
      </c>
      <c r="J3412">
        <v>15</v>
      </c>
      <c r="K3412" t="s">
        <v>9691</v>
      </c>
      <c r="M3412">
        <v>0</v>
      </c>
      <c r="N3412">
        <v>206</v>
      </c>
      <c r="O3412" t="s">
        <v>216</v>
      </c>
      <c r="P3412" s="17"/>
      <c r="Q3412" s="17" t="str">
        <f>_xlfn.XLOOKUP(Table2[[#This Row],[buyFromVendorNo]],'Next Day Scheduled'!A:A,'Pending Returns'!O:O,"NOT_FOUND")</f>
        <v>NOT_FOUND</v>
      </c>
    </row>
    <row r="3413" spans="1:17" x14ac:dyDescent="0.3">
      <c r="A3413" s="1">
        <v>46244</v>
      </c>
      <c r="B3413" t="s">
        <v>2823</v>
      </c>
      <c r="C3413" t="s">
        <v>1024</v>
      </c>
      <c r="D3413" t="s">
        <v>1025</v>
      </c>
      <c r="E3413" t="s">
        <v>8</v>
      </c>
      <c r="F3413" t="s">
        <v>10</v>
      </c>
      <c r="G3413" s="16">
        <v>135.15</v>
      </c>
      <c r="H3413" s="16">
        <v>155.42250000000001</v>
      </c>
      <c r="J3413">
        <v>15</v>
      </c>
      <c r="K3413" t="s">
        <v>9637</v>
      </c>
      <c r="M3413">
        <v>2</v>
      </c>
      <c r="N3413">
        <v>5</v>
      </c>
      <c r="O3413" t="s">
        <v>216</v>
      </c>
      <c r="P3413" s="17"/>
      <c r="Q3413" s="17" t="str">
        <f>_xlfn.XLOOKUP(Table2[[#This Row],[buyFromVendorNo]],'Next Day Scheduled'!A:A,'Pending Returns'!O:O,"NOT_FOUND")</f>
        <v>NOT_FOUND</v>
      </c>
    </row>
    <row r="3414" spans="1:17" x14ac:dyDescent="0.3">
      <c r="A3414" s="1">
        <v>46244</v>
      </c>
      <c r="B3414" t="s">
        <v>8261</v>
      </c>
      <c r="C3414" t="s">
        <v>929</v>
      </c>
      <c r="D3414" t="s">
        <v>930</v>
      </c>
      <c r="E3414" t="s">
        <v>8</v>
      </c>
      <c r="F3414" t="s">
        <v>10</v>
      </c>
      <c r="G3414" s="16">
        <v>1591.9208000000001</v>
      </c>
      <c r="H3414" s="16">
        <v>1830.7089000000001</v>
      </c>
      <c r="I3414" s="1">
        <v>46232</v>
      </c>
      <c r="J3414">
        <v>15</v>
      </c>
      <c r="K3414" t="s">
        <v>8262</v>
      </c>
      <c r="L3414" t="s">
        <v>9586</v>
      </c>
      <c r="M3414">
        <v>1</v>
      </c>
      <c r="N3414">
        <v>8</v>
      </c>
      <c r="O3414" t="s">
        <v>1036</v>
      </c>
      <c r="P3414" s="17"/>
      <c r="Q3414" s="17" t="str">
        <f>_xlfn.XLOOKUP(Table2[[#This Row],[buyFromVendorNo]],'Next Day Scheduled'!A:A,'Pending Returns'!O:O,"NOT_FOUND")</f>
        <v>NOT_FOUND</v>
      </c>
    </row>
    <row r="3415" spans="1:17" x14ac:dyDescent="0.3">
      <c r="A3415" s="1">
        <v>46244</v>
      </c>
      <c r="B3415" t="s">
        <v>1889</v>
      </c>
      <c r="C3415" t="s">
        <v>8988</v>
      </c>
      <c r="D3415" t="s">
        <v>8989</v>
      </c>
      <c r="E3415" t="s">
        <v>8</v>
      </c>
      <c r="F3415" t="s">
        <v>10</v>
      </c>
      <c r="G3415" s="16">
        <v>31</v>
      </c>
      <c r="H3415" s="16">
        <v>35.65</v>
      </c>
      <c r="J3415">
        <v>15</v>
      </c>
      <c r="K3415" t="s">
        <v>9656</v>
      </c>
      <c r="M3415">
        <v>0</v>
      </c>
      <c r="N3415">
        <v>229</v>
      </c>
      <c r="O3415" t="s">
        <v>216</v>
      </c>
      <c r="P3415" s="17"/>
      <c r="Q3415" s="17" t="str">
        <f>_xlfn.XLOOKUP(Table2[[#This Row],[buyFromVendorNo]],'Next Day Scheduled'!A:A,'Pending Returns'!O:O,"NOT_FOUND")</f>
        <v>NOT_FOUND</v>
      </c>
    </row>
    <row r="3416" spans="1:17" x14ac:dyDescent="0.3">
      <c r="A3416" s="1">
        <v>46244</v>
      </c>
      <c r="B3416" t="s">
        <v>1530</v>
      </c>
      <c r="C3416" t="s">
        <v>173</v>
      </c>
      <c r="D3416" t="s">
        <v>174</v>
      </c>
      <c r="E3416" t="s">
        <v>8</v>
      </c>
      <c r="F3416" t="s">
        <v>10</v>
      </c>
      <c r="G3416" s="16">
        <v>2001.53</v>
      </c>
      <c r="H3416" s="16">
        <v>2301.7595000000001</v>
      </c>
      <c r="J3416">
        <v>15</v>
      </c>
      <c r="K3416" t="s">
        <v>9629</v>
      </c>
      <c r="M3416">
        <v>7</v>
      </c>
      <c r="N3416">
        <v>1</v>
      </c>
      <c r="O3416" t="s">
        <v>216</v>
      </c>
      <c r="P3416" s="17"/>
      <c r="Q3416" s="17" t="str">
        <f>_xlfn.XLOOKUP(Table2[[#This Row],[buyFromVendorNo]],'Next Day Scheduled'!A:A,'Pending Returns'!O:O,"NOT_FOUND")</f>
        <v>NOT_FOUND</v>
      </c>
    </row>
    <row r="3417" spans="1:17" x14ac:dyDescent="0.3">
      <c r="A3417" s="1">
        <v>46244</v>
      </c>
      <c r="B3417" t="s">
        <v>642</v>
      </c>
      <c r="C3417" t="s">
        <v>75</v>
      </c>
      <c r="D3417" t="s">
        <v>76</v>
      </c>
      <c r="E3417" t="s">
        <v>8</v>
      </c>
      <c r="F3417" t="s">
        <v>38</v>
      </c>
      <c r="G3417" s="16">
        <v>1756.9447</v>
      </c>
      <c r="H3417" s="16">
        <v>2020.4865</v>
      </c>
      <c r="I3417" s="1">
        <v>46244</v>
      </c>
      <c r="J3417">
        <v>15</v>
      </c>
      <c r="K3417" t="s">
        <v>9604</v>
      </c>
      <c r="L3417" t="s">
        <v>9605</v>
      </c>
      <c r="M3417">
        <v>2</v>
      </c>
      <c r="N3417">
        <v>5</v>
      </c>
      <c r="O3417" t="s">
        <v>223</v>
      </c>
      <c r="P3417" s="17"/>
      <c r="Q3417" s="17" t="str">
        <f>_xlfn.XLOOKUP(Table2[[#This Row],[buyFromVendorNo]],'Next Day Scheduled'!A:A,'Pending Returns'!O:O,"NOT_FOUND")</f>
        <v>Posted Credit Note</v>
      </c>
    </row>
    <row r="3418" spans="1:17" x14ac:dyDescent="0.3">
      <c r="A3418" s="1">
        <v>46244</v>
      </c>
      <c r="B3418" t="s">
        <v>331</v>
      </c>
      <c r="C3418" t="s">
        <v>7131</v>
      </c>
      <c r="D3418" t="s">
        <v>7132</v>
      </c>
      <c r="E3418" t="s">
        <v>8</v>
      </c>
      <c r="F3418" t="s">
        <v>10</v>
      </c>
      <c r="G3418" s="16">
        <v>270</v>
      </c>
      <c r="H3418" s="16">
        <v>310.5</v>
      </c>
      <c r="J3418">
        <v>15</v>
      </c>
      <c r="K3418" t="s">
        <v>9692</v>
      </c>
      <c r="M3418">
        <v>0</v>
      </c>
      <c r="N3418">
        <v>50</v>
      </c>
      <c r="O3418" t="s">
        <v>216</v>
      </c>
      <c r="P3418" s="17"/>
      <c r="Q3418" s="17" t="str">
        <f>_xlfn.XLOOKUP(Table2[[#This Row],[buyFromVendorNo]],'Next Day Scheduled'!A:A,'Pending Returns'!O:O,"NOT_FOUND")</f>
        <v>NOT_FOUND</v>
      </c>
    </row>
    <row r="3419" spans="1:17" x14ac:dyDescent="0.3">
      <c r="A3419" s="1">
        <v>46244</v>
      </c>
      <c r="B3419" t="s">
        <v>6929</v>
      </c>
      <c r="C3419" t="s">
        <v>358</v>
      </c>
      <c r="D3419" t="s">
        <v>359</v>
      </c>
      <c r="E3419" t="s">
        <v>8</v>
      </c>
      <c r="F3419" t="s">
        <v>10</v>
      </c>
      <c r="G3419" s="16">
        <v>687.65</v>
      </c>
      <c r="H3419" s="16">
        <v>790.79750000000001</v>
      </c>
      <c r="I3419" s="1">
        <v>46211</v>
      </c>
      <c r="J3419">
        <v>15</v>
      </c>
      <c r="K3419" t="s">
        <v>6176</v>
      </c>
      <c r="L3419" t="s">
        <v>9664</v>
      </c>
      <c r="M3419">
        <v>1</v>
      </c>
      <c r="N3419">
        <v>1</v>
      </c>
      <c r="O3419" t="s">
        <v>1036</v>
      </c>
      <c r="P3419" s="17"/>
      <c r="Q3419" s="17" t="str">
        <f>_xlfn.XLOOKUP(Table2[[#This Row],[buyFromVendorNo]],'Next Day Scheduled'!A:A,'Pending Returns'!O:O,"NOT_FOUND")</f>
        <v>NOT_FOUND</v>
      </c>
    </row>
    <row r="3420" spans="1:17" x14ac:dyDescent="0.3">
      <c r="A3420" s="1">
        <v>46244</v>
      </c>
      <c r="B3420" t="s">
        <v>642</v>
      </c>
      <c r="C3420" t="s">
        <v>75</v>
      </c>
      <c r="D3420" t="s">
        <v>76</v>
      </c>
      <c r="E3420" t="s">
        <v>8</v>
      </c>
      <c r="F3420" t="s">
        <v>38</v>
      </c>
      <c r="G3420" s="16">
        <v>1451.3892000000001</v>
      </c>
      <c r="H3420" s="16">
        <v>1669.0974000000001</v>
      </c>
      <c r="I3420" s="1">
        <v>46244</v>
      </c>
      <c r="J3420">
        <v>15</v>
      </c>
      <c r="K3420" t="s">
        <v>9631</v>
      </c>
      <c r="L3420" t="s">
        <v>9632</v>
      </c>
      <c r="M3420">
        <v>2</v>
      </c>
      <c r="N3420">
        <v>5</v>
      </c>
      <c r="O3420" t="s">
        <v>223</v>
      </c>
      <c r="P3420" s="17"/>
      <c r="Q3420" s="17" t="str">
        <f>_xlfn.XLOOKUP(Table2[[#This Row],[buyFromVendorNo]],'Next Day Scheduled'!A:A,'Pending Returns'!O:O,"NOT_FOUND")</f>
        <v>Posted Credit Note</v>
      </c>
    </row>
    <row r="3421" spans="1:17" x14ac:dyDescent="0.3">
      <c r="A3421" s="1">
        <v>46244</v>
      </c>
      <c r="B3421" t="s">
        <v>3254</v>
      </c>
      <c r="C3421" t="s">
        <v>373</v>
      </c>
      <c r="D3421" t="s">
        <v>374</v>
      </c>
      <c r="E3421" t="s">
        <v>8</v>
      </c>
      <c r="F3421" t="s">
        <v>10</v>
      </c>
      <c r="G3421" s="16">
        <v>2389.3744999999999</v>
      </c>
      <c r="H3421" s="16">
        <v>2747.7804999999998</v>
      </c>
      <c r="J3421">
        <v>15</v>
      </c>
      <c r="K3421" t="s">
        <v>9634</v>
      </c>
      <c r="M3421">
        <v>1</v>
      </c>
      <c r="N3421">
        <v>12</v>
      </c>
      <c r="O3421" t="s">
        <v>216</v>
      </c>
      <c r="P3421" s="17"/>
      <c r="Q3421" s="17" t="str">
        <f>_xlfn.XLOOKUP(Table2[[#This Row],[buyFromVendorNo]],'Next Day Scheduled'!A:A,'Pending Returns'!O:O,"NOT_FOUND")</f>
        <v>NOT_FOUND</v>
      </c>
    </row>
    <row r="3422" spans="1:17" x14ac:dyDescent="0.3">
      <c r="A3422" s="1">
        <v>46244</v>
      </c>
      <c r="B3422" t="s">
        <v>5609</v>
      </c>
      <c r="C3422" t="s">
        <v>5015</v>
      </c>
      <c r="D3422" t="s">
        <v>5016</v>
      </c>
      <c r="E3422" t="s">
        <v>8</v>
      </c>
      <c r="F3422" t="s">
        <v>169</v>
      </c>
      <c r="G3422" s="16">
        <v>480</v>
      </c>
      <c r="H3422" s="16">
        <v>552</v>
      </c>
      <c r="I3422" s="1">
        <v>46244</v>
      </c>
      <c r="J3422">
        <v>15</v>
      </c>
      <c r="K3422" t="s">
        <v>8405</v>
      </c>
      <c r="L3422" t="s">
        <v>9619</v>
      </c>
      <c r="M3422">
        <v>0</v>
      </c>
      <c r="N3422">
        <v>252</v>
      </c>
      <c r="O3422" t="s">
        <v>1036</v>
      </c>
      <c r="P3422" s="17"/>
      <c r="Q3422" s="17" t="str">
        <f>_xlfn.XLOOKUP(Table2[[#This Row],[buyFromVendorNo]],'Next Day Scheduled'!A:A,'Pending Returns'!O:O,"NOT_FOUND")</f>
        <v>NOT_FOUND</v>
      </c>
    </row>
    <row r="3423" spans="1:17" x14ac:dyDescent="0.3">
      <c r="A3423" s="1">
        <v>46244</v>
      </c>
      <c r="B3423" t="s">
        <v>642</v>
      </c>
      <c r="C3423" t="s">
        <v>358</v>
      </c>
      <c r="D3423" t="s">
        <v>359</v>
      </c>
      <c r="E3423" t="s">
        <v>8</v>
      </c>
      <c r="F3423" t="s">
        <v>38</v>
      </c>
      <c r="G3423" s="16">
        <v>334.75</v>
      </c>
      <c r="H3423" s="16">
        <v>384.96249999999998</v>
      </c>
      <c r="I3423" s="1">
        <v>46212</v>
      </c>
      <c r="J3423">
        <v>15</v>
      </c>
      <c r="K3423" t="s">
        <v>6837</v>
      </c>
      <c r="L3423" t="s">
        <v>9655</v>
      </c>
      <c r="M3423">
        <v>1</v>
      </c>
      <c r="N3423">
        <v>1</v>
      </c>
      <c r="O3423" t="s">
        <v>1036</v>
      </c>
      <c r="P3423" s="17"/>
      <c r="Q3423" s="17" t="str">
        <f>_xlfn.XLOOKUP(Table2[[#This Row],[buyFromVendorNo]],'Next Day Scheduled'!A:A,'Pending Returns'!O:O,"NOT_FOUND")</f>
        <v>NOT_FOUND</v>
      </c>
    </row>
    <row r="3424" spans="1:17" x14ac:dyDescent="0.3">
      <c r="A3424" s="1">
        <v>46244</v>
      </c>
      <c r="B3424" t="s">
        <v>3497</v>
      </c>
      <c r="C3424" t="s">
        <v>571</v>
      </c>
      <c r="D3424" t="s">
        <v>572</v>
      </c>
      <c r="E3424" t="s">
        <v>8</v>
      </c>
      <c r="F3424" t="s">
        <v>10</v>
      </c>
      <c r="G3424" s="16">
        <v>153</v>
      </c>
      <c r="H3424" s="16">
        <v>175.95</v>
      </c>
      <c r="I3424" s="1">
        <v>46226</v>
      </c>
      <c r="J3424">
        <v>15</v>
      </c>
      <c r="K3424" t="s">
        <v>7381</v>
      </c>
      <c r="L3424" t="s">
        <v>9666</v>
      </c>
      <c r="M3424">
        <v>3</v>
      </c>
      <c r="N3424">
        <v>0</v>
      </c>
      <c r="O3424" t="s">
        <v>1036</v>
      </c>
      <c r="P3424" s="17"/>
      <c r="Q3424" s="17" t="str">
        <f>_xlfn.XLOOKUP(Table2[[#This Row],[buyFromVendorNo]],'Next Day Scheduled'!A:A,'Pending Returns'!O:O,"NOT_FOUND")</f>
        <v>Posted Credit Note</v>
      </c>
    </row>
    <row r="3425" spans="1:17" x14ac:dyDescent="0.3">
      <c r="A3425" s="1">
        <v>46244</v>
      </c>
      <c r="B3425" t="s">
        <v>2972</v>
      </c>
      <c r="C3425" t="s">
        <v>141</v>
      </c>
      <c r="D3425" t="s">
        <v>142</v>
      </c>
      <c r="E3425" t="s">
        <v>8</v>
      </c>
      <c r="F3425" t="s">
        <v>10</v>
      </c>
      <c r="G3425" s="16">
        <v>157.13999999999999</v>
      </c>
      <c r="H3425" s="16">
        <v>180.71100000000001</v>
      </c>
      <c r="I3425" s="1">
        <v>46233</v>
      </c>
      <c r="J3425">
        <v>15</v>
      </c>
      <c r="K3425" t="s">
        <v>8229</v>
      </c>
      <c r="L3425" t="s">
        <v>9659</v>
      </c>
      <c r="M3425">
        <v>2</v>
      </c>
      <c r="N3425">
        <v>6</v>
      </c>
      <c r="O3425" t="s">
        <v>1036</v>
      </c>
      <c r="P3425" s="17"/>
      <c r="Q3425" s="17" t="str">
        <f>_xlfn.XLOOKUP(Table2[[#This Row],[buyFromVendorNo]],'Next Day Scheduled'!A:A,'Pending Returns'!O:O,"NOT_FOUND")</f>
        <v>NOT_FOUND</v>
      </c>
    </row>
    <row r="3426" spans="1:17" x14ac:dyDescent="0.3">
      <c r="A3426" s="1">
        <v>46244</v>
      </c>
      <c r="B3426" t="s">
        <v>3391</v>
      </c>
      <c r="C3426" t="s">
        <v>957</v>
      </c>
      <c r="D3426" t="s">
        <v>958</v>
      </c>
      <c r="E3426" t="s">
        <v>8</v>
      </c>
      <c r="F3426" t="s">
        <v>10</v>
      </c>
      <c r="G3426" s="16">
        <v>15.40277</v>
      </c>
      <c r="H3426" s="16">
        <v>17.713190000000001</v>
      </c>
      <c r="I3426" s="1">
        <v>46244</v>
      </c>
      <c r="J3426">
        <v>15</v>
      </c>
      <c r="K3426" t="s">
        <v>6896</v>
      </c>
      <c r="L3426" t="s">
        <v>9589</v>
      </c>
      <c r="M3426">
        <v>2</v>
      </c>
      <c r="N3426">
        <v>3</v>
      </c>
      <c r="O3426" t="s">
        <v>223</v>
      </c>
      <c r="P3426" s="17"/>
      <c r="Q3426" s="17" t="str">
        <f>_xlfn.XLOOKUP(Table2[[#This Row],[buyFromVendorNo]],'Next Day Scheduled'!A:A,'Pending Returns'!O:O,"NOT_FOUND")</f>
        <v>NOT_FOUND</v>
      </c>
    </row>
    <row r="3427" spans="1:17" x14ac:dyDescent="0.3">
      <c r="A3427" s="1">
        <v>46244</v>
      </c>
      <c r="B3427" t="s">
        <v>9016</v>
      </c>
      <c r="C3427" t="s">
        <v>634</v>
      </c>
      <c r="D3427" t="s">
        <v>659</v>
      </c>
      <c r="E3427" t="s">
        <v>8</v>
      </c>
      <c r="F3427" t="s">
        <v>10</v>
      </c>
      <c r="G3427" s="16">
        <v>183.35</v>
      </c>
      <c r="H3427" s="16">
        <v>210.85249999999999</v>
      </c>
      <c r="I3427" s="1">
        <v>46244</v>
      </c>
      <c r="J3427">
        <v>15</v>
      </c>
      <c r="K3427" t="s">
        <v>9017</v>
      </c>
      <c r="L3427" t="s">
        <v>9587</v>
      </c>
      <c r="M3427">
        <v>2</v>
      </c>
      <c r="N3427">
        <v>7</v>
      </c>
      <c r="O3427" t="s">
        <v>223</v>
      </c>
      <c r="P3427" s="17"/>
      <c r="Q3427" s="17" t="str">
        <f>_xlfn.XLOOKUP(Table2[[#This Row],[buyFromVendorNo]],'Next Day Scheduled'!A:A,'Pending Returns'!O:O,"NOT_FOUND")</f>
        <v>Posted Credit Note</v>
      </c>
    </row>
    <row r="3428" spans="1:17" x14ac:dyDescent="0.3">
      <c r="A3428" s="1">
        <v>46244</v>
      </c>
      <c r="B3428" t="s">
        <v>5255</v>
      </c>
      <c r="C3428" t="s">
        <v>183</v>
      </c>
      <c r="D3428" t="s">
        <v>184</v>
      </c>
      <c r="E3428" t="s">
        <v>8</v>
      </c>
      <c r="F3428" t="s">
        <v>10</v>
      </c>
      <c r="G3428" s="16">
        <v>56</v>
      </c>
      <c r="H3428" s="16">
        <v>64.400000000000006</v>
      </c>
      <c r="J3428">
        <v>15</v>
      </c>
      <c r="K3428" t="s">
        <v>9643</v>
      </c>
      <c r="M3428">
        <v>0</v>
      </c>
      <c r="N3428">
        <v>195</v>
      </c>
      <c r="O3428" t="s">
        <v>216</v>
      </c>
      <c r="P3428" s="17"/>
      <c r="Q3428" s="17" t="str">
        <f>_xlfn.XLOOKUP(Table2[[#This Row],[buyFromVendorNo]],'Next Day Scheduled'!A:A,'Pending Returns'!O:O,"NOT_FOUND")</f>
        <v>NOT_FOUND</v>
      </c>
    </row>
    <row r="3429" spans="1:17" x14ac:dyDescent="0.3">
      <c r="A3429" s="1">
        <v>46244</v>
      </c>
      <c r="B3429" t="s">
        <v>7158</v>
      </c>
      <c r="C3429" t="s">
        <v>1018</v>
      </c>
      <c r="D3429" t="s">
        <v>1019</v>
      </c>
      <c r="E3429" t="s">
        <v>8</v>
      </c>
      <c r="F3429" t="s">
        <v>10</v>
      </c>
      <c r="G3429" s="16">
        <v>465.28525000000002</v>
      </c>
      <c r="H3429" s="16">
        <v>535.07799999999997</v>
      </c>
      <c r="I3429" s="1">
        <v>46243</v>
      </c>
      <c r="J3429">
        <v>15</v>
      </c>
      <c r="K3429" t="s">
        <v>9273</v>
      </c>
      <c r="L3429" t="s">
        <v>9644</v>
      </c>
      <c r="M3429">
        <v>2</v>
      </c>
      <c r="N3429">
        <v>3</v>
      </c>
      <c r="O3429" t="s">
        <v>1036</v>
      </c>
      <c r="P3429" s="17"/>
      <c r="Q3429" s="17" t="str">
        <f>_xlfn.XLOOKUP(Table2[[#This Row],[buyFromVendorNo]],'Next Day Scheduled'!A:A,'Pending Returns'!O:O,"NOT_FOUND")</f>
        <v>NOT_FOUND</v>
      </c>
    </row>
    <row r="3430" spans="1:17" x14ac:dyDescent="0.3">
      <c r="A3430" s="1">
        <v>46244</v>
      </c>
      <c r="B3430" t="s">
        <v>2001</v>
      </c>
      <c r="C3430" t="s">
        <v>5293</v>
      </c>
      <c r="D3430" t="s">
        <v>5294</v>
      </c>
      <c r="E3430" t="s">
        <v>8</v>
      </c>
      <c r="F3430" t="s">
        <v>10</v>
      </c>
      <c r="G3430" s="16">
        <v>3.54</v>
      </c>
      <c r="H3430" s="16">
        <v>4.0709999999999997</v>
      </c>
      <c r="J3430">
        <v>15</v>
      </c>
      <c r="K3430" t="s">
        <v>9645</v>
      </c>
      <c r="M3430">
        <v>0</v>
      </c>
      <c r="N3430">
        <v>19</v>
      </c>
      <c r="O3430" t="s">
        <v>216</v>
      </c>
      <c r="P3430" s="17"/>
      <c r="Q3430" s="17" t="str">
        <f>_xlfn.XLOOKUP(Table2[[#This Row],[buyFromVendorNo]],'Next Day Scheduled'!A:A,'Pending Returns'!O:O,"NOT_FOUND")</f>
        <v>Posted Credit Note</v>
      </c>
    </row>
    <row r="3431" spans="1:17" x14ac:dyDescent="0.3">
      <c r="A3431" s="1">
        <v>46244</v>
      </c>
      <c r="B3431" t="s">
        <v>3252</v>
      </c>
      <c r="C3431" t="s">
        <v>536</v>
      </c>
      <c r="D3431" t="s">
        <v>537</v>
      </c>
      <c r="E3431" t="s">
        <v>8</v>
      </c>
      <c r="F3431" t="s">
        <v>10</v>
      </c>
      <c r="G3431" s="16">
        <v>38</v>
      </c>
      <c r="H3431" s="16">
        <v>43.7</v>
      </c>
      <c r="I3431" s="1">
        <v>46244</v>
      </c>
      <c r="J3431">
        <v>15</v>
      </c>
      <c r="K3431" t="s">
        <v>8561</v>
      </c>
      <c r="L3431" t="s">
        <v>9647</v>
      </c>
      <c r="M3431">
        <v>2</v>
      </c>
      <c r="N3431">
        <v>2</v>
      </c>
      <c r="O3431" t="s">
        <v>1036</v>
      </c>
      <c r="P3431" s="17"/>
      <c r="Q3431" s="17" t="str">
        <f>_xlfn.XLOOKUP(Table2[[#This Row],[buyFromVendorNo]],'Next Day Scheduled'!A:A,'Pending Returns'!O:O,"NOT_FOUND")</f>
        <v>NOT_FOUND</v>
      </c>
    </row>
    <row r="3432" spans="1:17" x14ac:dyDescent="0.3">
      <c r="A3432" s="1">
        <v>46244</v>
      </c>
      <c r="B3432" t="s">
        <v>8773</v>
      </c>
      <c r="C3432" t="s">
        <v>43</v>
      </c>
      <c r="D3432" t="s">
        <v>44</v>
      </c>
      <c r="E3432" t="s">
        <v>8</v>
      </c>
      <c r="F3432" t="s">
        <v>38</v>
      </c>
      <c r="G3432" s="16">
        <v>7493.8413</v>
      </c>
      <c r="H3432" s="16">
        <v>8617.9169999999995</v>
      </c>
      <c r="I3432" s="1">
        <v>46232</v>
      </c>
      <c r="J3432">
        <v>15</v>
      </c>
      <c r="K3432" t="s">
        <v>8693</v>
      </c>
      <c r="L3432" t="s">
        <v>9648</v>
      </c>
      <c r="M3432">
        <v>13</v>
      </c>
      <c r="N3432">
        <v>1</v>
      </c>
      <c r="O3432" t="s">
        <v>1036</v>
      </c>
      <c r="P3432" s="17"/>
      <c r="Q3432" s="17" t="str">
        <f>_xlfn.XLOOKUP(Table2[[#This Row],[buyFromVendorNo]],'Next Day Scheduled'!A:A,'Pending Returns'!O:O,"NOT_FOUND")</f>
        <v>Posted Credit Note</v>
      </c>
    </row>
    <row r="3433" spans="1:17" x14ac:dyDescent="0.3">
      <c r="A3433" s="1">
        <v>46244</v>
      </c>
      <c r="B3433" t="s">
        <v>443</v>
      </c>
      <c r="C3433" t="s">
        <v>325</v>
      </c>
      <c r="D3433" t="s">
        <v>326</v>
      </c>
      <c r="E3433" t="s">
        <v>8</v>
      </c>
      <c r="F3433" t="s">
        <v>10</v>
      </c>
      <c r="G3433" s="16">
        <v>361</v>
      </c>
      <c r="H3433" s="16">
        <v>415.15</v>
      </c>
      <c r="J3433">
        <v>15</v>
      </c>
      <c r="K3433" t="s">
        <v>9635</v>
      </c>
      <c r="M3433">
        <v>7</v>
      </c>
      <c r="N3433">
        <v>1</v>
      </c>
      <c r="O3433" t="s">
        <v>216</v>
      </c>
      <c r="P3433" s="17"/>
      <c r="Q3433" s="17" t="str">
        <f>_xlfn.XLOOKUP(Table2[[#This Row],[buyFromVendorNo]],'Next Day Scheduled'!A:A,'Pending Returns'!O:O,"NOT_FOUND")</f>
        <v>Posted Credit Note</v>
      </c>
    </row>
    <row r="3434" spans="1:17" x14ac:dyDescent="0.3">
      <c r="A3434" s="1">
        <v>46244</v>
      </c>
      <c r="B3434" t="s">
        <v>642</v>
      </c>
      <c r="C3434" t="s">
        <v>358</v>
      </c>
      <c r="D3434" t="s">
        <v>359</v>
      </c>
      <c r="E3434" t="s">
        <v>8</v>
      </c>
      <c r="F3434" t="s">
        <v>38</v>
      </c>
      <c r="G3434" s="16">
        <v>549</v>
      </c>
      <c r="H3434" s="16">
        <v>631.35</v>
      </c>
      <c r="I3434" s="1">
        <v>46212</v>
      </c>
      <c r="J3434">
        <v>15</v>
      </c>
      <c r="K3434" t="s">
        <v>6062</v>
      </c>
      <c r="L3434" t="s">
        <v>9618</v>
      </c>
      <c r="M3434">
        <v>1</v>
      </c>
      <c r="N3434">
        <v>1</v>
      </c>
      <c r="O3434" t="s">
        <v>1036</v>
      </c>
      <c r="P3434" s="17"/>
      <c r="Q3434" s="17" t="str">
        <f>_xlfn.XLOOKUP(Table2[[#This Row],[buyFromVendorNo]],'Next Day Scheduled'!A:A,'Pending Returns'!O:O,"NOT_FOUND")</f>
        <v>NOT_FOUND</v>
      </c>
    </row>
    <row r="3435" spans="1:17" x14ac:dyDescent="0.3">
      <c r="A3435" s="1">
        <v>46244</v>
      </c>
      <c r="B3435" t="s">
        <v>5063</v>
      </c>
      <c r="C3435" t="s">
        <v>1031</v>
      </c>
      <c r="D3435" t="s">
        <v>1032</v>
      </c>
      <c r="E3435" t="s">
        <v>8</v>
      </c>
      <c r="F3435" t="s">
        <v>10</v>
      </c>
      <c r="G3435" s="16">
        <v>294</v>
      </c>
      <c r="H3435" s="16">
        <v>338.1</v>
      </c>
      <c r="I3435" s="1">
        <v>46244</v>
      </c>
      <c r="J3435">
        <v>15</v>
      </c>
      <c r="K3435" t="s">
        <v>9523</v>
      </c>
      <c r="L3435" t="s">
        <v>9649</v>
      </c>
      <c r="M3435">
        <v>2</v>
      </c>
      <c r="N3435">
        <v>7</v>
      </c>
      <c r="O3435" t="s">
        <v>1036</v>
      </c>
      <c r="P3435" s="17"/>
      <c r="Q3435" s="17" t="str">
        <f>_xlfn.XLOOKUP(Table2[[#This Row],[buyFromVendorNo]],'Next Day Scheduled'!A:A,'Pending Returns'!O:O,"NOT_FOUND")</f>
        <v>Pending for Collection</v>
      </c>
    </row>
    <row r="3436" spans="1:17" x14ac:dyDescent="0.3">
      <c r="A3436" s="1">
        <v>46244</v>
      </c>
      <c r="B3436" t="s">
        <v>3243</v>
      </c>
      <c r="C3436" t="s">
        <v>2298</v>
      </c>
      <c r="D3436" t="s">
        <v>2299</v>
      </c>
      <c r="E3436" t="s">
        <v>8</v>
      </c>
      <c r="F3436" t="s">
        <v>10</v>
      </c>
      <c r="G3436" s="16">
        <v>146.74815000000001</v>
      </c>
      <c r="H3436" s="16">
        <v>168.76038</v>
      </c>
      <c r="I3436" s="1">
        <v>46244</v>
      </c>
      <c r="J3436">
        <v>15</v>
      </c>
      <c r="K3436" t="s">
        <v>9454</v>
      </c>
      <c r="L3436" t="s">
        <v>9588</v>
      </c>
      <c r="M3436">
        <v>1</v>
      </c>
      <c r="N3436">
        <v>7</v>
      </c>
      <c r="O3436" t="s">
        <v>1036</v>
      </c>
      <c r="P3436" s="17"/>
      <c r="Q3436" s="17" t="str">
        <f>_xlfn.XLOOKUP(Table2[[#This Row],[buyFromVendorNo]],'Next Day Scheduled'!A:A,'Pending Returns'!O:O,"NOT_FOUND")</f>
        <v>NOT_FOUND</v>
      </c>
    </row>
    <row r="3437" spans="1:17" x14ac:dyDescent="0.3">
      <c r="A3437" s="1">
        <v>46245</v>
      </c>
      <c r="B3437" t="s">
        <v>5112</v>
      </c>
      <c r="C3437" t="s">
        <v>2943</v>
      </c>
      <c r="D3437" t="s">
        <v>2944</v>
      </c>
      <c r="E3437" t="s">
        <v>8</v>
      </c>
      <c r="F3437" t="s">
        <v>10</v>
      </c>
      <c r="G3437" s="16">
        <v>807.92</v>
      </c>
      <c r="H3437" s="16">
        <v>929.10799999999995</v>
      </c>
      <c r="I3437" s="1">
        <v>46245</v>
      </c>
      <c r="J3437">
        <v>14</v>
      </c>
      <c r="K3437" t="s">
        <v>9500</v>
      </c>
      <c r="L3437" t="s">
        <v>9667</v>
      </c>
      <c r="M3437">
        <v>1</v>
      </c>
      <c r="N3437">
        <v>9</v>
      </c>
      <c r="O3437" t="s">
        <v>223</v>
      </c>
      <c r="P3437" s="17"/>
      <c r="Q3437" s="17" t="str">
        <f>_xlfn.XLOOKUP(Table2[[#This Row],[buyFromVendorNo]],'Next Day Scheduled'!A:A,'Pending Returns'!O:O,"NOT_FOUND")</f>
        <v>NOT_FOUND</v>
      </c>
    </row>
    <row r="3438" spans="1:17" x14ac:dyDescent="0.3">
      <c r="A3438" s="1">
        <v>46245</v>
      </c>
      <c r="B3438" t="s">
        <v>1777</v>
      </c>
      <c r="C3438" t="s">
        <v>423</v>
      </c>
      <c r="D3438" t="s">
        <v>424</v>
      </c>
      <c r="E3438" t="s">
        <v>8</v>
      </c>
      <c r="F3438" t="s">
        <v>10</v>
      </c>
      <c r="G3438" s="16">
        <v>84</v>
      </c>
      <c r="H3438" s="16">
        <v>96.6</v>
      </c>
      <c r="I3438" s="1">
        <v>46236</v>
      </c>
      <c r="J3438">
        <v>14</v>
      </c>
      <c r="K3438" t="s">
        <v>8437</v>
      </c>
      <c r="L3438" t="s">
        <v>9727</v>
      </c>
      <c r="M3438">
        <v>2</v>
      </c>
      <c r="N3438">
        <v>3</v>
      </c>
      <c r="O3438" t="s">
        <v>1036</v>
      </c>
      <c r="P3438" s="17"/>
      <c r="Q3438" s="17" t="str">
        <f>_xlfn.XLOOKUP(Table2[[#This Row],[buyFromVendorNo]],'Next Day Scheduled'!A:A,'Pending Returns'!O:O,"NOT_FOUND")</f>
        <v>NOT_FOUND</v>
      </c>
    </row>
    <row r="3439" spans="1:17" x14ac:dyDescent="0.3">
      <c r="A3439" s="1">
        <v>46245</v>
      </c>
      <c r="B3439" t="s">
        <v>8942</v>
      </c>
      <c r="C3439" t="s">
        <v>49</v>
      </c>
      <c r="D3439" t="s">
        <v>50</v>
      </c>
      <c r="E3439" t="s">
        <v>8</v>
      </c>
      <c r="F3439" t="s">
        <v>10</v>
      </c>
      <c r="G3439" s="16">
        <v>1406.21</v>
      </c>
      <c r="H3439" s="16">
        <v>1617.1415</v>
      </c>
      <c r="I3439" s="1">
        <v>46245</v>
      </c>
      <c r="J3439">
        <v>14</v>
      </c>
      <c r="K3439" t="s">
        <v>8943</v>
      </c>
      <c r="L3439" t="s">
        <v>9668</v>
      </c>
      <c r="M3439">
        <v>0</v>
      </c>
      <c r="N3439">
        <v>15</v>
      </c>
      <c r="O3439" t="s">
        <v>223</v>
      </c>
      <c r="P3439" s="17"/>
      <c r="Q3439" s="17" t="str">
        <f>_xlfn.XLOOKUP(Table2[[#This Row],[buyFromVendorNo]],'Next Day Scheduled'!A:A,'Pending Returns'!O:O,"NOT_FOUND")</f>
        <v>NOT_FOUND</v>
      </c>
    </row>
    <row r="3440" spans="1:17" x14ac:dyDescent="0.3">
      <c r="A3440" s="1">
        <v>46245</v>
      </c>
      <c r="B3440" t="s">
        <v>642</v>
      </c>
      <c r="C3440" t="s">
        <v>651</v>
      </c>
      <c r="D3440" t="s">
        <v>652</v>
      </c>
      <c r="E3440" t="s">
        <v>8</v>
      </c>
      <c r="F3440" t="s">
        <v>38</v>
      </c>
      <c r="G3440" s="16">
        <v>16</v>
      </c>
      <c r="H3440" s="16">
        <v>18.399999999999999</v>
      </c>
      <c r="I3440" s="1">
        <v>46223</v>
      </c>
      <c r="J3440">
        <v>14</v>
      </c>
      <c r="K3440" t="s">
        <v>7728</v>
      </c>
      <c r="L3440" t="s">
        <v>9701</v>
      </c>
      <c r="M3440">
        <v>2</v>
      </c>
      <c r="N3440">
        <v>1</v>
      </c>
      <c r="O3440" t="s">
        <v>1036</v>
      </c>
      <c r="P3440" s="17"/>
      <c r="Q3440" s="17" t="str">
        <f>_xlfn.XLOOKUP(Table2[[#This Row],[buyFromVendorNo]],'Next Day Scheduled'!A:A,'Pending Returns'!O:O,"NOT_FOUND")</f>
        <v>NOT_FOUND</v>
      </c>
    </row>
    <row r="3441" spans="1:17" x14ac:dyDescent="0.3">
      <c r="A3441" s="1">
        <v>46245</v>
      </c>
      <c r="B3441" t="s">
        <v>1567</v>
      </c>
      <c r="C3441" t="s">
        <v>130</v>
      </c>
      <c r="D3441" t="s">
        <v>131</v>
      </c>
      <c r="E3441" t="s">
        <v>8</v>
      </c>
      <c r="F3441" t="s">
        <v>10</v>
      </c>
      <c r="G3441" s="16">
        <v>96</v>
      </c>
      <c r="H3441" s="16">
        <v>110.4</v>
      </c>
      <c r="I3441" s="1">
        <v>46233</v>
      </c>
      <c r="J3441">
        <v>14</v>
      </c>
      <c r="K3441" t="s">
        <v>8805</v>
      </c>
      <c r="L3441" t="s">
        <v>9744</v>
      </c>
      <c r="M3441">
        <v>2</v>
      </c>
      <c r="N3441">
        <v>7</v>
      </c>
      <c r="O3441" t="s">
        <v>223</v>
      </c>
      <c r="P3441" s="17"/>
      <c r="Q3441" s="17" t="str">
        <f>_xlfn.XLOOKUP(Table2[[#This Row],[buyFromVendorNo]],'Next Day Scheduled'!A:A,'Pending Returns'!O:O,"NOT_FOUND")</f>
        <v>Posted Credit Note</v>
      </c>
    </row>
    <row r="3442" spans="1:17" x14ac:dyDescent="0.3">
      <c r="A3442" s="1">
        <v>46245</v>
      </c>
      <c r="B3442" t="s">
        <v>642</v>
      </c>
      <c r="C3442" t="s">
        <v>651</v>
      </c>
      <c r="D3442" t="s">
        <v>652</v>
      </c>
      <c r="E3442" t="s">
        <v>8</v>
      </c>
      <c r="F3442" t="s">
        <v>38</v>
      </c>
      <c r="G3442" s="16">
        <v>80</v>
      </c>
      <c r="H3442" s="16">
        <v>92</v>
      </c>
      <c r="I3442" s="1">
        <v>46223</v>
      </c>
      <c r="J3442">
        <v>14</v>
      </c>
      <c r="K3442" t="s">
        <v>4488</v>
      </c>
      <c r="L3442" t="s">
        <v>9703</v>
      </c>
      <c r="M3442">
        <v>2</v>
      </c>
      <c r="N3442">
        <v>1</v>
      </c>
      <c r="O3442" t="s">
        <v>1036</v>
      </c>
      <c r="P3442" s="17"/>
      <c r="Q3442" s="17" t="str">
        <f>_xlfn.XLOOKUP(Table2[[#This Row],[buyFromVendorNo]],'Next Day Scheduled'!A:A,'Pending Returns'!O:O,"NOT_FOUND")</f>
        <v>NOT_FOUND</v>
      </c>
    </row>
    <row r="3443" spans="1:17" x14ac:dyDescent="0.3">
      <c r="A3443" s="1">
        <v>46245</v>
      </c>
      <c r="B3443" t="s">
        <v>2117</v>
      </c>
      <c r="C3443" t="s">
        <v>65</v>
      </c>
      <c r="D3443" t="s">
        <v>66</v>
      </c>
      <c r="E3443" t="s">
        <v>8</v>
      </c>
      <c r="F3443" t="s">
        <v>10</v>
      </c>
      <c r="G3443" s="16">
        <v>4482.3429999999998</v>
      </c>
      <c r="H3443" s="16">
        <v>5154.6940000000004</v>
      </c>
      <c r="I3443" s="1">
        <v>46230</v>
      </c>
      <c r="J3443">
        <v>14</v>
      </c>
      <c r="K3443" t="s">
        <v>6748</v>
      </c>
      <c r="L3443" t="s">
        <v>9705</v>
      </c>
      <c r="M3443">
        <v>5</v>
      </c>
      <c r="N3443">
        <v>5</v>
      </c>
      <c r="O3443" t="s">
        <v>1036</v>
      </c>
      <c r="P3443" s="17"/>
      <c r="Q3443" s="17" t="str">
        <f>_xlfn.XLOOKUP(Table2[[#This Row],[buyFromVendorNo]],'Next Day Scheduled'!A:A,'Pending Returns'!O:O,"NOT_FOUND")</f>
        <v>Posted Credit Note</v>
      </c>
    </row>
    <row r="3444" spans="1:17" x14ac:dyDescent="0.3">
      <c r="A3444" s="1">
        <v>46245</v>
      </c>
      <c r="B3444" t="s">
        <v>6565</v>
      </c>
      <c r="C3444" t="s">
        <v>2330</v>
      </c>
      <c r="D3444" t="s">
        <v>320</v>
      </c>
      <c r="E3444" t="s">
        <v>8</v>
      </c>
      <c r="F3444" t="s">
        <v>10</v>
      </c>
      <c r="G3444" s="16">
        <v>69</v>
      </c>
      <c r="H3444" s="16">
        <v>79.349999999999994</v>
      </c>
      <c r="I3444" s="1">
        <v>46243</v>
      </c>
      <c r="J3444">
        <v>14</v>
      </c>
      <c r="K3444" t="s">
        <v>7282</v>
      </c>
      <c r="L3444" t="s">
        <v>9747</v>
      </c>
      <c r="M3444">
        <v>2</v>
      </c>
      <c r="N3444">
        <v>2</v>
      </c>
      <c r="O3444" t="s">
        <v>1036</v>
      </c>
      <c r="P3444" s="17"/>
      <c r="Q3444" s="17" t="str">
        <f>_xlfn.XLOOKUP(Table2[[#This Row],[buyFromVendorNo]],'Next Day Scheduled'!A:A,'Pending Returns'!O:O,"NOT_FOUND")</f>
        <v>NOT_FOUND</v>
      </c>
    </row>
    <row r="3445" spans="1:17" x14ac:dyDescent="0.3">
      <c r="A3445" s="1">
        <v>46245</v>
      </c>
      <c r="B3445" t="s">
        <v>642</v>
      </c>
      <c r="C3445" t="s">
        <v>651</v>
      </c>
      <c r="D3445" t="s">
        <v>652</v>
      </c>
      <c r="E3445" t="s">
        <v>8</v>
      </c>
      <c r="F3445" t="s">
        <v>38</v>
      </c>
      <c r="G3445" s="16">
        <v>80</v>
      </c>
      <c r="H3445" s="16">
        <v>92</v>
      </c>
      <c r="I3445" s="1">
        <v>46223</v>
      </c>
      <c r="J3445">
        <v>14</v>
      </c>
      <c r="K3445" t="s">
        <v>6820</v>
      </c>
      <c r="L3445" t="s">
        <v>9748</v>
      </c>
      <c r="M3445">
        <v>2</v>
      </c>
      <c r="N3445">
        <v>1</v>
      </c>
      <c r="O3445" t="s">
        <v>1036</v>
      </c>
      <c r="P3445" s="17"/>
      <c r="Q3445" s="17" t="str">
        <f>_xlfn.XLOOKUP(Table2[[#This Row],[buyFromVendorNo]],'Next Day Scheduled'!A:A,'Pending Returns'!O:O,"NOT_FOUND")</f>
        <v>NOT_FOUND</v>
      </c>
    </row>
    <row r="3446" spans="1:17" x14ac:dyDescent="0.3">
      <c r="A3446" s="1">
        <v>46245</v>
      </c>
      <c r="B3446" t="s">
        <v>642</v>
      </c>
      <c r="C3446" t="s">
        <v>39</v>
      </c>
      <c r="D3446" t="s">
        <v>40</v>
      </c>
      <c r="E3446" t="s">
        <v>8</v>
      </c>
      <c r="F3446" t="s">
        <v>38</v>
      </c>
      <c r="G3446" s="16">
        <v>2951.6696999999999</v>
      </c>
      <c r="H3446" s="16">
        <v>3394.4202</v>
      </c>
      <c r="J3446">
        <v>14</v>
      </c>
      <c r="K3446" t="s">
        <v>9706</v>
      </c>
      <c r="M3446">
        <v>0</v>
      </c>
      <c r="N3446">
        <v>22</v>
      </c>
      <c r="O3446" t="s">
        <v>216</v>
      </c>
      <c r="P3446" s="17"/>
      <c r="Q3446" s="17" t="str">
        <f>_xlfn.XLOOKUP(Table2[[#This Row],[buyFromVendorNo]],'Next Day Scheduled'!A:A,'Pending Returns'!O:O,"NOT_FOUND")</f>
        <v>Posted Credit Note</v>
      </c>
    </row>
    <row r="3447" spans="1:17" x14ac:dyDescent="0.3">
      <c r="A3447" s="1">
        <v>46245</v>
      </c>
      <c r="B3447" t="s">
        <v>642</v>
      </c>
      <c r="C3447" t="s">
        <v>69</v>
      </c>
      <c r="D3447" t="s">
        <v>70</v>
      </c>
      <c r="E3447" t="s">
        <v>8</v>
      </c>
      <c r="F3447" t="s">
        <v>38</v>
      </c>
      <c r="G3447" s="16">
        <v>15922.329</v>
      </c>
      <c r="H3447" s="16">
        <v>18310.678</v>
      </c>
      <c r="J3447">
        <v>14</v>
      </c>
      <c r="K3447" t="s">
        <v>9708</v>
      </c>
      <c r="M3447">
        <v>2</v>
      </c>
      <c r="N3447">
        <v>2</v>
      </c>
      <c r="O3447" t="s">
        <v>216</v>
      </c>
      <c r="P3447" s="17"/>
      <c r="Q3447" s="17" t="str">
        <f>_xlfn.XLOOKUP(Table2[[#This Row],[buyFromVendorNo]],'Next Day Scheduled'!A:A,'Pending Returns'!O:O,"NOT_FOUND")</f>
        <v>Posted Credit Note</v>
      </c>
    </row>
    <row r="3448" spans="1:17" x14ac:dyDescent="0.3">
      <c r="A3448" s="1">
        <v>46245</v>
      </c>
      <c r="B3448" t="s">
        <v>8159</v>
      </c>
      <c r="C3448" t="s">
        <v>130</v>
      </c>
      <c r="D3448" t="s">
        <v>131</v>
      </c>
      <c r="E3448" t="s">
        <v>8</v>
      </c>
      <c r="F3448" t="s">
        <v>10</v>
      </c>
      <c r="G3448" s="16">
        <v>134.9</v>
      </c>
      <c r="H3448" s="16">
        <v>155.13499999999999</v>
      </c>
      <c r="I3448" s="1">
        <v>46233</v>
      </c>
      <c r="J3448">
        <v>14</v>
      </c>
      <c r="K3448" t="s">
        <v>8160</v>
      </c>
      <c r="L3448" t="s">
        <v>9721</v>
      </c>
      <c r="M3448">
        <v>2</v>
      </c>
      <c r="N3448">
        <v>7</v>
      </c>
      <c r="O3448" t="s">
        <v>1036</v>
      </c>
      <c r="P3448" s="17"/>
      <c r="Q3448" s="17" t="str">
        <f>_xlfn.XLOOKUP(Table2[[#This Row],[buyFromVendorNo]],'Next Day Scheduled'!A:A,'Pending Returns'!O:O,"NOT_FOUND")</f>
        <v>Posted Credit Note</v>
      </c>
    </row>
    <row r="3449" spans="1:17" x14ac:dyDescent="0.3">
      <c r="A3449" s="1">
        <v>46245</v>
      </c>
      <c r="B3449" t="s">
        <v>642</v>
      </c>
      <c r="C3449" t="s">
        <v>4387</v>
      </c>
      <c r="D3449" t="s">
        <v>4388</v>
      </c>
      <c r="E3449" t="s">
        <v>8</v>
      </c>
      <c r="F3449" t="s">
        <v>38</v>
      </c>
      <c r="G3449" s="16">
        <v>3597.846</v>
      </c>
      <c r="H3449" s="16">
        <v>4137.5230000000001</v>
      </c>
      <c r="J3449">
        <v>14</v>
      </c>
      <c r="K3449" t="s">
        <v>9736</v>
      </c>
      <c r="M3449">
        <v>1</v>
      </c>
      <c r="N3449">
        <v>10</v>
      </c>
      <c r="O3449" t="s">
        <v>216</v>
      </c>
      <c r="P3449" s="17"/>
      <c r="Q3449" s="17" t="str">
        <f>_xlfn.XLOOKUP(Table2[[#This Row],[buyFromVendorNo]],'Next Day Scheduled'!A:A,'Pending Returns'!O:O,"NOT_FOUND")</f>
        <v>NOT_FOUND</v>
      </c>
    </row>
    <row r="3450" spans="1:17" x14ac:dyDescent="0.3">
      <c r="A3450" s="1">
        <v>46245</v>
      </c>
      <c r="B3450" t="s">
        <v>8215</v>
      </c>
      <c r="C3450" t="s">
        <v>1346</v>
      </c>
      <c r="D3450" t="s">
        <v>1347</v>
      </c>
      <c r="E3450" t="s">
        <v>8</v>
      </c>
      <c r="F3450" t="s">
        <v>10</v>
      </c>
      <c r="G3450" s="16">
        <v>393.19</v>
      </c>
      <c r="H3450" s="16">
        <v>452.16849999999999</v>
      </c>
      <c r="I3450" s="1">
        <v>46238</v>
      </c>
      <c r="J3450">
        <v>14</v>
      </c>
      <c r="K3450" t="s">
        <v>8216</v>
      </c>
      <c r="L3450" t="s">
        <v>9737</v>
      </c>
      <c r="M3450">
        <v>1</v>
      </c>
      <c r="N3450">
        <v>9</v>
      </c>
      <c r="O3450" t="s">
        <v>1036</v>
      </c>
      <c r="P3450" s="17"/>
      <c r="Q3450" s="17" t="str">
        <f>_xlfn.XLOOKUP(Table2[[#This Row],[buyFromVendorNo]],'Next Day Scheduled'!A:A,'Pending Returns'!O:O,"NOT_FOUND")</f>
        <v>NOT_FOUND</v>
      </c>
    </row>
    <row r="3451" spans="1:17" x14ac:dyDescent="0.3">
      <c r="A3451" s="1">
        <v>46245</v>
      </c>
      <c r="B3451" t="s">
        <v>642</v>
      </c>
      <c r="C3451" t="s">
        <v>5007</v>
      </c>
      <c r="D3451" t="s">
        <v>5008</v>
      </c>
      <c r="E3451" t="s">
        <v>8</v>
      </c>
      <c r="F3451" t="s">
        <v>38</v>
      </c>
      <c r="G3451" s="16">
        <v>350.59899999999999</v>
      </c>
      <c r="H3451" s="16">
        <v>403.18884000000003</v>
      </c>
      <c r="J3451">
        <v>14</v>
      </c>
      <c r="K3451" t="s">
        <v>9714</v>
      </c>
      <c r="M3451">
        <v>2</v>
      </c>
      <c r="N3451">
        <v>7</v>
      </c>
      <c r="O3451" t="s">
        <v>216</v>
      </c>
      <c r="P3451" s="17"/>
      <c r="Q3451" s="17" t="str">
        <f>_xlfn.XLOOKUP(Table2[[#This Row],[buyFromVendorNo]],'Next Day Scheduled'!A:A,'Pending Returns'!O:O,"NOT_FOUND")</f>
        <v>NOT_FOUND</v>
      </c>
    </row>
    <row r="3452" spans="1:17" x14ac:dyDescent="0.3">
      <c r="A3452" s="1">
        <v>46245</v>
      </c>
      <c r="B3452" t="s">
        <v>8762</v>
      </c>
      <c r="C3452" t="s">
        <v>5199</v>
      </c>
      <c r="D3452" t="s">
        <v>5200</v>
      </c>
      <c r="E3452" t="s">
        <v>8</v>
      </c>
      <c r="F3452" t="s">
        <v>10</v>
      </c>
      <c r="G3452" s="16">
        <v>321.04122999999998</v>
      </c>
      <c r="H3452" s="16">
        <v>369.19740000000002</v>
      </c>
      <c r="I3452" s="1">
        <v>46244</v>
      </c>
      <c r="J3452">
        <v>14</v>
      </c>
      <c r="K3452" t="s">
        <v>8705</v>
      </c>
      <c r="L3452" t="s">
        <v>9700</v>
      </c>
      <c r="M3452">
        <v>0</v>
      </c>
      <c r="N3452">
        <v>24</v>
      </c>
      <c r="O3452" t="s">
        <v>1036</v>
      </c>
      <c r="P3452" s="17"/>
      <c r="Q3452" s="17" t="str">
        <f>_xlfn.XLOOKUP(Table2[[#This Row],[buyFromVendorNo]],'Next Day Scheduled'!A:A,'Pending Returns'!O:O,"NOT_FOUND")</f>
        <v>Posted Credit Note</v>
      </c>
    </row>
    <row r="3453" spans="1:17" x14ac:dyDescent="0.3">
      <c r="A3453" s="1">
        <v>46245</v>
      </c>
      <c r="B3453" t="s">
        <v>3295</v>
      </c>
      <c r="C3453" t="s">
        <v>562</v>
      </c>
      <c r="D3453" t="s">
        <v>563</v>
      </c>
      <c r="E3453" t="s">
        <v>8</v>
      </c>
      <c r="F3453" t="s">
        <v>10</v>
      </c>
      <c r="G3453" s="16">
        <v>1855.1365000000001</v>
      </c>
      <c r="H3453" s="16">
        <v>2133.4070000000002</v>
      </c>
      <c r="I3453" s="1">
        <v>46245</v>
      </c>
      <c r="J3453">
        <v>14</v>
      </c>
      <c r="K3453" t="s">
        <v>9414</v>
      </c>
      <c r="L3453" t="s">
        <v>9743</v>
      </c>
      <c r="M3453">
        <v>9</v>
      </c>
      <c r="N3453">
        <v>1</v>
      </c>
      <c r="O3453" t="s">
        <v>1036</v>
      </c>
      <c r="P3453" s="17"/>
      <c r="Q3453" s="17" t="str">
        <f>_xlfn.XLOOKUP(Table2[[#This Row],[buyFromVendorNo]],'Next Day Scheduled'!A:A,'Pending Returns'!O:O,"NOT_FOUND")</f>
        <v>NOT_FOUND</v>
      </c>
    </row>
    <row r="3454" spans="1:17" x14ac:dyDescent="0.3">
      <c r="A3454" s="1">
        <v>46245</v>
      </c>
      <c r="B3454" t="s">
        <v>642</v>
      </c>
      <c r="C3454" t="s">
        <v>508</v>
      </c>
      <c r="D3454" t="s">
        <v>509</v>
      </c>
      <c r="E3454" t="s">
        <v>8</v>
      </c>
      <c r="F3454" t="s">
        <v>38</v>
      </c>
      <c r="G3454" s="16">
        <v>170.02</v>
      </c>
      <c r="H3454" s="16">
        <v>195.523</v>
      </c>
      <c r="J3454">
        <v>14</v>
      </c>
      <c r="K3454" t="s">
        <v>9715</v>
      </c>
      <c r="M3454">
        <v>1</v>
      </c>
      <c r="N3454">
        <v>9</v>
      </c>
      <c r="O3454" t="s">
        <v>216</v>
      </c>
      <c r="P3454" s="17"/>
      <c r="Q3454" s="17" t="str">
        <f>_xlfn.XLOOKUP(Table2[[#This Row],[buyFromVendorNo]],'Next Day Scheduled'!A:A,'Pending Returns'!O:O,"NOT_FOUND")</f>
        <v>Posted Credit Note</v>
      </c>
    </row>
    <row r="3455" spans="1:17" x14ac:dyDescent="0.3">
      <c r="A3455" s="1">
        <v>46245</v>
      </c>
      <c r="B3455" t="s">
        <v>3445</v>
      </c>
      <c r="C3455" t="s">
        <v>5199</v>
      </c>
      <c r="D3455" t="s">
        <v>5200</v>
      </c>
      <c r="E3455" t="s">
        <v>8</v>
      </c>
      <c r="F3455" t="s">
        <v>10</v>
      </c>
      <c r="G3455" s="16">
        <v>498.33264000000003</v>
      </c>
      <c r="H3455" s="16">
        <v>573.08249999999998</v>
      </c>
      <c r="I3455" s="1">
        <v>46244</v>
      </c>
      <c r="J3455">
        <v>14</v>
      </c>
      <c r="K3455" t="s">
        <v>7805</v>
      </c>
      <c r="L3455" t="s">
        <v>9730</v>
      </c>
      <c r="M3455">
        <v>0</v>
      </c>
      <c r="N3455">
        <v>24</v>
      </c>
      <c r="O3455" t="s">
        <v>1036</v>
      </c>
      <c r="P3455" s="17"/>
      <c r="Q3455" s="17" t="str">
        <f>_xlfn.XLOOKUP(Table2[[#This Row],[buyFromVendorNo]],'Next Day Scheduled'!A:A,'Pending Returns'!O:O,"NOT_FOUND")</f>
        <v>Posted Credit Note</v>
      </c>
    </row>
    <row r="3456" spans="1:17" x14ac:dyDescent="0.3">
      <c r="A3456" s="1">
        <v>46245</v>
      </c>
      <c r="B3456" t="s">
        <v>2689</v>
      </c>
      <c r="C3456" t="s">
        <v>1346</v>
      </c>
      <c r="D3456" t="s">
        <v>1347</v>
      </c>
      <c r="E3456" t="s">
        <v>8</v>
      </c>
      <c r="F3456" t="s">
        <v>10</v>
      </c>
      <c r="G3456" s="16">
        <v>172.4</v>
      </c>
      <c r="H3456" s="16">
        <v>198.26</v>
      </c>
      <c r="I3456" s="1">
        <v>46238</v>
      </c>
      <c r="J3456">
        <v>14</v>
      </c>
      <c r="K3456" t="s">
        <v>8873</v>
      </c>
      <c r="L3456" t="s">
        <v>9718</v>
      </c>
      <c r="M3456">
        <v>1</v>
      </c>
      <c r="N3456">
        <v>9</v>
      </c>
      <c r="O3456" t="s">
        <v>1036</v>
      </c>
      <c r="P3456" s="17"/>
      <c r="Q3456" s="17" t="str">
        <f>_xlfn.XLOOKUP(Table2[[#This Row],[buyFromVendorNo]],'Next Day Scheduled'!A:A,'Pending Returns'!O:O,"NOT_FOUND")</f>
        <v>NOT_FOUND</v>
      </c>
    </row>
    <row r="3457" spans="1:17" x14ac:dyDescent="0.3">
      <c r="A3457" s="1">
        <v>46245</v>
      </c>
      <c r="B3457" t="s">
        <v>3273</v>
      </c>
      <c r="C3457" t="s">
        <v>130</v>
      </c>
      <c r="D3457" t="s">
        <v>131</v>
      </c>
      <c r="E3457" t="s">
        <v>8</v>
      </c>
      <c r="F3457" t="s">
        <v>10</v>
      </c>
      <c r="G3457" s="16">
        <v>126</v>
      </c>
      <c r="H3457" s="16">
        <v>144.9</v>
      </c>
      <c r="I3457" s="1">
        <v>46233</v>
      </c>
      <c r="J3457">
        <v>14</v>
      </c>
      <c r="K3457" t="s">
        <v>7794</v>
      </c>
      <c r="L3457" t="s">
        <v>9733</v>
      </c>
      <c r="M3457">
        <v>2</v>
      </c>
      <c r="N3457">
        <v>7</v>
      </c>
      <c r="O3457" t="s">
        <v>1036</v>
      </c>
      <c r="P3457" s="17"/>
      <c r="Q3457" s="17" t="str">
        <f>_xlfn.XLOOKUP(Table2[[#This Row],[buyFromVendorNo]],'Next Day Scheduled'!A:A,'Pending Returns'!O:O,"NOT_FOUND")</f>
        <v>Posted Credit Note</v>
      </c>
    </row>
    <row r="3458" spans="1:17" x14ac:dyDescent="0.3">
      <c r="A3458" s="1">
        <v>46245</v>
      </c>
      <c r="B3458" t="s">
        <v>3375</v>
      </c>
      <c r="C3458" t="s">
        <v>5199</v>
      </c>
      <c r="D3458" t="s">
        <v>5200</v>
      </c>
      <c r="E3458" t="s">
        <v>8</v>
      </c>
      <c r="F3458" t="s">
        <v>10</v>
      </c>
      <c r="G3458" s="16">
        <v>55.104089999999999</v>
      </c>
      <c r="H3458" s="16">
        <v>63.369700000000002</v>
      </c>
      <c r="I3458" s="1">
        <v>46244</v>
      </c>
      <c r="J3458">
        <v>14</v>
      </c>
      <c r="K3458" t="s">
        <v>6885</v>
      </c>
      <c r="L3458" t="s">
        <v>9732</v>
      </c>
      <c r="M3458">
        <v>0</v>
      </c>
      <c r="N3458">
        <v>24</v>
      </c>
      <c r="O3458" t="s">
        <v>1036</v>
      </c>
      <c r="P3458" s="17"/>
      <c r="Q3458" s="17" t="str">
        <f>_xlfn.XLOOKUP(Table2[[#This Row],[buyFromVendorNo]],'Next Day Scheduled'!A:A,'Pending Returns'!O:O,"NOT_FOUND")</f>
        <v>Posted Credit Note</v>
      </c>
    </row>
    <row r="3459" spans="1:17" x14ac:dyDescent="0.3">
      <c r="A3459" s="1">
        <v>46245</v>
      </c>
      <c r="B3459" t="s">
        <v>395</v>
      </c>
      <c r="C3459" t="s">
        <v>1031</v>
      </c>
      <c r="D3459" t="s">
        <v>1032</v>
      </c>
      <c r="E3459" t="s">
        <v>8</v>
      </c>
      <c r="F3459" t="s">
        <v>38</v>
      </c>
      <c r="G3459" s="16">
        <v>352.8</v>
      </c>
      <c r="H3459" s="16">
        <v>405.72</v>
      </c>
      <c r="I3459" s="1">
        <v>46245</v>
      </c>
      <c r="J3459">
        <v>14</v>
      </c>
      <c r="K3459" t="s">
        <v>8367</v>
      </c>
      <c r="L3459" t="s">
        <v>9722</v>
      </c>
      <c r="M3459">
        <v>2</v>
      </c>
      <c r="N3459">
        <v>7</v>
      </c>
      <c r="O3459" t="s">
        <v>1036</v>
      </c>
      <c r="P3459" s="17"/>
      <c r="Q3459" s="17" t="str">
        <f>_xlfn.XLOOKUP(Table2[[#This Row],[buyFromVendorNo]],'Next Day Scheduled'!A:A,'Pending Returns'!O:O,"NOT_FOUND")</f>
        <v>Pending for Collection</v>
      </c>
    </row>
    <row r="3460" spans="1:17" x14ac:dyDescent="0.3">
      <c r="A3460" s="1">
        <v>46245</v>
      </c>
      <c r="B3460" t="s">
        <v>642</v>
      </c>
      <c r="C3460" t="s">
        <v>398</v>
      </c>
      <c r="D3460" t="s">
        <v>399</v>
      </c>
      <c r="E3460" t="s">
        <v>8</v>
      </c>
      <c r="F3460" t="s">
        <v>38</v>
      </c>
      <c r="G3460" s="16">
        <v>12551.486000000001</v>
      </c>
      <c r="H3460" s="16">
        <v>14434.209000000001</v>
      </c>
      <c r="J3460">
        <v>14</v>
      </c>
      <c r="K3460" t="s">
        <v>9725</v>
      </c>
      <c r="M3460">
        <v>1</v>
      </c>
      <c r="N3460">
        <v>12</v>
      </c>
      <c r="O3460" t="s">
        <v>216</v>
      </c>
      <c r="P3460" s="17"/>
      <c r="Q3460" s="17" t="str">
        <f>_xlfn.XLOOKUP(Table2[[#This Row],[buyFromVendorNo]],'Next Day Scheduled'!A:A,'Pending Returns'!O:O,"NOT_FOUND")</f>
        <v>Posted Credit Note</v>
      </c>
    </row>
    <row r="3461" spans="1:17" x14ac:dyDescent="0.3">
      <c r="A3461" s="1">
        <v>46245</v>
      </c>
      <c r="B3461" t="s">
        <v>642</v>
      </c>
      <c r="C3461" t="s">
        <v>4364</v>
      </c>
      <c r="D3461" t="s">
        <v>4542</v>
      </c>
      <c r="E3461" t="s">
        <v>8</v>
      </c>
      <c r="F3461" t="s">
        <v>38</v>
      </c>
      <c r="G3461" s="16">
        <v>7052</v>
      </c>
      <c r="H3461" s="16">
        <v>8109.8</v>
      </c>
      <c r="J3461">
        <v>14</v>
      </c>
      <c r="K3461" t="s">
        <v>9756</v>
      </c>
      <c r="M3461">
        <v>2</v>
      </c>
      <c r="N3461">
        <v>1</v>
      </c>
      <c r="O3461" t="s">
        <v>216</v>
      </c>
      <c r="P3461" s="17"/>
      <c r="Q3461" s="17" t="str">
        <f>_xlfn.XLOOKUP(Table2[[#This Row],[buyFromVendorNo]],'Next Day Scheduled'!A:A,'Pending Returns'!O:O,"NOT_FOUND")</f>
        <v>NOT_FOUND</v>
      </c>
    </row>
    <row r="3462" spans="1:17" x14ac:dyDescent="0.3">
      <c r="A3462" s="1">
        <v>46245</v>
      </c>
      <c r="B3462" t="s">
        <v>800</v>
      </c>
      <c r="C3462" t="s">
        <v>4364</v>
      </c>
      <c r="D3462" t="s">
        <v>4542</v>
      </c>
      <c r="E3462" t="s">
        <v>8</v>
      </c>
      <c r="F3462" t="s">
        <v>38</v>
      </c>
      <c r="G3462" s="16">
        <v>41.04</v>
      </c>
      <c r="H3462" s="16">
        <v>47.195999999999998</v>
      </c>
      <c r="I3462" s="1">
        <v>46221</v>
      </c>
      <c r="J3462">
        <v>14</v>
      </c>
      <c r="K3462" t="s">
        <v>7723</v>
      </c>
      <c r="L3462" t="s">
        <v>9757</v>
      </c>
      <c r="M3462">
        <v>2</v>
      </c>
      <c r="N3462">
        <v>1</v>
      </c>
      <c r="O3462" t="s">
        <v>1036</v>
      </c>
      <c r="P3462" s="17"/>
      <c r="Q3462" s="17" t="str">
        <f>_xlfn.XLOOKUP(Table2[[#This Row],[buyFromVendorNo]],'Next Day Scheduled'!A:A,'Pending Returns'!O:O,"NOT_FOUND")</f>
        <v>NOT_FOUND</v>
      </c>
    </row>
    <row r="3463" spans="1:17" x14ac:dyDescent="0.3">
      <c r="A3463" s="1">
        <v>46245</v>
      </c>
      <c r="B3463" t="s">
        <v>642</v>
      </c>
      <c r="C3463" t="s">
        <v>651</v>
      </c>
      <c r="D3463" t="s">
        <v>652</v>
      </c>
      <c r="E3463" t="s">
        <v>8</v>
      </c>
      <c r="F3463" t="s">
        <v>38</v>
      </c>
      <c r="G3463" s="16">
        <v>56</v>
      </c>
      <c r="H3463" s="16">
        <v>64.400000000000006</v>
      </c>
      <c r="I3463" s="1">
        <v>46223</v>
      </c>
      <c r="J3463">
        <v>14</v>
      </c>
      <c r="K3463" t="s">
        <v>7529</v>
      </c>
      <c r="L3463" t="s">
        <v>9713</v>
      </c>
      <c r="M3463">
        <v>2</v>
      </c>
      <c r="N3463">
        <v>1</v>
      </c>
      <c r="O3463" t="s">
        <v>1036</v>
      </c>
      <c r="P3463" s="17"/>
      <c r="Q3463" s="17" t="str">
        <f>_xlfn.XLOOKUP(Table2[[#This Row],[buyFromVendorNo]],'Next Day Scheduled'!A:A,'Pending Returns'!O:O,"NOT_FOUND")</f>
        <v>NOT_FOUND</v>
      </c>
    </row>
    <row r="3464" spans="1:17" x14ac:dyDescent="0.3">
      <c r="A3464" s="1">
        <v>46245</v>
      </c>
      <c r="B3464" t="s">
        <v>3302</v>
      </c>
      <c r="C3464" t="s">
        <v>562</v>
      </c>
      <c r="D3464" t="s">
        <v>563</v>
      </c>
      <c r="E3464" t="s">
        <v>8</v>
      </c>
      <c r="F3464" t="s">
        <v>10</v>
      </c>
      <c r="G3464" s="16">
        <v>4245.7934999999998</v>
      </c>
      <c r="H3464" s="16">
        <v>4882.6625999999997</v>
      </c>
      <c r="J3464">
        <v>14</v>
      </c>
      <c r="K3464" t="s">
        <v>9693</v>
      </c>
      <c r="M3464">
        <v>9</v>
      </c>
      <c r="N3464">
        <v>1</v>
      </c>
      <c r="O3464" t="s">
        <v>216</v>
      </c>
      <c r="P3464" s="17"/>
      <c r="Q3464" s="17" t="str">
        <f>_xlfn.XLOOKUP(Table2[[#This Row],[buyFromVendorNo]],'Next Day Scheduled'!A:A,'Pending Returns'!O:O,"NOT_FOUND")</f>
        <v>NOT_FOUND</v>
      </c>
    </row>
    <row r="3465" spans="1:17" x14ac:dyDescent="0.3">
      <c r="A3465" s="1">
        <v>46245</v>
      </c>
      <c r="B3465" t="s">
        <v>642</v>
      </c>
      <c r="C3465" t="s">
        <v>643</v>
      </c>
      <c r="D3465" t="s">
        <v>644</v>
      </c>
      <c r="E3465" t="s">
        <v>8</v>
      </c>
      <c r="F3465" t="s">
        <v>38</v>
      </c>
      <c r="G3465" s="16">
        <v>416.5</v>
      </c>
      <c r="H3465" s="16">
        <v>478.97500000000002</v>
      </c>
      <c r="J3465">
        <v>14</v>
      </c>
      <c r="K3465" t="s">
        <v>9726</v>
      </c>
      <c r="M3465">
        <v>1</v>
      </c>
      <c r="N3465">
        <v>5</v>
      </c>
      <c r="O3465" t="s">
        <v>216</v>
      </c>
      <c r="P3465" s="17"/>
      <c r="Q3465" s="17" t="str">
        <f>_xlfn.XLOOKUP(Table2[[#This Row],[buyFromVendorNo]],'Next Day Scheduled'!A:A,'Pending Returns'!O:O,"NOT_FOUND")</f>
        <v>NOT_FOUND</v>
      </c>
    </row>
    <row r="3466" spans="1:17" x14ac:dyDescent="0.3">
      <c r="A3466" s="1">
        <v>46245</v>
      </c>
      <c r="B3466" t="s">
        <v>3435</v>
      </c>
      <c r="C3466" t="s">
        <v>120</v>
      </c>
      <c r="D3466" t="s">
        <v>121</v>
      </c>
      <c r="E3466" t="s">
        <v>8</v>
      </c>
      <c r="F3466" t="s">
        <v>10</v>
      </c>
      <c r="G3466" s="16">
        <v>697</v>
      </c>
      <c r="H3466" s="16">
        <v>801.55</v>
      </c>
      <c r="I3466" s="1">
        <v>46245</v>
      </c>
      <c r="J3466">
        <v>14</v>
      </c>
      <c r="K3466" t="s">
        <v>7532</v>
      </c>
      <c r="L3466" t="s">
        <v>9741</v>
      </c>
      <c r="M3466">
        <v>6</v>
      </c>
      <c r="N3466">
        <v>1</v>
      </c>
      <c r="O3466" t="s">
        <v>1036</v>
      </c>
      <c r="P3466" s="17"/>
      <c r="Q3466" s="17" t="str">
        <f>_xlfn.XLOOKUP(Table2[[#This Row],[buyFromVendorNo]],'Next Day Scheduled'!A:A,'Pending Returns'!O:O,"NOT_FOUND")</f>
        <v>NOT_FOUND</v>
      </c>
    </row>
    <row r="3467" spans="1:17" x14ac:dyDescent="0.3">
      <c r="A3467" s="1">
        <v>46245</v>
      </c>
      <c r="B3467" t="s">
        <v>6306</v>
      </c>
      <c r="C3467" t="s">
        <v>126</v>
      </c>
      <c r="D3467" t="s">
        <v>127</v>
      </c>
      <c r="E3467" t="s">
        <v>8</v>
      </c>
      <c r="F3467" t="s">
        <v>38</v>
      </c>
      <c r="G3467" s="16">
        <v>101.67</v>
      </c>
      <c r="H3467" s="16">
        <v>116.9205</v>
      </c>
      <c r="I3467" s="1">
        <v>46245</v>
      </c>
      <c r="J3467">
        <v>14</v>
      </c>
      <c r="K3467" t="s">
        <v>8310</v>
      </c>
      <c r="L3467" t="s">
        <v>9676</v>
      </c>
      <c r="M3467">
        <v>1</v>
      </c>
      <c r="N3467">
        <v>12</v>
      </c>
      <c r="O3467" t="s">
        <v>223</v>
      </c>
      <c r="P3467" s="17"/>
      <c r="Q3467" s="17" t="str">
        <f>_xlfn.XLOOKUP(Table2[[#This Row],[buyFromVendorNo]],'Next Day Scheduled'!A:A,'Pending Returns'!O:O,"NOT_FOUND")</f>
        <v>NOT_FOUND</v>
      </c>
    </row>
    <row r="3468" spans="1:17" x14ac:dyDescent="0.3">
      <c r="A3468" s="1">
        <v>46245</v>
      </c>
      <c r="B3468" t="s">
        <v>8266</v>
      </c>
      <c r="C3468" t="s">
        <v>49</v>
      </c>
      <c r="D3468" t="s">
        <v>50</v>
      </c>
      <c r="E3468" t="s">
        <v>8</v>
      </c>
      <c r="F3468" t="s">
        <v>10</v>
      </c>
      <c r="G3468" s="16">
        <v>781.38</v>
      </c>
      <c r="H3468" s="16">
        <v>898.58699999999999</v>
      </c>
      <c r="I3468" s="1">
        <v>46245</v>
      </c>
      <c r="J3468">
        <v>14</v>
      </c>
      <c r="K3468" t="s">
        <v>8549</v>
      </c>
      <c r="L3468" t="s">
        <v>9670</v>
      </c>
      <c r="M3468">
        <v>0</v>
      </c>
      <c r="N3468">
        <v>15</v>
      </c>
      <c r="O3468" t="s">
        <v>223</v>
      </c>
      <c r="P3468" s="17"/>
      <c r="Q3468" s="17" t="str">
        <f>_xlfn.XLOOKUP(Table2[[#This Row],[buyFromVendorNo]],'Next Day Scheduled'!A:A,'Pending Returns'!O:O,"NOT_FOUND")</f>
        <v>NOT_FOUND</v>
      </c>
    </row>
    <row r="3469" spans="1:17" x14ac:dyDescent="0.3">
      <c r="A3469" s="1">
        <v>46245</v>
      </c>
      <c r="B3469" t="s">
        <v>6286</v>
      </c>
      <c r="C3469" t="s">
        <v>808</v>
      </c>
      <c r="D3469" t="s">
        <v>904</v>
      </c>
      <c r="E3469" t="s">
        <v>8</v>
      </c>
      <c r="F3469" t="s">
        <v>38</v>
      </c>
      <c r="G3469" s="16">
        <v>1655.28</v>
      </c>
      <c r="H3469" s="16">
        <v>1903.5719999999999</v>
      </c>
      <c r="I3469" s="1">
        <v>46245</v>
      </c>
      <c r="J3469">
        <v>14</v>
      </c>
      <c r="K3469" t="s">
        <v>8887</v>
      </c>
      <c r="L3469" t="s">
        <v>9729</v>
      </c>
      <c r="M3469">
        <v>4</v>
      </c>
      <c r="N3469">
        <v>2</v>
      </c>
      <c r="O3469" t="s">
        <v>223</v>
      </c>
      <c r="P3469" s="17"/>
      <c r="Q3469" s="17" t="str">
        <f>_xlfn.XLOOKUP(Table2[[#This Row],[buyFromVendorNo]],'Next Day Scheduled'!A:A,'Pending Returns'!O:O,"NOT_FOUND")</f>
        <v>NOT_FOUND</v>
      </c>
    </row>
    <row r="3470" spans="1:17" x14ac:dyDescent="0.3">
      <c r="A3470" s="1">
        <v>46245</v>
      </c>
      <c r="B3470" t="s">
        <v>3254</v>
      </c>
      <c r="C3470" t="s">
        <v>2943</v>
      </c>
      <c r="D3470" t="s">
        <v>2944</v>
      </c>
      <c r="E3470" t="s">
        <v>8</v>
      </c>
      <c r="F3470" t="s">
        <v>10</v>
      </c>
      <c r="G3470" s="16">
        <v>222.17</v>
      </c>
      <c r="H3470" s="16">
        <v>255.49549999999999</v>
      </c>
      <c r="I3470" s="1">
        <v>46245</v>
      </c>
      <c r="J3470">
        <v>14</v>
      </c>
      <c r="K3470" t="s">
        <v>8563</v>
      </c>
      <c r="L3470" t="s">
        <v>9671</v>
      </c>
      <c r="M3470">
        <v>1</v>
      </c>
      <c r="N3470">
        <v>9</v>
      </c>
      <c r="O3470" t="s">
        <v>223</v>
      </c>
      <c r="P3470" s="17"/>
      <c r="Q3470" s="17" t="str">
        <f>_xlfn.XLOOKUP(Table2[[#This Row],[buyFromVendorNo]],'Next Day Scheduled'!A:A,'Pending Returns'!O:O,"NOT_FOUND")</f>
        <v>NOT_FOUND</v>
      </c>
    </row>
    <row r="3471" spans="1:17" x14ac:dyDescent="0.3">
      <c r="A3471" s="1">
        <v>46245</v>
      </c>
      <c r="B3471" t="s">
        <v>2095</v>
      </c>
      <c r="C3471" t="s">
        <v>329</v>
      </c>
      <c r="D3471" t="s">
        <v>320</v>
      </c>
      <c r="E3471" t="s">
        <v>8</v>
      </c>
      <c r="F3471" t="s">
        <v>38</v>
      </c>
      <c r="G3471" s="16">
        <v>817</v>
      </c>
      <c r="H3471" s="16">
        <v>939.55</v>
      </c>
      <c r="I3471" s="1">
        <v>46243</v>
      </c>
      <c r="J3471">
        <v>14</v>
      </c>
      <c r="K3471" t="s">
        <v>7443</v>
      </c>
      <c r="L3471" t="s">
        <v>9716</v>
      </c>
      <c r="M3471">
        <v>2</v>
      </c>
      <c r="N3471">
        <v>2</v>
      </c>
      <c r="O3471" t="s">
        <v>1036</v>
      </c>
      <c r="P3471" s="17"/>
      <c r="Q3471" s="17" t="str">
        <f>_xlfn.XLOOKUP(Table2[[#This Row],[buyFromVendorNo]],'Next Day Scheduled'!A:A,'Pending Returns'!O:O,"NOT_FOUND")</f>
        <v>NOT_FOUND</v>
      </c>
    </row>
    <row r="3472" spans="1:17" x14ac:dyDescent="0.3">
      <c r="A3472" s="1">
        <v>46245</v>
      </c>
      <c r="B3472" t="s">
        <v>2138</v>
      </c>
      <c r="C3472" t="s">
        <v>2363</v>
      </c>
      <c r="D3472" t="s">
        <v>2364</v>
      </c>
      <c r="E3472" t="s">
        <v>8</v>
      </c>
      <c r="F3472" t="s">
        <v>10</v>
      </c>
      <c r="G3472" s="16">
        <v>746.9</v>
      </c>
      <c r="H3472" s="16">
        <v>858.93499999999995</v>
      </c>
      <c r="I3472" s="1">
        <v>46245</v>
      </c>
      <c r="J3472">
        <v>14</v>
      </c>
      <c r="K3472" t="s">
        <v>9434</v>
      </c>
      <c r="L3472" t="s">
        <v>9674</v>
      </c>
      <c r="M3472">
        <v>2</v>
      </c>
      <c r="N3472">
        <v>6</v>
      </c>
      <c r="O3472" t="s">
        <v>1036</v>
      </c>
      <c r="P3472" s="17"/>
      <c r="Q3472" s="17" t="str">
        <f>_xlfn.XLOOKUP(Table2[[#This Row],[buyFromVendorNo]],'Next Day Scheduled'!A:A,'Pending Returns'!O:O,"NOT_FOUND")</f>
        <v>NOT_FOUND</v>
      </c>
    </row>
    <row r="3473" spans="1:17" x14ac:dyDescent="0.3">
      <c r="A3473" s="1">
        <v>46245</v>
      </c>
      <c r="B3473" t="s">
        <v>642</v>
      </c>
      <c r="C3473" t="s">
        <v>812</v>
      </c>
      <c r="D3473" t="s">
        <v>2394</v>
      </c>
      <c r="E3473" t="s">
        <v>8</v>
      </c>
      <c r="F3473" t="s">
        <v>38</v>
      </c>
      <c r="G3473" s="16">
        <v>3470</v>
      </c>
      <c r="H3473" s="16">
        <v>3990.5</v>
      </c>
      <c r="J3473">
        <v>14</v>
      </c>
      <c r="K3473" t="s">
        <v>9711</v>
      </c>
      <c r="M3473">
        <v>2</v>
      </c>
      <c r="N3473">
        <v>6</v>
      </c>
      <c r="O3473" t="s">
        <v>216</v>
      </c>
      <c r="P3473" s="17"/>
      <c r="Q3473" s="17" t="str">
        <f>_xlfn.XLOOKUP(Table2[[#This Row],[buyFromVendorNo]],'Next Day Scheduled'!A:A,'Pending Returns'!O:O,"NOT_FOUND")</f>
        <v>NOT_FOUND</v>
      </c>
    </row>
    <row r="3474" spans="1:17" x14ac:dyDescent="0.3">
      <c r="A3474" s="1">
        <v>46245</v>
      </c>
      <c r="B3474" t="s">
        <v>355</v>
      </c>
      <c r="C3474" t="s">
        <v>126</v>
      </c>
      <c r="D3474" t="s">
        <v>127</v>
      </c>
      <c r="E3474" t="s">
        <v>8</v>
      </c>
      <c r="F3474" t="s">
        <v>38</v>
      </c>
      <c r="G3474" s="16">
        <v>271.54820000000001</v>
      </c>
      <c r="H3474" s="16">
        <v>312.28043000000002</v>
      </c>
      <c r="I3474" s="1">
        <v>46245</v>
      </c>
      <c r="J3474">
        <v>14</v>
      </c>
      <c r="K3474" t="s">
        <v>7893</v>
      </c>
      <c r="L3474" t="s">
        <v>9669</v>
      </c>
      <c r="M3474">
        <v>1</v>
      </c>
      <c r="N3474">
        <v>12</v>
      </c>
      <c r="O3474" t="s">
        <v>223</v>
      </c>
      <c r="P3474" s="17"/>
      <c r="Q3474" s="17" t="str">
        <f>_xlfn.XLOOKUP(Table2[[#This Row],[buyFromVendorNo]],'Next Day Scheduled'!A:A,'Pending Returns'!O:O,"NOT_FOUND")</f>
        <v>NOT_FOUND</v>
      </c>
    </row>
    <row r="3475" spans="1:17" x14ac:dyDescent="0.3">
      <c r="A3475" s="1">
        <v>46245</v>
      </c>
      <c r="B3475" t="s">
        <v>1567</v>
      </c>
      <c r="C3475" t="s">
        <v>130</v>
      </c>
      <c r="D3475" t="s">
        <v>131</v>
      </c>
      <c r="E3475" t="s">
        <v>8</v>
      </c>
      <c r="F3475" t="s">
        <v>10</v>
      </c>
      <c r="G3475" s="16">
        <v>1004.95</v>
      </c>
      <c r="H3475" s="16">
        <v>1155.6925000000001</v>
      </c>
      <c r="I3475" s="1">
        <v>46233</v>
      </c>
      <c r="J3475">
        <v>14</v>
      </c>
      <c r="K3475" t="s">
        <v>8849</v>
      </c>
      <c r="L3475" t="s">
        <v>9753</v>
      </c>
      <c r="M3475">
        <v>2</v>
      </c>
      <c r="N3475">
        <v>7</v>
      </c>
      <c r="O3475" t="s">
        <v>1036</v>
      </c>
      <c r="P3475" s="17"/>
      <c r="Q3475" s="17" t="str">
        <f>_xlfn.XLOOKUP(Table2[[#This Row],[buyFromVendorNo]],'Next Day Scheduled'!A:A,'Pending Returns'!O:O,"NOT_FOUND")</f>
        <v>Posted Credit Note</v>
      </c>
    </row>
    <row r="3476" spans="1:17" x14ac:dyDescent="0.3">
      <c r="A3476" s="1">
        <v>46245</v>
      </c>
      <c r="B3476" t="s">
        <v>3578</v>
      </c>
      <c r="C3476" t="s">
        <v>49</v>
      </c>
      <c r="D3476" t="s">
        <v>50</v>
      </c>
      <c r="E3476" t="s">
        <v>8</v>
      </c>
      <c r="F3476" t="s">
        <v>10</v>
      </c>
      <c r="G3476" s="16">
        <v>3373.72</v>
      </c>
      <c r="H3476" s="16">
        <v>3879.7779999999998</v>
      </c>
      <c r="I3476" s="1">
        <v>46245</v>
      </c>
      <c r="J3476">
        <v>14</v>
      </c>
      <c r="K3476" t="s">
        <v>9580</v>
      </c>
      <c r="L3476" t="s">
        <v>9675</v>
      </c>
      <c r="M3476">
        <v>0</v>
      </c>
      <c r="N3476">
        <v>15</v>
      </c>
      <c r="O3476" t="s">
        <v>223</v>
      </c>
      <c r="P3476" s="17"/>
      <c r="Q3476" s="17" t="str">
        <f>_xlfn.XLOOKUP(Table2[[#This Row],[buyFromVendorNo]],'Next Day Scheduled'!A:A,'Pending Returns'!O:O,"NOT_FOUND")</f>
        <v>NOT_FOUND</v>
      </c>
    </row>
    <row r="3477" spans="1:17" x14ac:dyDescent="0.3">
      <c r="A3477" s="1">
        <v>46245</v>
      </c>
      <c r="B3477" t="s">
        <v>3255</v>
      </c>
      <c r="C3477" t="s">
        <v>5199</v>
      </c>
      <c r="D3477" t="s">
        <v>5200</v>
      </c>
      <c r="E3477" t="s">
        <v>8</v>
      </c>
      <c r="F3477" t="s">
        <v>10</v>
      </c>
      <c r="G3477" s="16">
        <v>551.04089999999997</v>
      </c>
      <c r="H3477" s="16">
        <v>633.697</v>
      </c>
      <c r="I3477" s="1">
        <v>46244</v>
      </c>
      <c r="J3477">
        <v>14</v>
      </c>
      <c r="K3477" t="s">
        <v>8151</v>
      </c>
      <c r="L3477" t="s">
        <v>9759</v>
      </c>
      <c r="M3477">
        <v>0</v>
      </c>
      <c r="N3477">
        <v>24</v>
      </c>
      <c r="O3477" t="s">
        <v>1036</v>
      </c>
      <c r="P3477" s="17"/>
      <c r="Q3477" s="17" t="str">
        <f>_xlfn.XLOOKUP(Table2[[#This Row],[buyFromVendorNo]],'Next Day Scheduled'!A:A,'Pending Returns'!O:O,"NOT_FOUND")</f>
        <v>Posted Credit Note</v>
      </c>
    </row>
    <row r="3478" spans="1:17" x14ac:dyDescent="0.3">
      <c r="A3478" s="1">
        <v>46245</v>
      </c>
      <c r="B3478" t="s">
        <v>2208</v>
      </c>
      <c r="C3478" t="s">
        <v>423</v>
      </c>
      <c r="D3478" t="s">
        <v>424</v>
      </c>
      <c r="E3478" t="s">
        <v>8</v>
      </c>
      <c r="F3478" t="s">
        <v>10</v>
      </c>
      <c r="G3478" s="16">
        <v>462.91500000000002</v>
      </c>
      <c r="H3478" s="16">
        <v>532.35222999999996</v>
      </c>
      <c r="I3478" s="1">
        <v>46236</v>
      </c>
      <c r="J3478">
        <v>14</v>
      </c>
      <c r="K3478" t="s">
        <v>8238</v>
      </c>
      <c r="L3478" t="s">
        <v>9760</v>
      </c>
      <c r="M3478">
        <v>2</v>
      </c>
      <c r="N3478">
        <v>3</v>
      </c>
      <c r="O3478" t="s">
        <v>1036</v>
      </c>
      <c r="P3478" s="17"/>
      <c r="Q3478" s="17" t="str">
        <f>_xlfn.XLOOKUP(Table2[[#This Row],[buyFromVendorNo]],'Next Day Scheduled'!A:A,'Pending Returns'!O:O,"NOT_FOUND")</f>
        <v>NOT_FOUND</v>
      </c>
    </row>
    <row r="3479" spans="1:17" x14ac:dyDescent="0.3">
      <c r="A3479" s="1">
        <v>46245</v>
      </c>
      <c r="B3479" t="s">
        <v>642</v>
      </c>
      <c r="C3479" t="s">
        <v>358</v>
      </c>
      <c r="D3479" t="s">
        <v>359</v>
      </c>
      <c r="E3479" t="s">
        <v>8</v>
      </c>
      <c r="F3479" t="s">
        <v>38</v>
      </c>
      <c r="G3479" s="16">
        <v>89.75</v>
      </c>
      <c r="H3479" s="16">
        <v>103.21250000000001</v>
      </c>
      <c r="J3479">
        <v>14</v>
      </c>
      <c r="K3479" t="s">
        <v>9738</v>
      </c>
      <c r="M3479">
        <v>1</v>
      </c>
      <c r="N3479">
        <v>1</v>
      </c>
      <c r="O3479" t="s">
        <v>216</v>
      </c>
      <c r="P3479" s="17"/>
      <c r="Q3479" s="17" t="str">
        <f>_xlfn.XLOOKUP(Table2[[#This Row],[buyFromVendorNo]],'Next Day Scheduled'!A:A,'Pending Returns'!O:O,"NOT_FOUND")</f>
        <v>NOT_FOUND</v>
      </c>
    </row>
    <row r="3480" spans="1:17" x14ac:dyDescent="0.3">
      <c r="A3480" s="1">
        <v>46245</v>
      </c>
      <c r="B3480" t="s">
        <v>7275</v>
      </c>
      <c r="C3480" t="s">
        <v>5199</v>
      </c>
      <c r="D3480" t="s">
        <v>5200</v>
      </c>
      <c r="E3480" t="s">
        <v>8</v>
      </c>
      <c r="F3480" t="s">
        <v>10</v>
      </c>
      <c r="G3480" s="16">
        <v>119.7915</v>
      </c>
      <c r="H3480" s="16">
        <v>137.76022</v>
      </c>
      <c r="I3480" s="1">
        <v>46244</v>
      </c>
      <c r="J3480">
        <v>14</v>
      </c>
      <c r="K3480" t="s">
        <v>7276</v>
      </c>
      <c r="L3480" t="s">
        <v>9745</v>
      </c>
      <c r="M3480">
        <v>0</v>
      </c>
      <c r="N3480">
        <v>24</v>
      </c>
      <c r="O3480" t="s">
        <v>1036</v>
      </c>
      <c r="P3480" s="17"/>
      <c r="Q3480" s="17" t="str">
        <f>_xlfn.XLOOKUP(Table2[[#This Row],[buyFromVendorNo]],'Next Day Scheduled'!A:A,'Pending Returns'!O:O,"NOT_FOUND")</f>
        <v>Posted Credit Note</v>
      </c>
    </row>
    <row r="3481" spans="1:17" x14ac:dyDescent="0.3">
      <c r="A3481" s="1">
        <v>46245</v>
      </c>
      <c r="B3481" t="s">
        <v>8167</v>
      </c>
      <c r="C3481" t="s">
        <v>2943</v>
      </c>
      <c r="D3481" t="s">
        <v>2944</v>
      </c>
      <c r="E3481" t="s">
        <v>8</v>
      </c>
      <c r="F3481" t="s">
        <v>10</v>
      </c>
      <c r="G3481" s="16">
        <v>481.79</v>
      </c>
      <c r="H3481" s="16">
        <v>554.05849999999998</v>
      </c>
      <c r="I3481" s="1">
        <v>46245</v>
      </c>
      <c r="J3481">
        <v>14</v>
      </c>
      <c r="K3481" t="s">
        <v>9004</v>
      </c>
      <c r="L3481" t="s">
        <v>9677</v>
      </c>
      <c r="M3481">
        <v>1</v>
      </c>
      <c r="N3481">
        <v>9</v>
      </c>
      <c r="O3481" t="s">
        <v>223</v>
      </c>
      <c r="P3481" s="17"/>
      <c r="Q3481" s="17" t="str">
        <f>_xlfn.XLOOKUP(Table2[[#This Row],[buyFromVendorNo]],'Next Day Scheduled'!A:A,'Pending Returns'!O:O,"NOT_FOUND")</f>
        <v>NOT_FOUND</v>
      </c>
    </row>
    <row r="3482" spans="1:17" x14ac:dyDescent="0.3">
      <c r="A3482" s="1">
        <v>46245</v>
      </c>
      <c r="B3482" t="s">
        <v>3289</v>
      </c>
      <c r="C3482" t="s">
        <v>491</v>
      </c>
      <c r="D3482" t="s">
        <v>492</v>
      </c>
      <c r="E3482" t="s">
        <v>8</v>
      </c>
      <c r="F3482" t="s">
        <v>10</v>
      </c>
      <c r="G3482" s="16">
        <v>660.75</v>
      </c>
      <c r="H3482" s="16">
        <v>759.86249999999995</v>
      </c>
      <c r="I3482" s="1">
        <v>46244</v>
      </c>
      <c r="J3482">
        <v>14</v>
      </c>
      <c r="K3482" t="s">
        <v>8846</v>
      </c>
      <c r="L3482" t="s">
        <v>9746</v>
      </c>
      <c r="M3482">
        <v>2</v>
      </c>
      <c r="N3482">
        <v>2</v>
      </c>
      <c r="O3482" t="s">
        <v>1036</v>
      </c>
      <c r="P3482" s="17"/>
      <c r="Q3482" s="17" t="str">
        <f>_xlfn.XLOOKUP(Table2[[#This Row],[buyFromVendorNo]],'Next Day Scheduled'!A:A,'Pending Returns'!O:O,"NOT_FOUND")</f>
        <v>NOT_FOUND</v>
      </c>
    </row>
    <row r="3483" spans="1:17" x14ac:dyDescent="0.3">
      <c r="A3483" s="1">
        <v>46245</v>
      </c>
      <c r="B3483" t="s">
        <v>642</v>
      </c>
      <c r="C3483" t="s">
        <v>69</v>
      </c>
      <c r="D3483" t="s">
        <v>70</v>
      </c>
      <c r="E3483" t="s">
        <v>8</v>
      </c>
      <c r="F3483" t="s">
        <v>38</v>
      </c>
      <c r="G3483" s="16">
        <v>155.25</v>
      </c>
      <c r="H3483" s="16">
        <v>178.53749999999999</v>
      </c>
      <c r="J3483">
        <v>14</v>
      </c>
      <c r="K3483" t="s">
        <v>9707</v>
      </c>
      <c r="M3483">
        <v>2</v>
      </c>
      <c r="N3483">
        <v>2</v>
      </c>
      <c r="O3483" t="s">
        <v>216</v>
      </c>
      <c r="P3483" s="17"/>
      <c r="Q3483" s="17" t="str">
        <f>_xlfn.XLOOKUP(Table2[[#This Row],[buyFromVendorNo]],'Next Day Scheduled'!A:A,'Pending Returns'!O:O,"NOT_FOUND")</f>
        <v>Posted Credit Note</v>
      </c>
    </row>
    <row r="3484" spans="1:17" x14ac:dyDescent="0.3">
      <c r="A3484" s="1">
        <v>46245</v>
      </c>
      <c r="B3484" t="s">
        <v>3370</v>
      </c>
      <c r="C3484" t="s">
        <v>2970</v>
      </c>
      <c r="D3484" t="s">
        <v>2971</v>
      </c>
      <c r="E3484" t="s">
        <v>8</v>
      </c>
      <c r="F3484" t="s">
        <v>10</v>
      </c>
      <c r="G3484" s="16">
        <v>118.694</v>
      </c>
      <c r="H3484" s="16">
        <v>136.49809999999999</v>
      </c>
      <c r="I3484" s="1">
        <v>46245</v>
      </c>
      <c r="J3484">
        <v>14</v>
      </c>
      <c r="K3484" t="s">
        <v>7147</v>
      </c>
      <c r="L3484" t="s">
        <v>9673</v>
      </c>
      <c r="M3484">
        <v>2</v>
      </c>
      <c r="N3484">
        <v>2</v>
      </c>
      <c r="O3484" t="s">
        <v>223</v>
      </c>
      <c r="P3484" s="17"/>
      <c r="Q3484" s="17" t="str">
        <f>_xlfn.XLOOKUP(Table2[[#This Row],[buyFromVendorNo]],'Next Day Scheduled'!A:A,'Pending Returns'!O:O,"NOT_FOUND")</f>
        <v>NOT_FOUND</v>
      </c>
    </row>
    <row r="3485" spans="1:17" x14ac:dyDescent="0.3">
      <c r="A3485" s="1">
        <v>46245</v>
      </c>
      <c r="B3485" t="s">
        <v>3300</v>
      </c>
      <c r="C3485" t="s">
        <v>2943</v>
      </c>
      <c r="D3485" t="s">
        <v>2944</v>
      </c>
      <c r="E3485" t="s">
        <v>8</v>
      </c>
      <c r="F3485" t="s">
        <v>10</v>
      </c>
      <c r="G3485" s="16">
        <v>936.3</v>
      </c>
      <c r="H3485" s="16">
        <v>1076.7449999999999</v>
      </c>
      <c r="I3485" s="1">
        <v>46245</v>
      </c>
      <c r="J3485">
        <v>14</v>
      </c>
      <c r="K3485" t="s">
        <v>8058</v>
      </c>
      <c r="L3485" t="s">
        <v>9672</v>
      </c>
      <c r="M3485">
        <v>1</v>
      </c>
      <c r="N3485">
        <v>9</v>
      </c>
      <c r="O3485" t="s">
        <v>223</v>
      </c>
      <c r="P3485" s="17"/>
      <c r="Q3485" s="17" t="str">
        <f>_xlfn.XLOOKUP(Table2[[#This Row],[buyFromVendorNo]],'Next Day Scheduled'!A:A,'Pending Returns'!O:O,"NOT_FOUND")</f>
        <v>NOT_FOUND</v>
      </c>
    </row>
    <row r="3486" spans="1:17" x14ac:dyDescent="0.3">
      <c r="A3486" s="1">
        <v>46245</v>
      </c>
      <c r="B3486" t="s">
        <v>9749</v>
      </c>
      <c r="C3486" t="s">
        <v>173</v>
      </c>
      <c r="D3486" t="s">
        <v>174</v>
      </c>
      <c r="E3486" t="s">
        <v>8</v>
      </c>
      <c r="F3486" t="s">
        <v>10</v>
      </c>
      <c r="G3486" s="16">
        <v>2832.86</v>
      </c>
      <c r="H3486" s="16">
        <v>3257.7890000000002</v>
      </c>
      <c r="J3486">
        <v>14</v>
      </c>
      <c r="K3486" t="s">
        <v>9750</v>
      </c>
      <c r="M3486">
        <v>6</v>
      </c>
      <c r="N3486">
        <v>1</v>
      </c>
      <c r="O3486" t="s">
        <v>216</v>
      </c>
      <c r="P3486" s="17"/>
      <c r="Q3486" s="17" t="str">
        <f>_xlfn.XLOOKUP(Table2[[#This Row],[buyFromVendorNo]],'Next Day Scheduled'!A:A,'Pending Returns'!O:O,"NOT_FOUND")</f>
        <v>NOT_FOUND</v>
      </c>
    </row>
    <row r="3487" spans="1:17" x14ac:dyDescent="0.3">
      <c r="A3487" s="1">
        <v>46245</v>
      </c>
      <c r="B3487" t="s">
        <v>7198</v>
      </c>
      <c r="C3487" t="s">
        <v>329</v>
      </c>
      <c r="D3487" t="s">
        <v>320</v>
      </c>
      <c r="E3487" t="s">
        <v>8</v>
      </c>
      <c r="F3487" t="s">
        <v>10</v>
      </c>
      <c r="G3487" s="16">
        <v>30</v>
      </c>
      <c r="H3487" s="16">
        <v>34.5</v>
      </c>
      <c r="I3487" s="1">
        <v>46243</v>
      </c>
      <c r="J3487">
        <v>14</v>
      </c>
      <c r="K3487" t="s">
        <v>7613</v>
      </c>
      <c r="L3487" t="s">
        <v>9709</v>
      </c>
      <c r="M3487">
        <v>2</v>
      </c>
      <c r="N3487">
        <v>2</v>
      </c>
      <c r="O3487" t="s">
        <v>1036</v>
      </c>
      <c r="P3487" s="17"/>
      <c r="Q3487" s="17" t="str">
        <f>_xlfn.XLOOKUP(Table2[[#This Row],[buyFromVendorNo]],'Next Day Scheduled'!A:A,'Pending Returns'!O:O,"NOT_FOUND")</f>
        <v>NOT_FOUND</v>
      </c>
    </row>
    <row r="3488" spans="1:17" x14ac:dyDescent="0.3">
      <c r="A3488" s="1">
        <v>46245</v>
      </c>
      <c r="B3488" t="s">
        <v>8124</v>
      </c>
      <c r="C3488" t="s">
        <v>2970</v>
      </c>
      <c r="D3488" t="s">
        <v>2971</v>
      </c>
      <c r="E3488" t="s">
        <v>8</v>
      </c>
      <c r="F3488" t="s">
        <v>10</v>
      </c>
      <c r="G3488" s="16">
        <v>30.521999999999998</v>
      </c>
      <c r="H3488" s="16">
        <v>35.100299999999997</v>
      </c>
      <c r="I3488" s="1">
        <v>46245</v>
      </c>
      <c r="J3488">
        <v>14</v>
      </c>
      <c r="K3488" t="s">
        <v>8125</v>
      </c>
      <c r="L3488" t="s">
        <v>9678</v>
      </c>
      <c r="M3488">
        <v>2</v>
      </c>
      <c r="N3488">
        <v>2</v>
      </c>
      <c r="O3488" t="s">
        <v>223</v>
      </c>
      <c r="P3488" s="17"/>
      <c r="Q3488" s="17" t="str">
        <f>_xlfn.XLOOKUP(Table2[[#This Row],[buyFromVendorNo]],'Next Day Scheduled'!A:A,'Pending Returns'!O:O,"NOT_FOUND")</f>
        <v>NOT_FOUND</v>
      </c>
    </row>
    <row r="3489" spans="1:17" x14ac:dyDescent="0.3">
      <c r="A3489" s="1">
        <v>46245</v>
      </c>
      <c r="B3489" t="s">
        <v>2520</v>
      </c>
      <c r="C3489" t="s">
        <v>65</v>
      </c>
      <c r="D3489" t="s">
        <v>66</v>
      </c>
      <c r="E3489" t="s">
        <v>8</v>
      </c>
      <c r="F3489" t="s">
        <v>10</v>
      </c>
      <c r="G3489" s="16">
        <v>5526.4660000000003</v>
      </c>
      <c r="H3489" s="16">
        <v>6355.4354999999996</v>
      </c>
      <c r="I3489" s="1">
        <v>46230</v>
      </c>
      <c r="J3489">
        <v>14</v>
      </c>
      <c r="K3489" t="s">
        <v>6635</v>
      </c>
      <c r="L3489" t="s">
        <v>9710</v>
      </c>
      <c r="M3489">
        <v>5</v>
      </c>
      <c r="N3489">
        <v>5</v>
      </c>
      <c r="O3489" t="s">
        <v>1036</v>
      </c>
      <c r="P3489" s="17"/>
      <c r="Q3489" s="17" t="str">
        <f>_xlfn.XLOOKUP(Table2[[#This Row],[buyFromVendorNo]],'Next Day Scheduled'!A:A,'Pending Returns'!O:O,"NOT_FOUND")</f>
        <v>Posted Credit Note</v>
      </c>
    </row>
    <row r="3490" spans="1:17" x14ac:dyDescent="0.3">
      <c r="A3490" s="1">
        <v>46245</v>
      </c>
      <c r="B3490" t="s">
        <v>5415</v>
      </c>
      <c r="C3490" t="s">
        <v>1407</v>
      </c>
      <c r="D3490" t="s">
        <v>2306</v>
      </c>
      <c r="E3490" t="s">
        <v>8</v>
      </c>
      <c r="F3490" t="s">
        <v>10</v>
      </c>
      <c r="G3490" s="16">
        <v>233.2</v>
      </c>
      <c r="H3490" s="16">
        <v>268.18</v>
      </c>
      <c r="I3490" s="1">
        <v>46245</v>
      </c>
      <c r="J3490">
        <v>14</v>
      </c>
      <c r="K3490" t="s">
        <v>9615</v>
      </c>
      <c r="L3490" t="s">
        <v>9751</v>
      </c>
      <c r="M3490">
        <v>0</v>
      </c>
      <c r="N3490">
        <v>16</v>
      </c>
      <c r="O3490" t="s">
        <v>1036</v>
      </c>
      <c r="P3490" s="17"/>
      <c r="Q3490" s="17" t="str">
        <f>_xlfn.XLOOKUP(Table2[[#This Row],[buyFromVendorNo]],'Next Day Scheduled'!A:A,'Pending Returns'!O:O,"NOT_FOUND")</f>
        <v>NOT_FOUND</v>
      </c>
    </row>
    <row r="3491" spans="1:17" x14ac:dyDescent="0.3">
      <c r="A3491" s="1">
        <v>46245</v>
      </c>
      <c r="B3491" t="s">
        <v>1888</v>
      </c>
      <c r="C3491" t="s">
        <v>1353</v>
      </c>
      <c r="D3491" t="s">
        <v>1354</v>
      </c>
      <c r="E3491" t="s">
        <v>8</v>
      </c>
      <c r="F3491" t="s">
        <v>10</v>
      </c>
      <c r="G3491" s="16">
        <v>1680</v>
      </c>
      <c r="H3491" s="16">
        <v>1932</v>
      </c>
      <c r="I3491" s="1">
        <v>46245</v>
      </c>
      <c r="J3491">
        <v>14</v>
      </c>
      <c r="K3491" t="s">
        <v>9602</v>
      </c>
      <c r="L3491" t="s">
        <v>9752</v>
      </c>
      <c r="M3491">
        <v>2</v>
      </c>
      <c r="N3491">
        <v>5</v>
      </c>
      <c r="O3491" t="s">
        <v>1036</v>
      </c>
      <c r="P3491" s="17"/>
      <c r="Q3491" s="17" t="str">
        <f>_xlfn.XLOOKUP(Table2[[#This Row],[buyFromVendorNo]],'Next Day Scheduled'!A:A,'Pending Returns'!O:O,"NOT_FOUND")</f>
        <v>NOT_FOUND</v>
      </c>
    </row>
    <row r="3492" spans="1:17" x14ac:dyDescent="0.3">
      <c r="A3492" s="1">
        <v>46246</v>
      </c>
      <c r="B3492" t="s">
        <v>2737</v>
      </c>
      <c r="C3492" t="s">
        <v>7118</v>
      </c>
      <c r="D3492" t="s">
        <v>7119</v>
      </c>
      <c r="E3492" t="s">
        <v>8</v>
      </c>
      <c r="F3492" t="s">
        <v>10</v>
      </c>
      <c r="G3492" s="16">
        <v>12.83</v>
      </c>
      <c r="H3492" s="16">
        <v>14.7545</v>
      </c>
      <c r="J3492">
        <v>13</v>
      </c>
      <c r="K3492" t="s">
        <v>9778</v>
      </c>
      <c r="M3492">
        <v>2</v>
      </c>
      <c r="N3492">
        <v>5</v>
      </c>
      <c r="O3492" t="s">
        <v>216</v>
      </c>
      <c r="P3492" s="17"/>
      <c r="Q3492" s="17" t="str">
        <f>_xlfn.XLOOKUP(Table2[[#This Row],[buyFromVendorNo]],'Next Day Scheduled'!A:A,'Pending Returns'!O:O,"NOT_FOUND")</f>
        <v>NOT_FOUND</v>
      </c>
    </row>
    <row r="3493" spans="1:17" x14ac:dyDescent="0.3">
      <c r="A3493" s="1">
        <v>46246</v>
      </c>
      <c r="B3493" t="s">
        <v>611</v>
      </c>
      <c r="C3493" t="s">
        <v>199</v>
      </c>
      <c r="D3493" t="s">
        <v>200</v>
      </c>
      <c r="E3493" t="s">
        <v>8</v>
      </c>
      <c r="F3493" t="s">
        <v>10</v>
      </c>
      <c r="G3493" s="16">
        <v>917.4</v>
      </c>
      <c r="H3493" s="16">
        <v>1055.01</v>
      </c>
      <c r="I3493" s="1">
        <v>46246</v>
      </c>
      <c r="J3493">
        <v>13</v>
      </c>
      <c r="K3493" t="s">
        <v>6173</v>
      </c>
      <c r="L3493" t="s">
        <v>9787</v>
      </c>
      <c r="M3493">
        <v>1</v>
      </c>
      <c r="N3493">
        <v>6</v>
      </c>
      <c r="O3493" t="s">
        <v>1036</v>
      </c>
      <c r="P3493" s="17"/>
      <c r="Q3493" s="17" t="str">
        <f>_xlfn.XLOOKUP(Table2[[#This Row],[buyFromVendorNo]],'Next Day Scheduled'!A:A,'Pending Returns'!O:O,"NOT_FOUND")</f>
        <v>NOT_FOUND</v>
      </c>
    </row>
    <row r="3494" spans="1:17" x14ac:dyDescent="0.3">
      <c r="A3494" s="1">
        <v>46246</v>
      </c>
      <c r="B3494" t="s">
        <v>3353</v>
      </c>
      <c r="C3494" t="s">
        <v>67</v>
      </c>
      <c r="D3494" t="s">
        <v>68</v>
      </c>
      <c r="E3494" t="s">
        <v>8</v>
      </c>
      <c r="F3494" t="s">
        <v>10</v>
      </c>
      <c r="G3494" s="16">
        <v>288.03994999999998</v>
      </c>
      <c r="H3494" s="16">
        <v>331.24594000000002</v>
      </c>
      <c r="I3494" s="1">
        <v>46239</v>
      </c>
      <c r="J3494">
        <v>13</v>
      </c>
      <c r="K3494" t="s">
        <v>9013</v>
      </c>
      <c r="L3494" t="s">
        <v>9892</v>
      </c>
      <c r="M3494">
        <v>1</v>
      </c>
      <c r="N3494">
        <v>1</v>
      </c>
      <c r="O3494" t="s">
        <v>1036</v>
      </c>
      <c r="P3494" s="17"/>
      <c r="Q3494" s="17" t="str">
        <f>_xlfn.XLOOKUP(Table2[[#This Row],[buyFromVendorNo]],'Next Day Scheduled'!A:A,'Pending Returns'!O:O,"NOT_FOUND")</f>
        <v>NOT_FOUND</v>
      </c>
    </row>
    <row r="3495" spans="1:17" x14ac:dyDescent="0.3">
      <c r="A3495" s="1">
        <v>46246</v>
      </c>
      <c r="B3495" t="s">
        <v>6392</v>
      </c>
      <c r="C3495" t="s">
        <v>137</v>
      </c>
      <c r="D3495" t="s">
        <v>138</v>
      </c>
      <c r="E3495" t="s">
        <v>8</v>
      </c>
      <c r="F3495" t="s">
        <v>10</v>
      </c>
      <c r="G3495" s="16">
        <v>2282.8000000000002</v>
      </c>
      <c r="H3495" s="16">
        <v>2625.22</v>
      </c>
      <c r="I3495" s="1">
        <v>46243</v>
      </c>
      <c r="J3495">
        <v>13</v>
      </c>
      <c r="K3495" t="s">
        <v>8551</v>
      </c>
      <c r="L3495" t="s">
        <v>9854</v>
      </c>
      <c r="M3495">
        <v>6</v>
      </c>
      <c r="N3495">
        <v>5</v>
      </c>
      <c r="O3495" t="s">
        <v>1036</v>
      </c>
      <c r="P3495" s="17"/>
      <c r="Q3495" s="17" t="str">
        <f>_xlfn.XLOOKUP(Table2[[#This Row],[buyFromVendorNo]],'Next Day Scheduled'!A:A,'Pending Returns'!O:O,"NOT_FOUND")</f>
        <v>NOT_FOUND</v>
      </c>
    </row>
    <row r="3496" spans="1:17" x14ac:dyDescent="0.3">
      <c r="A3496" s="1">
        <v>46246</v>
      </c>
      <c r="B3496" t="s">
        <v>3326</v>
      </c>
      <c r="C3496" t="s">
        <v>67</v>
      </c>
      <c r="D3496" t="s">
        <v>68</v>
      </c>
      <c r="E3496" t="s">
        <v>8</v>
      </c>
      <c r="F3496" t="s">
        <v>10</v>
      </c>
      <c r="G3496" s="16">
        <v>211.33699999999999</v>
      </c>
      <c r="H3496" s="16">
        <v>243.03755000000001</v>
      </c>
      <c r="I3496" s="1">
        <v>46239</v>
      </c>
      <c r="J3496">
        <v>13</v>
      </c>
      <c r="K3496" t="s">
        <v>8149</v>
      </c>
      <c r="L3496" t="s">
        <v>9869</v>
      </c>
      <c r="M3496">
        <v>1</v>
      </c>
      <c r="N3496">
        <v>1</v>
      </c>
      <c r="O3496" t="s">
        <v>1036</v>
      </c>
      <c r="P3496" s="17"/>
      <c r="Q3496" s="17" t="str">
        <f>_xlfn.XLOOKUP(Table2[[#This Row],[buyFromVendorNo]],'Next Day Scheduled'!A:A,'Pending Returns'!O:O,"NOT_FOUND")</f>
        <v>NOT_FOUND</v>
      </c>
    </row>
    <row r="3497" spans="1:17" x14ac:dyDescent="0.3">
      <c r="A3497" s="1">
        <v>46246</v>
      </c>
      <c r="B3497" t="s">
        <v>9472</v>
      </c>
      <c r="C3497" t="s">
        <v>5437</v>
      </c>
      <c r="D3497" t="s">
        <v>5438</v>
      </c>
      <c r="E3497" t="s">
        <v>8</v>
      </c>
      <c r="F3497" t="s">
        <v>10</v>
      </c>
      <c r="G3497" s="16">
        <v>203.30047999999999</v>
      </c>
      <c r="H3497" s="16">
        <v>233.79554999999999</v>
      </c>
      <c r="I3497" s="1">
        <v>46246</v>
      </c>
      <c r="J3497">
        <v>13</v>
      </c>
      <c r="K3497" t="s">
        <v>9471</v>
      </c>
      <c r="L3497" t="s">
        <v>9833</v>
      </c>
      <c r="M3497">
        <v>2</v>
      </c>
      <c r="N3497">
        <v>3</v>
      </c>
      <c r="O3497" t="s">
        <v>223</v>
      </c>
      <c r="P3497" s="17"/>
      <c r="Q3497" s="17" t="str">
        <f>_xlfn.XLOOKUP(Table2[[#This Row],[buyFromVendorNo]],'Next Day Scheduled'!A:A,'Pending Returns'!O:O,"NOT_FOUND")</f>
        <v>NOT_FOUND</v>
      </c>
    </row>
    <row r="3498" spans="1:17" x14ac:dyDescent="0.3">
      <c r="A3498" s="1">
        <v>46246</v>
      </c>
      <c r="B3498" t="s">
        <v>3715</v>
      </c>
      <c r="C3498" t="s">
        <v>418</v>
      </c>
      <c r="D3498" t="s">
        <v>419</v>
      </c>
      <c r="E3498" t="s">
        <v>8</v>
      </c>
      <c r="F3498" t="s">
        <v>169</v>
      </c>
      <c r="G3498" s="16">
        <v>2358</v>
      </c>
      <c r="H3498" s="16">
        <v>2711.7</v>
      </c>
      <c r="I3498" s="1">
        <v>46243</v>
      </c>
      <c r="J3498">
        <v>13</v>
      </c>
      <c r="K3498" t="s">
        <v>8725</v>
      </c>
      <c r="L3498" t="s">
        <v>9856</v>
      </c>
      <c r="M3498">
        <v>2</v>
      </c>
      <c r="N3498">
        <v>3</v>
      </c>
      <c r="O3498" t="s">
        <v>1036</v>
      </c>
      <c r="P3498" s="17"/>
      <c r="Q3498" s="17" t="str">
        <f>_xlfn.XLOOKUP(Table2[[#This Row],[buyFromVendorNo]],'Next Day Scheduled'!A:A,'Pending Returns'!O:O,"NOT_FOUND")</f>
        <v>NOT_FOUND</v>
      </c>
    </row>
    <row r="3499" spans="1:17" x14ac:dyDescent="0.3">
      <c r="A3499" s="1">
        <v>46246</v>
      </c>
      <c r="B3499" t="s">
        <v>3295</v>
      </c>
      <c r="C3499" t="s">
        <v>67</v>
      </c>
      <c r="D3499" t="s">
        <v>68</v>
      </c>
      <c r="E3499" t="s">
        <v>8</v>
      </c>
      <c r="F3499" t="s">
        <v>10</v>
      </c>
      <c r="G3499" s="16">
        <v>308.72680000000003</v>
      </c>
      <c r="H3499" s="16">
        <v>355.03582999999998</v>
      </c>
      <c r="I3499" s="1">
        <v>46239</v>
      </c>
      <c r="J3499">
        <v>13</v>
      </c>
      <c r="K3499" t="s">
        <v>7504</v>
      </c>
      <c r="L3499" t="s">
        <v>9898</v>
      </c>
      <c r="M3499">
        <v>1</v>
      </c>
      <c r="N3499">
        <v>1</v>
      </c>
      <c r="O3499" t="s">
        <v>1036</v>
      </c>
      <c r="P3499" s="17"/>
      <c r="Q3499" s="17" t="str">
        <f>_xlfn.XLOOKUP(Table2[[#This Row],[buyFromVendorNo]],'Next Day Scheduled'!A:A,'Pending Returns'!O:O,"NOT_FOUND")</f>
        <v>NOT_FOUND</v>
      </c>
    </row>
    <row r="3500" spans="1:17" x14ac:dyDescent="0.3">
      <c r="A3500" s="1">
        <v>46246</v>
      </c>
      <c r="B3500" t="s">
        <v>3477</v>
      </c>
      <c r="C3500" t="s">
        <v>2352</v>
      </c>
      <c r="D3500" t="s">
        <v>2353</v>
      </c>
      <c r="E3500" t="s">
        <v>8</v>
      </c>
      <c r="F3500" t="s">
        <v>10</v>
      </c>
      <c r="G3500" s="16">
        <v>4.41</v>
      </c>
      <c r="H3500" s="16">
        <v>5.0715000000000003</v>
      </c>
      <c r="J3500">
        <v>13</v>
      </c>
      <c r="K3500" t="s">
        <v>9836</v>
      </c>
      <c r="M3500">
        <v>1</v>
      </c>
      <c r="N3500">
        <v>5</v>
      </c>
      <c r="O3500" t="s">
        <v>216</v>
      </c>
      <c r="P3500" s="17"/>
      <c r="Q3500" s="17" t="str">
        <f>_xlfn.XLOOKUP(Table2[[#This Row],[buyFromVendorNo]],'Next Day Scheduled'!A:A,'Pending Returns'!O:O,"NOT_FOUND")</f>
        <v>NOT_FOUND</v>
      </c>
    </row>
    <row r="3501" spans="1:17" x14ac:dyDescent="0.3">
      <c r="A3501" s="1">
        <v>46246</v>
      </c>
      <c r="B3501" t="s">
        <v>7970</v>
      </c>
      <c r="C3501" t="s">
        <v>137</v>
      </c>
      <c r="D3501" t="s">
        <v>138</v>
      </c>
      <c r="E3501" t="s">
        <v>8</v>
      </c>
      <c r="F3501" t="s">
        <v>10</v>
      </c>
      <c r="G3501" s="16">
        <v>18919.067999999999</v>
      </c>
      <c r="H3501" s="16">
        <v>21756.928</v>
      </c>
      <c r="I3501" s="1">
        <v>46243</v>
      </c>
      <c r="J3501">
        <v>13</v>
      </c>
      <c r="K3501" t="s">
        <v>7971</v>
      </c>
      <c r="L3501" t="s">
        <v>9877</v>
      </c>
      <c r="M3501">
        <v>6</v>
      </c>
      <c r="N3501">
        <v>5</v>
      </c>
      <c r="O3501" t="s">
        <v>1036</v>
      </c>
      <c r="P3501" s="17"/>
      <c r="Q3501" s="17" t="str">
        <f>_xlfn.XLOOKUP(Table2[[#This Row],[buyFromVendorNo]],'Next Day Scheduled'!A:A,'Pending Returns'!O:O,"NOT_FOUND")</f>
        <v>NOT_FOUND</v>
      </c>
    </row>
    <row r="3502" spans="1:17" x14ac:dyDescent="0.3">
      <c r="A3502" s="1">
        <v>46246</v>
      </c>
      <c r="B3502" t="s">
        <v>2520</v>
      </c>
      <c r="C3502" t="s">
        <v>154</v>
      </c>
      <c r="D3502" t="s">
        <v>155</v>
      </c>
      <c r="E3502" t="s">
        <v>8</v>
      </c>
      <c r="F3502" t="s">
        <v>10</v>
      </c>
      <c r="G3502" s="16">
        <v>1469.2537</v>
      </c>
      <c r="H3502" s="16">
        <v>1689.6416999999999</v>
      </c>
      <c r="I3502" s="1">
        <v>46246</v>
      </c>
      <c r="J3502">
        <v>13</v>
      </c>
      <c r="K3502" t="s">
        <v>8675</v>
      </c>
      <c r="L3502" t="s">
        <v>9762</v>
      </c>
      <c r="M3502">
        <v>1</v>
      </c>
      <c r="N3502">
        <v>7</v>
      </c>
      <c r="O3502" t="s">
        <v>223</v>
      </c>
      <c r="P3502" s="17"/>
      <c r="Q3502" s="17" t="str">
        <f>_xlfn.XLOOKUP(Table2[[#This Row],[buyFromVendorNo]],'Next Day Scheduled'!A:A,'Pending Returns'!O:O,"NOT_FOUND")</f>
        <v>NOT_FOUND</v>
      </c>
    </row>
    <row r="3503" spans="1:17" x14ac:dyDescent="0.3">
      <c r="A3503" s="1">
        <v>46246</v>
      </c>
      <c r="B3503" t="s">
        <v>3280</v>
      </c>
      <c r="C3503" t="s">
        <v>67</v>
      </c>
      <c r="D3503" t="s">
        <v>68</v>
      </c>
      <c r="E3503" t="s">
        <v>8</v>
      </c>
      <c r="F3503" t="s">
        <v>10</v>
      </c>
      <c r="G3503" s="16">
        <v>242.49996999999999</v>
      </c>
      <c r="H3503" s="16">
        <v>278.87497000000002</v>
      </c>
      <c r="I3503" s="1">
        <v>46239</v>
      </c>
      <c r="J3503">
        <v>13</v>
      </c>
      <c r="K3503" t="s">
        <v>8575</v>
      </c>
      <c r="L3503" t="s">
        <v>9881</v>
      </c>
      <c r="M3503">
        <v>1</v>
      </c>
      <c r="N3503">
        <v>1</v>
      </c>
      <c r="O3503" t="s">
        <v>1036</v>
      </c>
      <c r="P3503" s="17"/>
      <c r="Q3503" s="17" t="str">
        <f>_xlfn.XLOOKUP(Table2[[#This Row],[buyFromVendorNo]],'Next Day Scheduled'!A:A,'Pending Returns'!O:O,"NOT_FOUND")</f>
        <v>NOT_FOUND</v>
      </c>
    </row>
    <row r="3504" spans="1:17" x14ac:dyDescent="0.3">
      <c r="A3504" s="1">
        <v>46246</v>
      </c>
      <c r="B3504" t="s">
        <v>2531</v>
      </c>
      <c r="C3504" t="s">
        <v>2478</v>
      </c>
      <c r="D3504" t="s">
        <v>2479</v>
      </c>
      <c r="E3504" t="s">
        <v>8</v>
      </c>
      <c r="F3504" t="s">
        <v>10</v>
      </c>
      <c r="G3504" s="16">
        <v>54</v>
      </c>
      <c r="H3504" s="16">
        <v>54</v>
      </c>
      <c r="J3504">
        <v>13</v>
      </c>
      <c r="K3504" t="s">
        <v>9806</v>
      </c>
      <c r="M3504">
        <v>1</v>
      </c>
      <c r="N3504">
        <v>12</v>
      </c>
      <c r="O3504" t="s">
        <v>216</v>
      </c>
      <c r="P3504" s="17"/>
      <c r="Q3504" s="17" t="str">
        <f>_xlfn.XLOOKUP(Table2[[#This Row],[buyFromVendorNo]],'Next Day Scheduled'!A:A,'Pending Returns'!O:O,"NOT_FOUND")</f>
        <v>NOT_FOUND</v>
      </c>
    </row>
    <row r="3505" spans="1:17" x14ac:dyDescent="0.3">
      <c r="A3505" s="1">
        <v>46246</v>
      </c>
      <c r="B3505" t="s">
        <v>3439</v>
      </c>
      <c r="C3505" t="s">
        <v>5199</v>
      </c>
      <c r="D3505" t="s">
        <v>5200</v>
      </c>
      <c r="E3505" t="s">
        <v>8</v>
      </c>
      <c r="F3505" t="s">
        <v>10</v>
      </c>
      <c r="G3505" s="16">
        <v>95.833200000000005</v>
      </c>
      <c r="H3505" s="16">
        <v>110.20818</v>
      </c>
      <c r="J3505">
        <v>13</v>
      </c>
      <c r="K3505" t="s">
        <v>9843</v>
      </c>
      <c r="M3505">
        <v>0</v>
      </c>
      <c r="N3505">
        <v>24</v>
      </c>
      <c r="O3505" t="s">
        <v>216</v>
      </c>
      <c r="P3505" s="17"/>
      <c r="Q3505" s="17" t="str">
        <f>_xlfn.XLOOKUP(Table2[[#This Row],[buyFromVendorNo]],'Next Day Scheduled'!A:A,'Pending Returns'!O:O,"NOT_FOUND")</f>
        <v>Posted Credit Note</v>
      </c>
    </row>
    <row r="3506" spans="1:17" x14ac:dyDescent="0.3">
      <c r="A3506" s="1">
        <v>46246</v>
      </c>
      <c r="B3506" t="s">
        <v>1467</v>
      </c>
      <c r="C3506" t="s">
        <v>5157</v>
      </c>
      <c r="D3506" t="s">
        <v>5158</v>
      </c>
      <c r="E3506" t="s">
        <v>8</v>
      </c>
      <c r="F3506" t="s">
        <v>10</v>
      </c>
      <c r="G3506" s="16">
        <v>432</v>
      </c>
      <c r="H3506" s="16">
        <v>496.8</v>
      </c>
      <c r="J3506">
        <v>13</v>
      </c>
      <c r="K3506" t="s">
        <v>9882</v>
      </c>
      <c r="M3506">
        <v>0</v>
      </c>
      <c r="N3506">
        <v>376</v>
      </c>
      <c r="O3506" t="s">
        <v>216</v>
      </c>
      <c r="P3506" s="17"/>
      <c r="Q3506" s="17" t="str">
        <f>_xlfn.XLOOKUP(Table2[[#This Row],[buyFromVendorNo]],'Next Day Scheduled'!A:A,'Pending Returns'!O:O,"NOT_FOUND")</f>
        <v>NOT_FOUND</v>
      </c>
    </row>
    <row r="3507" spans="1:17" x14ac:dyDescent="0.3">
      <c r="A3507" s="1">
        <v>46246</v>
      </c>
      <c r="B3507" t="s">
        <v>6284</v>
      </c>
      <c r="C3507" t="s">
        <v>2612</v>
      </c>
      <c r="D3507" t="s">
        <v>2613</v>
      </c>
      <c r="E3507" t="s">
        <v>8</v>
      </c>
      <c r="F3507" t="s">
        <v>10</v>
      </c>
      <c r="G3507" s="16">
        <v>57.500100000000003</v>
      </c>
      <c r="H3507" s="16">
        <v>66.125119999999995</v>
      </c>
      <c r="J3507">
        <v>13</v>
      </c>
      <c r="K3507" t="s">
        <v>9907</v>
      </c>
      <c r="M3507">
        <v>1</v>
      </c>
      <c r="N3507">
        <v>8</v>
      </c>
      <c r="O3507" t="s">
        <v>216</v>
      </c>
      <c r="P3507" s="17"/>
      <c r="Q3507" s="17" t="str">
        <f>_xlfn.XLOOKUP(Table2[[#This Row],[buyFromVendorNo]],'Next Day Scheduled'!A:A,'Pending Returns'!O:O,"NOT_FOUND")</f>
        <v>NOT_FOUND</v>
      </c>
    </row>
    <row r="3508" spans="1:17" x14ac:dyDescent="0.3">
      <c r="A3508" s="1">
        <v>46246</v>
      </c>
      <c r="B3508" t="s">
        <v>1783</v>
      </c>
      <c r="C3508" t="s">
        <v>877</v>
      </c>
      <c r="D3508" t="s">
        <v>2343</v>
      </c>
      <c r="E3508" t="s">
        <v>8</v>
      </c>
      <c r="F3508" t="s">
        <v>10</v>
      </c>
      <c r="G3508" s="16">
        <v>9.6</v>
      </c>
      <c r="H3508" s="16">
        <v>11.04</v>
      </c>
      <c r="I3508" s="1">
        <v>46230</v>
      </c>
      <c r="J3508">
        <v>13</v>
      </c>
      <c r="K3508" t="s">
        <v>7059</v>
      </c>
      <c r="L3508" t="s">
        <v>9908</v>
      </c>
      <c r="M3508">
        <v>2</v>
      </c>
      <c r="N3508">
        <v>2</v>
      </c>
      <c r="O3508" t="s">
        <v>223</v>
      </c>
      <c r="P3508" s="17"/>
      <c r="Q3508" s="17" t="str">
        <f>_xlfn.XLOOKUP(Table2[[#This Row],[buyFromVendorNo]],'Next Day Scheduled'!A:A,'Pending Returns'!O:O,"NOT_FOUND")</f>
        <v>NOT_FOUND</v>
      </c>
    </row>
    <row r="3509" spans="1:17" x14ac:dyDescent="0.3">
      <c r="A3509" s="1">
        <v>46246</v>
      </c>
      <c r="B3509" t="s">
        <v>252</v>
      </c>
      <c r="C3509" t="s">
        <v>2963</v>
      </c>
      <c r="D3509" t="s">
        <v>2964</v>
      </c>
      <c r="E3509" t="s">
        <v>8</v>
      </c>
      <c r="F3509" t="s">
        <v>10</v>
      </c>
      <c r="G3509" s="16">
        <v>10658.594999999999</v>
      </c>
      <c r="H3509" s="16">
        <v>12257.384</v>
      </c>
      <c r="I3509" s="1">
        <v>46240</v>
      </c>
      <c r="J3509">
        <v>13</v>
      </c>
      <c r="K3509" t="s">
        <v>6653</v>
      </c>
      <c r="L3509" t="s">
        <v>9864</v>
      </c>
      <c r="M3509">
        <v>0</v>
      </c>
      <c r="N3509">
        <v>184</v>
      </c>
      <c r="O3509" t="s">
        <v>1036</v>
      </c>
      <c r="P3509" s="17"/>
      <c r="Q3509" s="17" t="str">
        <f>_xlfn.XLOOKUP(Table2[[#This Row],[buyFromVendorNo]],'Next Day Scheduled'!A:A,'Pending Returns'!O:O,"NOT_FOUND")</f>
        <v>NOT_FOUND</v>
      </c>
    </row>
    <row r="3510" spans="1:17" x14ac:dyDescent="0.3">
      <c r="A3510" s="1">
        <v>46246</v>
      </c>
      <c r="B3510" t="s">
        <v>3467</v>
      </c>
      <c r="C3510" t="s">
        <v>2963</v>
      </c>
      <c r="D3510" t="s">
        <v>2964</v>
      </c>
      <c r="E3510" t="s">
        <v>8</v>
      </c>
      <c r="F3510" t="s">
        <v>10</v>
      </c>
      <c r="G3510" s="16">
        <v>1173.6431</v>
      </c>
      <c r="H3510" s="16">
        <v>1349.6895999999999</v>
      </c>
      <c r="I3510" s="1">
        <v>46240</v>
      </c>
      <c r="J3510">
        <v>13</v>
      </c>
      <c r="K3510" t="s">
        <v>9145</v>
      </c>
      <c r="L3510" t="s">
        <v>9865</v>
      </c>
      <c r="M3510">
        <v>0</v>
      </c>
      <c r="N3510">
        <v>184</v>
      </c>
      <c r="O3510" t="s">
        <v>1036</v>
      </c>
      <c r="P3510" s="17"/>
      <c r="Q3510" s="17" t="str">
        <f>_xlfn.XLOOKUP(Table2[[#This Row],[buyFromVendorNo]],'Next Day Scheduled'!A:A,'Pending Returns'!O:O,"NOT_FOUND")</f>
        <v>NOT_FOUND</v>
      </c>
    </row>
    <row r="3511" spans="1:17" x14ac:dyDescent="0.3">
      <c r="A3511" s="1">
        <v>46246</v>
      </c>
      <c r="B3511" t="s">
        <v>7236</v>
      </c>
      <c r="C3511" t="s">
        <v>2273</v>
      </c>
      <c r="D3511" t="s">
        <v>2274</v>
      </c>
      <c r="E3511" t="s">
        <v>8</v>
      </c>
      <c r="F3511" t="s">
        <v>10</v>
      </c>
      <c r="G3511" s="16">
        <v>308.88</v>
      </c>
      <c r="H3511" s="16">
        <v>355.21199999999999</v>
      </c>
      <c r="J3511">
        <v>13</v>
      </c>
      <c r="K3511" t="s">
        <v>9797</v>
      </c>
      <c r="M3511">
        <v>0</v>
      </c>
      <c r="N3511">
        <v>92</v>
      </c>
      <c r="O3511" t="s">
        <v>216</v>
      </c>
      <c r="P3511" s="17"/>
      <c r="Q3511" s="17" t="str">
        <f>_xlfn.XLOOKUP(Table2[[#This Row],[buyFromVendorNo]],'Next Day Scheduled'!A:A,'Pending Returns'!O:O,"NOT_FOUND")</f>
        <v>NOT_FOUND</v>
      </c>
    </row>
    <row r="3512" spans="1:17" x14ac:dyDescent="0.3">
      <c r="A3512" s="1">
        <v>46246</v>
      </c>
      <c r="B3512" t="s">
        <v>6392</v>
      </c>
      <c r="C3512" t="s">
        <v>1222</v>
      </c>
      <c r="D3512" t="s">
        <v>1223</v>
      </c>
      <c r="E3512" t="s">
        <v>8</v>
      </c>
      <c r="F3512" t="s">
        <v>10</v>
      </c>
      <c r="G3512" s="16">
        <v>227.33331000000001</v>
      </c>
      <c r="H3512" s="16">
        <v>261.43331999999998</v>
      </c>
      <c r="I3512" s="1">
        <v>46246</v>
      </c>
      <c r="J3512">
        <v>13</v>
      </c>
      <c r="K3512" t="s">
        <v>9497</v>
      </c>
      <c r="L3512" t="s">
        <v>9810</v>
      </c>
      <c r="M3512">
        <v>2</v>
      </c>
      <c r="N3512">
        <v>3</v>
      </c>
      <c r="O3512" t="s">
        <v>1036</v>
      </c>
      <c r="P3512" s="17"/>
      <c r="Q3512" s="17" t="str">
        <f>_xlfn.XLOOKUP(Table2[[#This Row],[buyFromVendorNo]],'Next Day Scheduled'!A:A,'Pending Returns'!O:O,"NOT_FOUND")</f>
        <v>NOT_FOUND</v>
      </c>
    </row>
    <row r="3513" spans="1:17" x14ac:dyDescent="0.3">
      <c r="A3513" s="1">
        <v>46246</v>
      </c>
      <c r="B3513" t="s">
        <v>4074</v>
      </c>
      <c r="C3513" t="s">
        <v>613</v>
      </c>
      <c r="D3513" t="s">
        <v>614</v>
      </c>
      <c r="E3513" t="s">
        <v>8</v>
      </c>
      <c r="F3513" t="s">
        <v>10</v>
      </c>
      <c r="G3513" s="16">
        <v>137.80000000000001</v>
      </c>
      <c r="H3513" s="16">
        <v>158.47</v>
      </c>
      <c r="J3513">
        <v>13</v>
      </c>
      <c r="K3513" t="s">
        <v>9891</v>
      </c>
      <c r="M3513">
        <v>1</v>
      </c>
      <c r="N3513">
        <v>2</v>
      </c>
      <c r="O3513" t="s">
        <v>216</v>
      </c>
      <c r="P3513" s="17"/>
      <c r="Q3513" s="17" t="str">
        <f>_xlfn.XLOOKUP(Table2[[#This Row],[buyFromVendorNo]],'Next Day Scheduled'!A:A,'Pending Returns'!O:O,"NOT_FOUND")</f>
        <v>NOT_FOUND</v>
      </c>
    </row>
    <row r="3514" spans="1:17" x14ac:dyDescent="0.3">
      <c r="A3514" s="1">
        <v>46246</v>
      </c>
      <c r="B3514" t="s">
        <v>268</v>
      </c>
      <c r="C3514" t="s">
        <v>2955</v>
      </c>
      <c r="D3514" t="s">
        <v>2956</v>
      </c>
      <c r="E3514" t="s">
        <v>8</v>
      </c>
      <c r="F3514" t="s">
        <v>10</v>
      </c>
      <c r="G3514" s="16">
        <v>11.7</v>
      </c>
      <c r="H3514" s="16">
        <v>13.455</v>
      </c>
      <c r="J3514">
        <v>13</v>
      </c>
      <c r="K3514" t="s">
        <v>9779</v>
      </c>
      <c r="M3514">
        <v>2</v>
      </c>
      <c r="N3514">
        <v>1</v>
      </c>
      <c r="O3514" t="s">
        <v>216</v>
      </c>
      <c r="P3514" s="17"/>
      <c r="Q3514" s="17" t="str">
        <f>_xlfn.XLOOKUP(Table2[[#This Row],[buyFromVendorNo]],'Next Day Scheduled'!A:A,'Pending Returns'!O:O,"NOT_FOUND")</f>
        <v>NOT_FOUND</v>
      </c>
    </row>
    <row r="3515" spans="1:17" x14ac:dyDescent="0.3">
      <c r="A3515" s="1">
        <v>46246</v>
      </c>
      <c r="B3515" t="s">
        <v>5609</v>
      </c>
      <c r="C3515" t="s">
        <v>422</v>
      </c>
      <c r="D3515" t="s">
        <v>490</v>
      </c>
      <c r="E3515" t="s">
        <v>8</v>
      </c>
      <c r="F3515" t="s">
        <v>169</v>
      </c>
      <c r="G3515" s="16">
        <v>17.329999999999998</v>
      </c>
      <c r="H3515" s="16">
        <v>19.929500000000001</v>
      </c>
      <c r="I3515" s="1">
        <v>46242</v>
      </c>
      <c r="J3515">
        <v>13</v>
      </c>
      <c r="K3515" t="s">
        <v>9346</v>
      </c>
      <c r="L3515" t="s">
        <v>9814</v>
      </c>
      <c r="M3515">
        <v>2</v>
      </c>
      <c r="N3515">
        <v>3</v>
      </c>
      <c r="O3515" t="s">
        <v>1036</v>
      </c>
      <c r="P3515" s="17"/>
      <c r="Q3515" s="17" t="str">
        <f>_xlfn.XLOOKUP(Table2[[#This Row],[buyFromVendorNo]],'Next Day Scheduled'!A:A,'Pending Returns'!O:O,"NOT_FOUND")</f>
        <v>NOT_FOUND</v>
      </c>
    </row>
    <row r="3516" spans="1:17" x14ac:dyDescent="0.3">
      <c r="A3516" s="1">
        <v>46246</v>
      </c>
      <c r="B3516" t="s">
        <v>8228</v>
      </c>
      <c r="C3516" t="s">
        <v>107</v>
      </c>
      <c r="D3516" t="s">
        <v>3864</v>
      </c>
      <c r="E3516" t="s">
        <v>8</v>
      </c>
      <c r="F3516" t="s">
        <v>10</v>
      </c>
      <c r="G3516" s="16">
        <v>370.7</v>
      </c>
      <c r="H3516" s="16">
        <v>426.30500000000001</v>
      </c>
      <c r="I3516" s="1">
        <v>46239</v>
      </c>
      <c r="J3516">
        <v>13</v>
      </c>
      <c r="K3516" t="s">
        <v>8700</v>
      </c>
      <c r="L3516" t="s">
        <v>9855</v>
      </c>
      <c r="M3516">
        <v>2</v>
      </c>
      <c r="N3516">
        <v>5</v>
      </c>
      <c r="O3516" t="s">
        <v>1036</v>
      </c>
      <c r="P3516" s="17"/>
      <c r="Q3516" s="17" t="str">
        <f>_xlfn.XLOOKUP(Table2[[#This Row],[buyFromVendorNo]],'Next Day Scheduled'!A:A,'Pending Returns'!O:O,"NOT_FOUND")</f>
        <v>NOT_FOUND</v>
      </c>
    </row>
    <row r="3517" spans="1:17" x14ac:dyDescent="0.3">
      <c r="A3517" s="1">
        <v>46246</v>
      </c>
      <c r="B3517" t="s">
        <v>9178</v>
      </c>
      <c r="C3517" t="s">
        <v>199</v>
      </c>
      <c r="D3517" t="s">
        <v>200</v>
      </c>
      <c r="E3517" t="s">
        <v>8</v>
      </c>
      <c r="F3517" t="s">
        <v>10</v>
      </c>
      <c r="G3517" s="16">
        <v>1968.5</v>
      </c>
      <c r="H3517" s="16">
        <v>2263.7750000000001</v>
      </c>
      <c r="I3517" s="1">
        <v>46246</v>
      </c>
      <c r="J3517">
        <v>13</v>
      </c>
      <c r="K3517" t="s">
        <v>9049</v>
      </c>
      <c r="L3517" t="s">
        <v>9816</v>
      </c>
      <c r="M3517">
        <v>1</v>
      </c>
      <c r="N3517">
        <v>6</v>
      </c>
      <c r="O3517" t="s">
        <v>1036</v>
      </c>
      <c r="P3517" s="17"/>
      <c r="Q3517" s="17" t="str">
        <f>_xlfn.XLOOKUP(Table2[[#This Row],[buyFromVendorNo]],'Next Day Scheduled'!A:A,'Pending Returns'!O:O,"NOT_FOUND")</f>
        <v>NOT_FOUND</v>
      </c>
    </row>
    <row r="3518" spans="1:17" x14ac:dyDescent="0.3">
      <c r="A3518" s="1">
        <v>46246</v>
      </c>
      <c r="B3518" t="s">
        <v>5894</v>
      </c>
      <c r="C3518" t="s">
        <v>67</v>
      </c>
      <c r="D3518" t="s">
        <v>68</v>
      </c>
      <c r="E3518" t="s">
        <v>8</v>
      </c>
      <c r="F3518" t="s">
        <v>10</v>
      </c>
      <c r="G3518" s="16">
        <v>1353.6672000000001</v>
      </c>
      <c r="H3518" s="16">
        <v>1556.7173</v>
      </c>
      <c r="I3518" s="1">
        <v>46239</v>
      </c>
      <c r="J3518">
        <v>13</v>
      </c>
      <c r="K3518" t="s">
        <v>6619</v>
      </c>
      <c r="L3518" t="s">
        <v>9870</v>
      </c>
      <c r="M3518">
        <v>1</v>
      </c>
      <c r="N3518">
        <v>1</v>
      </c>
      <c r="O3518" t="s">
        <v>1036</v>
      </c>
      <c r="P3518" s="17"/>
      <c r="Q3518" s="17" t="str">
        <f>_xlfn.XLOOKUP(Table2[[#This Row],[buyFromVendorNo]],'Next Day Scheduled'!A:A,'Pending Returns'!O:O,"NOT_FOUND")</f>
        <v>NOT_FOUND</v>
      </c>
    </row>
    <row r="3519" spans="1:17" x14ac:dyDescent="0.3">
      <c r="A3519" s="1">
        <v>46246</v>
      </c>
      <c r="B3519" t="s">
        <v>5492</v>
      </c>
      <c r="C3519" t="s">
        <v>154</v>
      </c>
      <c r="D3519" t="s">
        <v>155</v>
      </c>
      <c r="E3519" t="s">
        <v>8</v>
      </c>
      <c r="F3519" t="s">
        <v>10</v>
      </c>
      <c r="G3519" s="16">
        <v>1502.0501999999999</v>
      </c>
      <c r="H3519" s="16">
        <v>1727.3577</v>
      </c>
      <c r="I3519" s="1">
        <v>46246</v>
      </c>
      <c r="J3519">
        <v>13</v>
      </c>
      <c r="K3519" t="s">
        <v>9142</v>
      </c>
      <c r="L3519" t="s">
        <v>9761</v>
      </c>
      <c r="M3519">
        <v>1</v>
      </c>
      <c r="N3519">
        <v>7</v>
      </c>
      <c r="O3519" t="s">
        <v>223</v>
      </c>
      <c r="P3519" s="17"/>
      <c r="Q3519" s="17" t="str">
        <f>_xlfn.XLOOKUP(Table2[[#This Row],[buyFromVendorNo]],'Next Day Scheduled'!A:A,'Pending Returns'!O:O,"NOT_FOUND")</f>
        <v>NOT_FOUND</v>
      </c>
    </row>
    <row r="3520" spans="1:17" x14ac:dyDescent="0.3">
      <c r="A3520" s="1">
        <v>46246</v>
      </c>
      <c r="B3520" t="s">
        <v>2583</v>
      </c>
      <c r="C3520" t="s">
        <v>3773</v>
      </c>
      <c r="D3520" t="s">
        <v>3774</v>
      </c>
      <c r="E3520" t="s">
        <v>8</v>
      </c>
      <c r="F3520" t="s">
        <v>10</v>
      </c>
      <c r="G3520" s="16">
        <v>3708.5216999999998</v>
      </c>
      <c r="H3520" s="16">
        <v>4264.8</v>
      </c>
      <c r="J3520">
        <v>13</v>
      </c>
      <c r="K3520" t="s">
        <v>9801</v>
      </c>
      <c r="M3520">
        <v>3</v>
      </c>
      <c r="N3520">
        <v>2</v>
      </c>
      <c r="O3520" t="s">
        <v>216</v>
      </c>
      <c r="P3520" s="17"/>
      <c r="Q3520" s="17" t="str">
        <f>_xlfn.XLOOKUP(Table2[[#This Row],[buyFromVendorNo]],'Next Day Scheduled'!A:A,'Pending Returns'!O:O,"NOT_FOUND")</f>
        <v>NOT_FOUND</v>
      </c>
    </row>
    <row r="3521" spans="1:17" x14ac:dyDescent="0.3">
      <c r="A3521" s="1">
        <v>46246</v>
      </c>
      <c r="B3521" t="s">
        <v>5609</v>
      </c>
      <c r="C3521" t="s">
        <v>4370</v>
      </c>
      <c r="D3521" t="s">
        <v>4146</v>
      </c>
      <c r="E3521" t="s">
        <v>8</v>
      </c>
      <c r="F3521" t="s">
        <v>169</v>
      </c>
      <c r="G3521" s="16">
        <v>25.5</v>
      </c>
      <c r="H3521" s="16">
        <v>29.324999999999999</v>
      </c>
      <c r="I3521" s="1">
        <v>46246</v>
      </c>
      <c r="J3521">
        <v>13</v>
      </c>
      <c r="K3521" t="s">
        <v>9350</v>
      </c>
      <c r="L3521" t="s">
        <v>9818</v>
      </c>
      <c r="M3521">
        <v>3</v>
      </c>
      <c r="N3521">
        <v>1</v>
      </c>
      <c r="O3521" t="s">
        <v>223</v>
      </c>
      <c r="P3521" s="17"/>
      <c r="Q3521" s="17" t="str">
        <f>_xlfn.XLOOKUP(Table2[[#This Row],[buyFromVendorNo]],'Next Day Scheduled'!A:A,'Pending Returns'!O:O,"NOT_FOUND")</f>
        <v>NOT_FOUND</v>
      </c>
    </row>
    <row r="3522" spans="1:17" x14ac:dyDescent="0.3">
      <c r="A3522" s="1">
        <v>46246</v>
      </c>
      <c r="B3522" t="s">
        <v>2915</v>
      </c>
      <c r="C3522" t="s">
        <v>1593</v>
      </c>
      <c r="D3522" t="s">
        <v>1594</v>
      </c>
      <c r="E3522" t="s">
        <v>8</v>
      </c>
      <c r="F3522" t="s">
        <v>10</v>
      </c>
      <c r="G3522" s="16">
        <v>159.75</v>
      </c>
      <c r="H3522" s="16">
        <v>183.71250000000001</v>
      </c>
      <c r="I3522" s="1">
        <v>46238</v>
      </c>
      <c r="J3522">
        <v>13</v>
      </c>
      <c r="K3522" t="s">
        <v>8656</v>
      </c>
      <c r="L3522" t="s">
        <v>9802</v>
      </c>
      <c r="M3522">
        <v>2</v>
      </c>
      <c r="N3522">
        <v>2</v>
      </c>
      <c r="O3522" t="s">
        <v>1036</v>
      </c>
      <c r="P3522" s="17"/>
      <c r="Q3522" s="17" t="str">
        <f>_xlfn.XLOOKUP(Table2[[#This Row],[buyFromVendorNo]],'Next Day Scheduled'!A:A,'Pending Returns'!O:O,"NOT_FOUND")</f>
        <v>NOT_FOUND</v>
      </c>
    </row>
    <row r="3523" spans="1:17" x14ac:dyDescent="0.3">
      <c r="A3523" s="1">
        <v>46246</v>
      </c>
      <c r="B3523" t="s">
        <v>8205</v>
      </c>
      <c r="C3523" t="s">
        <v>137</v>
      </c>
      <c r="D3523" t="s">
        <v>138</v>
      </c>
      <c r="E3523" t="s">
        <v>8</v>
      </c>
      <c r="F3523" t="s">
        <v>10</v>
      </c>
      <c r="G3523" s="16">
        <v>71.5</v>
      </c>
      <c r="H3523" s="16">
        <v>82.224999999999994</v>
      </c>
      <c r="I3523" s="1">
        <v>46243</v>
      </c>
      <c r="J3523">
        <v>13</v>
      </c>
      <c r="K3523" t="s">
        <v>8206</v>
      </c>
      <c r="L3523" t="s">
        <v>9834</v>
      </c>
      <c r="M3523">
        <v>6</v>
      </c>
      <c r="N3523">
        <v>5</v>
      </c>
      <c r="O3523" t="s">
        <v>1036</v>
      </c>
      <c r="P3523" s="17"/>
      <c r="Q3523" s="17" t="str">
        <f>_xlfn.XLOOKUP(Table2[[#This Row],[buyFromVendorNo]],'Next Day Scheduled'!A:A,'Pending Returns'!O:O,"NOT_FOUND")</f>
        <v>NOT_FOUND</v>
      </c>
    </row>
    <row r="3524" spans="1:17" x14ac:dyDescent="0.3">
      <c r="A3524" s="1">
        <v>46246</v>
      </c>
      <c r="B3524" t="s">
        <v>9178</v>
      </c>
      <c r="C3524" t="s">
        <v>2290</v>
      </c>
      <c r="D3524" t="s">
        <v>2291</v>
      </c>
      <c r="E3524" t="s">
        <v>8</v>
      </c>
      <c r="F3524" t="s">
        <v>10</v>
      </c>
      <c r="G3524" s="16">
        <v>28</v>
      </c>
      <c r="H3524" s="16">
        <v>32.200000000000003</v>
      </c>
      <c r="J3524">
        <v>13</v>
      </c>
      <c r="K3524" t="s">
        <v>9921</v>
      </c>
      <c r="M3524">
        <v>1</v>
      </c>
      <c r="N3524">
        <v>7</v>
      </c>
      <c r="O3524" t="s">
        <v>216</v>
      </c>
      <c r="P3524" s="17"/>
      <c r="Q3524" s="17" t="str">
        <f>_xlfn.XLOOKUP(Table2[[#This Row],[buyFromVendorNo]],'Next Day Scheduled'!A:A,'Pending Returns'!O:O,"NOT_FOUND")</f>
        <v>Posted Credit Note</v>
      </c>
    </row>
    <row r="3525" spans="1:17" x14ac:dyDescent="0.3">
      <c r="A3525" s="1">
        <v>46246</v>
      </c>
      <c r="B3525" t="s">
        <v>8286</v>
      </c>
      <c r="C3525" t="s">
        <v>107</v>
      </c>
      <c r="D3525" t="s">
        <v>3864</v>
      </c>
      <c r="E3525" t="s">
        <v>8</v>
      </c>
      <c r="F3525" t="s">
        <v>10</v>
      </c>
      <c r="G3525" s="16">
        <v>595.04332999999997</v>
      </c>
      <c r="H3525" s="16">
        <v>684.2998</v>
      </c>
      <c r="I3525" s="1">
        <v>46239</v>
      </c>
      <c r="J3525">
        <v>13</v>
      </c>
      <c r="K3525" t="s">
        <v>8287</v>
      </c>
      <c r="L3525" t="s">
        <v>9837</v>
      </c>
      <c r="M3525">
        <v>2</v>
      </c>
      <c r="N3525">
        <v>5</v>
      </c>
      <c r="O3525" t="s">
        <v>1036</v>
      </c>
      <c r="P3525" s="17"/>
      <c r="Q3525" s="17" t="str">
        <f>_xlfn.XLOOKUP(Table2[[#This Row],[buyFromVendorNo]],'Next Day Scheduled'!A:A,'Pending Returns'!O:O,"NOT_FOUND")</f>
        <v>NOT_FOUND</v>
      </c>
    </row>
    <row r="3526" spans="1:17" x14ac:dyDescent="0.3">
      <c r="A3526" s="1">
        <v>46246</v>
      </c>
      <c r="B3526" t="s">
        <v>3327</v>
      </c>
      <c r="C3526" t="s">
        <v>7645</v>
      </c>
      <c r="D3526" t="s">
        <v>7646</v>
      </c>
      <c r="E3526" t="s">
        <v>8</v>
      </c>
      <c r="F3526" t="s">
        <v>10</v>
      </c>
      <c r="G3526" s="16">
        <v>1065.605</v>
      </c>
      <c r="H3526" s="16">
        <v>1225.4458</v>
      </c>
      <c r="J3526">
        <v>13</v>
      </c>
      <c r="K3526" t="s">
        <v>9857</v>
      </c>
      <c r="M3526">
        <v>2</v>
      </c>
      <c r="N3526">
        <v>3</v>
      </c>
      <c r="O3526" t="s">
        <v>216</v>
      </c>
      <c r="P3526" s="17"/>
      <c r="Q3526" s="17" t="str">
        <f>_xlfn.XLOOKUP(Table2[[#This Row],[buyFromVendorNo]],'Next Day Scheduled'!A:A,'Pending Returns'!O:O,"NOT_FOUND")</f>
        <v>NOT_FOUND</v>
      </c>
    </row>
    <row r="3527" spans="1:17" x14ac:dyDescent="0.3">
      <c r="A3527" s="1">
        <v>46246</v>
      </c>
      <c r="B3527" t="s">
        <v>2159</v>
      </c>
      <c r="C3527" t="s">
        <v>154</v>
      </c>
      <c r="D3527" t="s">
        <v>155</v>
      </c>
      <c r="E3527" t="s">
        <v>8</v>
      </c>
      <c r="F3527" t="s">
        <v>10</v>
      </c>
      <c r="G3527" s="16">
        <v>2361.6417999999999</v>
      </c>
      <c r="H3527" s="16">
        <v>2715.8881999999999</v>
      </c>
      <c r="I3527" s="1">
        <v>46246</v>
      </c>
      <c r="J3527">
        <v>13</v>
      </c>
      <c r="K3527" t="s">
        <v>9508</v>
      </c>
      <c r="L3527" t="s">
        <v>9763</v>
      </c>
      <c r="M3527">
        <v>1</v>
      </c>
      <c r="N3527">
        <v>7</v>
      </c>
      <c r="O3527" t="s">
        <v>223</v>
      </c>
      <c r="P3527" s="17"/>
      <c r="Q3527" s="17" t="str">
        <f>_xlfn.XLOOKUP(Table2[[#This Row],[buyFromVendorNo]],'Next Day Scheduled'!A:A,'Pending Returns'!O:O,"NOT_FOUND")</f>
        <v>NOT_FOUND</v>
      </c>
    </row>
    <row r="3528" spans="1:17" x14ac:dyDescent="0.3">
      <c r="A3528" s="1">
        <v>46246</v>
      </c>
      <c r="B3528" t="s">
        <v>3338</v>
      </c>
      <c r="C3528" t="s">
        <v>2963</v>
      </c>
      <c r="D3528" t="s">
        <v>2964</v>
      </c>
      <c r="E3528" t="s">
        <v>8</v>
      </c>
      <c r="F3528" t="s">
        <v>10</v>
      </c>
      <c r="G3528" s="16">
        <v>3300.6318000000001</v>
      </c>
      <c r="H3528" s="16">
        <v>3795.7267999999999</v>
      </c>
      <c r="I3528" s="1">
        <v>46240</v>
      </c>
      <c r="J3528">
        <v>13</v>
      </c>
      <c r="K3528" t="s">
        <v>7625</v>
      </c>
      <c r="L3528" t="s">
        <v>9903</v>
      </c>
      <c r="M3528">
        <v>0</v>
      </c>
      <c r="N3528">
        <v>184</v>
      </c>
      <c r="O3528" t="s">
        <v>1036</v>
      </c>
      <c r="P3528" s="17"/>
      <c r="Q3528" s="17" t="str">
        <f>_xlfn.XLOOKUP(Table2[[#This Row],[buyFromVendorNo]],'Next Day Scheduled'!A:A,'Pending Returns'!O:O,"NOT_FOUND")</f>
        <v>NOT_FOUND</v>
      </c>
    </row>
    <row r="3529" spans="1:17" x14ac:dyDescent="0.3">
      <c r="A3529" s="1">
        <v>46246</v>
      </c>
      <c r="B3529" t="s">
        <v>8261</v>
      </c>
      <c r="C3529" t="s">
        <v>596</v>
      </c>
      <c r="D3529" t="s">
        <v>597</v>
      </c>
      <c r="E3529" t="s">
        <v>8</v>
      </c>
      <c r="F3529" t="s">
        <v>10</v>
      </c>
      <c r="G3529" s="16">
        <v>115.63500000000001</v>
      </c>
      <c r="H3529" s="16">
        <v>132.98025999999999</v>
      </c>
      <c r="J3529">
        <v>13</v>
      </c>
      <c r="K3529" t="s">
        <v>9826</v>
      </c>
      <c r="M3529">
        <v>2</v>
      </c>
      <c r="N3529">
        <v>5</v>
      </c>
      <c r="O3529" t="s">
        <v>216</v>
      </c>
      <c r="P3529" s="17"/>
      <c r="Q3529" s="17" t="str">
        <f>_xlfn.XLOOKUP(Table2[[#This Row],[buyFromVendorNo]],'Next Day Scheduled'!A:A,'Pending Returns'!O:O,"NOT_FOUND")</f>
        <v>NOT_FOUND</v>
      </c>
    </row>
    <row r="3530" spans="1:17" x14ac:dyDescent="0.3">
      <c r="A3530" s="1">
        <v>46246</v>
      </c>
      <c r="B3530" t="s">
        <v>6286</v>
      </c>
      <c r="C3530" t="s">
        <v>43</v>
      </c>
      <c r="D3530" t="s">
        <v>44</v>
      </c>
      <c r="E3530" t="s">
        <v>8</v>
      </c>
      <c r="F3530" t="s">
        <v>38</v>
      </c>
      <c r="G3530" s="16">
        <v>6160.1540000000005</v>
      </c>
      <c r="H3530" s="16">
        <v>7084.1769999999997</v>
      </c>
      <c r="I3530" s="1">
        <v>46244</v>
      </c>
      <c r="J3530">
        <v>13</v>
      </c>
      <c r="K3530" t="s">
        <v>9661</v>
      </c>
      <c r="L3530" t="s">
        <v>9845</v>
      </c>
      <c r="M3530">
        <v>11</v>
      </c>
      <c r="N3530">
        <v>1</v>
      </c>
      <c r="O3530" t="s">
        <v>1036</v>
      </c>
      <c r="P3530" s="17"/>
      <c r="Q3530" s="17" t="str">
        <f>_xlfn.XLOOKUP(Table2[[#This Row],[buyFromVendorNo]],'Next Day Scheduled'!A:A,'Pending Returns'!O:O,"NOT_FOUND")</f>
        <v>Posted Credit Note</v>
      </c>
    </row>
    <row r="3531" spans="1:17" x14ac:dyDescent="0.3">
      <c r="A3531" s="1">
        <v>46246</v>
      </c>
      <c r="B3531" t="s">
        <v>6536</v>
      </c>
      <c r="C3531" t="s">
        <v>329</v>
      </c>
      <c r="D3531" t="s">
        <v>320</v>
      </c>
      <c r="E3531" t="s">
        <v>8</v>
      </c>
      <c r="F3531" t="s">
        <v>38</v>
      </c>
      <c r="G3531" s="16">
        <v>506</v>
      </c>
      <c r="H3531" s="16">
        <v>581.9</v>
      </c>
      <c r="I3531" s="1">
        <v>46243</v>
      </c>
      <c r="J3531">
        <v>13</v>
      </c>
      <c r="K3531" t="s">
        <v>8350</v>
      </c>
      <c r="L3531" t="s">
        <v>9795</v>
      </c>
      <c r="M3531">
        <v>1</v>
      </c>
      <c r="N3531">
        <v>2</v>
      </c>
      <c r="O3531" t="s">
        <v>1036</v>
      </c>
      <c r="P3531" s="17"/>
      <c r="Q3531" s="17" t="str">
        <f>_xlfn.XLOOKUP(Table2[[#This Row],[buyFromVendorNo]],'Next Day Scheduled'!A:A,'Pending Returns'!O:O,"NOT_FOUND")</f>
        <v>NOT_FOUND</v>
      </c>
    </row>
    <row r="3532" spans="1:17" x14ac:dyDescent="0.3">
      <c r="A3532" s="1">
        <v>46246</v>
      </c>
      <c r="B3532" t="s">
        <v>433</v>
      </c>
      <c r="C3532" t="s">
        <v>882</v>
      </c>
      <c r="D3532" t="s">
        <v>883</v>
      </c>
      <c r="E3532" t="s">
        <v>8</v>
      </c>
      <c r="F3532" t="s">
        <v>10</v>
      </c>
      <c r="G3532" s="16">
        <v>1140</v>
      </c>
      <c r="H3532" s="16">
        <v>1311</v>
      </c>
      <c r="J3532">
        <v>13</v>
      </c>
      <c r="K3532" t="s">
        <v>9867</v>
      </c>
      <c r="M3532">
        <v>1</v>
      </c>
      <c r="N3532">
        <v>12</v>
      </c>
      <c r="O3532" t="s">
        <v>216</v>
      </c>
      <c r="P3532" s="17"/>
      <c r="Q3532" s="17" t="str">
        <f>_xlfn.XLOOKUP(Table2[[#This Row],[buyFromVendorNo]],'Next Day Scheduled'!A:A,'Pending Returns'!O:O,"NOT_FOUND")</f>
        <v>Posted Credit Note</v>
      </c>
    </row>
    <row r="3533" spans="1:17" x14ac:dyDescent="0.3">
      <c r="A3533" s="1">
        <v>46246</v>
      </c>
      <c r="B3533" t="s">
        <v>4899</v>
      </c>
      <c r="C3533" t="s">
        <v>812</v>
      </c>
      <c r="D3533" t="s">
        <v>2394</v>
      </c>
      <c r="E3533" t="s">
        <v>8</v>
      </c>
      <c r="F3533" t="s">
        <v>10</v>
      </c>
      <c r="G3533" s="16">
        <v>16.5</v>
      </c>
      <c r="H3533" s="16">
        <v>18.975000000000001</v>
      </c>
      <c r="I3533" s="1">
        <v>46243</v>
      </c>
      <c r="J3533">
        <v>13</v>
      </c>
      <c r="K3533" t="s">
        <v>7580</v>
      </c>
      <c r="L3533" t="s">
        <v>9912</v>
      </c>
      <c r="M3533">
        <v>2</v>
      </c>
      <c r="N3533">
        <v>3</v>
      </c>
      <c r="O3533" t="s">
        <v>1036</v>
      </c>
      <c r="P3533" s="17"/>
      <c r="Q3533" s="17" t="str">
        <f>_xlfn.XLOOKUP(Table2[[#This Row],[buyFromVendorNo]],'Next Day Scheduled'!A:A,'Pending Returns'!O:O,"NOT_FOUND")</f>
        <v>NOT_FOUND</v>
      </c>
    </row>
    <row r="3534" spans="1:17" x14ac:dyDescent="0.3">
      <c r="A3534" s="1">
        <v>46246</v>
      </c>
      <c r="B3534" t="s">
        <v>7275</v>
      </c>
      <c r="C3534" t="s">
        <v>60</v>
      </c>
      <c r="D3534" t="s">
        <v>61</v>
      </c>
      <c r="E3534" t="s">
        <v>8</v>
      </c>
      <c r="F3534" t="s">
        <v>10</v>
      </c>
      <c r="G3534" s="16">
        <v>45.6</v>
      </c>
      <c r="H3534" s="16">
        <v>52.44</v>
      </c>
      <c r="J3534">
        <v>13</v>
      </c>
      <c r="K3534" t="s">
        <v>9889</v>
      </c>
      <c r="M3534">
        <v>0</v>
      </c>
      <c r="N3534">
        <v>14</v>
      </c>
      <c r="O3534" t="s">
        <v>216</v>
      </c>
      <c r="P3534" s="17"/>
      <c r="Q3534" s="17" t="str">
        <f>_xlfn.XLOOKUP(Table2[[#This Row],[buyFromVendorNo]],'Next Day Scheduled'!A:A,'Pending Returns'!O:O,"NOT_FOUND")</f>
        <v>NOT_FOUND</v>
      </c>
    </row>
    <row r="3535" spans="1:17" x14ac:dyDescent="0.3">
      <c r="A3535" s="1">
        <v>46246</v>
      </c>
      <c r="B3535" t="s">
        <v>7158</v>
      </c>
      <c r="C3535" t="s">
        <v>67</v>
      </c>
      <c r="D3535" t="s">
        <v>68</v>
      </c>
      <c r="E3535" t="s">
        <v>8</v>
      </c>
      <c r="F3535" t="s">
        <v>10</v>
      </c>
      <c r="G3535" s="16">
        <v>26.91</v>
      </c>
      <c r="H3535" s="16">
        <v>30.9465</v>
      </c>
      <c r="I3535" s="1">
        <v>46239</v>
      </c>
      <c r="J3535">
        <v>13</v>
      </c>
      <c r="K3535" t="s">
        <v>7787</v>
      </c>
      <c r="L3535" t="s">
        <v>9831</v>
      </c>
      <c r="M3535">
        <v>1</v>
      </c>
      <c r="N3535">
        <v>1</v>
      </c>
      <c r="O3535" t="s">
        <v>1036</v>
      </c>
      <c r="P3535" s="17"/>
      <c r="Q3535" s="17" t="str">
        <f>_xlfn.XLOOKUP(Table2[[#This Row],[buyFromVendorNo]],'Next Day Scheduled'!A:A,'Pending Returns'!O:O,"NOT_FOUND")</f>
        <v>NOT_FOUND</v>
      </c>
    </row>
    <row r="3536" spans="1:17" x14ac:dyDescent="0.3">
      <c r="A3536" s="1">
        <v>46246</v>
      </c>
      <c r="B3536" t="s">
        <v>7889</v>
      </c>
      <c r="C3536" t="s">
        <v>9485</v>
      </c>
      <c r="D3536" t="s">
        <v>2291</v>
      </c>
      <c r="E3536" t="s">
        <v>8</v>
      </c>
      <c r="F3536" t="s">
        <v>10</v>
      </c>
      <c r="G3536" s="16">
        <v>112.31667</v>
      </c>
      <c r="H3536" s="16">
        <v>129.16417000000001</v>
      </c>
      <c r="J3536">
        <v>13</v>
      </c>
      <c r="K3536" t="s">
        <v>9852</v>
      </c>
      <c r="M3536">
        <v>1</v>
      </c>
      <c r="N3536">
        <v>1</v>
      </c>
      <c r="O3536" t="s">
        <v>216</v>
      </c>
      <c r="P3536" s="17"/>
      <c r="Q3536" s="17" t="str">
        <f>_xlfn.XLOOKUP(Table2[[#This Row],[buyFromVendorNo]],'Next Day Scheduled'!A:A,'Pending Returns'!O:O,"NOT_FOUND")</f>
        <v>NOT_FOUND</v>
      </c>
    </row>
    <row r="3537" spans="1:17" x14ac:dyDescent="0.3">
      <c r="A3537" s="1">
        <v>46246</v>
      </c>
      <c r="B3537" t="s">
        <v>7866</v>
      </c>
      <c r="C3537" t="s">
        <v>858</v>
      </c>
      <c r="D3537" t="s">
        <v>2336</v>
      </c>
      <c r="E3537" t="s">
        <v>8</v>
      </c>
      <c r="F3537" t="s">
        <v>10</v>
      </c>
      <c r="G3537" s="16">
        <v>90.525999999999996</v>
      </c>
      <c r="H3537" s="16">
        <v>104.1049</v>
      </c>
      <c r="J3537">
        <v>13</v>
      </c>
      <c r="K3537" t="s">
        <v>9853</v>
      </c>
      <c r="M3537">
        <v>2</v>
      </c>
      <c r="N3537">
        <v>1</v>
      </c>
      <c r="O3537" t="s">
        <v>216</v>
      </c>
      <c r="P3537" s="17"/>
      <c r="Q3537" s="17" t="str">
        <f>_xlfn.XLOOKUP(Table2[[#This Row],[buyFromVendorNo]],'Next Day Scheduled'!A:A,'Pending Returns'!O:O,"NOT_FOUND")</f>
        <v>NOT_FOUND</v>
      </c>
    </row>
    <row r="3538" spans="1:17" x14ac:dyDescent="0.3">
      <c r="A3538" s="1">
        <v>46246</v>
      </c>
      <c r="B3538" t="s">
        <v>9894</v>
      </c>
      <c r="C3538" t="s">
        <v>2508</v>
      </c>
      <c r="D3538" t="s">
        <v>2509</v>
      </c>
      <c r="E3538" t="s">
        <v>8</v>
      </c>
      <c r="F3538" t="s">
        <v>10</v>
      </c>
      <c r="G3538" s="16">
        <v>6.71</v>
      </c>
      <c r="H3538" s="16">
        <v>7.7164999999999999</v>
      </c>
      <c r="J3538">
        <v>13</v>
      </c>
      <c r="K3538" t="s">
        <v>9895</v>
      </c>
      <c r="M3538">
        <v>0</v>
      </c>
      <c r="N3538">
        <v>167</v>
      </c>
      <c r="O3538" t="s">
        <v>216</v>
      </c>
      <c r="P3538" s="17"/>
      <c r="Q3538" s="17" t="str">
        <f>_xlfn.XLOOKUP(Table2[[#This Row],[buyFromVendorNo]],'Next Day Scheduled'!A:A,'Pending Returns'!O:O,"NOT_FOUND")</f>
        <v>NOT_FOUND</v>
      </c>
    </row>
    <row r="3539" spans="1:17" x14ac:dyDescent="0.3">
      <c r="A3539" s="1">
        <v>46246</v>
      </c>
      <c r="B3539" t="s">
        <v>8154</v>
      </c>
      <c r="C3539" t="s">
        <v>199</v>
      </c>
      <c r="D3539" t="s">
        <v>200</v>
      </c>
      <c r="E3539" t="s">
        <v>8</v>
      </c>
      <c r="F3539" t="s">
        <v>10</v>
      </c>
      <c r="G3539" s="16">
        <v>591.5</v>
      </c>
      <c r="H3539" s="16">
        <v>680.22500000000002</v>
      </c>
      <c r="I3539" s="1">
        <v>46257</v>
      </c>
      <c r="J3539">
        <v>13</v>
      </c>
      <c r="K3539" t="s">
        <v>9781</v>
      </c>
      <c r="M3539">
        <v>1</v>
      </c>
      <c r="N3539">
        <v>6</v>
      </c>
      <c r="O3539" t="s">
        <v>223</v>
      </c>
      <c r="P3539" s="17"/>
      <c r="Q3539" s="17" t="str">
        <f>_xlfn.XLOOKUP(Table2[[#This Row],[buyFromVendorNo]],'Next Day Scheduled'!A:A,'Pending Returns'!O:O,"NOT_FOUND")</f>
        <v>NOT_FOUND</v>
      </c>
    </row>
    <row r="3540" spans="1:17" x14ac:dyDescent="0.3">
      <c r="A3540" s="1">
        <v>46246</v>
      </c>
      <c r="B3540" t="s">
        <v>2175</v>
      </c>
      <c r="C3540" t="s">
        <v>494</v>
      </c>
      <c r="D3540" t="s">
        <v>495</v>
      </c>
      <c r="E3540" t="s">
        <v>8</v>
      </c>
      <c r="F3540" t="s">
        <v>10</v>
      </c>
      <c r="G3540" s="16">
        <v>481.65</v>
      </c>
      <c r="H3540" s="16">
        <v>553.89750000000004</v>
      </c>
      <c r="I3540" s="1">
        <v>46240</v>
      </c>
      <c r="J3540">
        <v>13</v>
      </c>
      <c r="K3540" t="s">
        <v>9096</v>
      </c>
      <c r="L3540" t="s">
        <v>9821</v>
      </c>
      <c r="M3540">
        <v>2</v>
      </c>
      <c r="N3540">
        <v>7</v>
      </c>
      <c r="O3540" t="s">
        <v>1036</v>
      </c>
      <c r="P3540" s="17"/>
      <c r="Q3540" s="17" t="str">
        <f>_xlfn.XLOOKUP(Table2[[#This Row],[buyFromVendorNo]],'Next Day Scheduled'!A:A,'Pending Returns'!O:O,"NOT_FOUND")</f>
        <v>Posted Credit Note</v>
      </c>
    </row>
    <row r="3541" spans="1:17" x14ac:dyDescent="0.3">
      <c r="A3541" s="1">
        <v>46246</v>
      </c>
      <c r="B3541" t="s">
        <v>5905</v>
      </c>
      <c r="C3541" t="s">
        <v>137</v>
      </c>
      <c r="D3541" t="s">
        <v>138</v>
      </c>
      <c r="E3541" t="s">
        <v>8</v>
      </c>
      <c r="F3541" t="s">
        <v>10</v>
      </c>
      <c r="G3541" s="16">
        <v>7207.55</v>
      </c>
      <c r="H3541" s="16">
        <v>8288.6830000000009</v>
      </c>
      <c r="I3541" s="1">
        <v>46243</v>
      </c>
      <c r="J3541">
        <v>13</v>
      </c>
      <c r="K3541" t="s">
        <v>8962</v>
      </c>
      <c r="L3541" t="s">
        <v>9858</v>
      </c>
      <c r="M3541">
        <v>6</v>
      </c>
      <c r="N3541">
        <v>5</v>
      </c>
      <c r="O3541" t="s">
        <v>1036</v>
      </c>
      <c r="P3541" s="17"/>
      <c r="Q3541" s="17" t="str">
        <f>_xlfn.XLOOKUP(Table2[[#This Row],[buyFromVendorNo]],'Next Day Scheduled'!A:A,'Pending Returns'!O:O,"NOT_FOUND")</f>
        <v>NOT_FOUND</v>
      </c>
    </row>
    <row r="3542" spans="1:17" x14ac:dyDescent="0.3">
      <c r="A3542" s="1">
        <v>46246</v>
      </c>
      <c r="B3542" t="s">
        <v>5894</v>
      </c>
      <c r="C3542" t="s">
        <v>160</v>
      </c>
      <c r="D3542" t="s">
        <v>161</v>
      </c>
      <c r="E3542" t="s">
        <v>8</v>
      </c>
      <c r="F3542" t="s">
        <v>10</v>
      </c>
      <c r="G3542" s="16">
        <v>79.66</v>
      </c>
      <c r="H3542" s="16">
        <v>91.608999999999995</v>
      </c>
      <c r="J3542">
        <v>13</v>
      </c>
      <c r="K3542" t="s">
        <v>9839</v>
      </c>
      <c r="M3542">
        <v>2</v>
      </c>
      <c r="N3542">
        <v>5</v>
      </c>
      <c r="O3542" t="s">
        <v>216</v>
      </c>
      <c r="P3542" s="17"/>
      <c r="Q3542" s="17" t="str">
        <f>_xlfn.XLOOKUP(Table2[[#This Row],[buyFromVendorNo]],'Next Day Scheduled'!A:A,'Pending Returns'!O:O,"NOT_FOUND")</f>
        <v>NOT_FOUND</v>
      </c>
    </row>
    <row r="3543" spans="1:17" x14ac:dyDescent="0.3">
      <c r="A3543" s="1">
        <v>46246</v>
      </c>
      <c r="B3543" t="s">
        <v>3332</v>
      </c>
      <c r="C3543" t="s">
        <v>2963</v>
      </c>
      <c r="D3543" t="s">
        <v>2964</v>
      </c>
      <c r="E3543" t="s">
        <v>8</v>
      </c>
      <c r="F3543" t="s">
        <v>10</v>
      </c>
      <c r="G3543" s="16">
        <v>1391.2152000000001</v>
      </c>
      <c r="H3543" s="16">
        <v>1599.8975</v>
      </c>
      <c r="I3543" s="1">
        <v>46240</v>
      </c>
      <c r="J3543">
        <v>13</v>
      </c>
      <c r="K3543" t="s">
        <v>4852</v>
      </c>
      <c r="L3543" t="s">
        <v>9875</v>
      </c>
      <c r="M3543">
        <v>0</v>
      </c>
      <c r="N3543">
        <v>184</v>
      </c>
      <c r="O3543" t="s">
        <v>1036</v>
      </c>
      <c r="P3543" s="17"/>
      <c r="Q3543" s="17" t="str">
        <f>_xlfn.XLOOKUP(Table2[[#This Row],[buyFromVendorNo]],'Next Day Scheduled'!A:A,'Pending Returns'!O:O,"NOT_FOUND")</f>
        <v>NOT_FOUND</v>
      </c>
    </row>
    <row r="3544" spans="1:17" x14ac:dyDescent="0.3">
      <c r="A3544" s="1">
        <v>46246</v>
      </c>
      <c r="B3544" t="s">
        <v>2615</v>
      </c>
      <c r="C3544" t="s">
        <v>5437</v>
      </c>
      <c r="D3544" t="s">
        <v>5438</v>
      </c>
      <c r="E3544" t="s">
        <v>8</v>
      </c>
      <c r="F3544" t="s">
        <v>10</v>
      </c>
      <c r="G3544" s="16">
        <v>22.827000000000002</v>
      </c>
      <c r="H3544" s="16">
        <v>26.251049999999999</v>
      </c>
      <c r="I3544" s="1">
        <v>46246</v>
      </c>
      <c r="J3544">
        <v>13</v>
      </c>
      <c r="K3544" t="s">
        <v>8652</v>
      </c>
      <c r="L3544" t="s">
        <v>9874</v>
      </c>
      <c r="M3544">
        <v>2</v>
      </c>
      <c r="N3544">
        <v>3</v>
      </c>
      <c r="O3544" t="s">
        <v>223</v>
      </c>
      <c r="P3544" s="17"/>
      <c r="Q3544" s="17" t="str">
        <f>_xlfn.XLOOKUP(Table2[[#This Row],[buyFromVendorNo]],'Next Day Scheduled'!A:A,'Pending Returns'!O:O,"NOT_FOUND")</f>
        <v>NOT_FOUND</v>
      </c>
    </row>
    <row r="3545" spans="1:17" x14ac:dyDescent="0.3">
      <c r="A3545" s="1">
        <v>46246</v>
      </c>
      <c r="B3545" t="s">
        <v>275</v>
      </c>
      <c r="C3545" t="s">
        <v>137</v>
      </c>
      <c r="D3545" t="s">
        <v>138</v>
      </c>
      <c r="E3545" t="s">
        <v>8</v>
      </c>
      <c r="F3545" t="s">
        <v>10</v>
      </c>
      <c r="G3545" s="16">
        <v>2201.41</v>
      </c>
      <c r="H3545" s="16">
        <v>2531.6215999999999</v>
      </c>
      <c r="I3545" s="1">
        <v>46243</v>
      </c>
      <c r="J3545">
        <v>13</v>
      </c>
      <c r="K3545" t="s">
        <v>7573</v>
      </c>
      <c r="L3545" t="s">
        <v>9840</v>
      </c>
      <c r="M3545">
        <v>6</v>
      </c>
      <c r="N3545">
        <v>5</v>
      </c>
      <c r="O3545" t="s">
        <v>1036</v>
      </c>
      <c r="P3545" s="17"/>
      <c r="Q3545" s="17" t="str">
        <f>_xlfn.XLOOKUP(Table2[[#This Row],[buyFromVendorNo]],'Next Day Scheduled'!A:A,'Pending Returns'!O:O,"NOT_FOUND")</f>
        <v>NOT_FOUND</v>
      </c>
    </row>
    <row r="3546" spans="1:17" x14ac:dyDescent="0.3">
      <c r="A3546" s="1">
        <v>46246</v>
      </c>
      <c r="B3546" t="s">
        <v>2925</v>
      </c>
      <c r="C3546" t="s">
        <v>39</v>
      </c>
      <c r="D3546" t="s">
        <v>40</v>
      </c>
      <c r="E3546" t="s">
        <v>8</v>
      </c>
      <c r="F3546" t="s">
        <v>10</v>
      </c>
      <c r="G3546" s="16">
        <v>927.91045999999994</v>
      </c>
      <c r="H3546" s="16">
        <v>1067.097</v>
      </c>
      <c r="J3546">
        <v>13</v>
      </c>
      <c r="K3546" t="s">
        <v>9789</v>
      </c>
      <c r="M3546">
        <v>5</v>
      </c>
      <c r="N3546">
        <v>1</v>
      </c>
      <c r="O3546" t="s">
        <v>216</v>
      </c>
      <c r="P3546" s="17"/>
      <c r="Q3546" s="17" t="str">
        <f>_xlfn.XLOOKUP(Table2[[#This Row],[buyFromVendorNo]],'Next Day Scheduled'!A:A,'Pending Returns'!O:O,"NOT_FOUND")</f>
        <v>Posted Credit Note</v>
      </c>
    </row>
    <row r="3547" spans="1:17" x14ac:dyDescent="0.3">
      <c r="A3547" s="1">
        <v>46246</v>
      </c>
      <c r="B3547" t="s">
        <v>7602</v>
      </c>
      <c r="C3547" t="s">
        <v>9878</v>
      </c>
      <c r="D3547" t="s">
        <v>9879</v>
      </c>
      <c r="E3547" t="s">
        <v>8</v>
      </c>
      <c r="F3547" t="s">
        <v>10</v>
      </c>
      <c r="G3547" s="16">
        <v>21.413519999999998</v>
      </c>
      <c r="H3547" s="16">
        <v>24.62555</v>
      </c>
      <c r="J3547">
        <v>13</v>
      </c>
      <c r="K3547" t="s">
        <v>9880</v>
      </c>
      <c r="M3547">
        <v>1</v>
      </c>
      <c r="N3547">
        <v>2</v>
      </c>
      <c r="O3547" t="s">
        <v>216</v>
      </c>
      <c r="P3547" s="17"/>
      <c r="Q3547" s="17" t="str">
        <f>_xlfn.XLOOKUP(Table2[[#This Row],[buyFromVendorNo]],'Next Day Scheduled'!A:A,'Pending Returns'!O:O,"NOT_FOUND")</f>
        <v>NOT_FOUND</v>
      </c>
    </row>
    <row r="3548" spans="1:17" x14ac:dyDescent="0.3">
      <c r="A3548" s="1">
        <v>46246</v>
      </c>
      <c r="B3548" t="s">
        <v>2205</v>
      </c>
      <c r="C3548" t="s">
        <v>422</v>
      </c>
      <c r="D3548" t="s">
        <v>490</v>
      </c>
      <c r="E3548" t="s">
        <v>8</v>
      </c>
      <c r="F3548" t="s">
        <v>10</v>
      </c>
      <c r="G3548" s="16">
        <v>10549.194</v>
      </c>
      <c r="H3548" s="16">
        <v>12131.573</v>
      </c>
      <c r="I3548" s="1">
        <v>46243</v>
      </c>
      <c r="J3548">
        <v>13</v>
      </c>
      <c r="K3548" t="s">
        <v>6484</v>
      </c>
      <c r="L3548" t="s">
        <v>9899</v>
      </c>
      <c r="M3548">
        <v>2</v>
      </c>
      <c r="N3548">
        <v>3</v>
      </c>
      <c r="O3548" t="s">
        <v>1036</v>
      </c>
      <c r="P3548" s="17"/>
      <c r="Q3548" s="17" t="str">
        <f>_xlfn.XLOOKUP(Table2[[#This Row],[buyFromVendorNo]],'Next Day Scheduled'!A:A,'Pending Returns'!O:O,"NOT_FOUND")</f>
        <v>NOT_FOUND</v>
      </c>
    </row>
    <row r="3549" spans="1:17" x14ac:dyDescent="0.3">
      <c r="A3549" s="1">
        <v>46246</v>
      </c>
      <c r="B3549" t="s">
        <v>2962</v>
      </c>
      <c r="C3549" t="s">
        <v>2963</v>
      </c>
      <c r="D3549" t="s">
        <v>2964</v>
      </c>
      <c r="E3549" t="s">
        <v>8</v>
      </c>
      <c r="F3549" t="s">
        <v>10</v>
      </c>
      <c r="G3549" s="16">
        <v>77.777799999999999</v>
      </c>
      <c r="H3549" s="16">
        <v>89.444469999999995</v>
      </c>
      <c r="I3549" s="1">
        <v>46240</v>
      </c>
      <c r="J3549">
        <v>13</v>
      </c>
      <c r="K3549" t="s">
        <v>2965</v>
      </c>
      <c r="L3549" t="s">
        <v>9860</v>
      </c>
      <c r="M3549">
        <v>0</v>
      </c>
      <c r="N3549">
        <v>184</v>
      </c>
      <c r="O3549" t="s">
        <v>1036</v>
      </c>
      <c r="P3549" s="17"/>
      <c r="Q3549" s="17" t="str">
        <f>_xlfn.XLOOKUP(Table2[[#This Row],[buyFromVendorNo]],'Next Day Scheduled'!A:A,'Pending Returns'!O:O,"NOT_FOUND")</f>
        <v>NOT_FOUND</v>
      </c>
    </row>
    <row r="3550" spans="1:17" x14ac:dyDescent="0.3">
      <c r="A3550" s="1">
        <v>46246</v>
      </c>
      <c r="B3550" t="s">
        <v>2207</v>
      </c>
      <c r="C3550" t="s">
        <v>41</v>
      </c>
      <c r="D3550" t="s">
        <v>42</v>
      </c>
      <c r="E3550" t="s">
        <v>8</v>
      </c>
      <c r="F3550" t="s">
        <v>10</v>
      </c>
      <c r="G3550" s="16">
        <v>274.06079999999997</v>
      </c>
      <c r="H3550" s="16">
        <v>315.16991999999999</v>
      </c>
      <c r="J3550">
        <v>13</v>
      </c>
      <c r="K3550" t="s">
        <v>9807</v>
      </c>
      <c r="M3550">
        <v>0</v>
      </c>
      <c r="N3550">
        <v>26</v>
      </c>
      <c r="O3550" t="s">
        <v>216</v>
      </c>
      <c r="P3550" s="17"/>
      <c r="Q3550" s="17" t="str">
        <f>_xlfn.XLOOKUP(Table2[[#This Row],[buyFromVendorNo]],'Next Day Scheduled'!A:A,'Pending Returns'!O:O,"NOT_FOUND")</f>
        <v>NOT_FOUND</v>
      </c>
    </row>
    <row r="3551" spans="1:17" x14ac:dyDescent="0.3">
      <c r="A3551" s="1">
        <v>46246</v>
      </c>
      <c r="B3551" t="s">
        <v>6651</v>
      </c>
      <c r="C3551" t="s">
        <v>1593</v>
      </c>
      <c r="D3551" t="s">
        <v>1594</v>
      </c>
      <c r="E3551" t="s">
        <v>8</v>
      </c>
      <c r="F3551" t="s">
        <v>10</v>
      </c>
      <c r="G3551" s="16">
        <v>64.25</v>
      </c>
      <c r="H3551" s="16">
        <v>73.887500000000003</v>
      </c>
      <c r="I3551" s="1">
        <v>46238</v>
      </c>
      <c r="J3551">
        <v>13</v>
      </c>
      <c r="K3551" t="s">
        <v>8070</v>
      </c>
      <c r="L3551" t="s">
        <v>9791</v>
      </c>
      <c r="M3551">
        <v>2</v>
      </c>
      <c r="N3551">
        <v>2</v>
      </c>
      <c r="O3551" t="s">
        <v>1036</v>
      </c>
      <c r="P3551" s="17"/>
      <c r="Q3551" s="17" t="str">
        <f>_xlfn.XLOOKUP(Table2[[#This Row],[buyFromVendorNo]],'Next Day Scheduled'!A:A,'Pending Returns'!O:O,"NOT_FOUND")</f>
        <v>NOT_FOUND</v>
      </c>
    </row>
    <row r="3552" spans="1:17" x14ac:dyDescent="0.3">
      <c r="A3552" s="1">
        <v>46246</v>
      </c>
      <c r="B3552" t="s">
        <v>2583</v>
      </c>
      <c r="C3552" t="s">
        <v>3773</v>
      </c>
      <c r="D3552" t="s">
        <v>3774</v>
      </c>
      <c r="E3552" t="s">
        <v>8</v>
      </c>
      <c r="F3552" t="s">
        <v>10</v>
      </c>
      <c r="G3552" s="16">
        <v>1517.28</v>
      </c>
      <c r="H3552" s="16">
        <v>1744.8720000000001</v>
      </c>
      <c r="J3552">
        <v>13</v>
      </c>
      <c r="K3552" t="s">
        <v>9792</v>
      </c>
      <c r="M3552">
        <v>3</v>
      </c>
      <c r="N3552">
        <v>2</v>
      </c>
      <c r="O3552" t="s">
        <v>216</v>
      </c>
      <c r="P3552" s="17"/>
      <c r="Q3552" s="17" t="str">
        <f>_xlfn.XLOOKUP(Table2[[#This Row],[buyFromVendorNo]],'Next Day Scheduled'!A:A,'Pending Returns'!O:O,"NOT_FOUND")</f>
        <v>NOT_FOUND</v>
      </c>
    </row>
    <row r="3553" spans="1:17" x14ac:dyDescent="0.3">
      <c r="A3553" s="1">
        <v>46246</v>
      </c>
      <c r="B3553" t="s">
        <v>5062</v>
      </c>
      <c r="C3553" t="s">
        <v>884</v>
      </c>
      <c r="D3553" t="s">
        <v>885</v>
      </c>
      <c r="E3553" t="s">
        <v>8</v>
      </c>
      <c r="F3553" t="s">
        <v>10</v>
      </c>
      <c r="G3553" s="16">
        <v>79.763999999999996</v>
      </c>
      <c r="H3553" s="16">
        <v>91.7286</v>
      </c>
      <c r="J3553">
        <v>13</v>
      </c>
      <c r="K3553" t="s">
        <v>9885</v>
      </c>
      <c r="M3553">
        <v>0</v>
      </c>
      <c r="N3553">
        <v>226</v>
      </c>
      <c r="O3553" t="s">
        <v>216</v>
      </c>
      <c r="P3553" s="17"/>
      <c r="Q3553" s="17" t="str">
        <f>_xlfn.XLOOKUP(Table2[[#This Row],[buyFromVendorNo]],'Next Day Scheduled'!A:A,'Pending Returns'!O:O,"NOT_FOUND")</f>
        <v>NOT_FOUND</v>
      </c>
    </row>
    <row r="3554" spans="1:17" x14ac:dyDescent="0.3">
      <c r="A3554" s="1">
        <v>46246</v>
      </c>
      <c r="B3554" t="s">
        <v>2833</v>
      </c>
      <c r="C3554" t="s">
        <v>937</v>
      </c>
      <c r="D3554" t="s">
        <v>938</v>
      </c>
      <c r="E3554" t="s">
        <v>8</v>
      </c>
      <c r="F3554" t="s">
        <v>10</v>
      </c>
      <c r="G3554" s="16">
        <v>4.6212499999999999</v>
      </c>
      <c r="H3554" s="16">
        <v>5.3144400000000003</v>
      </c>
      <c r="J3554">
        <v>13</v>
      </c>
      <c r="K3554" t="s">
        <v>9796</v>
      </c>
      <c r="M3554">
        <v>1</v>
      </c>
      <c r="N3554">
        <v>12</v>
      </c>
      <c r="O3554" t="s">
        <v>216</v>
      </c>
      <c r="P3554" s="17"/>
      <c r="Q3554" s="17" t="str">
        <f>_xlfn.XLOOKUP(Table2[[#This Row],[buyFromVendorNo]],'Next Day Scheduled'!A:A,'Pending Returns'!O:O,"NOT_FOUND")</f>
        <v>NOT_FOUND</v>
      </c>
    </row>
    <row r="3555" spans="1:17" x14ac:dyDescent="0.3">
      <c r="A3555" s="1">
        <v>46246</v>
      </c>
      <c r="B3555" t="s">
        <v>8133</v>
      </c>
      <c r="C3555" t="s">
        <v>5437</v>
      </c>
      <c r="D3555" t="s">
        <v>5438</v>
      </c>
      <c r="E3555" t="s">
        <v>8</v>
      </c>
      <c r="F3555" t="s">
        <v>10</v>
      </c>
      <c r="G3555" s="16">
        <v>30.436</v>
      </c>
      <c r="H3555" s="16">
        <v>35.001399999999997</v>
      </c>
      <c r="I3555" s="1">
        <v>46246</v>
      </c>
      <c r="J3555">
        <v>13</v>
      </c>
      <c r="K3555" t="s">
        <v>8134</v>
      </c>
      <c r="L3555" t="s">
        <v>9851</v>
      </c>
      <c r="M3555">
        <v>2</v>
      </c>
      <c r="N3555">
        <v>3</v>
      </c>
      <c r="O3555" t="s">
        <v>223</v>
      </c>
      <c r="P3555" s="17"/>
      <c r="Q3555" s="17" t="str">
        <f>_xlfn.XLOOKUP(Table2[[#This Row],[buyFromVendorNo]],'Next Day Scheduled'!A:A,'Pending Returns'!O:O,"NOT_FOUND")</f>
        <v>NOT_FOUND</v>
      </c>
    </row>
    <row r="3556" spans="1:17" x14ac:dyDescent="0.3">
      <c r="A3556" s="1">
        <v>46246</v>
      </c>
      <c r="B3556" t="s">
        <v>3302</v>
      </c>
      <c r="C3556" t="s">
        <v>130</v>
      </c>
      <c r="D3556" t="s">
        <v>131</v>
      </c>
      <c r="E3556" t="s">
        <v>8</v>
      </c>
      <c r="F3556" t="s">
        <v>10</v>
      </c>
      <c r="G3556" s="16">
        <v>208.90799999999999</v>
      </c>
      <c r="H3556" s="16">
        <v>240.24420000000001</v>
      </c>
      <c r="I3556" s="1">
        <v>46246</v>
      </c>
      <c r="J3556">
        <v>13</v>
      </c>
      <c r="K3556" t="s">
        <v>9403</v>
      </c>
      <c r="L3556" t="s">
        <v>9811</v>
      </c>
      <c r="M3556">
        <v>1</v>
      </c>
      <c r="N3556">
        <v>7</v>
      </c>
      <c r="O3556" t="s">
        <v>223</v>
      </c>
      <c r="P3556" s="17"/>
      <c r="Q3556" s="17" t="str">
        <f>_xlfn.XLOOKUP(Table2[[#This Row],[buyFromVendorNo]],'Next Day Scheduled'!A:A,'Pending Returns'!O:O,"NOT_FOUND")</f>
        <v>Posted Credit Note</v>
      </c>
    </row>
    <row r="3557" spans="1:17" x14ac:dyDescent="0.3">
      <c r="A3557" s="1">
        <v>46246</v>
      </c>
      <c r="B3557" t="s">
        <v>2704</v>
      </c>
      <c r="C3557" t="s">
        <v>154</v>
      </c>
      <c r="D3557" t="s">
        <v>155</v>
      </c>
      <c r="E3557" t="s">
        <v>8</v>
      </c>
      <c r="F3557" t="s">
        <v>10</v>
      </c>
      <c r="G3557" s="16">
        <v>1557.7999</v>
      </c>
      <c r="H3557" s="16">
        <v>1791.4698000000001</v>
      </c>
      <c r="J3557">
        <v>13</v>
      </c>
      <c r="K3557" t="s">
        <v>9812</v>
      </c>
      <c r="M3557">
        <v>1</v>
      </c>
      <c r="N3557">
        <v>7</v>
      </c>
      <c r="O3557" t="s">
        <v>216</v>
      </c>
      <c r="P3557" s="17"/>
      <c r="Q3557" s="17" t="str">
        <f>_xlfn.XLOOKUP(Table2[[#This Row],[buyFromVendorNo]],'Next Day Scheduled'!A:A,'Pending Returns'!O:O,"NOT_FOUND")</f>
        <v>NOT_FOUND</v>
      </c>
    </row>
    <row r="3558" spans="1:17" x14ac:dyDescent="0.3">
      <c r="A3558" s="1">
        <v>46246</v>
      </c>
      <c r="B3558" t="s">
        <v>3351</v>
      </c>
      <c r="C3558" t="s">
        <v>1593</v>
      </c>
      <c r="D3558" t="s">
        <v>1594</v>
      </c>
      <c r="E3558" t="s">
        <v>8</v>
      </c>
      <c r="F3558" t="s">
        <v>10</v>
      </c>
      <c r="G3558" s="16">
        <v>237.75</v>
      </c>
      <c r="H3558" s="16">
        <v>273.41250000000002</v>
      </c>
      <c r="I3558" s="1">
        <v>46238</v>
      </c>
      <c r="J3558">
        <v>13</v>
      </c>
      <c r="K3558" t="s">
        <v>8747</v>
      </c>
      <c r="L3558" t="s">
        <v>9800</v>
      </c>
      <c r="M3558">
        <v>2</v>
      </c>
      <c r="N3558">
        <v>2</v>
      </c>
      <c r="O3558" t="s">
        <v>1036</v>
      </c>
      <c r="P3558" s="17"/>
      <c r="Q3558" s="17" t="str">
        <f>_xlfn.XLOOKUP(Table2[[#This Row],[buyFromVendorNo]],'Next Day Scheduled'!A:A,'Pending Returns'!O:O,"NOT_FOUND")</f>
        <v>NOT_FOUND</v>
      </c>
    </row>
    <row r="3559" spans="1:17" x14ac:dyDescent="0.3">
      <c r="A3559" s="1">
        <v>46246</v>
      </c>
      <c r="B3559" t="s">
        <v>3300</v>
      </c>
      <c r="C3559" t="s">
        <v>951</v>
      </c>
      <c r="D3559" t="s">
        <v>952</v>
      </c>
      <c r="E3559" t="s">
        <v>8</v>
      </c>
      <c r="F3559" t="s">
        <v>10</v>
      </c>
      <c r="G3559" s="16">
        <v>2.65625</v>
      </c>
      <c r="H3559" s="16">
        <v>3.0546899999999999</v>
      </c>
      <c r="J3559">
        <v>13</v>
      </c>
      <c r="K3559" t="s">
        <v>9817</v>
      </c>
      <c r="M3559">
        <v>2</v>
      </c>
      <c r="N3559">
        <v>1</v>
      </c>
      <c r="O3559" t="s">
        <v>216</v>
      </c>
      <c r="P3559" s="17"/>
      <c r="Q3559" s="17" t="str">
        <f>_xlfn.XLOOKUP(Table2[[#This Row],[buyFromVendorNo]],'Next Day Scheduled'!A:A,'Pending Returns'!O:O,"NOT_FOUND")</f>
        <v>NOT_FOUND</v>
      </c>
    </row>
    <row r="3560" spans="1:17" x14ac:dyDescent="0.3">
      <c r="A3560" s="1">
        <v>46246</v>
      </c>
      <c r="B3560" t="s">
        <v>2948</v>
      </c>
      <c r="C3560" t="s">
        <v>2612</v>
      </c>
      <c r="D3560" t="s">
        <v>2613</v>
      </c>
      <c r="E3560" t="s">
        <v>8</v>
      </c>
      <c r="F3560" t="s">
        <v>10</v>
      </c>
      <c r="G3560" s="16">
        <v>381.83339999999998</v>
      </c>
      <c r="H3560" s="16">
        <v>439.10840000000002</v>
      </c>
      <c r="I3560" s="1">
        <v>46240</v>
      </c>
      <c r="J3560">
        <v>13</v>
      </c>
      <c r="K3560" t="s">
        <v>5429</v>
      </c>
      <c r="L3560" t="s">
        <v>9832</v>
      </c>
      <c r="M3560">
        <v>1</v>
      </c>
      <c r="N3560">
        <v>8</v>
      </c>
      <c r="O3560" t="s">
        <v>1036</v>
      </c>
      <c r="P3560" s="17"/>
      <c r="Q3560" s="17" t="str">
        <f>_xlfn.XLOOKUP(Table2[[#This Row],[buyFromVendorNo]],'Next Day Scheduled'!A:A,'Pending Returns'!O:O,"NOT_FOUND")</f>
        <v>NOT_FOUND</v>
      </c>
    </row>
    <row r="3561" spans="1:17" x14ac:dyDescent="0.3">
      <c r="A3561" s="1">
        <v>46246</v>
      </c>
      <c r="B3561" t="s">
        <v>6286</v>
      </c>
      <c r="C3561" t="s">
        <v>71</v>
      </c>
      <c r="D3561" t="s">
        <v>72</v>
      </c>
      <c r="E3561" t="s">
        <v>8</v>
      </c>
      <c r="F3561" t="s">
        <v>38</v>
      </c>
      <c r="G3561" s="16">
        <v>3059.48</v>
      </c>
      <c r="H3561" s="16">
        <v>3518.402</v>
      </c>
      <c r="I3561" s="1">
        <v>46245</v>
      </c>
      <c r="J3561">
        <v>13</v>
      </c>
      <c r="K3561" t="s">
        <v>8927</v>
      </c>
      <c r="L3561" t="s">
        <v>9820</v>
      </c>
      <c r="M3561">
        <v>2</v>
      </c>
      <c r="N3561">
        <v>7</v>
      </c>
      <c r="O3561" t="s">
        <v>1036</v>
      </c>
      <c r="P3561" s="17"/>
      <c r="Q3561" s="17" t="str">
        <f>_xlfn.XLOOKUP(Table2[[#This Row],[buyFromVendorNo]],'Next Day Scheduled'!A:A,'Pending Returns'!O:O,"NOT_FOUND")</f>
        <v>Posted Credit Note</v>
      </c>
    </row>
    <row r="3562" spans="1:17" x14ac:dyDescent="0.3">
      <c r="A3562" s="1">
        <v>46246</v>
      </c>
      <c r="B3562" t="s">
        <v>2562</v>
      </c>
      <c r="C3562" t="s">
        <v>199</v>
      </c>
      <c r="D3562" t="s">
        <v>200</v>
      </c>
      <c r="E3562" t="s">
        <v>8</v>
      </c>
      <c r="F3562" t="s">
        <v>10</v>
      </c>
      <c r="G3562" s="16">
        <v>1693</v>
      </c>
      <c r="H3562" s="16">
        <v>1946.95</v>
      </c>
      <c r="I3562" s="1">
        <v>46246</v>
      </c>
      <c r="J3562">
        <v>13</v>
      </c>
      <c r="K3562" t="s">
        <v>9377</v>
      </c>
      <c r="L3562" t="s">
        <v>9819</v>
      </c>
      <c r="M3562">
        <v>1</v>
      </c>
      <c r="N3562">
        <v>6</v>
      </c>
      <c r="O3562" t="s">
        <v>1036</v>
      </c>
      <c r="P3562" s="17"/>
      <c r="Q3562" s="17" t="str">
        <f>_xlfn.XLOOKUP(Table2[[#This Row],[buyFromVendorNo]],'Next Day Scheduled'!A:A,'Pending Returns'!O:O,"NOT_FOUND")</f>
        <v>NOT_FOUND</v>
      </c>
    </row>
    <row r="3563" spans="1:17" x14ac:dyDescent="0.3">
      <c r="A3563" s="1">
        <v>46246</v>
      </c>
      <c r="B3563" t="s">
        <v>2737</v>
      </c>
      <c r="C3563" t="s">
        <v>137</v>
      </c>
      <c r="D3563" t="s">
        <v>138</v>
      </c>
      <c r="E3563" t="s">
        <v>8</v>
      </c>
      <c r="F3563" t="s">
        <v>10</v>
      </c>
      <c r="G3563" s="16">
        <v>5041.91</v>
      </c>
      <c r="H3563" s="16">
        <v>5798.1962999999996</v>
      </c>
      <c r="I3563" s="1">
        <v>46243</v>
      </c>
      <c r="J3563">
        <v>13</v>
      </c>
      <c r="K3563" t="s">
        <v>8176</v>
      </c>
      <c r="L3563" t="s">
        <v>9841</v>
      </c>
      <c r="M3563">
        <v>6</v>
      </c>
      <c r="N3563">
        <v>5</v>
      </c>
      <c r="O3563" t="s">
        <v>1036</v>
      </c>
      <c r="P3563" s="17"/>
      <c r="Q3563" s="17" t="str">
        <f>_xlfn.XLOOKUP(Table2[[#This Row],[buyFromVendorNo]],'Next Day Scheduled'!A:A,'Pending Returns'!O:O,"NOT_FOUND")</f>
        <v>NOT_FOUND</v>
      </c>
    </row>
    <row r="3564" spans="1:17" x14ac:dyDescent="0.3">
      <c r="A3564" s="1">
        <v>46246</v>
      </c>
      <c r="B3564" t="s">
        <v>5683</v>
      </c>
      <c r="C3564" t="s">
        <v>39</v>
      </c>
      <c r="D3564" t="s">
        <v>40</v>
      </c>
      <c r="E3564" t="s">
        <v>8</v>
      </c>
      <c r="F3564" t="s">
        <v>10</v>
      </c>
      <c r="G3564" s="16">
        <v>3198.0596</v>
      </c>
      <c r="H3564" s="16">
        <v>3677.7685999999999</v>
      </c>
      <c r="J3564">
        <v>13</v>
      </c>
      <c r="K3564" t="s">
        <v>9782</v>
      </c>
      <c r="M3564">
        <v>5</v>
      </c>
      <c r="N3564">
        <v>1</v>
      </c>
      <c r="O3564" t="s">
        <v>216</v>
      </c>
      <c r="P3564" s="17"/>
      <c r="Q3564" s="17" t="str">
        <f>_xlfn.XLOOKUP(Table2[[#This Row],[buyFromVendorNo]],'Next Day Scheduled'!A:A,'Pending Returns'!O:O,"NOT_FOUND")</f>
        <v>Posted Credit Note</v>
      </c>
    </row>
    <row r="3565" spans="1:17" x14ac:dyDescent="0.3">
      <c r="A3565" s="1">
        <v>46246</v>
      </c>
      <c r="B3565" t="s">
        <v>2800</v>
      </c>
      <c r="C3565" t="s">
        <v>144</v>
      </c>
      <c r="D3565" t="s">
        <v>145</v>
      </c>
      <c r="E3565" t="s">
        <v>8</v>
      </c>
      <c r="F3565" t="s">
        <v>10</v>
      </c>
      <c r="G3565" s="16">
        <v>144.47</v>
      </c>
      <c r="H3565" s="16">
        <v>166.1405</v>
      </c>
      <c r="J3565">
        <v>13</v>
      </c>
      <c r="K3565" t="s">
        <v>9783</v>
      </c>
      <c r="M3565">
        <v>0</v>
      </c>
      <c r="N3565">
        <v>411</v>
      </c>
      <c r="O3565" t="s">
        <v>216</v>
      </c>
      <c r="P3565" s="17"/>
      <c r="Q3565" s="17" t="str">
        <f>_xlfn.XLOOKUP(Table2[[#This Row],[buyFromVendorNo]],'Next Day Scheduled'!A:A,'Pending Returns'!O:O,"NOT_FOUND")</f>
        <v>NOT_FOUND</v>
      </c>
    </row>
    <row r="3566" spans="1:17" x14ac:dyDescent="0.3">
      <c r="A3566" s="1">
        <v>46246</v>
      </c>
      <c r="B3566" t="s">
        <v>2524</v>
      </c>
      <c r="C3566" t="s">
        <v>164</v>
      </c>
      <c r="D3566" t="s">
        <v>165</v>
      </c>
      <c r="E3566" t="s">
        <v>8</v>
      </c>
      <c r="F3566" t="s">
        <v>10</v>
      </c>
      <c r="G3566" s="16">
        <v>122</v>
      </c>
      <c r="H3566" s="16">
        <v>140.30000000000001</v>
      </c>
      <c r="J3566">
        <v>13</v>
      </c>
      <c r="K3566" t="s">
        <v>9790</v>
      </c>
      <c r="M3566">
        <v>2</v>
      </c>
      <c r="N3566">
        <v>3</v>
      </c>
      <c r="O3566" t="s">
        <v>216</v>
      </c>
      <c r="P3566" s="17"/>
      <c r="Q3566" s="17" t="str">
        <f>_xlfn.XLOOKUP(Table2[[#This Row],[buyFromVendorNo]],'Next Day Scheduled'!A:A,'Pending Returns'!O:O,"NOT_FOUND")</f>
        <v>NOT_FOUND</v>
      </c>
    </row>
    <row r="3567" spans="1:17" x14ac:dyDescent="0.3">
      <c r="A3567" s="1">
        <v>46246</v>
      </c>
      <c r="B3567" t="s">
        <v>4057</v>
      </c>
      <c r="C3567" t="s">
        <v>3777</v>
      </c>
      <c r="D3567" t="s">
        <v>3778</v>
      </c>
      <c r="E3567" t="s">
        <v>8</v>
      </c>
      <c r="F3567" t="s">
        <v>10</v>
      </c>
      <c r="G3567" s="16">
        <v>874.77</v>
      </c>
      <c r="H3567" s="16">
        <v>1005.9855</v>
      </c>
      <c r="I3567" s="1">
        <v>46246</v>
      </c>
      <c r="J3567">
        <v>13</v>
      </c>
      <c r="K3567" t="s">
        <v>9400</v>
      </c>
      <c r="L3567" t="s">
        <v>9859</v>
      </c>
      <c r="M3567">
        <v>2</v>
      </c>
      <c r="N3567">
        <v>3</v>
      </c>
      <c r="O3567" t="s">
        <v>1036</v>
      </c>
      <c r="P3567" s="17"/>
      <c r="Q3567" s="17" t="str">
        <f>_xlfn.XLOOKUP(Table2[[#This Row],[buyFromVendorNo]],'Next Day Scheduled'!A:A,'Pending Returns'!O:O,"NOT_FOUND")</f>
        <v>NOT_FOUND</v>
      </c>
    </row>
    <row r="3568" spans="1:17" x14ac:dyDescent="0.3">
      <c r="A3568" s="1">
        <v>46246</v>
      </c>
      <c r="B3568" t="s">
        <v>3063</v>
      </c>
      <c r="C3568" t="s">
        <v>422</v>
      </c>
      <c r="D3568" t="s">
        <v>490</v>
      </c>
      <c r="E3568" t="s">
        <v>8</v>
      </c>
      <c r="F3568" t="s">
        <v>10</v>
      </c>
      <c r="G3568" s="16">
        <v>6147.2309999999998</v>
      </c>
      <c r="H3568" s="16">
        <v>7069.3154000000004</v>
      </c>
      <c r="I3568" s="1">
        <v>46243</v>
      </c>
      <c r="J3568">
        <v>13</v>
      </c>
      <c r="K3568" t="s">
        <v>7301</v>
      </c>
      <c r="L3568" t="s">
        <v>9804</v>
      </c>
      <c r="M3568">
        <v>2</v>
      </c>
      <c r="N3568">
        <v>3</v>
      </c>
      <c r="O3568" t="s">
        <v>1036</v>
      </c>
      <c r="P3568" s="17"/>
      <c r="Q3568" s="17" t="str">
        <f>_xlfn.XLOOKUP(Table2[[#This Row],[buyFromVendorNo]],'Next Day Scheduled'!A:A,'Pending Returns'!O:O,"NOT_FOUND")</f>
        <v>NOT_FOUND</v>
      </c>
    </row>
    <row r="3569" spans="1:17" x14ac:dyDescent="0.3">
      <c r="A3569" s="1">
        <v>46246</v>
      </c>
      <c r="B3569" t="s">
        <v>642</v>
      </c>
      <c r="C3569" t="s">
        <v>154</v>
      </c>
      <c r="D3569" t="s">
        <v>155</v>
      </c>
      <c r="E3569" t="s">
        <v>8</v>
      </c>
      <c r="F3569" t="s">
        <v>38</v>
      </c>
      <c r="G3569" s="16">
        <v>4174.9809999999998</v>
      </c>
      <c r="H3569" s="16">
        <v>4801.2280000000001</v>
      </c>
      <c r="I3569" s="1">
        <v>46246</v>
      </c>
      <c r="J3569">
        <v>13</v>
      </c>
      <c r="K3569" t="s">
        <v>8753</v>
      </c>
      <c r="L3569" t="s">
        <v>9842</v>
      </c>
      <c r="M3569">
        <v>1</v>
      </c>
      <c r="N3569">
        <v>7</v>
      </c>
      <c r="O3569" t="s">
        <v>223</v>
      </c>
      <c r="P3569" s="17"/>
      <c r="Q3569" s="17" t="str">
        <f>_xlfn.XLOOKUP(Table2[[#This Row],[buyFromVendorNo]],'Next Day Scheduled'!A:A,'Pending Returns'!O:O,"NOT_FOUND")</f>
        <v>NOT_FOUND</v>
      </c>
    </row>
    <row r="3570" spans="1:17" x14ac:dyDescent="0.3">
      <c r="A3570" s="1">
        <v>46246</v>
      </c>
      <c r="B3570" t="s">
        <v>9114</v>
      </c>
      <c r="C3570" t="s">
        <v>422</v>
      </c>
      <c r="D3570" t="s">
        <v>490</v>
      </c>
      <c r="E3570" t="s">
        <v>8</v>
      </c>
      <c r="F3570" t="s">
        <v>10</v>
      </c>
      <c r="G3570" s="16">
        <v>316.02566999999999</v>
      </c>
      <c r="H3570" s="16">
        <v>363.42953</v>
      </c>
      <c r="I3570" s="1">
        <v>46243</v>
      </c>
      <c r="J3570">
        <v>13</v>
      </c>
      <c r="K3570" t="s">
        <v>9115</v>
      </c>
      <c r="L3570" t="s">
        <v>9861</v>
      </c>
      <c r="M3570">
        <v>2</v>
      </c>
      <c r="N3570">
        <v>3</v>
      </c>
      <c r="O3570" t="s">
        <v>1036</v>
      </c>
      <c r="P3570" s="17"/>
      <c r="Q3570" s="17" t="str">
        <f>_xlfn.XLOOKUP(Table2[[#This Row],[buyFromVendorNo]],'Next Day Scheduled'!A:A,'Pending Returns'!O:O,"NOT_FOUND")</f>
        <v>NOT_FOUND</v>
      </c>
    </row>
    <row r="3571" spans="1:17" x14ac:dyDescent="0.3">
      <c r="A3571" s="1">
        <v>46246</v>
      </c>
      <c r="B3571" t="s">
        <v>3715</v>
      </c>
      <c r="C3571" t="s">
        <v>422</v>
      </c>
      <c r="D3571" t="s">
        <v>490</v>
      </c>
      <c r="E3571" t="s">
        <v>8</v>
      </c>
      <c r="F3571" t="s">
        <v>169</v>
      </c>
      <c r="G3571" s="16">
        <v>187.08240000000001</v>
      </c>
      <c r="H3571" s="16">
        <v>215.14474000000001</v>
      </c>
      <c r="I3571" s="1">
        <v>46242</v>
      </c>
      <c r="J3571">
        <v>13</v>
      </c>
      <c r="K3571" t="s">
        <v>8812</v>
      </c>
      <c r="L3571" t="s">
        <v>9793</v>
      </c>
      <c r="M3571">
        <v>2</v>
      </c>
      <c r="N3571">
        <v>3</v>
      </c>
      <c r="O3571" t="s">
        <v>1036</v>
      </c>
      <c r="P3571" s="17"/>
      <c r="Q3571" s="17" t="str">
        <f>_xlfn.XLOOKUP(Table2[[#This Row],[buyFromVendorNo]],'Next Day Scheduled'!A:A,'Pending Returns'!O:O,"NOT_FOUND")</f>
        <v>NOT_FOUND</v>
      </c>
    </row>
    <row r="3572" spans="1:17" x14ac:dyDescent="0.3">
      <c r="A3572" s="1">
        <v>46246</v>
      </c>
      <c r="B3572" t="s">
        <v>8585</v>
      </c>
      <c r="C3572" t="s">
        <v>1725</v>
      </c>
      <c r="D3572" t="s">
        <v>1726</v>
      </c>
      <c r="E3572" t="s">
        <v>8</v>
      </c>
      <c r="F3572" t="s">
        <v>10</v>
      </c>
      <c r="G3572" s="16">
        <v>165.28100000000001</v>
      </c>
      <c r="H3572" s="16">
        <v>190.07315</v>
      </c>
      <c r="J3572">
        <v>13</v>
      </c>
      <c r="K3572" t="s">
        <v>9905</v>
      </c>
      <c r="M3572">
        <v>0</v>
      </c>
      <c r="N3572">
        <v>28</v>
      </c>
      <c r="O3572" t="s">
        <v>216</v>
      </c>
      <c r="P3572" s="17"/>
      <c r="Q3572" s="17" t="str">
        <f>_xlfn.XLOOKUP(Table2[[#This Row],[buyFromVendorNo]],'Next Day Scheduled'!A:A,'Pending Returns'!O:O,"NOT_FOUND")</f>
        <v>Posted Credit Note</v>
      </c>
    </row>
    <row r="3573" spans="1:17" x14ac:dyDescent="0.3">
      <c r="A3573" s="1">
        <v>46246</v>
      </c>
      <c r="B3573" t="s">
        <v>5492</v>
      </c>
      <c r="C3573" t="s">
        <v>201</v>
      </c>
      <c r="D3573" t="s">
        <v>202</v>
      </c>
      <c r="E3573" t="s">
        <v>8</v>
      </c>
      <c r="F3573" t="s">
        <v>10</v>
      </c>
      <c r="G3573" s="16">
        <v>119.1</v>
      </c>
      <c r="H3573" s="16">
        <v>136.965</v>
      </c>
      <c r="I3573" s="1">
        <v>46238</v>
      </c>
      <c r="J3573">
        <v>13</v>
      </c>
      <c r="K3573" t="s">
        <v>8169</v>
      </c>
      <c r="L3573" t="s">
        <v>9808</v>
      </c>
      <c r="M3573">
        <v>2</v>
      </c>
      <c r="N3573">
        <v>1</v>
      </c>
      <c r="O3573" t="s">
        <v>1036</v>
      </c>
      <c r="P3573" s="17"/>
      <c r="Q3573" s="17" t="str">
        <f>_xlfn.XLOOKUP(Table2[[#This Row],[buyFromVendorNo]],'Next Day Scheduled'!A:A,'Pending Returns'!O:O,"NOT_FOUND")</f>
        <v>Pending for Collection</v>
      </c>
    </row>
    <row r="3574" spans="1:17" x14ac:dyDescent="0.3">
      <c r="A3574" s="1">
        <v>46246</v>
      </c>
      <c r="B3574" t="s">
        <v>3578</v>
      </c>
      <c r="C3574" t="s">
        <v>1472</v>
      </c>
      <c r="D3574" t="s">
        <v>1473</v>
      </c>
      <c r="E3574" t="s">
        <v>8</v>
      </c>
      <c r="F3574" t="s">
        <v>10</v>
      </c>
      <c r="G3574" s="16">
        <v>864.01964999999996</v>
      </c>
      <c r="H3574" s="16">
        <v>993.62260000000003</v>
      </c>
      <c r="J3574">
        <v>13</v>
      </c>
      <c r="K3574" t="s">
        <v>9862</v>
      </c>
      <c r="M3574">
        <v>0</v>
      </c>
      <c r="N3574">
        <v>20</v>
      </c>
      <c r="O3574" t="s">
        <v>216</v>
      </c>
      <c r="P3574" s="17"/>
      <c r="Q3574" s="17" t="str">
        <f>_xlfn.XLOOKUP(Table2[[#This Row],[buyFromVendorNo]],'Next Day Scheduled'!A:A,'Pending Returns'!O:O,"NOT_FOUND")</f>
        <v>Posted Credit Note</v>
      </c>
    </row>
    <row r="3575" spans="1:17" x14ac:dyDescent="0.3">
      <c r="A3575" s="1">
        <v>46246</v>
      </c>
      <c r="B3575" t="s">
        <v>3370</v>
      </c>
      <c r="C3575" t="s">
        <v>2359</v>
      </c>
      <c r="D3575" t="s">
        <v>2360</v>
      </c>
      <c r="E3575" t="s">
        <v>8</v>
      </c>
      <c r="F3575" t="s">
        <v>10</v>
      </c>
      <c r="G3575" s="16">
        <v>22.5</v>
      </c>
      <c r="H3575" s="16">
        <v>25.875</v>
      </c>
      <c r="J3575">
        <v>13</v>
      </c>
      <c r="K3575" t="s">
        <v>9906</v>
      </c>
      <c r="M3575">
        <v>0</v>
      </c>
      <c r="N3575">
        <v>22</v>
      </c>
      <c r="O3575" t="s">
        <v>216</v>
      </c>
      <c r="P3575" s="17"/>
      <c r="Q3575" s="17" t="str">
        <f>_xlfn.XLOOKUP(Table2[[#This Row],[buyFromVendorNo]],'Next Day Scheduled'!A:A,'Pending Returns'!O:O,"NOT_FOUND")</f>
        <v>NOT_FOUND</v>
      </c>
    </row>
    <row r="3576" spans="1:17" x14ac:dyDescent="0.3">
      <c r="A3576" s="1">
        <v>46246</v>
      </c>
      <c r="B3576" t="s">
        <v>2663</v>
      </c>
      <c r="C3576" t="s">
        <v>137</v>
      </c>
      <c r="D3576" t="s">
        <v>138</v>
      </c>
      <c r="E3576" t="s">
        <v>8</v>
      </c>
      <c r="F3576" t="s">
        <v>10</v>
      </c>
      <c r="G3576" s="16">
        <v>10107.4</v>
      </c>
      <c r="H3576" s="16">
        <v>11623.51</v>
      </c>
      <c r="I3576" s="1">
        <v>46243</v>
      </c>
      <c r="J3576">
        <v>13</v>
      </c>
      <c r="K3576" t="s">
        <v>7204</v>
      </c>
      <c r="L3576" t="s">
        <v>9863</v>
      </c>
      <c r="M3576">
        <v>6</v>
      </c>
      <c r="N3576">
        <v>5</v>
      </c>
      <c r="O3576" t="s">
        <v>1036</v>
      </c>
      <c r="P3576" s="17"/>
      <c r="Q3576" s="17" t="str">
        <f>_xlfn.XLOOKUP(Table2[[#This Row],[buyFromVendorNo]],'Next Day Scheduled'!A:A,'Pending Returns'!O:O,"NOT_FOUND")</f>
        <v>NOT_FOUND</v>
      </c>
    </row>
    <row r="3577" spans="1:17" x14ac:dyDescent="0.3">
      <c r="A3577" s="1">
        <v>46246</v>
      </c>
      <c r="B3577" t="s">
        <v>5609</v>
      </c>
      <c r="C3577" t="s">
        <v>418</v>
      </c>
      <c r="D3577" t="s">
        <v>419</v>
      </c>
      <c r="E3577" t="s">
        <v>8</v>
      </c>
      <c r="F3577" t="s">
        <v>169</v>
      </c>
      <c r="G3577" s="16">
        <v>48</v>
      </c>
      <c r="H3577" s="16">
        <v>55.2</v>
      </c>
      <c r="I3577" s="1">
        <v>46243</v>
      </c>
      <c r="J3577">
        <v>13</v>
      </c>
      <c r="K3577" t="s">
        <v>9342</v>
      </c>
      <c r="L3577" t="s">
        <v>9846</v>
      </c>
      <c r="M3577">
        <v>2</v>
      </c>
      <c r="N3577">
        <v>3</v>
      </c>
      <c r="O3577" t="s">
        <v>1036</v>
      </c>
      <c r="P3577" s="17"/>
      <c r="Q3577" s="17" t="str">
        <f>_xlfn.XLOOKUP(Table2[[#This Row],[buyFromVendorNo]],'Next Day Scheduled'!A:A,'Pending Returns'!O:O,"NOT_FOUND")</f>
        <v>NOT_FOUND</v>
      </c>
    </row>
    <row r="3578" spans="1:17" x14ac:dyDescent="0.3">
      <c r="A3578" s="1">
        <v>46246</v>
      </c>
      <c r="B3578" t="s">
        <v>6286</v>
      </c>
      <c r="C3578" t="s">
        <v>43</v>
      </c>
      <c r="D3578" t="s">
        <v>44</v>
      </c>
      <c r="E3578" t="s">
        <v>8</v>
      </c>
      <c r="F3578" t="s">
        <v>38</v>
      </c>
      <c r="G3578" s="16">
        <v>2374.7523999999999</v>
      </c>
      <c r="H3578" s="16">
        <v>2730.9652999999998</v>
      </c>
      <c r="I3578" s="1">
        <v>46245</v>
      </c>
      <c r="J3578">
        <v>13</v>
      </c>
      <c r="K3578" t="s">
        <v>9686</v>
      </c>
      <c r="L3578" t="s">
        <v>9866</v>
      </c>
      <c r="M3578">
        <v>11</v>
      </c>
      <c r="N3578">
        <v>1</v>
      </c>
      <c r="O3578" t="s">
        <v>1036</v>
      </c>
      <c r="P3578" s="17"/>
      <c r="Q3578" s="17" t="str">
        <f>_xlfn.XLOOKUP(Table2[[#This Row],[buyFromVendorNo]],'Next Day Scheduled'!A:A,'Pending Returns'!O:O,"NOT_FOUND")</f>
        <v>Posted Credit Note</v>
      </c>
    </row>
    <row r="3579" spans="1:17" x14ac:dyDescent="0.3">
      <c r="A3579" s="1">
        <v>46246</v>
      </c>
      <c r="B3579" t="s">
        <v>6286</v>
      </c>
      <c r="C3579" t="s">
        <v>886</v>
      </c>
      <c r="D3579" t="s">
        <v>887</v>
      </c>
      <c r="E3579" t="s">
        <v>8</v>
      </c>
      <c r="F3579" t="s">
        <v>38</v>
      </c>
      <c r="G3579" s="16">
        <v>6521.97</v>
      </c>
      <c r="H3579" s="16">
        <v>7500.2655999999997</v>
      </c>
      <c r="J3579">
        <v>13</v>
      </c>
      <c r="K3579" t="s">
        <v>9794</v>
      </c>
      <c r="M3579">
        <v>2</v>
      </c>
      <c r="N3579">
        <v>6</v>
      </c>
      <c r="O3579" t="s">
        <v>216</v>
      </c>
      <c r="P3579" s="17"/>
      <c r="Q3579" s="17" t="str">
        <f>_xlfn.XLOOKUP(Table2[[#This Row],[buyFromVendorNo]],'Next Day Scheduled'!A:A,'Pending Returns'!O:O,"NOT_FOUND")</f>
        <v>NOT_FOUND</v>
      </c>
    </row>
    <row r="3580" spans="1:17" x14ac:dyDescent="0.3">
      <c r="A3580" s="1">
        <v>46246</v>
      </c>
      <c r="B3580" t="s">
        <v>2745</v>
      </c>
      <c r="C3580" t="s">
        <v>1161</v>
      </c>
      <c r="D3580" t="s">
        <v>1162</v>
      </c>
      <c r="E3580" t="s">
        <v>8</v>
      </c>
      <c r="F3580" t="s">
        <v>10</v>
      </c>
      <c r="G3580" s="16">
        <v>2817</v>
      </c>
      <c r="H3580" s="16">
        <v>3239.55</v>
      </c>
      <c r="I3580" s="1">
        <v>46240</v>
      </c>
      <c r="J3580">
        <v>13</v>
      </c>
      <c r="K3580" t="s">
        <v>9233</v>
      </c>
      <c r="L3580" t="s">
        <v>9799</v>
      </c>
      <c r="M3580">
        <v>2</v>
      </c>
      <c r="N3580">
        <v>6</v>
      </c>
      <c r="O3580" t="s">
        <v>1036</v>
      </c>
      <c r="P3580" s="17"/>
      <c r="Q3580" s="17" t="str">
        <f>_xlfn.XLOOKUP(Table2[[#This Row],[buyFromVendorNo]],'Next Day Scheduled'!A:A,'Pending Returns'!O:O,"NOT_FOUND")</f>
        <v>NOT_FOUND</v>
      </c>
    </row>
    <row r="3581" spans="1:17" x14ac:dyDescent="0.3">
      <c r="A3581" s="1">
        <v>46247</v>
      </c>
      <c r="B3581" t="s">
        <v>2600</v>
      </c>
      <c r="C3581" t="s">
        <v>104</v>
      </c>
      <c r="D3581" t="s">
        <v>105</v>
      </c>
      <c r="E3581" t="s">
        <v>8</v>
      </c>
      <c r="F3581" t="s">
        <v>10</v>
      </c>
      <c r="G3581" s="16">
        <v>183.67519999999999</v>
      </c>
      <c r="H3581" s="16">
        <v>211.22649000000001</v>
      </c>
      <c r="I3581" s="1">
        <v>46246</v>
      </c>
      <c r="J3581">
        <v>12</v>
      </c>
      <c r="K3581" t="s">
        <v>9511</v>
      </c>
      <c r="L3581" t="s">
        <v>9922</v>
      </c>
      <c r="M3581">
        <v>1</v>
      </c>
      <c r="N3581">
        <v>6</v>
      </c>
      <c r="O3581" t="s">
        <v>1036</v>
      </c>
      <c r="P3581" s="17"/>
      <c r="Q3581" s="17" t="str">
        <f>_xlfn.XLOOKUP(Table2[[#This Row],[buyFromVendorNo]],'Next Day Scheduled'!A:A,'Pending Returns'!O:O,"NOT_FOUND")</f>
        <v>NOT_FOUND</v>
      </c>
    </row>
    <row r="3582" spans="1:17" x14ac:dyDescent="0.3">
      <c r="A3582" s="1">
        <v>46247</v>
      </c>
      <c r="B3582" t="s">
        <v>8095</v>
      </c>
      <c r="C3582" t="s">
        <v>84</v>
      </c>
      <c r="D3582" t="s">
        <v>85</v>
      </c>
      <c r="E3582" t="s">
        <v>8</v>
      </c>
      <c r="F3582" t="s">
        <v>10</v>
      </c>
      <c r="G3582" s="16">
        <v>733.6277</v>
      </c>
      <c r="H3582" s="16">
        <v>843.67179999999996</v>
      </c>
      <c r="J3582">
        <v>12</v>
      </c>
      <c r="K3582" t="s">
        <v>9978</v>
      </c>
      <c r="M3582">
        <v>2</v>
      </c>
      <c r="N3582">
        <v>2</v>
      </c>
      <c r="O3582" t="s">
        <v>216</v>
      </c>
      <c r="P3582" s="17"/>
      <c r="Q3582" s="17" t="str">
        <f>_xlfn.XLOOKUP(Table2[[#This Row],[buyFromVendorNo]],'Next Day Scheduled'!A:A,'Pending Returns'!O:O,"NOT_FOUND")</f>
        <v>NOT_FOUND</v>
      </c>
    </row>
    <row r="3583" spans="1:17" x14ac:dyDescent="0.3">
      <c r="A3583" s="1">
        <v>46247</v>
      </c>
      <c r="B3583" t="s">
        <v>2640</v>
      </c>
      <c r="C3583" t="s">
        <v>1161</v>
      </c>
      <c r="D3583" t="s">
        <v>1162</v>
      </c>
      <c r="E3583" t="s">
        <v>8</v>
      </c>
      <c r="F3583" t="s">
        <v>10</v>
      </c>
      <c r="G3583" s="16">
        <v>5472</v>
      </c>
      <c r="H3583" s="16">
        <v>6292.8</v>
      </c>
      <c r="I3583" s="1">
        <v>46246</v>
      </c>
      <c r="J3583">
        <v>12</v>
      </c>
      <c r="K3583" t="s">
        <v>9378</v>
      </c>
      <c r="L3583" t="s">
        <v>9949</v>
      </c>
      <c r="M3583">
        <v>2</v>
      </c>
      <c r="N3583">
        <v>6</v>
      </c>
      <c r="O3583" t="s">
        <v>1036</v>
      </c>
      <c r="P3583" s="17"/>
      <c r="Q3583" s="17" t="str">
        <f>_xlfn.XLOOKUP(Table2[[#This Row],[buyFromVendorNo]],'Next Day Scheduled'!A:A,'Pending Returns'!O:O,"NOT_FOUND")</f>
        <v>NOT_FOUND</v>
      </c>
    </row>
    <row r="3584" spans="1:17" x14ac:dyDescent="0.3">
      <c r="A3584" s="1">
        <v>46247</v>
      </c>
      <c r="B3584" t="s">
        <v>2175</v>
      </c>
      <c r="C3584" t="s">
        <v>1161</v>
      </c>
      <c r="D3584" t="s">
        <v>1162</v>
      </c>
      <c r="E3584" t="s">
        <v>8</v>
      </c>
      <c r="F3584" t="s">
        <v>10</v>
      </c>
      <c r="G3584" s="16">
        <v>2736</v>
      </c>
      <c r="H3584" s="16">
        <v>3146.4</v>
      </c>
      <c r="I3584" s="1">
        <v>46246</v>
      </c>
      <c r="J3584">
        <v>12</v>
      </c>
      <c r="K3584" t="s">
        <v>9380</v>
      </c>
      <c r="L3584" t="s">
        <v>9924</v>
      </c>
      <c r="M3584">
        <v>2</v>
      </c>
      <c r="N3584">
        <v>6</v>
      </c>
      <c r="O3584" t="s">
        <v>1036</v>
      </c>
      <c r="P3584" s="17"/>
      <c r="Q3584" s="17" t="str">
        <f>_xlfn.XLOOKUP(Table2[[#This Row],[buyFromVendorNo]],'Next Day Scheduled'!A:A,'Pending Returns'!O:O,"NOT_FOUND")</f>
        <v>NOT_FOUND</v>
      </c>
    </row>
    <row r="3585" spans="1:17" x14ac:dyDescent="0.3">
      <c r="A3585" s="1">
        <v>46247</v>
      </c>
      <c r="B3585" t="s">
        <v>2574</v>
      </c>
      <c r="C3585" t="s">
        <v>181</v>
      </c>
      <c r="D3585" t="s">
        <v>182</v>
      </c>
      <c r="E3585" t="s">
        <v>8</v>
      </c>
      <c r="F3585" t="s">
        <v>10</v>
      </c>
      <c r="G3585" s="16">
        <v>70</v>
      </c>
      <c r="H3585" s="16">
        <v>80.5</v>
      </c>
      <c r="I3585" s="1">
        <v>46245</v>
      </c>
      <c r="J3585">
        <v>12</v>
      </c>
      <c r="K3585" t="s">
        <v>8660</v>
      </c>
      <c r="L3585" t="s">
        <v>9934</v>
      </c>
      <c r="M3585">
        <v>3</v>
      </c>
      <c r="N3585">
        <v>2</v>
      </c>
      <c r="O3585" t="s">
        <v>1036</v>
      </c>
      <c r="P3585" s="17"/>
      <c r="Q3585" s="17" t="str">
        <f>_xlfn.XLOOKUP(Table2[[#This Row],[buyFromVendorNo]],'Next Day Scheduled'!A:A,'Pending Returns'!O:O,"NOT_FOUND")</f>
        <v>NOT_FOUND</v>
      </c>
    </row>
    <row r="3586" spans="1:17" x14ac:dyDescent="0.3">
      <c r="A3586" s="1">
        <v>46247</v>
      </c>
      <c r="B3586" t="s">
        <v>8053</v>
      </c>
      <c r="C3586" t="s">
        <v>2269</v>
      </c>
      <c r="D3586" t="s">
        <v>2270</v>
      </c>
      <c r="E3586" t="s">
        <v>8</v>
      </c>
      <c r="F3586" t="s">
        <v>10</v>
      </c>
      <c r="G3586" s="16">
        <v>30.908000000000001</v>
      </c>
      <c r="H3586" s="16">
        <v>35.544199999999996</v>
      </c>
      <c r="I3586" s="1">
        <v>46247</v>
      </c>
      <c r="J3586">
        <v>12</v>
      </c>
      <c r="K3586" t="s">
        <v>9152</v>
      </c>
      <c r="L3586" t="s">
        <v>9981</v>
      </c>
      <c r="M3586">
        <v>0</v>
      </c>
      <c r="N3586">
        <v>64</v>
      </c>
      <c r="O3586" t="s">
        <v>223</v>
      </c>
      <c r="P3586" s="17"/>
      <c r="Q3586" s="17" t="str">
        <f>_xlfn.XLOOKUP(Table2[[#This Row],[buyFromVendorNo]],'Next Day Scheduled'!A:A,'Pending Returns'!O:O,"NOT_FOUND")</f>
        <v>NOT_FOUND</v>
      </c>
    </row>
    <row r="3587" spans="1:17" x14ac:dyDescent="0.3">
      <c r="A3587" s="1">
        <v>46247</v>
      </c>
      <c r="B3587" t="s">
        <v>5112</v>
      </c>
      <c r="C3587" t="s">
        <v>491</v>
      </c>
      <c r="D3587" t="s">
        <v>492</v>
      </c>
      <c r="E3587" t="s">
        <v>8</v>
      </c>
      <c r="F3587" t="s">
        <v>10</v>
      </c>
      <c r="G3587" s="16">
        <v>1988.5</v>
      </c>
      <c r="H3587" s="16">
        <v>2286.7750000000001</v>
      </c>
      <c r="I3587" s="1">
        <v>46244</v>
      </c>
      <c r="J3587">
        <v>12</v>
      </c>
      <c r="K3587" t="s">
        <v>9086</v>
      </c>
      <c r="L3587" t="s">
        <v>9936</v>
      </c>
      <c r="M3587">
        <v>2</v>
      </c>
      <c r="N3587">
        <v>2</v>
      </c>
      <c r="O3587" t="s">
        <v>1036</v>
      </c>
      <c r="P3587" s="17"/>
      <c r="Q3587" s="17" t="str">
        <f>_xlfn.XLOOKUP(Table2[[#This Row],[buyFromVendorNo]],'Next Day Scheduled'!A:A,'Pending Returns'!O:O,"NOT_FOUND")</f>
        <v>NOT_FOUND</v>
      </c>
    </row>
    <row r="3588" spans="1:17" x14ac:dyDescent="0.3">
      <c r="A3588" s="1">
        <v>46247</v>
      </c>
      <c r="B3588" t="s">
        <v>4074</v>
      </c>
      <c r="C3588" t="s">
        <v>832</v>
      </c>
      <c r="D3588" t="s">
        <v>833</v>
      </c>
      <c r="E3588" t="s">
        <v>8</v>
      </c>
      <c r="F3588" t="s">
        <v>38</v>
      </c>
      <c r="G3588" s="16">
        <v>3671.55</v>
      </c>
      <c r="H3588" s="16">
        <v>4222.2826999999997</v>
      </c>
      <c r="I3588" s="1">
        <v>46245</v>
      </c>
      <c r="J3588">
        <v>12</v>
      </c>
      <c r="K3588" t="s">
        <v>6643</v>
      </c>
      <c r="L3588" t="s">
        <v>9938</v>
      </c>
      <c r="M3588">
        <v>0</v>
      </c>
      <c r="N3588">
        <v>76</v>
      </c>
      <c r="O3588" t="s">
        <v>1036</v>
      </c>
      <c r="P3588" s="17"/>
      <c r="Q3588" s="17" t="str">
        <f>_xlfn.XLOOKUP(Table2[[#This Row],[buyFromVendorNo]],'Next Day Scheduled'!A:A,'Pending Returns'!O:O,"NOT_FOUND")</f>
        <v>NOT_FOUND</v>
      </c>
    </row>
    <row r="3589" spans="1:17" x14ac:dyDescent="0.3">
      <c r="A3589" s="1">
        <v>46247</v>
      </c>
      <c r="B3589" t="s">
        <v>7519</v>
      </c>
      <c r="C3589" t="s">
        <v>832</v>
      </c>
      <c r="D3589" t="s">
        <v>833</v>
      </c>
      <c r="E3589" t="s">
        <v>8</v>
      </c>
      <c r="F3589" t="s">
        <v>38</v>
      </c>
      <c r="G3589" s="16">
        <v>3003.15</v>
      </c>
      <c r="H3589" s="16">
        <v>3453.6226000000001</v>
      </c>
      <c r="I3589" s="1">
        <v>46245</v>
      </c>
      <c r="J3589">
        <v>12</v>
      </c>
      <c r="K3589" t="s">
        <v>7453</v>
      </c>
      <c r="L3589" t="s">
        <v>9961</v>
      </c>
      <c r="M3589">
        <v>0</v>
      </c>
      <c r="N3589">
        <v>76</v>
      </c>
      <c r="O3589" t="s">
        <v>1036</v>
      </c>
      <c r="P3589" s="17"/>
      <c r="Q3589" s="17" t="str">
        <f>_xlfn.XLOOKUP(Table2[[#This Row],[buyFromVendorNo]],'Next Day Scheduled'!A:A,'Pending Returns'!O:O,"NOT_FOUND")</f>
        <v>NOT_FOUND</v>
      </c>
    </row>
    <row r="3590" spans="1:17" x14ac:dyDescent="0.3">
      <c r="A3590" s="1">
        <v>46247</v>
      </c>
      <c r="B3590" t="s">
        <v>642</v>
      </c>
      <c r="C3590" t="s">
        <v>621</v>
      </c>
      <c r="D3590" t="s">
        <v>622</v>
      </c>
      <c r="E3590" t="s">
        <v>8</v>
      </c>
      <c r="F3590" t="s">
        <v>38</v>
      </c>
      <c r="G3590" s="16">
        <v>37.619999999999997</v>
      </c>
      <c r="H3590" s="16">
        <v>43.262999999999998</v>
      </c>
      <c r="J3590">
        <v>12</v>
      </c>
      <c r="K3590" t="s">
        <v>10005</v>
      </c>
      <c r="M3590">
        <v>1</v>
      </c>
      <c r="N3590">
        <v>10</v>
      </c>
      <c r="O3590" t="s">
        <v>216</v>
      </c>
      <c r="P3590" s="17"/>
      <c r="Q3590" s="17" t="str">
        <f>_xlfn.XLOOKUP(Table2[[#This Row],[buyFromVendorNo]],'Next Day Scheduled'!A:A,'Pending Returns'!O:O,"NOT_FOUND")</f>
        <v>NOT_FOUND</v>
      </c>
    </row>
    <row r="3591" spans="1:17" x14ac:dyDescent="0.3">
      <c r="A3591" s="1">
        <v>46247</v>
      </c>
      <c r="B3591" t="s">
        <v>5062</v>
      </c>
      <c r="C3591" t="s">
        <v>512</v>
      </c>
      <c r="D3591" t="s">
        <v>513</v>
      </c>
      <c r="E3591" t="s">
        <v>8</v>
      </c>
      <c r="F3591" t="s">
        <v>10</v>
      </c>
      <c r="G3591" s="16">
        <v>150.37665999999999</v>
      </c>
      <c r="H3591" s="16">
        <v>172.93316999999999</v>
      </c>
      <c r="I3591" s="1">
        <v>46245</v>
      </c>
      <c r="J3591">
        <v>12</v>
      </c>
      <c r="K3591" t="s">
        <v>9563</v>
      </c>
      <c r="L3591" t="s">
        <v>9955</v>
      </c>
      <c r="M3591">
        <v>2</v>
      </c>
      <c r="N3591">
        <v>3</v>
      </c>
      <c r="O3591" t="s">
        <v>1036</v>
      </c>
      <c r="P3591" s="17"/>
      <c r="Q3591" s="17" t="str">
        <f>_xlfn.XLOOKUP(Table2[[#This Row],[buyFromVendorNo]],'Next Day Scheduled'!A:A,'Pending Returns'!O:O,"NOT_FOUND")</f>
        <v>NOT_FOUND</v>
      </c>
    </row>
    <row r="3592" spans="1:17" x14ac:dyDescent="0.3">
      <c r="A3592" s="1">
        <v>46247</v>
      </c>
      <c r="B3592" t="s">
        <v>3715</v>
      </c>
      <c r="C3592" t="s">
        <v>201</v>
      </c>
      <c r="D3592" t="s">
        <v>202</v>
      </c>
      <c r="E3592" t="s">
        <v>8</v>
      </c>
      <c r="F3592" t="s">
        <v>169</v>
      </c>
      <c r="G3592" s="16">
        <v>36.22</v>
      </c>
      <c r="H3592" s="16">
        <v>41.652999999999999</v>
      </c>
      <c r="I3592" s="1">
        <v>46242</v>
      </c>
      <c r="J3592">
        <v>12</v>
      </c>
      <c r="K3592" t="s">
        <v>8886</v>
      </c>
      <c r="L3592" t="s">
        <v>9956</v>
      </c>
      <c r="M3592">
        <v>1</v>
      </c>
      <c r="N3592">
        <v>7</v>
      </c>
      <c r="O3592" t="s">
        <v>1036</v>
      </c>
      <c r="P3592" s="17"/>
      <c r="Q3592" s="17" t="str">
        <f>_xlfn.XLOOKUP(Table2[[#This Row],[buyFromVendorNo]],'Next Day Scheduled'!A:A,'Pending Returns'!O:O,"NOT_FOUND")</f>
        <v>Pending for Collection</v>
      </c>
    </row>
    <row r="3593" spans="1:17" x14ac:dyDescent="0.3">
      <c r="A3593" s="1">
        <v>46247</v>
      </c>
      <c r="B3593" t="s">
        <v>2782</v>
      </c>
      <c r="C3593" t="s">
        <v>7245</v>
      </c>
      <c r="D3593" t="s">
        <v>7246</v>
      </c>
      <c r="E3593" t="s">
        <v>8</v>
      </c>
      <c r="F3593" t="s">
        <v>10</v>
      </c>
      <c r="G3593" s="16">
        <v>1280.2</v>
      </c>
      <c r="H3593" s="16">
        <v>1472.23</v>
      </c>
      <c r="J3593">
        <v>12</v>
      </c>
      <c r="K3593" t="s">
        <v>10028</v>
      </c>
      <c r="M3593">
        <v>0</v>
      </c>
      <c r="N3593">
        <v>164</v>
      </c>
      <c r="O3593" t="s">
        <v>216</v>
      </c>
      <c r="P3593" s="17"/>
      <c r="Q3593" s="17" t="str">
        <f>_xlfn.XLOOKUP(Table2[[#This Row],[buyFromVendorNo]],'Next Day Scheduled'!A:A,'Pending Returns'!O:O,"NOT_FOUND")</f>
        <v>NOT_FOUND</v>
      </c>
    </row>
    <row r="3594" spans="1:17" x14ac:dyDescent="0.3">
      <c r="A3594" s="1">
        <v>46247</v>
      </c>
      <c r="B3594" t="s">
        <v>6389</v>
      </c>
      <c r="C3594" t="s">
        <v>812</v>
      </c>
      <c r="D3594" t="s">
        <v>2394</v>
      </c>
      <c r="E3594" t="s">
        <v>8</v>
      </c>
      <c r="F3594" t="s">
        <v>10</v>
      </c>
      <c r="G3594" s="16">
        <v>60</v>
      </c>
      <c r="H3594" s="16">
        <v>69</v>
      </c>
      <c r="I3594" s="1">
        <v>46243</v>
      </c>
      <c r="J3594">
        <v>12</v>
      </c>
      <c r="K3594" t="s">
        <v>6589</v>
      </c>
      <c r="L3594" t="s">
        <v>9926</v>
      </c>
      <c r="M3594">
        <v>2</v>
      </c>
      <c r="N3594">
        <v>3</v>
      </c>
      <c r="O3594" t="s">
        <v>1036</v>
      </c>
      <c r="P3594" s="17"/>
      <c r="Q3594" s="17" t="str">
        <f>_xlfn.XLOOKUP(Table2[[#This Row],[buyFromVendorNo]],'Next Day Scheduled'!A:A,'Pending Returns'!O:O,"NOT_FOUND")</f>
        <v>NOT_FOUND</v>
      </c>
    </row>
    <row r="3595" spans="1:17" x14ac:dyDescent="0.3">
      <c r="A3595" s="1">
        <v>46247</v>
      </c>
      <c r="B3595" t="s">
        <v>3407</v>
      </c>
      <c r="C3595" t="s">
        <v>102</v>
      </c>
      <c r="D3595" t="s">
        <v>103</v>
      </c>
      <c r="E3595" t="s">
        <v>8</v>
      </c>
      <c r="F3595" t="s">
        <v>10</v>
      </c>
      <c r="G3595" s="16">
        <v>217.75</v>
      </c>
      <c r="H3595" s="16">
        <v>250.41249999999999</v>
      </c>
      <c r="J3595">
        <v>12</v>
      </c>
      <c r="K3595" t="s">
        <v>10046</v>
      </c>
      <c r="M3595">
        <v>0</v>
      </c>
      <c r="N3595">
        <v>330</v>
      </c>
      <c r="O3595" t="s">
        <v>216</v>
      </c>
      <c r="P3595" s="17"/>
      <c r="Q3595" s="17" t="str">
        <f>_xlfn.XLOOKUP(Table2[[#This Row],[buyFromVendorNo]],'Next Day Scheduled'!A:A,'Pending Returns'!O:O,"NOT_FOUND")</f>
        <v>NOT_FOUND</v>
      </c>
    </row>
    <row r="3596" spans="1:17" x14ac:dyDescent="0.3">
      <c r="A3596" s="1">
        <v>46247</v>
      </c>
      <c r="B3596" t="s">
        <v>5911</v>
      </c>
      <c r="C3596" t="s">
        <v>5437</v>
      </c>
      <c r="D3596" t="s">
        <v>5438</v>
      </c>
      <c r="E3596" t="s">
        <v>8</v>
      </c>
      <c r="F3596" t="s">
        <v>10</v>
      </c>
      <c r="G3596" s="16">
        <v>18.478999999999999</v>
      </c>
      <c r="H3596" s="16">
        <v>21.25085</v>
      </c>
      <c r="I3596" s="1">
        <v>46248</v>
      </c>
      <c r="J3596">
        <v>12</v>
      </c>
      <c r="K3596" t="s">
        <v>9850</v>
      </c>
      <c r="L3596" t="s">
        <v>10045</v>
      </c>
      <c r="M3596">
        <v>2</v>
      </c>
      <c r="N3596">
        <v>3</v>
      </c>
      <c r="O3596" t="s">
        <v>223</v>
      </c>
      <c r="P3596" s="17"/>
      <c r="Q3596" s="17" t="str">
        <f>_xlfn.XLOOKUP(Table2[[#This Row],[buyFromVendorNo]],'Next Day Scheduled'!A:A,'Pending Returns'!O:O,"NOT_FOUND")</f>
        <v>NOT_FOUND</v>
      </c>
    </row>
    <row r="3597" spans="1:17" x14ac:dyDescent="0.3">
      <c r="A3597" s="1">
        <v>46247</v>
      </c>
      <c r="B3597" t="s">
        <v>9375</v>
      </c>
      <c r="C3597" t="s">
        <v>36</v>
      </c>
      <c r="D3597" t="s">
        <v>37</v>
      </c>
      <c r="E3597" t="s">
        <v>8</v>
      </c>
      <c r="F3597" t="s">
        <v>10</v>
      </c>
      <c r="G3597" s="16">
        <v>4972.5200000000004</v>
      </c>
      <c r="H3597" s="16">
        <v>5718.3980000000001</v>
      </c>
      <c r="J3597">
        <v>12</v>
      </c>
      <c r="K3597" t="s">
        <v>9962</v>
      </c>
      <c r="M3597">
        <v>2</v>
      </c>
      <c r="N3597">
        <v>3</v>
      </c>
      <c r="O3597" t="s">
        <v>216</v>
      </c>
      <c r="P3597" s="17"/>
      <c r="Q3597" s="17" t="str">
        <f>_xlfn.XLOOKUP(Table2[[#This Row],[buyFromVendorNo]],'Next Day Scheduled'!A:A,'Pending Returns'!O:O,"NOT_FOUND")</f>
        <v>NOT_FOUND</v>
      </c>
    </row>
    <row r="3598" spans="1:17" x14ac:dyDescent="0.3">
      <c r="A3598" s="1">
        <v>46247</v>
      </c>
      <c r="B3598" t="s">
        <v>1467</v>
      </c>
      <c r="C3598" t="s">
        <v>122</v>
      </c>
      <c r="D3598" t="s">
        <v>123</v>
      </c>
      <c r="E3598" t="s">
        <v>8</v>
      </c>
      <c r="F3598" t="s">
        <v>10</v>
      </c>
      <c r="G3598" s="16">
        <v>365</v>
      </c>
      <c r="H3598" s="16">
        <v>419.75</v>
      </c>
      <c r="I3598" s="1">
        <v>46246</v>
      </c>
      <c r="J3598">
        <v>12</v>
      </c>
      <c r="K3598" t="s">
        <v>9575</v>
      </c>
      <c r="L3598" t="s">
        <v>9928</v>
      </c>
      <c r="M3598">
        <v>7</v>
      </c>
      <c r="N3598">
        <v>1</v>
      </c>
      <c r="O3598" t="s">
        <v>1036</v>
      </c>
      <c r="P3598" s="17"/>
      <c r="Q3598" s="17" t="str">
        <f>_xlfn.XLOOKUP(Table2[[#This Row],[buyFromVendorNo]],'Next Day Scheduled'!A:A,'Pending Returns'!O:O,"NOT_FOUND")</f>
        <v>NOT_FOUND</v>
      </c>
    </row>
    <row r="3599" spans="1:17" x14ac:dyDescent="0.3">
      <c r="A3599" s="1">
        <v>46247</v>
      </c>
      <c r="B3599" t="s">
        <v>9375</v>
      </c>
      <c r="C3599" t="s">
        <v>1768</v>
      </c>
      <c r="D3599" t="s">
        <v>1769</v>
      </c>
      <c r="E3599" t="s">
        <v>8</v>
      </c>
      <c r="F3599" t="s">
        <v>10</v>
      </c>
      <c r="G3599" s="16">
        <v>58.597230000000003</v>
      </c>
      <c r="H3599" s="16">
        <v>67.386809999999997</v>
      </c>
      <c r="I3599" s="1">
        <v>46248</v>
      </c>
      <c r="J3599">
        <v>12</v>
      </c>
      <c r="K3599" t="s">
        <v>9823</v>
      </c>
      <c r="L3599" t="s">
        <v>9992</v>
      </c>
      <c r="M3599">
        <v>2</v>
      </c>
      <c r="N3599">
        <v>5</v>
      </c>
      <c r="O3599" t="s">
        <v>223</v>
      </c>
      <c r="P3599" s="17"/>
      <c r="Q3599" s="17" t="str">
        <f>_xlfn.XLOOKUP(Table2[[#This Row],[buyFromVendorNo]],'Next Day Scheduled'!A:A,'Pending Returns'!O:O,"NOT_FOUND")</f>
        <v>NOT_FOUND</v>
      </c>
    </row>
    <row r="3600" spans="1:17" x14ac:dyDescent="0.3">
      <c r="A3600" s="1">
        <v>46247</v>
      </c>
      <c r="B3600" t="s">
        <v>2602</v>
      </c>
      <c r="C3600" t="s">
        <v>1161</v>
      </c>
      <c r="D3600" t="s">
        <v>1162</v>
      </c>
      <c r="E3600" t="s">
        <v>8</v>
      </c>
      <c r="F3600" t="s">
        <v>10</v>
      </c>
      <c r="G3600" s="16">
        <v>2561.12</v>
      </c>
      <c r="H3600" s="16">
        <v>2945.288</v>
      </c>
      <c r="I3600" s="1">
        <v>46246</v>
      </c>
      <c r="J3600">
        <v>12</v>
      </c>
      <c r="K3600" t="s">
        <v>9344</v>
      </c>
      <c r="L3600" t="s">
        <v>9963</v>
      </c>
      <c r="M3600">
        <v>2</v>
      </c>
      <c r="N3600">
        <v>6</v>
      </c>
      <c r="O3600" t="s">
        <v>1036</v>
      </c>
      <c r="P3600" s="17"/>
      <c r="Q3600" s="17" t="str">
        <f>_xlfn.XLOOKUP(Table2[[#This Row],[buyFromVendorNo]],'Next Day Scheduled'!A:A,'Pending Returns'!O:O,"NOT_FOUND")</f>
        <v>NOT_FOUND</v>
      </c>
    </row>
    <row r="3601" spans="1:17" x14ac:dyDescent="0.3">
      <c r="A3601" s="1">
        <v>46247</v>
      </c>
      <c r="B3601" t="s">
        <v>443</v>
      </c>
      <c r="C3601" t="s">
        <v>295</v>
      </c>
      <c r="D3601" t="s">
        <v>345</v>
      </c>
      <c r="E3601" t="s">
        <v>8</v>
      </c>
      <c r="F3601" t="s">
        <v>10</v>
      </c>
      <c r="G3601" s="16">
        <v>22</v>
      </c>
      <c r="H3601" s="16">
        <v>25.3</v>
      </c>
      <c r="J3601">
        <v>12</v>
      </c>
      <c r="K3601" t="s">
        <v>9993</v>
      </c>
      <c r="M3601">
        <v>6</v>
      </c>
      <c r="N3601">
        <v>1</v>
      </c>
      <c r="O3601" t="s">
        <v>216</v>
      </c>
      <c r="P3601" s="17"/>
      <c r="Q3601" s="17" t="str">
        <f>_xlfn.XLOOKUP(Table2[[#This Row],[buyFromVendorNo]],'Next Day Scheduled'!A:A,'Pending Returns'!O:O,"NOT_FOUND")</f>
        <v>NOT_FOUND</v>
      </c>
    </row>
    <row r="3602" spans="1:17" x14ac:dyDescent="0.3">
      <c r="A3602" s="1">
        <v>46247</v>
      </c>
      <c r="B3602" t="s">
        <v>2170</v>
      </c>
      <c r="C3602" t="s">
        <v>1161</v>
      </c>
      <c r="D3602" t="s">
        <v>1162</v>
      </c>
      <c r="E3602" t="s">
        <v>8</v>
      </c>
      <c r="F3602" t="s">
        <v>10</v>
      </c>
      <c r="G3602" s="16">
        <v>5472</v>
      </c>
      <c r="H3602" s="16">
        <v>6292.8</v>
      </c>
      <c r="I3602" s="1">
        <v>46246</v>
      </c>
      <c r="J3602">
        <v>12</v>
      </c>
      <c r="K3602" t="s">
        <v>9373</v>
      </c>
      <c r="L3602" t="s">
        <v>9930</v>
      </c>
      <c r="M3602">
        <v>2</v>
      </c>
      <c r="N3602">
        <v>6</v>
      </c>
      <c r="O3602" t="s">
        <v>1036</v>
      </c>
      <c r="P3602" s="17"/>
      <c r="Q3602" s="17" t="str">
        <f>_xlfn.XLOOKUP(Table2[[#This Row],[buyFromVendorNo]],'Next Day Scheduled'!A:A,'Pending Returns'!O:O,"NOT_FOUND")</f>
        <v>NOT_FOUND</v>
      </c>
    </row>
    <row r="3603" spans="1:17" x14ac:dyDescent="0.3">
      <c r="A3603" s="1">
        <v>46247</v>
      </c>
      <c r="B3603" t="s">
        <v>642</v>
      </c>
      <c r="C3603" t="s">
        <v>418</v>
      </c>
      <c r="D3603" t="s">
        <v>419</v>
      </c>
      <c r="E3603" t="s">
        <v>8</v>
      </c>
      <c r="F3603" t="s">
        <v>38</v>
      </c>
      <c r="G3603" s="16">
        <v>379</v>
      </c>
      <c r="H3603" s="16">
        <v>435.85</v>
      </c>
      <c r="I3603" s="1">
        <v>46246</v>
      </c>
      <c r="J3603">
        <v>12</v>
      </c>
      <c r="K3603" t="s">
        <v>9824</v>
      </c>
      <c r="L3603" t="s">
        <v>9994</v>
      </c>
      <c r="M3603">
        <v>1</v>
      </c>
      <c r="N3603">
        <v>6</v>
      </c>
      <c r="O3603" t="s">
        <v>1036</v>
      </c>
      <c r="P3603" s="17"/>
      <c r="Q3603" s="17" t="str">
        <f>_xlfn.XLOOKUP(Table2[[#This Row],[buyFromVendorNo]],'Next Day Scheduled'!A:A,'Pending Returns'!O:O,"NOT_FOUND")</f>
        <v>NOT_FOUND</v>
      </c>
    </row>
    <row r="3604" spans="1:17" x14ac:dyDescent="0.3">
      <c r="A3604" s="1">
        <v>46247</v>
      </c>
      <c r="B3604" t="s">
        <v>3294</v>
      </c>
      <c r="C3604" t="s">
        <v>8372</v>
      </c>
      <c r="D3604" t="s">
        <v>8373</v>
      </c>
      <c r="E3604" t="s">
        <v>8</v>
      </c>
      <c r="F3604" t="s">
        <v>10</v>
      </c>
      <c r="G3604" s="16">
        <v>62</v>
      </c>
      <c r="H3604" s="16">
        <v>71.3</v>
      </c>
      <c r="J3604">
        <v>12</v>
      </c>
      <c r="K3604" t="s">
        <v>9996</v>
      </c>
      <c r="M3604">
        <v>0</v>
      </c>
      <c r="N3604">
        <v>30</v>
      </c>
      <c r="O3604" t="s">
        <v>216</v>
      </c>
      <c r="P3604" s="17"/>
      <c r="Q3604" s="17" t="str">
        <f>_xlfn.XLOOKUP(Table2[[#This Row],[buyFromVendorNo]],'Next Day Scheduled'!A:A,'Pending Returns'!O:O,"NOT_FOUND")</f>
        <v>NOT_FOUND</v>
      </c>
    </row>
    <row r="3605" spans="1:17" x14ac:dyDescent="0.3">
      <c r="A3605" s="1">
        <v>46247</v>
      </c>
      <c r="B3605" t="s">
        <v>2704</v>
      </c>
      <c r="C3605" t="s">
        <v>1161</v>
      </c>
      <c r="D3605" t="s">
        <v>1162</v>
      </c>
      <c r="E3605" t="s">
        <v>8</v>
      </c>
      <c r="F3605" t="s">
        <v>10</v>
      </c>
      <c r="G3605" s="16">
        <v>7184.58</v>
      </c>
      <c r="H3605" s="16">
        <v>8262.2669999999998</v>
      </c>
      <c r="I3605" s="1">
        <v>46246</v>
      </c>
      <c r="J3605">
        <v>12</v>
      </c>
      <c r="K3605" t="s">
        <v>9780</v>
      </c>
      <c r="L3605" t="s">
        <v>9964</v>
      </c>
      <c r="M3605">
        <v>2</v>
      </c>
      <c r="N3605">
        <v>6</v>
      </c>
      <c r="O3605" t="s">
        <v>1036</v>
      </c>
      <c r="P3605" s="17"/>
      <c r="Q3605" s="17" t="str">
        <f>_xlfn.XLOOKUP(Table2[[#This Row],[buyFromVendorNo]],'Next Day Scheduled'!A:A,'Pending Returns'!O:O,"NOT_FOUND")</f>
        <v>NOT_FOUND</v>
      </c>
    </row>
    <row r="3606" spans="1:17" x14ac:dyDescent="0.3">
      <c r="A3606" s="1">
        <v>46247</v>
      </c>
      <c r="B3606" t="s">
        <v>551</v>
      </c>
      <c r="C3606" t="s">
        <v>571</v>
      </c>
      <c r="D3606" t="s">
        <v>572</v>
      </c>
      <c r="E3606" t="s">
        <v>8</v>
      </c>
      <c r="F3606" t="s">
        <v>10</v>
      </c>
      <c r="G3606" s="16">
        <v>12.5</v>
      </c>
      <c r="H3606" s="16">
        <v>14.375</v>
      </c>
      <c r="J3606">
        <v>12</v>
      </c>
      <c r="K3606" t="s">
        <v>9975</v>
      </c>
      <c r="M3606">
        <v>2</v>
      </c>
      <c r="N3606">
        <v>0</v>
      </c>
      <c r="O3606" t="s">
        <v>216</v>
      </c>
      <c r="P3606" s="17"/>
      <c r="Q3606" s="17" t="str">
        <f>_xlfn.XLOOKUP(Table2[[#This Row],[buyFromVendorNo]],'Next Day Scheduled'!A:A,'Pending Returns'!O:O,"NOT_FOUND")</f>
        <v>Posted Credit Note</v>
      </c>
    </row>
    <row r="3607" spans="1:17" x14ac:dyDescent="0.3">
      <c r="A3607" s="1">
        <v>46247</v>
      </c>
      <c r="B3607" t="s">
        <v>2522</v>
      </c>
      <c r="C3607" t="s">
        <v>422</v>
      </c>
      <c r="D3607" t="s">
        <v>490</v>
      </c>
      <c r="E3607" t="s">
        <v>8</v>
      </c>
      <c r="F3607" t="s">
        <v>10</v>
      </c>
      <c r="G3607" s="16">
        <v>391.43261999999999</v>
      </c>
      <c r="H3607" s="16">
        <v>450.14749999999998</v>
      </c>
      <c r="I3607" s="1">
        <v>46243</v>
      </c>
      <c r="J3607">
        <v>12</v>
      </c>
      <c r="K3607" t="s">
        <v>8673</v>
      </c>
      <c r="L3607" t="s">
        <v>9932</v>
      </c>
      <c r="M3607">
        <v>2</v>
      </c>
      <c r="N3607">
        <v>3</v>
      </c>
      <c r="O3607" t="s">
        <v>1036</v>
      </c>
      <c r="P3607" s="17"/>
      <c r="Q3607" s="17" t="str">
        <f>_xlfn.XLOOKUP(Table2[[#This Row],[buyFromVendorNo]],'Next Day Scheduled'!A:A,'Pending Returns'!O:O,"NOT_FOUND")</f>
        <v>NOT_FOUND</v>
      </c>
    </row>
    <row r="3608" spans="1:17" x14ac:dyDescent="0.3">
      <c r="A3608" s="1">
        <v>46247</v>
      </c>
      <c r="B3608" t="s">
        <v>2178</v>
      </c>
      <c r="C3608" t="s">
        <v>1161</v>
      </c>
      <c r="D3608" t="s">
        <v>1162</v>
      </c>
      <c r="E3608" t="s">
        <v>8</v>
      </c>
      <c r="F3608" t="s">
        <v>10</v>
      </c>
      <c r="G3608" s="16">
        <v>5472</v>
      </c>
      <c r="H3608" s="16">
        <v>6292.8</v>
      </c>
      <c r="I3608" s="1">
        <v>46246</v>
      </c>
      <c r="J3608">
        <v>12</v>
      </c>
      <c r="K3608" t="s">
        <v>9379</v>
      </c>
      <c r="L3608" t="s">
        <v>9950</v>
      </c>
      <c r="M3608">
        <v>2</v>
      </c>
      <c r="N3608">
        <v>6</v>
      </c>
      <c r="O3608" t="s">
        <v>1036</v>
      </c>
      <c r="P3608" s="17"/>
      <c r="Q3608" s="17" t="str">
        <f>_xlfn.XLOOKUP(Table2[[#This Row],[buyFromVendorNo]],'Next Day Scheduled'!A:A,'Pending Returns'!O:O,"NOT_FOUND")</f>
        <v>NOT_FOUND</v>
      </c>
    </row>
    <row r="3609" spans="1:17" x14ac:dyDescent="0.3">
      <c r="A3609" s="1">
        <v>46247</v>
      </c>
      <c r="B3609" t="s">
        <v>3375</v>
      </c>
      <c r="C3609" t="s">
        <v>2963</v>
      </c>
      <c r="D3609" t="s">
        <v>2964</v>
      </c>
      <c r="E3609" t="s">
        <v>8</v>
      </c>
      <c r="F3609" t="s">
        <v>10</v>
      </c>
      <c r="G3609" s="16">
        <v>128.65</v>
      </c>
      <c r="H3609" s="16">
        <v>147.94749999999999</v>
      </c>
      <c r="J3609">
        <v>12</v>
      </c>
      <c r="K3609" t="s">
        <v>9979</v>
      </c>
      <c r="M3609">
        <v>0</v>
      </c>
      <c r="N3609">
        <v>184</v>
      </c>
      <c r="O3609" t="s">
        <v>216</v>
      </c>
      <c r="P3609" s="17"/>
      <c r="Q3609" s="17" t="str">
        <f>_xlfn.XLOOKUP(Table2[[#This Row],[buyFromVendorNo]],'Next Day Scheduled'!A:A,'Pending Returns'!O:O,"NOT_FOUND")</f>
        <v>NOT_FOUND</v>
      </c>
    </row>
    <row r="3610" spans="1:17" x14ac:dyDescent="0.3">
      <c r="A3610" s="1">
        <v>46247</v>
      </c>
      <c r="B3610" t="s">
        <v>5492</v>
      </c>
      <c r="C3610" t="s">
        <v>494</v>
      </c>
      <c r="D3610" t="s">
        <v>495</v>
      </c>
      <c r="E3610" t="s">
        <v>8</v>
      </c>
      <c r="F3610" t="s">
        <v>10</v>
      </c>
      <c r="G3610" s="16">
        <v>447.78</v>
      </c>
      <c r="H3610" s="16">
        <v>514.947</v>
      </c>
      <c r="J3610">
        <v>12</v>
      </c>
      <c r="K3610" t="s">
        <v>9980</v>
      </c>
      <c r="M3610">
        <v>2</v>
      </c>
      <c r="N3610">
        <v>7</v>
      </c>
      <c r="O3610" t="s">
        <v>216</v>
      </c>
      <c r="P3610" s="17"/>
      <c r="Q3610" s="17" t="str">
        <f>_xlfn.XLOOKUP(Table2[[#This Row],[buyFromVendorNo]],'Next Day Scheduled'!A:A,'Pending Returns'!O:O,"NOT_FOUND")</f>
        <v>Posted Credit Note</v>
      </c>
    </row>
    <row r="3611" spans="1:17" x14ac:dyDescent="0.3">
      <c r="A3611" s="1">
        <v>46247</v>
      </c>
      <c r="B3611" t="s">
        <v>10016</v>
      </c>
      <c r="C3611" t="s">
        <v>2943</v>
      </c>
      <c r="D3611" t="s">
        <v>2944</v>
      </c>
      <c r="E3611" t="s">
        <v>8</v>
      </c>
      <c r="F3611" t="s">
        <v>10</v>
      </c>
      <c r="G3611" s="16">
        <v>594.75</v>
      </c>
      <c r="H3611" s="16">
        <v>683.96249999999998</v>
      </c>
      <c r="J3611">
        <v>12</v>
      </c>
      <c r="K3611" t="s">
        <v>10017</v>
      </c>
      <c r="M3611">
        <v>1</v>
      </c>
      <c r="N3611">
        <v>9</v>
      </c>
      <c r="O3611" t="s">
        <v>216</v>
      </c>
      <c r="P3611" s="17"/>
      <c r="Q3611" s="17" t="str">
        <f>_xlfn.XLOOKUP(Table2[[#This Row],[buyFromVendorNo]],'Next Day Scheduled'!A:A,'Pending Returns'!O:O,"NOT_FOUND")</f>
        <v>NOT_FOUND</v>
      </c>
    </row>
    <row r="3612" spans="1:17" x14ac:dyDescent="0.3">
      <c r="A3612" s="1">
        <v>46247</v>
      </c>
      <c r="B3612" t="s">
        <v>2696</v>
      </c>
      <c r="C3612" t="s">
        <v>104</v>
      </c>
      <c r="D3612" t="s">
        <v>105</v>
      </c>
      <c r="E3612" t="s">
        <v>8</v>
      </c>
      <c r="F3612" t="s">
        <v>10</v>
      </c>
      <c r="G3612" s="16">
        <v>272.8066</v>
      </c>
      <c r="H3612" s="16">
        <v>313.7276</v>
      </c>
      <c r="J3612">
        <v>12</v>
      </c>
      <c r="K3612" t="s">
        <v>10018</v>
      </c>
      <c r="M3612">
        <v>1</v>
      </c>
      <c r="N3612">
        <v>6</v>
      </c>
      <c r="O3612" t="s">
        <v>216</v>
      </c>
      <c r="P3612" s="17"/>
      <c r="Q3612" s="17" t="str">
        <f>_xlfn.XLOOKUP(Table2[[#This Row],[buyFromVendorNo]],'Next Day Scheduled'!A:A,'Pending Returns'!O:O,"NOT_FOUND")</f>
        <v>NOT_FOUND</v>
      </c>
    </row>
    <row r="3613" spans="1:17" x14ac:dyDescent="0.3">
      <c r="A3613" s="1">
        <v>46247</v>
      </c>
      <c r="B3613" t="s">
        <v>9375</v>
      </c>
      <c r="C3613" t="s">
        <v>1161</v>
      </c>
      <c r="D3613" t="s">
        <v>1162</v>
      </c>
      <c r="E3613" t="s">
        <v>8</v>
      </c>
      <c r="F3613" t="s">
        <v>10</v>
      </c>
      <c r="G3613" s="16">
        <v>5472</v>
      </c>
      <c r="H3613" s="16">
        <v>6292.8</v>
      </c>
      <c r="I3613" s="1">
        <v>46246</v>
      </c>
      <c r="J3613">
        <v>12</v>
      </c>
      <c r="K3613" t="s">
        <v>9376</v>
      </c>
      <c r="L3613" t="s">
        <v>9925</v>
      </c>
      <c r="M3613">
        <v>2</v>
      </c>
      <c r="N3613">
        <v>6</v>
      </c>
      <c r="O3613" t="s">
        <v>1036</v>
      </c>
      <c r="P3613" s="17"/>
      <c r="Q3613" s="17" t="str">
        <f>_xlfn.XLOOKUP(Table2[[#This Row],[buyFromVendorNo]],'Next Day Scheduled'!A:A,'Pending Returns'!O:O,"NOT_FOUND")</f>
        <v>NOT_FOUND</v>
      </c>
    </row>
    <row r="3614" spans="1:17" x14ac:dyDescent="0.3">
      <c r="A3614" s="1">
        <v>46247</v>
      </c>
      <c r="B3614" t="s">
        <v>8716</v>
      </c>
      <c r="C3614" t="s">
        <v>512</v>
      </c>
      <c r="D3614" t="s">
        <v>513</v>
      </c>
      <c r="E3614" t="s">
        <v>8</v>
      </c>
      <c r="F3614" t="s">
        <v>10</v>
      </c>
      <c r="G3614" s="16">
        <v>230.95667</v>
      </c>
      <c r="H3614" s="16">
        <v>265.60016000000002</v>
      </c>
      <c r="I3614" s="1">
        <v>46245</v>
      </c>
      <c r="J3614">
        <v>12</v>
      </c>
      <c r="K3614" t="s">
        <v>8695</v>
      </c>
      <c r="L3614" t="s">
        <v>9935</v>
      </c>
      <c r="M3614">
        <v>2</v>
      </c>
      <c r="N3614">
        <v>3</v>
      </c>
      <c r="O3614" t="s">
        <v>1036</v>
      </c>
      <c r="P3614" s="17"/>
      <c r="Q3614" s="17" t="str">
        <f>_xlfn.XLOOKUP(Table2[[#This Row],[buyFromVendorNo]],'Next Day Scheduled'!A:A,'Pending Returns'!O:O,"NOT_FOUND")</f>
        <v>NOT_FOUND</v>
      </c>
    </row>
    <row r="3615" spans="1:17" x14ac:dyDescent="0.3">
      <c r="A3615" s="1">
        <v>46247</v>
      </c>
      <c r="B3615" t="s">
        <v>5911</v>
      </c>
      <c r="C3615" t="s">
        <v>512</v>
      </c>
      <c r="D3615" t="s">
        <v>513</v>
      </c>
      <c r="E3615" t="s">
        <v>8</v>
      </c>
      <c r="F3615" t="s">
        <v>10</v>
      </c>
      <c r="G3615" s="16">
        <v>464.52</v>
      </c>
      <c r="H3615" s="16">
        <v>534.19799999999998</v>
      </c>
      <c r="I3615" s="1">
        <v>46245</v>
      </c>
      <c r="J3615">
        <v>12</v>
      </c>
      <c r="K3615" t="s">
        <v>8379</v>
      </c>
      <c r="L3615" t="s">
        <v>9952</v>
      </c>
      <c r="M3615">
        <v>2</v>
      </c>
      <c r="N3615">
        <v>3</v>
      </c>
      <c r="O3615" t="s">
        <v>1036</v>
      </c>
      <c r="P3615" s="17"/>
      <c r="Q3615" s="17" t="str">
        <f>_xlfn.XLOOKUP(Table2[[#This Row],[buyFromVendorNo]],'Next Day Scheduled'!A:A,'Pending Returns'!O:O,"NOT_FOUND")</f>
        <v>NOT_FOUND</v>
      </c>
    </row>
    <row r="3616" spans="1:17" x14ac:dyDescent="0.3">
      <c r="A3616" s="1">
        <v>46247</v>
      </c>
      <c r="B3616" t="s">
        <v>10019</v>
      </c>
      <c r="C3616" t="s">
        <v>49</v>
      </c>
      <c r="D3616" t="s">
        <v>50</v>
      </c>
      <c r="E3616" t="s">
        <v>8</v>
      </c>
      <c r="F3616" t="s">
        <v>10</v>
      </c>
      <c r="G3616" s="16">
        <v>1007.32</v>
      </c>
      <c r="H3616" s="16">
        <v>1158.4179999999999</v>
      </c>
      <c r="J3616">
        <v>12</v>
      </c>
      <c r="K3616" t="s">
        <v>10020</v>
      </c>
      <c r="M3616">
        <v>0</v>
      </c>
      <c r="N3616">
        <v>15</v>
      </c>
      <c r="O3616" t="s">
        <v>216</v>
      </c>
      <c r="P3616" s="17"/>
      <c r="Q3616" s="17" t="str">
        <f>_xlfn.XLOOKUP(Table2[[#This Row],[buyFromVendorNo]],'Next Day Scheduled'!A:A,'Pending Returns'!O:O,"NOT_FOUND")</f>
        <v>NOT_FOUND</v>
      </c>
    </row>
    <row r="3617" spans="1:17" x14ac:dyDescent="0.3">
      <c r="A3617" s="1">
        <v>46247</v>
      </c>
      <c r="B3617" t="s">
        <v>2531</v>
      </c>
      <c r="C3617" t="s">
        <v>57</v>
      </c>
      <c r="D3617" t="s">
        <v>58</v>
      </c>
      <c r="E3617" t="s">
        <v>8</v>
      </c>
      <c r="F3617" t="s">
        <v>10</v>
      </c>
      <c r="G3617" s="16">
        <v>969.32</v>
      </c>
      <c r="H3617" s="16">
        <v>1114.7180000000001</v>
      </c>
      <c r="I3617" s="1">
        <v>46246</v>
      </c>
      <c r="J3617">
        <v>12</v>
      </c>
      <c r="K3617" t="s">
        <v>9087</v>
      </c>
      <c r="L3617" t="s">
        <v>9937</v>
      </c>
      <c r="M3617">
        <v>1</v>
      </c>
      <c r="N3617">
        <v>8</v>
      </c>
      <c r="O3617" t="s">
        <v>1036</v>
      </c>
      <c r="P3617" s="17"/>
      <c r="Q3617" s="17" t="str">
        <f>_xlfn.XLOOKUP(Table2[[#This Row],[buyFromVendorNo]],'Next Day Scheduled'!A:A,'Pending Returns'!O:O,"NOT_FOUND")</f>
        <v>Posted Credit Note</v>
      </c>
    </row>
    <row r="3618" spans="1:17" x14ac:dyDescent="0.3">
      <c r="A3618" s="1">
        <v>46247</v>
      </c>
      <c r="B3618" t="s">
        <v>2573</v>
      </c>
      <c r="C3618" t="s">
        <v>1161</v>
      </c>
      <c r="D3618" t="s">
        <v>1162</v>
      </c>
      <c r="E3618" t="s">
        <v>8</v>
      </c>
      <c r="F3618" t="s">
        <v>10</v>
      </c>
      <c r="G3618" s="16">
        <v>3685.66</v>
      </c>
      <c r="H3618" s="16">
        <v>4238.509</v>
      </c>
      <c r="I3618" s="1">
        <v>46246</v>
      </c>
      <c r="J3618">
        <v>12</v>
      </c>
      <c r="K3618" t="s">
        <v>9446</v>
      </c>
      <c r="L3618" t="s">
        <v>9939</v>
      </c>
      <c r="M3618">
        <v>2</v>
      </c>
      <c r="N3618">
        <v>6</v>
      </c>
      <c r="O3618" t="s">
        <v>1036</v>
      </c>
      <c r="P3618" s="17"/>
      <c r="Q3618" s="17" t="str">
        <f>_xlfn.XLOOKUP(Table2[[#This Row],[buyFromVendorNo]],'Next Day Scheduled'!A:A,'Pending Returns'!O:O,"NOT_FOUND")</f>
        <v>NOT_FOUND</v>
      </c>
    </row>
    <row r="3619" spans="1:17" x14ac:dyDescent="0.3">
      <c r="A3619" s="1">
        <v>46247</v>
      </c>
      <c r="B3619" t="s">
        <v>5609</v>
      </c>
      <c r="C3619" t="s">
        <v>6373</v>
      </c>
      <c r="D3619" t="s">
        <v>6374</v>
      </c>
      <c r="E3619" t="s">
        <v>8</v>
      </c>
      <c r="F3619" t="s">
        <v>169</v>
      </c>
      <c r="G3619" s="16">
        <v>106.39</v>
      </c>
      <c r="H3619" s="16">
        <v>122.3485</v>
      </c>
      <c r="I3619" s="1">
        <v>46247</v>
      </c>
      <c r="J3619">
        <v>12</v>
      </c>
      <c r="K3619" t="s">
        <v>9336</v>
      </c>
      <c r="L3619" t="s">
        <v>10006</v>
      </c>
      <c r="M3619">
        <v>2</v>
      </c>
      <c r="N3619">
        <v>3</v>
      </c>
      <c r="O3619" t="s">
        <v>223</v>
      </c>
      <c r="P3619" s="17"/>
      <c r="Q3619" s="17" t="str">
        <f>_xlfn.XLOOKUP(Table2[[#This Row],[buyFromVendorNo]],'Next Day Scheduled'!A:A,'Pending Returns'!O:O,"NOT_FOUND")</f>
        <v>NOT_FOUND</v>
      </c>
    </row>
    <row r="3620" spans="1:17" x14ac:dyDescent="0.3">
      <c r="A3620" s="1">
        <v>46247</v>
      </c>
      <c r="B3620" t="s">
        <v>2640</v>
      </c>
      <c r="C3620" t="s">
        <v>69</v>
      </c>
      <c r="D3620" t="s">
        <v>70</v>
      </c>
      <c r="E3620" t="s">
        <v>8</v>
      </c>
      <c r="F3620" t="s">
        <v>10</v>
      </c>
      <c r="G3620" s="16">
        <v>5557.48</v>
      </c>
      <c r="H3620" s="16">
        <v>6391.1019999999999</v>
      </c>
      <c r="J3620">
        <v>12</v>
      </c>
      <c r="K3620" t="s">
        <v>9957</v>
      </c>
      <c r="M3620">
        <v>12</v>
      </c>
      <c r="N3620">
        <v>1</v>
      </c>
      <c r="O3620" t="s">
        <v>216</v>
      </c>
      <c r="P3620" s="17"/>
      <c r="Q3620" s="17" t="str">
        <f>_xlfn.XLOOKUP(Table2[[#This Row],[buyFromVendorNo]],'Next Day Scheduled'!A:A,'Pending Returns'!O:O,"NOT_FOUND")</f>
        <v>Posted Credit Note</v>
      </c>
    </row>
    <row r="3621" spans="1:17" x14ac:dyDescent="0.3">
      <c r="A3621" s="1">
        <v>46247</v>
      </c>
      <c r="B3621" t="s">
        <v>2737</v>
      </c>
      <c r="C3621" t="s">
        <v>1161</v>
      </c>
      <c r="D3621" t="s">
        <v>1162</v>
      </c>
      <c r="E3621" t="s">
        <v>8</v>
      </c>
      <c r="F3621" t="s">
        <v>10</v>
      </c>
      <c r="G3621" s="16">
        <v>5472</v>
      </c>
      <c r="H3621" s="16">
        <v>6292.8</v>
      </c>
      <c r="I3621" s="1">
        <v>46246</v>
      </c>
      <c r="J3621">
        <v>12</v>
      </c>
      <c r="K3621" t="s">
        <v>9381</v>
      </c>
      <c r="L3621" t="s">
        <v>9944</v>
      </c>
      <c r="M3621">
        <v>2</v>
      </c>
      <c r="N3621">
        <v>6</v>
      </c>
      <c r="O3621" t="s">
        <v>1036</v>
      </c>
      <c r="P3621" s="17"/>
      <c r="Q3621" s="17" t="str">
        <f>_xlfn.XLOOKUP(Table2[[#This Row],[buyFromVendorNo]],'Next Day Scheduled'!A:A,'Pending Returns'!O:O,"NOT_FOUND")</f>
        <v>NOT_FOUND</v>
      </c>
    </row>
    <row r="3622" spans="1:17" x14ac:dyDescent="0.3">
      <c r="A3622" s="1">
        <v>46247</v>
      </c>
      <c r="B3622" t="s">
        <v>393</v>
      </c>
      <c r="C3622" t="s">
        <v>832</v>
      </c>
      <c r="D3622" t="s">
        <v>833</v>
      </c>
      <c r="E3622" t="s">
        <v>8</v>
      </c>
      <c r="F3622" t="s">
        <v>38</v>
      </c>
      <c r="G3622" s="16">
        <v>4732.45</v>
      </c>
      <c r="H3622" s="16">
        <v>5442.3173999999999</v>
      </c>
      <c r="I3622" s="1">
        <v>46245</v>
      </c>
      <c r="J3622">
        <v>12</v>
      </c>
      <c r="K3622" t="s">
        <v>5540</v>
      </c>
      <c r="L3622" t="s">
        <v>9929</v>
      </c>
      <c r="M3622">
        <v>0</v>
      </c>
      <c r="N3622">
        <v>76</v>
      </c>
      <c r="O3622" t="s">
        <v>1036</v>
      </c>
      <c r="P3622" s="17"/>
      <c r="Q3622" s="17" t="str">
        <f>_xlfn.XLOOKUP(Table2[[#This Row],[buyFromVendorNo]],'Next Day Scheduled'!A:A,'Pending Returns'!O:O,"NOT_FOUND")</f>
        <v>NOT_FOUND</v>
      </c>
    </row>
    <row r="3623" spans="1:17" x14ac:dyDescent="0.3">
      <c r="A3623" s="1">
        <v>46247</v>
      </c>
      <c r="B3623" t="s">
        <v>2131</v>
      </c>
      <c r="C3623" t="s">
        <v>832</v>
      </c>
      <c r="D3623" t="s">
        <v>833</v>
      </c>
      <c r="E3623" t="s">
        <v>8</v>
      </c>
      <c r="F3623" t="s">
        <v>38</v>
      </c>
      <c r="G3623" s="16">
        <v>7512.59</v>
      </c>
      <c r="H3623" s="16">
        <v>8639.4789999999994</v>
      </c>
      <c r="I3623" s="1">
        <v>46245</v>
      </c>
      <c r="J3623">
        <v>12</v>
      </c>
      <c r="K3623" t="s">
        <v>6234</v>
      </c>
      <c r="L3623" t="s">
        <v>9931</v>
      </c>
      <c r="M3623">
        <v>0</v>
      </c>
      <c r="N3623">
        <v>76</v>
      </c>
      <c r="O3623" t="s">
        <v>1036</v>
      </c>
      <c r="P3623" s="17"/>
      <c r="Q3623" s="17" t="str">
        <f>_xlfn.XLOOKUP(Table2[[#This Row],[buyFromVendorNo]],'Next Day Scheduled'!A:A,'Pending Returns'!O:O,"NOT_FOUND")</f>
        <v>NOT_FOUND</v>
      </c>
    </row>
    <row r="3624" spans="1:17" x14ac:dyDescent="0.3">
      <c r="A3624" s="1">
        <v>46247</v>
      </c>
      <c r="B3624" t="s">
        <v>4904</v>
      </c>
      <c r="C3624" t="s">
        <v>2269</v>
      </c>
      <c r="D3624" t="s">
        <v>2270</v>
      </c>
      <c r="E3624" t="s">
        <v>8</v>
      </c>
      <c r="F3624" t="s">
        <v>10</v>
      </c>
      <c r="G3624" s="16">
        <v>443.93270000000001</v>
      </c>
      <c r="H3624" s="16">
        <v>510.52260000000001</v>
      </c>
      <c r="I3624" s="1">
        <v>46247</v>
      </c>
      <c r="J3624">
        <v>12</v>
      </c>
      <c r="K3624" t="s">
        <v>9498</v>
      </c>
      <c r="L3624" t="s">
        <v>9998</v>
      </c>
      <c r="M3624">
        <v>0</v>
      </c>
      <c r="N3624">
        <v>64</v>
      </c>
      <c r="O3624" t="s">
        <v>223</v>
      </c>
      <c r="P3624" s="17"/>
      <c r="Q3624" s="17" t="str">
        <f>_xlfn.XLOOKUP(Table2[[#This Row],[buyFromVendorNo]],'Next Day Scheduled'!A:A,'Pending Returns'!O:O,"NOT_FOUND")</f>
        <v>NOT_FOUND</v>
      </c>
    </row>
    <row r="3625" spans="1:17" x14ac:dyDescent="0.3">
      <c r="A3625" s="1">
        <v>46247</v>
      </c>
      <c r="B3625" t="s">
        <v>7807</v>
      </c>
      <c r="C3625" t="s">
        <v>122</v>
      </c>
      <c r="D3625" t="s">
        <v>123</v>
      </c>
      <c r="E3625" t="s">
        <v>8</v>
      </c>
      <c r="F3625" t="s">
        <v>10</v>
      </c>
      <c r="G3625" s="16">
        <v>418.5</v>
      </c>
      <c r="H3625" s="16">
        <v>481.27499999999998</v>
      </c>
      <c r="I3625" s="1">
        <v>46246</v>
      </c>
      <c r="J3625">
        <v>12</v>
      </c>
      <c r="K3625" t="s">
        <v>8953</v>
      </c>
      <c r="L3625" t="s">
        <v>9913</v>
      </c>
      <c r="M3625">
        <v>7</v>
      </c>
      <c r="N3625">
        <v>1</v>
      </c>
      <c r="O3625" t="s">
        <v>1036</v>
      </c>
      <c r="P3625" s="17"/>
      <c r="Q3625" s="17" t="str">
        <f>_xlfn.XLOOKUP(Table2[[#This Row],[buyFromVendorNo]],'Next Day Scheduled'!A:A,'Pending Returns'!O:O,"NOT_FOUND")</f>
        <v>NOT_FOUND</v>
      </c>
    </row>
    <row r="3626" spans="1:17" x14ac:dyDescent="0.3">
      <c r="A3626" s="1">
        <v>46247</v>
      </c>
      <c r="B3626" t="s">
        <v>6388</v>
      </c>
      <c r="C3626" t="s">
        <v>2269</v>
      </c>
      <c r="D3626" t="s">
        <v>2270</v>
      </c>
      <c r="E3626" t="s">
        <v>8</v>
      </c>
      <c r="F3626" t="s">
        <v>10</v>
      </c>
      <c r="G3626" s="16">
        <v>156.74985000000001</v>
      </c>
      <c r="H3626" s="16">
        <v>180.26231000000001</v>
      </c>
      <c r="I3626" s="1">
        <v>46247</v>
      </c>
      <c r="J3626">
        <v>12</v>
      </c>
      <c r="K3626" t="s">
        <v>8097</v>
      </c>
      <c r="L3626" t="s">
        <v>9977</v>
      </c>
      <c r="M3626">
        <v>0</v>
      </c>
      <c r="N3626">
        <v>64</v>
      </c>
      <c r="O3626" t="s">
        <v>223</v>
      </c>
      <c r="P3626" s="17"/>
      <c r="Q3626" s="17" t="str">
        <f>_xlfn.XLOOKUP(Table2[[#This Row],[buyFromVendorNo]],'Next Day Scheduled'!A:A,'Pending Returns'!O:O,"NOT_FOUND")</f>
        <v>NOT_FOUND</v>
      </c>
    </row>
    <row r="3627" spans="1:17" x14ac:dyDescent="0.3">
      <c r="A3627" s="1">
        <v>46247</v>
      </c>
      <c r="B3627" t="s">
        <v>2102</v>
      </c>
      <c r="C3627" t="s">
        <v>832</v>
      </c>
      <c r="D3627" t="s">
        <v>833</v>
      </c>
      <c r="E3627" t="s">
        <v>8</v>
      </c>
      <c r="F3627" t="s">
        <v>38</v>
      </c>
      <c r="G3627" s="16">
        <v>262.14999999999998</v>
      </c>
      <c r="H3627" s="16">
        <v>301.47250000000003</v>
      </c>
      <c r="I3627" s="1">
        <v>46245</v>
      </c>
      <c r="J3627">
        <v>12</v>
      </c>
      <c r="K3627" t="s">
        <v>6741</v>
      </c>
      <c r="L3627" t="s">
        <v>9933</v>
      </c>
      <c r="M3627">
        <v>0</v>
      </c>
      <c r="N3627">
        <v>76</v>
      </c>
      <c r="O3627" t="s">
        <v>1036</v>
      </c>
      <c r="P3627" s="17"/>
      <c r="Q3627" s="17" t="str">
        <f>_xlfn.XLOOKUP(Table2[[#This Row],[buyFromVendorNo]],'Next Day Scheduled'!A:A,'Pending Returns'!O:O,"NOT_FOUND")</f>
        <v>NOT_FOUND</v>
      </c>
    </row>
    <row r="3628" spans="1:17" x14ac:dyDescent="0.3">
      <c r="A3628" s="1">
        <v>46247</v>
      </c>
      <c r="B3628" t="s">
        <v>5081</v>
      </c>
      <c r="C3628" t="s">
        <v>3056</v>
      </c>
      <c r="D3628" t="s">
        <v>3057</v>
      </c>
      <c r="E3628" t="s">
        <v>8</v>
      </c>
      <c r="F3628" t="s">
        <v>10</v>
      </c>
      <c r="G3628" s="16">
        <v>39</v>
      </c>
      <c r="H3628" s="16">
        <v>44.85</v>
      </c>
      <c r="J3628">
        <v>12</v>
      </c>
      <c r="K3628" t="s">
        <v>10014</v>
      </c>
      <c r="M3628">
        <v>1</v>
      </c>
      <c r="N3628">
        <v>9</v>
      </c>
      <c r="O3628" t="s">
        <v>216</v>
      </c>
      <c r="P3628" s="17"/>
      <c r="Q3628" s="17" t="str">
        <f>_xlfn.XLOOKUP(Table2[[#This Row],[buyFromVendorNo]],'Next Day Scheduled'!A:A,'Pending Returns'!O:O,"NOT_FOUND")</f>
        <v>NOT_FOUND</v>
      </c>
    </row>
    <row r="3629" spans="1:17" x14ac:dyDescent="0.3">
      <c r="A3629" s="1">
        <v>46247</v>
      </c>
      <c r="B3629" t="s">
        <v>1992</v>
      </c>
      <c r="C3629" t="s">
        <v>2315</v>
      </c>
      <c r="D3629" t="s">
        <v>2316</v>
      </c>
      <c r="E3629" t="s">
        <v>8</v>
      </c>
      <c r="F3629" t="s">
        <v>10</v>
      </c>
      <c r="G3629" s="16">
        <v>172.9</v>
      </c>
      <c r="H3629" s="16">
        <v>198.83500000000001</v>
      </c>
      <c r="J3629">
        <v>12</v>
      </c>
      <c r="K3629" t="s">
        <v>10039</v>
      </c>
      <c r="M3629">
        <v>0</v>
      </c>
      <c r="N3629">
        <v>61</v>
      </c>
      <c r="O3629" t="s">
        <v>216</v>
      </c>
      <c r="P3629" s="17"/>
      <c r="Q3629" s="17" t="str">
        <f>_xlfn.XLOOKUP(Table2[[#This Row],[buyFromVendorNo]],'Next Day Scheduled'!A:A,'Pending Returns'!O:O,"NOT_FOUND")</f>
        <v>NOT_FOUND</v>
      </c>
    </row>
    <row r="3630" spans="1:17" x14ac:dyDescent="0.3">
      <c r="A3630" s="1">
        <v>46247</v>
      </c>
      <c r="B3630" t="s">
        <v>7236</v>
      </c>
      <c r="C3630" t="s">
        <v>512</v>
      </c>
      <c r="D3630" t="s">
        <v>513</v>
      </c>
      <c r="E3630" t="s">
        <v>8</v>
      </c>
      <c r="F3630" t="s">
        <v>10</v>
      </c>
      <c r="G3630" s="16">
        <v>208.56</v>
      </c>
      <c r="H3630" s="16">
        <v>239.84399999999999</v>
      </c>
      <c r="I3630" s="1">
        <v>46245</v>
      </c>
      <c r="J3630">
        <v>12</v>
      </c>
      <c r="K3630" t="s">
        <v>9184</v>
      </c>
      <c r="L3630" t="s">
        <v>9959</v>
      </c>
      <c r="M3630">
        <v>2</v>
      </c>
      <c r="N3630">
        <v>3</v>
      </c>
      <c r="O3630" t="s">
        <v>1036</v>
      </c>
      <c r="P3630" s="17"/>
      <c r="Q3630" s="17" t="str">
        <f>_xlfn.XLOOKUP(Table2[[#This Row],[buyFromVendorNo]],'Next Day Scheduled'!A:A,'Pending Returns'!O:O,"NOT_FOUND")</f>
        <v>NOT_FOUND</v>
      </c>
    </row>
    <row r="3631" spans="1:17" x14ac:dyDescent="0.3">
      <c r="A3631" s="1">
        <v>46247</v>
      </c>
      <c r="B3631" t="s">
        <v>2640</v>
      </c>
      <c r="C3631" t="s">
        <v>1424</v>
      </c>
      <c r="D3631" t="s">
        <v>1425</v>
      </c>
      <c r="E3631" t="s">
        <v>8</v>
      </c>
      <c r="F3631" t="s">
        <v>10</v>
      </c>
      <c r="G3631" s="16">
        <v>1649</v>
      </c>
      <c r="H3631" s="16">
        <v>1896.35</v>
      </c>
      <c r="I3631" s="1">
        <v>46240</v>
      </c>
      <c r="J3631">
        <v>12</v>
      </c>
      <c r="K3631" t="s">
        <v>8850</v>
      </c>
      <c r="L3631" t="s">
        <v>9960</v>
      </c>
      <c r="M3631">
        <v>0</v>
      </c>
      <c r="N3631">
        <v>50</v>
      </c>
      <c r="O3631" t="s">
        <v>1036</v>
      </c>
      <c r="P3631" s="17"/>
      <c r="Q3631" s="17" t="str">
        <f>_xlfn.XLOOKUP(Table2[[#This Row],[buyFromVendorNo]],'Next Day Scheduled'!A:A,'Pending Returns'!O:O,"NOT_FOUND")</f>
        <v>Posted Credit Note</v>
      </c>
    </row>
    <row r="3632" spans="1:17" x14ac:dyDescent="0.3">
      <c r="A3632" s="1">
        <v>46247</v>
      </c>
      <c r="B3632" t="s">
        <v>3715</v>
      </c>
      <c r="C3632" t="s">
        <v>6373</v>
      </c>
      <c r="D3632" t="s">
        <v>6374</v>
      </c>
      <c r="E3632" t="s">
        <v>8</v>
      </c>
      <c r="F3632" t="s">
        <v>169</v>
      </c>
      <c r="G3632" s="16">
        <v>498.4</v>
      </c>
      <c r="H3632" s="16">
        <v>573.16</v>
      </c>
      <c r="I3632" s="1">
        <v>46247</v>
      </c>
      <c r="J3632">
        <v>12</v>
      </c>
      <c r="K3632" t="s">
        <v>9720</v>
      </c>
      <c r="L3632" t="s">
        <v>10001</v>
      </c>
      <c r="M3632">
        <v>2</v>
      </c>
      <c r="N3632">
        <v>3</v>
      </c>
      <c r="O3632" t="s">
        <v>223</v>
      </c>
      <c r="P3632" s="17"/>
      <c r="Q3632" s="17" t="str">
        <f>_xlfn.XLOOKUP(Table2[[#This Row],[buyFromVendorNo]],'Next Day Scheduled'!A:A,'Pending Returns'!O:O,"NOT_FOUND")</f>
        <v>NOT_FOUND</v>
      </c>
    </row>
    <row r="3633" spans="1:17" x14ac:dyDescent="0.3">
      <c r="A3633" s="1">
        <v>46247</v>
      </c>
      <c r="B3633" t="s">
        <v>3574</v>
      </c>
      <c r="C3633" t="s">
        <v>2269</v>
      </c>
      <c r="D3633" t="s">
        <v>2270</v>
      </c>
      <c r="E3633" t="s">
        <v>8</v>
      </c>
      <c r="F3633" t="s">
        <v>10</v>
      </c>
      <c r="G3633" s="16">
        <v>679.36443999999995</v>
      </c>
      <c r="H3633" s="16">
        <v>781.26909999999998</v>
      </c>
      <c r="J3633">
        <v>12</v>
      </c>
      <c r="K3633" t="s">
        <v>10041</v>
      </c>
      <c r="M3633">
        <v>0</v>
      </c>
      <c r="N3633">
        <v>64</v>
      </c>
      <c r="O3633" t="s">
        <v>216</v>
      </c>
      <c r="P3633" s="17"/>
      <c r="Q3633" s="17" t="str">
        <f>_xlfn.XLOOKUP(Table2[[#This Row],[buyFromVendorNo]],'Next Day Scheduled'!A:A,'Pending Returns'!O:O,"NOT_FOUND")</f>
        <v>NOT_FOUND</v>
      </c>
    </row>
    <row r="3634" spans="1:17" x14ac:dyDescent="0.3">
      <c r="A3634" s="1">
        <v>46247</v>
      </c>
      <c r="B3634" t="s">
        <v>6260</v>
      </c>
      <c r="C3634" t="s">
        <v>580</v>
      </c>
      <c r="D3634" t="s">
        <v>581</v>
      </c>
      <c r="E3634" t="s">
        <v>8</v>
      </c>
      <c r="F3634" t="s">
        <v>10</v>
      </c>
      <c r="G3634" s="16">
        <v>630</v>
      </c>
      <c r="H3634" s="16">
        <v>724.5</v>
      </c>
      <c r="J3634">
        <v>12</v>
      </c>
      <c r="K3634" t="s">
        <v>10025</v>
      </c>
      <c r="M3634">
        <v>1</v>
      </c>
      <c r="N3634">
        <v>3</v>
      </c>
      <c r="O3634" t="s">
        <v>216</v>
      </c>
      <c r="P3634" s="17"/>
      <c r="Q3634" s="17" t="str">
        <f>_xlfn.XLOOKUP(Table2[[#This Row],[buyFromVendorNo]],'Next Day Scheduled'!A:A,'Pending Returns'!O:O,"NOT_FOUND")</f>
        <v>NOT_FOUND</v>
      </c>
    </row>
    <row r="3635" spans="1:17" x14ac:dyDescent="0.3">
      <c r="A3635" s="1">
        <v>46247</v>
      </c>
      <c r="B3635" t="s">
        <v>8095</v>
      </c>
      <c r="C3635" t="s">
        <v>2269</v>
      </c>
      <c r="D3635" t="s">
        <v>2270</v>
      </c>
      <c r="E3635" t="s">
        <v>8</v>
      </c>
      <c r="F3635" t="s">
        <v>10</v>
      </c>
      <c r="G3635" s="16">
        <v>63.758499999999998</v>
      </c>
      <c r="H3635" s="16">
        <v>73.322270000000003</v>
      </c>
      <c r="I3635" s="1">
        <v>46247</v>
      </c>
      <c r="J3635">
        <v>12</v>
      </c>
      <c r="K3635" t="s">
        <v>8701</v>
      </c>
      <c r="L3635" t="s">
        <v>10026</v>
      </c>
      <c r="M3635">
        <v>0</v>
      </c>
      <c r="N3635">
        <v>64</v>
      </c>
      <c r="O3635" t="s">
        <v>223</v>
      </c>
      <c r="P3635" s="17"/>
      <c r="Q3635" s="17" t="str">
        <f>_xlfn.XLOOKUP(Table2[[#This Row],[buyFromVendorNo]],'Next Day Scheduled'!A:A,'Pending Returns'!O:O,"NOT_FOUND")</f>
        <v>NOT_FOUND</v>
      </c>
    </row>
    <row r="3636" spans="1:17" x14ac:dyDescent="0.3">
      <c r="A3636" s="1">
        <v>46247</v>
      </c>
      <c r="B3636" t="s">
        <v>440</v>
      </c>
      <c r="C3636" t="s">
        <v>534</v>
      </c>
      <c r="D3636" t="s">
        <v>535</v>
      </c>
      <c r="E3636" t="s">
        <v>8</v>
      </c>
      <c r="F3636" t="s">
        <v>10</v>
      </c>
      <c r="G3636" s="16">
        <v>16.105</v>
      </c>
      <c r="H3636" s="16">
        <v>18.52075</v>
      </c>
      <c r="J3636">
        <v>12</v>
      </c>
      <c r="K3636" t="s">
        <v>10027</v>
      </c>
      <c r="M3636">
        <v>1</v>
      </c>
      <c r="N3636">
        <v>2</v>
      </c>
      <c r="O3636" t="s">
        <v>216</v>
      </c>
      <c r="P3636" s="17"/>
      <c r="Q3636" s="17" t="str">
        <f>_xlfn.XLOOKUP(Table2[[#This Row],[buyFromVendorNo]],'Next Day Scheduled'!A:A,'Pending Returns'!O:O,"NOT_FOUND")</f>
        <v>NOT_FOUND</v>
      </c>
    </row>
    <row r="3637" spans="1:17" x14ac:dyDescent="0.3">
      <c r="A3637" s="1">
        <v>46247</v>
      </c>
      <c r="B3637" t="s">
        <v>642</v>
      </c>
      <c r="C3637" t="s">
        <v>7388</v>
      </c>
      <c r="D3637" t="s">
        <v>7389</v>
      </c>
      <c r="E3637" t="s">
        <v>8</v>
      </c>
      <c r="F3637" t="s">
        <v>38</v>
      </c>
      <c r="G3637" s="16">
        <v>751.8</v>
      </c>
      <c r="H3637" s="16">
        <v>864.57</v>
      </c>
      <c r="I3637" s="1">
        <v>46247</v>
      </c>
      <c r="J3637">
        <v>12</v>
      </c>
      <c r="K3637" t="s">
        <v>9698</v>
      </c>
      <c r="L3637" t="s">
        <v>10042</v>
      </c>
      <c r="M3637">
        <v>1</v>
      </c>
      <c r="N3637">
        <v>2</v>
      </c>
      <c r="O3637" t="s">
        <v>1036</v>
      </c>
      <c r="P3637" s="17"/>
      <c r="Q3637" s="17" t="str">
        <f>_xlfn.XLOOKUP(Table2[[#This Row],[buyFromVendorNo]],'Next Day Scheduled'!A:A,'Pending Returns'!O:O,"NOT_FOUND")</f>
        <v>NOT_FOUND</v>
      </c>
    </row>
    <row r="3638" spans="1:17" x14ac:dyDescent="0.3">
      <c r="A3638" s="1">
        <v>46247</v>
      </c>
      <c r="B3638" t="s">
        <v>642</v>
      </c>
      <c r="C3638" t="s">
        <v>812</v>
      </c>
      <c r="D3638" t="s">
        <v>2394</v>
      </c>
      <c r="E3638" t="s">
        <v>8</v>
      </c>
      <c r="F3638" t="s">
        <v>38</v>
      </c>
      <c r="G3638" s="16">
        <v>1861</v>
      </c>
      <c r="H3638" s="16">
        <v>2140.15</v>
      </c>
      <c r="I3638" s="1">
        <v>46243</v>
      </c>
      <c r="J3638">
        <v>12</v>
      </c>
      <c r="K3638" t="s">
        <v>8749</v>
      </c>
      <c r="L3638" t="s">
        <v>9941</v>
      </c>
      <c r="M3638">
        <v>2</v>
      </c>
      <c r="N3638">
        <v>6</v>
      </c>
      <c r="O3638" t="s">
        <v>1036</v>
      </c>
      <c r="P3638" s="17"/>
      <c r="Q3638" s="17" t="str">
        <f>_xlfn.XLOOKUP(Table2[[#This Row],[buyFromVendorNo]],'Next Day Scheduled'!A:A,'Pending Returns'!O:O,"NOT_FOUND")</f>
        <v>NOT_FOUND</v>
      </c>
    </row>
    <row r="3639" spans="1:17" x14ac:dyDescent="0.3">
      <c r="A3639" s="1">
        <v>46247</v>
      </c>
      <c r="B3639" t="s">
        <v>2208</v>
      </c>
      <c r="C3639" t="s">
        <v>2302</v>
      </c>
      <c r="D3639" t="s">
        <v>2303</v>
      </c>
      <c r="E3639" t="s">
        <v>8</v>
      </c>
      <c r="F3639" t="s">
        <v>10</v>
      </c>
      <c r="G3639" s="16">
        <v>28.08</v>
      </c>
      <c r="H3639" s="16">
        <v>32.292000000000002</v>
      </c>
      <c r="J3639">
        <v>12</v>
      </c>
      <c r="K3639" t="s">
        <v>9987</v>
      </c>
      <c r="M3639">
        <v>0</v>
      </c>
      <c r="N3639">
        <v>16</v>
      </c>
      <c r="O3639" t="s">
        <v>216</v>
      </c>
      <c r="P3639" s="17"/>
      <c r="Q3639" s="17" t="str">
        <f>_xlfn.XLOOKUP(Table2[[#This Row],[buyFromVendorNo]],'Next Day Scheduled'!A:A,'Pending Returns'!O:O,"NOT_FOUND")</f>
        <v>NOT_FOUND</v>
      </c>
    </row>
    <row r="3640" spans="1:17" x14ac:dyDescent="0.3">
      <c r="A3640" s="1">
        <v>46247</v>
      </c>
      <c r="B3640" t="s">
        <v>6775</v>
      </c>
      <c r="C3640" t="s">
        <v>2505</v>
      </c>
      <c r="D3640" t="s">
        <v>2758</v>
      </c>
      <c r="E3640" t="s">
        <v>8</v>
      </c>
      <c r="F3640" t="s">
        <v>169</v>
      </c>
      <c r="G3640" s="16">
        <v>790.6</v>
      </c>
      <c r="H3640" s="16">
        <v>909.19</v>
      </c>
      <c r="I3640" s="1">
        <v>46235</v>
      </c>
      <c r="J3640">
        <v>12</v>
      </c>
      <c r="K3640" t="s">
        <v>8905</v>
      </c>
      <c r="L3640" t="s">
        <v>9942</v>
      </c>
      <c r="M3640">
        <v>3</v>
      </c>
      <c r="N3640">
        <v>2</v>
      </c>
      <c r="O3640" t="s">
        <v>1036</v>
      </c>
      <c r="P3640" s="17"/>
      <c r="Q3640" s="17" t="str">
        <f>_xlfn.XLOOKUP(Table2[[#This Row],[buyFromVendorNo]],'Next Day Scheduled'!A:A,'Pending Returns'!O:O,"NOT_FOUND")</f>
        <v>Posted Credit Note</v>
      </c>
    </row>
    <row r="3641" spans="1:17" x14ac:dyDescent="0.3">
      <c r="A3641" s="1">
        <v>46247</v>
      </c>
      <c r="B3641" t="s">
        <v>5410</v>
      </c>
      <c r="C3641" t="s">
        <v>34</v>
      </c>
      <c r="D3641" t="s">
        <v>35</v>
      </c>
      <c r="E3641" t="s">
        <v>8</v>
      </c>
      <c r="F3641" t="s">
        <v>10</v>
      </c>
      <c r="G3641" s="16">
        <v>3577.3883999999998</v>
      </c>
      <c r="H3641" s="16">
        <v>4113.9966000000004</v>
      </c>
      <c r="J3641">
        <v>12</v>
      </c>
      <c r="K3641" t="s">
        <v>10029</v>
      </c>
      <c r="M3641">
        <v>1</v>
      </c>
      <c r="N3641">
        <v>8</v>
      </c>
      <c r="O3641" t="s">
        <v>216</v>
      </c>
      <c r="P3641" s="17"/>
      <c r="Q3641" s="17" t="str">
        <f>_xlfn.XLOOKUP(Table2[[#This Row],[buyFromVendorNo]],'Next Day Scheduled'!A:A,'Pending Returns'!O:O,"NOT_FOUND")</f>
        <v>Posted Credit Note</v>
      </c>
    </row>
    <row r="3642" spans="1:17" x14ac:dyDescent="0.3">
      <c r="A3642" s="1">
        <v>46247</v>
      </c>
      <c r="B3642" t="s">
        <v>3719</v>
      </c>
      <c r="C3642" t="s">
        <v>665</v>
      </c>
      <c r="D3642" t="s">
        <v>666</v>
      </c>
      <c r="E3642" t="s">
        <v>8</v>
      </c>
      <c r="F3642" t="s">
        <v>10</v>
      </c>
      <c r="G3642" s="16">
        <v>40.117280000000001</v>
      </c>
      <c r="H3642" s="16">
        <v>46.134869999999999</v>
      </c>
      <c r="J3642">
        <v>12</v>
      </c>
      <c r="K3642" t="s">
        <v>10030</v>
      </c>
      <c r="M3642">
        <v>0</v>
      </c>
      <c r="N3642">
        <v>147</v>
      </c>
      <c r="O3642" t="s">
        <v>216</v>
      </c>
      <c r="P3642" s="17"/>
      <c r="Q3642" s="17" t="str">
        <f>_xlfn.XLOOKUP(Table2[[#This Row],[buyFromVendorNo]],'Next Day Scheduled'!A:A,'Pending Returns'!O:O,"NOT_FOUND")</f>
        <v>NOT_FOUND</v>
      </c>
    </row>
    <row r="3643" spans="1:17" x14ac:dyDescent="0.3">
      <c r="A3643" s="1">
        <v>46247</v>
      </c>
      <c r="B3643" t="s">
        <v>2175</v>
      </c>
      <c r="C3643" t="s">
        <v>4877</v>
      </c>
      <c r="D3643" t="s">
        <v>5340</v>
      </c>
      <c r="E3643" t="s">
        <v>8</v>
      </c>
      <c r="F3643" t="s">
        <v>10</v>
      </c>
      <c r="G3643" s="16">
        <v>294.87200000000001</v>
      </c>
      <c r="H3643" s="16">
        <v>339.1028</v>
      </c>
      <c r="J3643">
        <v>12</v>
      </c>
      <c r="K3643" t="s">
        <v>9988</v>
      </c>
      <c r="M3643">
        <v>8</v>
      </c>
      <c r="N3643">
        <v>3</v>
      </c>
      <c r="O3643" t="s">
        <v>216</v>
      </c>
      <c r="P3643" s="17"/>
      <c r="Q3643" s="17" t="str">
        <f>_xlfn.XLOOKUP(Table2[[#This Row],[buyFromVendorNo]],'Next Day Scheduled'!A:A,'Pending Returns'!O:O,"NOT_FOUND")</f>
        <v>Posted Credit Note</v>
      </c>
    </row>
    <row r="3644" spans="1:17" x14ac:dyDescent="0.3">
      <c r="A3644" s="1">
        <v>46247</v>
      </c>
      <c r="B3644" t="s">
        <v>2771</v>
      </c>
      <c r="C3644" t="s">
        <v>111</v>
      </c>
      <c r="D3644" t="s">
        <v>112</v>
      </c>
      <c r="E3644" t="s">
        <v>8</v>
      </c>
      <c r="F3644" t="s">
        <v>10</v>
      </c>
      <c r="G3644" s="16">
        <v>79.166659999999993</v>
      </c>
      <c r="H3644" s="16">
        <v>91.041659999999993</v>
      </c>
      <c r="J3644">
        <v>12</v>
      </c>
      <c r="K3644" t="s">
        <v>9989</v>
      </c>
      <c r="M3644">
        <v>0</v>
      </c>
      <c r="N3644">
        <v>15</v>
      </c>
      <c r="O3644" t="s">
        <v>216</v>
      </c>
      <c r="P3644" s="17"/>
      <c r="Q3644" s="17" t="str">
        <f>_xlfn.XLOOKUP(Table2[[#This Row],[buyFromVendorNo]],'Next Day Scheduled'!A:A,'Pending Returns'!O:O,"NOT_FOUND")</f>
        <v>Posted Credit Note</v>
      </c>
    </row>
    <row r="3645" spans="1:17" x14ac:dyDescent="0.3">
      <c r="A3645" s="1">
        <v>46247</v>
      </c>
      <c r="B3645" t="s">
        <v>4397</v>
      </c>
      <c r="C3645" t="s">
        <v>1768</v>
      </c>
      <c r="D3645" t="s">
        <v>1769</v>
      </c>
      <c r="E3645" t="s">
        <v>8</v>
      </c>
      <c r="F3645" t="s">
        <v>10</v>
      </c>
      <c r="G3645" s="16">
        <v>63.388890000000004</v>
      </c>
      <c r="H3645" s="16">
        <v>72.897220000000004</v>
      </c>
      <c r="I3645" s="1">
        <v>46248</v>
      </c>
      <c r="J3645">
        <v>12</v>
      </c>
      <c r="K3645" t="s">
        <v>9289</v>
      </c>
      <c r="L3645" t="s">
        <v>10047</v>
      </c>
      <c r="M3645">
        <v>2</v>
      </c>
      <c r="N3645">
        <v>5</v>
      </c>
      <c r="O3645" t="s">
        <v>223</v>
      </c>
      <c r="P3645" s="17"/>
      <c r="Q3645" s="17" t="str">
        <f>_xlfn.XLOOKUP(Table2[[#This Row],[buyFromVendorNo]],'Next Day Scheduled'!A:A,'Pending Returns'!O:O,"NOT_FOUND")</f>
        <v>NOT_FOUND</v>
      </c>
    </row>
    <row r="3646" spans="1:17" x14ac:dyDescent="0.3">
      <c r="A3646" s="1">
        <v>46247</v>
      </c>
      <c r="B3646" t="s">
        <v>642</v>
      </c>
      <c r="C3646" t="s">
        <v>201</v>
      </c>
      <c r="D3646" t="s">
        <v>202</v>
      </c>
      <c r="E3646" t="s">
        <v>8</v>
      </c>
      <c r="F3646" t="s">
        <v>38</v>
      </c>
      <c r="G3646" s="16">
        <v>543.2663</v>
      </c>
      <c r="H3646" s="16">
        <v>624.75620000000004</v>
      </c>
      <c r="I3646" s="1">
        <v>46239</v>
      </c>
      <c r="J3646">
        <v>12</v>
      </c>
      <c r="K3646" t="s">
        <v>8786</v>
      </c>
      <c r="L3646" t="s">
        <v>9948</v>
      </c>
      <c r="M3646">
        <v>1</v>
      </c>
      <c r="N3646">
        <v>7</v>
      </c>
      <c r="O3646" t="s">
        <v>1036</v>
      </c>
      <c r="P3646" s="17"/>
      <c r="Q3646" s="17" t="str">
        <f>_xlfn.XLOOKUP(Table2[[#This Row],[buyFromVendorNo]],'Next Day Scheduled'!A:A,'Pending Returns'!O:O,"NOT_FOUND")</f>
        <v>Pending for Collection</v>
      </c>
    </row>
    <row r="3647" spans="1:17" x14ac:dyDescent="0.3">
      <c r="A3647" s="1">
        <v>46247</v>
      </c>
      <c r="B3647" t="s">
        <v>2615</v>
      </c>
      <c r="C3647" t="s">
        <v>151</v>
      </c>
      <c r="D3647" t="s">
        <v>152</v>
      </c>
      <c r="E3647" t="s">
        <v>8</v>
      </c>
      <c r="F3647" t="s">
        <v>10</v>
      </c>
      <c r="G3647" s="16">
        <v>2234.14</v>
      </c>
      <c r="H3647" s="16">
        <v>2569.261</v>
      </c>
      <c r="J3647">
        <v>12</v>
      </c>
      <c r="K3647" t="s">
        <v>10037</v>
      </c>
      <c r="M3647">
        <v>1</v>
      </c>
      <c r="N3647">
        <v>2</v>
      </c>
      <c r="O3647" t="s">
        <v>216</v>
      </c>
      <c r="P3647" s="17"/>
      <c r="Q3647" s="17" t="str">
        <f>_xlfn.XLOOKUP(Table2[[#This Row],[buyFromVendorNo]],'Next Day Scheduled'!A:A,'Pending Returns'!O:O,"NOT_FOUND")</f>
        <v>NOT_FOUND</v>
      </c>
    </row>
    <row r="3648" spans="1:17" x14ac:dyDescent="0.3">
      <c r="A3648" s="1">
        <v>46247</v>
      </c>
      <c r="B3648" t="s">
        <v>5908</v>
      </c>
      <c r="C3648" t="s">
        <v>422</v>
      </c>
      <c r="D3648" t="s">
        <v>490</v>
      </c>
      <c r="E3648" t="s">
        <v>8</v>
      </c>
      <c r="F3648" t="s">
        <v>10</v>
      </c>
      <c r="G3648" s="16">
        <v>838.30346999999995</v>
      </c>
      <c r="H3648" s="16">
        <v>964.04899999999998</v>
      </c>
      <c r="I3648" s="1">
        <v>46243</v>
      </c>
      <c r="J3648">
        <v>12</v>
      </c>
      <c r="K3648" t="s">
        <v>8224</v>
      </c>
      <c r="L3648" t="s">
        <v>9923</v>
      </c>
      <c r="M3648">
        <v>2</v>
      </c>
      <c r="N3648">
        <v>3</v>
      </c>
      <c r="O3648" t="s">
        <v>1036</v>
      </c>
      <c r="P3648" s="17"/>
      <c r="Q3648" s="17" t="str">
        <f>_xlfn.XLOOKUP(Table2[[#This Row],[buyFromVendorNo]],'Next Day Scheduled'!A:A,'Pending Returns'!O:O,"NOT_FOUND")</f>
        <v>NOT_FOUND</v>
      </c>
    </row>
    <row r="3649" spans="1:17" x14ac:dyDescent="0.3">
      <c r="A3649" s="1">
        <v>46247</v>
      </c>
      <c r="B3649" t="s">
        <v>440</v>
      </c>
      <c r="C3649" t="s">
        <v>832</v>
      </c>
      <c r="D3649" t="s">
        <v>833</v>
      </c>
      <c r="E3649" t="s">
        <v>8</v>
      </c>
      <c r="F3649" t="s">
        <v>38</v>
      </c>
      <c r="G3649" s="16">
        <v>3283.05</v>
      </c>
      <c r="H3649" s="16">
        <v>3775.5075999999999</v>
      </c>
      <c r="I3649" s="1">
        <v>46245</v>
      </c>
      <c r="J3649">
        <v>12</v>
      </c>
      <c r="K3649" t="s">
        <v>7269</v>
      </c>
      <c r="L3649" t="s">
        <v>9953</v>
      </c>
      <c r="M3649">
        <v>0</v>
      </c>
      <c r="N3649">
        <v>76</v>
      </c>
      <c r="O3649" t="s">
        <v>1036</v>
      </c>
      <c r="P3649" s="17"/>
      <c r="Q3649" s="17" t="str">
        <f>_xlfn.XLOOKUP(Table2[[#This Row],[buyFromVendorNo]],'Next Day Scheduled'!A:A,'Pending Returns'!O:O,"NOT_FOUND")</f>
        <v>NOT_FOUND</v>
      </c>
    </row>
    <row r="3650" spans="1:17" x14ac:dyDescent="0.3">
      <c r="A3650" s="1">
        <v>46247</v>
      </c>
      <c r="B3650" t="s">
        <v>756</v>
      </c>
      <c r="C3650" t="s">
        <v>633</v>
      </c>
      <c r="D3650" t="s">
        <v>690</v>
      </c>
      <c r="E3650" t="s">
        <v>8</v>
      </c>
      <c r="F3650" t="s">
        <v>10</v>
      </c>
      <c r="G3650" s="16">
        <v>540.23649999999998</v>
      </c>
      <c r="H3650" s="16">
        <v>621.27200000000005</v>
      </c>
      <c r="I3650" s="1">
        <v>46247</v>
      </c>
      <c r="J3650">
        <v>12</v>
      </c>
      <c r="K3650" t="s">
        <v>9651</v>
      </c>
      <c r="L3650" t="s">
        <v>10002</v>
      </c>
      <c r="M3650">
        <v>2</v>
      </c>
      <c r="N3650">
        <v>6</v>
      </c>
      <c r="O3650" t="s">
        <v>223</v>
      </c>
      <c r="P3650" s="17"/>
      <c r="Q3650" s="17" t="str">
        <f>_xlfn.XLOOKUP(Table2[[#This Row],[buyFromVendorNo]],'Next Day Scheduled'!A:A,'Pending Returns'!O:O,"NOT_FOUND")</f>
        <v>NOT_FOUND</v>
      </c>
    </row>
    <row r="3651" spans="1:17" x14ac:dyDescent="0.3">
      <c r="A3651" s="1">
        <v>46247</v>
      </c>
      <c r="B3651" t="s">
        <v>2203</v>
      </c>
      <c r="C3651" t="s">
        <v>57</v>
      </c>
      <c r="D3651" t="s">
        <v>58</v>
      </c>
      <c r="E3651" t="s">
        <v>8</v>
      </c>
      <c r="F3651" t="s">
        <v>10</v>
      </c>
      <c r="G3651" s="16">
        <v>274.8</v>
      </c>
      <c r="H3651" s="16">
        <v>316.02</v>
      </c>
      <c r="I3651" s="1">
        <v>46246</v>
      </c>
      <c r="J3651">
        <v>12</v>
      </c>
      <c r="K3651" t="s">
        <v>9509</v>
      </c>
      <c r="L3651" t="s">
        <v>10024</v>
      </c>
      <c r="M3651">
        <v>1</v>
      </c>
      <c r="N3651">
        <v>8</v>
      </c>
      <c r="O3651" t="s">
        <v>1036</v>
      </c>
      <c r="P3651" s="17"/>
      <c r="Q3651" s="17" t="str">
        <f>_xlfn.XLOOKUP(Table2[[#This Row],[buyFromVendorNo]],'Next Day Scheduled'!A:A,'Pending Returns'!O:O,"NOT_FOUND")</f>
        <v>Posted Credit Note</v>
      </c>
    </row>
    <row r="3652" spans="1:17" x14ac:dyDescent="0.3">
      <c r="A3652" s="1">
        <v>46247</v>
      </c>
      <c r="B3652" t="s">
        <v>2178</v>
      </c>
      <c r="C3652" t="s">
        <v>69</v>
      </c>
      <c r="D3652" t="s">
        <v>70</v>
      </c>
      <c r="E3652" t="s">
        <v>8</v>
      </c>
      <c r="F3652" t="s">
        <v>10</v>
      </c>
      <c r="G3652" s="16">
        <v>4607.25</v>
      </c>
      <c r="H3652" s="16">
        <v>5298.3374000000003</v>
      </c>
      <c r="J3652">
        <v>12</v>
      </c>
      <c r="K3652" t="s">
        <v>9954</v>
      </c>
      <c r="M3652">
        <v>12</v>
      </c>
      <c r="N3652">
        <v>1</v>
      </c>
      <c r="O3652" t="s">
        <v>216</v>
      </c>
      <c r="P3652" s="17"/>
      <c r="Q3652" s="17" t="str">
        <f>_xlfn.XLOOKUP(Table2[[#This Row],[buyFromVendorNo]],'Next Day Scheduled'!A:A,'Pending Returns'!O:O,"NOT_FOUND")</f>
        <v>Posted Credit Note</v>
      </c>
    </row>
    <row r="3653" spans="1:17" x14ac:dyDescent="0.3">
      <c r="A3653" s="1">
        <v>46247</v>
      </c>
      <c r="B3653" t="s">
        <v>9901</v>
      </c>
      <c r="C3653" t="s">
        <v>1031</v>
      </c>
      <c r="D3653" t="s">
        <v>1032</v>
      </c>
      <c r="E3653" t="s">
        <v>8</v>
      </c>
      <c r="F3653" t="s">
        <v>10</v>
      </c>
      <c r="G3653" s="16">
        <v>88.2</v>
      </c>
      <c r="H3653" s="16">
        <v>101.43</v>
      </c>
      <c r="I3653" s="1">
        <v>46247</v>
      </c>
      <c r="J3653">
        <v>12</v>
      </c>
      <c r="K3653" t="s">
        <v>9902</v>
      </c>
      <c r="L3653" t="s">
        <v>9943</v>
      </c>
      <c r="M3653">
        <v>1</v>
      </c>
      <c r="N3653">
        <v>7</v>
      </c>
      <c r="O3653" t="s">
        <v>1036</v>
      </c>
      <c r="P3653" s="17"/>
      <c r="Q3653" s="17" t="str">
        <f>_xlfn.XLOOKUP(Table2[[#This Row],[buyFromVendorNo]],'Next Day Scheduled'!A:A,'Pending Returns'!O:O,"NOT_FOUND")</f>
        <v>Pending for Collection</v>
      </c>
    </row>
    <row r="3654" spans="1:17" x14ac:dyDescent="0.3">
      <c r="A3654" s="1">
        <v>46247</v>
      </c>
      <c r="B3654" t="s">
        <v>4057</v>
      </c>
      <c r="C3654" t="s">
        <v>5437</v>
      </c>
      <c r="D3654" t="s">
        <v>5438</v>
      </c>
      <c r="E3654" t="s">
        <v>8</v>
      </c>
      <c r="F3654" t="s">
        <v>10</v>
      </c>
      <c r="G3654" s="16">
        <v>193.66640000000001</v>
      </c>
      <c r="H3654" s="16">
        <v>222.71635000000001</v>
      </c>
      <c r="J3654">
        <v>12</v>
      </c>
      <c r="K3654" t="s">
        <v>10010</v>
      </c>
      <c r="M3654">
        <v>2</v>
      </c>
      <c r="N3654">
        <v>3</v>
      </c>
      <c r="O3654" t="s">
        <v>216</v>
      </c>
      <c r="P3654" s="17"/>
      <c r="Q3654" s="17" t="str">
        <f>_xlfn.XLOOKUP(Table2[[#This Row],[buyFromVendorNo]],'Next Day Scheduled'!A:A,'Pending Returns'!O:O,"NOT_FOUND")</f>
        <v>NOT_FOUND</v>
      </c>
    </row>
    <row r="3655" spans="1:17" x14ac:dyDescent="0.3">
      <c r="A3655" s="1">
        <v>46247</v>
      </c>
      <c r="B3655" t="s">
        <v>1814</v>
      </c>
      <c r="C3655" t="s">
        <v>318</v>
      </c>
      <c r="D3655" t="s">
        <v>319</v>
      </c>
      <c r="E3655" t="s">
        <v>8</v>
      </c>
      <c r="F3655" t="s">
        <v>10</v>
      </c>
      <c r="G3655" s="16">
        <v>1218.2826</v>
      </c>
      <c r="H3655" s="16">
        <v>1401.0250000000001</v>
      </c>
      <c r="J3655">
        <v>12</v>
      </c>
      <c r="K3655" t="s">
        <v>10009</v>
      </c>
      <c r="M3655">
        <v>1</v>
      </c>
      <c r="N3655">
        <v>2</v>
      </c>
      <c r="O3655" t="s">
        <v>216</v>
      </c>
      <c r="P3655" s="17"/>
      <c r="Q3655" s="17" t="str">
        <f>_xlfn.XLOOKUP(Table2[[#This Row],[buyFromVendorNo]],'Next Day Scheduled'!A:A,'Pending Returns'!O:O,"NOT_FOUND")</f>
        <v>NOT_FOUND</v>
      </c>
    </row>
    <row r="3656" spans="1:17" x14ac:dyDescent="0.3">
      <c r="A3656" s="1">
        <v>46247</v>
      </c>
      <c r="B3656" t="s">
        <v>890</v>
      </c>
      <c r="C3656" t="s">
        <v>4090</v>
      </c>
      <c r="D3656" t="s">
        <v>4091</v>
      </c>
      <c r="E3656" t="s">
        <v>8</v>
      </c>
      <c r="F3656" t="s">
        <v>169</v>
      </c>
      <c r="G3656" s="16">
        <v>330</v>
      </c>
      <c r="H3656" s="16">
        <v>379.5</v>
      </c>
      <c r="I3656" s="1">
        <v>46242</v>
      </c>
      <c r="J3656">
        <v>12</v>
      </c>
      <c r="K3656" t="s">
        <v>6503</v>
      </c>
      <c r="L3656" t="s">
        <v>9945</v>
      </c>
      <c r="M3656">
        <v>1</v>
      </c>
      <c r="N3656">
        <v>5</v>
      </c>
      <c r="O3656" t="s">
        <v>1036</v>
      </c>
      <c r="P3656" s="17"/>
      <c r="Q3656" s="17" t="str">
        <f>_xlfn.XLOOKUP(Table2[[#This Row],[buyFromVendorNo]],'Next Day Scheduled'!A:A,'Pending Returns'!O:O,"NOT_FOUND")</f>
        <v>NOT_FOUND</v>
      </c>
    </row>
    <row r="3657" spans="1:17" x14ac:dyDescent="0.3">
      <c r="A3657" s="1">
        <v>46247</v>
      </c>
      <c r="B3657" t="s">
        <v>2674</v>
      </c>
      <c r="C3657" t="s">
        <v>181</v>
      </c>
      <c r="D3657" t="s">
        <v>182</v>
      </c>
      <c r="E3657" t="s">
        <v>8</v>
      </c>
      <c r="F3657" t="s">
        <v>10</v>
      </c>
      <c r="G3657" s="16">
        <v>90.5</v>
      </c>
      <c r="H3657" s="16">
        <v>104.075</v>
      </c>
      <c r="I3657" s="1">
        <v>46245</v>
      </c>
      <c r="J3657">
        <v>12</v>
      </c>
      <c r="K3657" t="s">
        <v>8098</v>
      </c>
      <c r="L3657" t="s">
        <v>9958</v>
      </c>
      <c r="M3657">
        <v>3</v>
      </c>
      <c r="N3657">
        <v>2</v>
      </c>
      <c r="O3657" t="s">
        <v>1036</v>
      </c>
      <c r="P3657" s="17"/>
      <c r="Q3657" s="17" t="str">
        <f>_xlfn.XLOOKUP(Table2[[#This Row],[buyFromVendorNo]],'Next Day Scheduled'!A:A,'Pending Returns'!O:O,"NOT_FOUND")</f>
        <v>NOT_FOUND</v>
      </c>
    </row>
    <row r="3658" spans="1:17" x14ac:dyDescent="0.3">
      <c r="A3658" s="1">
        <v>46247</v>
      </c>
      <c r="B3658" t="s">
        <v>6262</v>
      </c>
      <c r="C3658" t="s">
        <v>2355</v>
      </c>
      <c r="D3658" t="s">
        <v>2356</v>
      </c>
      <c r="E3658" t="s">
        <v>8</v>
      </c>
      <c r="F3658" t="s">
        <v>10</v>
      </c>
      <c r="G3658" s="16">
        <v>162</v>
      </c>
      <c r="H3658" s="16">
        <v>186.3</v>
      </c>
      <c r="I3658" s="1">
        <v>46247</v>
      </c>
      <c r="J3658">
        <v>12</v>
      </c>
      <c r="K3658" t="s">
        <v>9900</v>
      </c>
      <c r="L3658" t="s">
        <v>9927</v>
      </c>
      <c r="M3658">
        <v>1</v>
      </c>
      <c r="N3658">
        <v>7</v>
      </c>
      <c r="O3658" t="s">
        <v>1036</v>
      </c>
      <c r="P3658" s="17"/>
      <c r="Q3658" s="17" t="str">
        <f>_xlfn.XLOOKUP(Table2[[#This Row],[buyFromVendorNo]],'Next Day Scheduled'!A:A,'Pending Returns'!O:O,"NOT_FOUND")</f>
        <v>Posted Credit Note</v>
      </c>
    </row>
    <row r="3659" spans="1:17" x14ac:dyDescent="0.3">
      <c r="A3659" s="1">
        <v>46247</v>
      </c>
      <c r="B3659" t="s">
        <v>5498</v>
      </c>
      <c r="C3659" t="s">
        <v>358</v>
      </c>
      <c r="D3659" t="s">
        <v>359</v>
      </c>
      <c r="E3659" t="s">
        <v>8</v>
      </c>
      <c r="F3659" t="s">
        <v>10</v>
      </c>
      <c r="G3659" s="16">
        <v>113</v>
      </c>
      <c r="H3659" s="16">
        <v>129.94999999999999</v>
      </c>
      <c r="J3659">
        <v>12</v>
      </c>
      <c r="K3659" t="s">
        <v>10034</v>
      </c>
      <c r="M3659">
        <v>1</v>
      </c>
      <c r="N3659">
        <v>1</v>
      </c>
      <c r="O3659" t="s">
        <v>216</v>
      </c>
      <c r="P3659" s="17"/>
      <c r="Q3659" s="17" t="str">
        <f>_xlfn.XLOOKUP(Table2[[#This Row],[buyFromVendorNo]],'Next Day Scheduled'!A:A,'Pending Returns'!O:O,"NOT_FOUND")</f>
        <v>NOT_FOUND</v>
      </c>
    </row>
    <row r="3660" spans="1:17" x14ac:dyDescent="0.3">
      <c r="A3660" s="1">
        <v>46247</v>
      </c>
      <c r="B3660" t="s">
        <v>2085</v>
      </c>
      <c r="C3660" t="s">
        <v>53</v>
      </c>
      <c r="D3660" t="s">
        <v>54</v>
      </c>
      <c r="E3660" t="s">
        <v>8</v>
      </c>
      <c r="F3660" t="s">
        <v>10</v>
      </c>
      <c r="G3660" s="16">
        <v>203</v>
      </c>
      <c r="H3660" s="16">
        <v>233.45</v>
      </c>
      <c r="J3660">
        <v>12</v>
      </c>
      <c r="K3660" t="s">
        <v>10049</v>
      </c>
      <c r="M3660">
        <v>7</v>
      </c>
      <c r="N3660">
        <v>1</v>
      </c>
      <c r="O3660" t="s">
        <v>216</v>
      </c>
      <c r="P3660" s="17"/>
      <c r="Q3660" s="17" t="str">
        <f>_xlfn.XLOOKUP(Table2[[#This Row],[buyFromVendorNo]],'Next Day Scheduled'!A:A,'Pending Returns'!O:O,"NOT_FOUND")</f>
        <v>Posted Credit Note</v>
      </c>
    </row>
    <row r="3661" spans="1:17" x14ac:dyDescent="0.3">
      <c r="A3661" s="1">
        <v>46247</v>
      </c>
      <c r="B3661" t="s">
        <v>5609</v>
      </c>
      <c r="C3661" t="s">
        <v>2505</v>
      </c>
      <c r="D3661" t="s">
        <v>2758</v>
      </c>
      <c r="E3661" t="s">
        <v>8</v>
      </c>
      <c r="F3661" t="s">
        <v>169</v>
      </c>
      <c r="G3661" s="16">
        <v>413</v>
      </c>
      <c r="H3661" s="16">
        <v>474.95</v>
      </c>
      <c r="I3661" s="1">
        <v>46247</v>
      </c>
      <c r="J3661">
        <v>12</v>
      </c>
      <c r="K3661" t="s">
        <v>9354</v>
      </c>
      <c r="L3661" t="s">
        <v>9947</v>
      </c>
      <c r="M3661">
        <v>3</v>
      </c>
      <c r="N3661">
        <v>2</v>
      </c>
      <c r="O3661" t="s">
        <v>223</v>
      </c>
      <c r="P3661" s="17"/>
      <c r="Q3661" s="17" t="str">
        <f>_xlfn.XLOOKUP(Table2[[#This Row],[buyFromVendorNo]],'Next Day Scheduled'!A:A,'Pending Returns'!O:O,"NOT_FOUND")</f>
        <v>Posted Credit Note</v>
      </c>
    </row>
    <row r="3662" spans="1:17" x14ac:dyDescent="0.3">
      <c r="A3662" s="1">
        <v>46247</v>
      </c>
      <c r="B3662" t="s">
        <v>2602</v>
      </c>
      <c r="C3662" t="s">
        <v>43</v>
      </c>
      <c r="D3662" t="s">
        <v>44</v>
      </c>
      <c r="E3662" t="s">
        <v>8</v>
      </c>
      <c r="F3662" t="s">
        <v>10</v>
      </c>
      <c r="G3662" s="16">
        <v>427.33</v>
      </c>
      <c r="H3662" s="16">
        <v>491.42950000000002</v>
      </c>
      <c r="J3662">
        <v>12</v>
      </c>
      <c r="K3662" t="s">
        <v>10050</v>
      </c>
      <c r="M3662">
        <v>2</v>
      </c>
      <c r="N3662">
        <v>2</v>
      </c>
      <c r="O3662" t="s">
        <v>216</v>
      </c>
      <c r="P3662" s="17"/>
      <c r="Q3662" s="17" t="str">
        <f>_xlfn.XLOOKUP(Table2[[#This Row],[buyFromVendorNo]],'Next Day Scheduled'!A:A,'Pending Returns'!O:O,"NOT_FOUND")</f>
        <v>Posted Credit Note</v>
      </c>
    </row>
    <row r="3663" spans="1:17" x14ac:dyDescent="0.3">
      <c r="A3663" s="1">
        <v>46248</v>
      </c>
      <c r="B3663" t="s">
        <v>5516</v>
      </c>
      <c r="C3663" t="s">
        <v>69</v>
      </c>
      <c r="D3663" t="s">
        <v>70</v>
      </c>
      <c r="E3663" t="s">
        <v>8</v>
      </c>
      <c r="F3663" t="s">
        <v>10</v>
      </c>
      <c r="G3663" s="16">
        <v>3750.04</v>
      </c>
      <c r="H3663" s="16">
        <v>4312.5460000000003</v>
      </c>
      <c r="J3663">
        <v>11</v>
      </c>
      <c r="K3663" t="s">
        <v>10062</v>
      </c>
      <c r="M3663">
        <v>11</v>
      </c>
      <c r="N3663">
        <v>1</v>
      </c>
      <c r="O3663" t="s">
        <v>216</v>
      </c>
      <c r="P3663" s="17"/>
      <c r="Q3663" s="17" t="str">
        <f>_xlfn.XLOOKUP(Table2[[#This Row],[buyFromVendorNo]],'Next Day Scheduled'!A:A,'Pending Returns'!O:O,"NOT_FOUND")</f>
        <v>Posted Credit Note</v>
      </c>
    </row>
    <row r="3664" spans="1:17" x14ac:dyDescent="0.3">
      <c r="A3664" s="1">
        <v>46248</v>
      </c>
      <c r="B3664" t="s">
        <v>260</v>
      </c>
      <c r="C3664" t="s">
        <v>39</v>
      </c>
      <c r="D3664" t="s">
        <v>40</v>
      </c>
      <c r="E3664" t="s">
        <v>8</v>
      </c>
      <c r="F3664" t="s">
        <v>10</v>
      </c>
      <c r="G3664" s="16">
        <v>3230.7292000000002</v>
      </c>
      <c r="H3664" s="16">
        <v>3715.3386</v>
      </c>
      <c r="J3664">
        <v>11</v>
      </c>
      <c r="K3664" t="s">
        <v>10061</v>
      </c>
      <c r="M3664">
        <v>4</v>
      </c>
      <c r="N3664">
        <v>1</v>
      </c>
      <c r="O3664" t="s">
        <v>216</v>
      </c>
      <c r="P3664" s="17"/>
      <c r="Q3664" s="17" t="str">
        <f>_xlfn.XLOOKUP(Table2[[#This Row],[buyFromVendorNo]],'Next Day Scheduled'!A:A,'Pending Returns'!O:O,"NOT_FOUND")</f>
        <v>Posted Credit Note</v>
      </c>
    </row>
    <row r="3665" spans="1:17" x14ac:dyDescent="0.3">
      <c r="A3665" s="1">
        <v>46248</v>
      </c>
      <c r="B3665" t="s">
        <v>237</v>
      </c>
      <c r="C3665" t="s">
        <v>177</v>
      </c>
      <c r="D3665" t="s">
        <v>178</v>
      </c>
      <c r="E3665" t="s">
        <v>8</v>
      </c>
      <c r="F3665" t="s">
        <v>10</v>
      </c>
      <c r="G3665" s="16">
        <v>2988.45</v>
      </c>
      <c r="H3665" s="16">
        <v>3436.7175000000002</v>
      </c>
      <c r="J3665">
        <v>11</v>
      </c>
      <c r="K3665" t="s">
        <v>10059</v>
      </c>
      <c r="M3665">
        <v>5</v>
      </c>
      <c r="N3665">
        <v>2</v>
      </c>
      <c r="O3665" t="s">
        <v>216</v>
      </c>
      <c r="P3665" s="17"/>
      <c r="Q3665" s="17" t="str">
        <f>_xlfn.XLOOKUP(Table2[[#This Row],[buyFromVendorNo]],'Next Day Scheduled'!A:A,'Pending Returns'!O:O,"NOT_FOUND")</f>
        <v>Posted Credit Note</v>
      </c>
    </row>
    <row r="3666" spans="1:17" x14ac:dyDescent="0.3">
      <c r="A3666" s="1">
        <v>46248</v>
      </c>
      <c r="B3666" t="s">
        <v>642</v>
      </c>
      <c r="C3666" t="s">
        <v>618</v>
      </c>
      <c r="D3666" t="s">
        <v>6379</v>
      </c>
      <c r="E3666" t="s">
        <v>8</v>
      </c>
      <c r="F3666" t="s">
        <v>38</v>
      </c>
      <c r="G3666" s="16">
        <v>1350.4957999999999</v>
      </c>
      <c r="H3666" s="16">
        <v>1350.4957999999999</v>
      </c>
      <c r="I3666" s="1">
        <v>46246</v>
      </c>
      <c r="J3666">
        <v>11</v>
      </c>
      <c r="K3666" t="s">
        <v>9723</v>
      </c>
      <c r="L3666" t="s">
        <v>10055</v>
      </c>
      <c r="M3666">
        <v>12</v>
      </c>
      <c r="N3666">
        <v>0</v>
      </c>
      <c r="O3666" t="s">
        <v>1036</v>
      </c>
      <c r="P3666" s="17"/>
      <c r="Q3666" s="17" t="str">
        <f>_xlfn.XLOOKUP(Table2[[#This Row],[buyFromVendorNo]],'Next Day Scheduled'!A:A,'Pending Returns'!O:O,"NOT_FOUND")</f>
        <v>NOT_FOUND</v>
      </c>
    </row>
    <row r="3667" spans="1:17" x14ac:dyDescent="0.3">
      <c r="A3667" s="1">
        <v>46248</v>
      </c>
      <c r="B3667" t="s">
        <v>6262</v>
      </c>
      <c r="C3667" t="s">
        <v>173</v>
      </c>
      <c r="D3667" t="s">
        <v>174</v>
      </c>
      <c r="E3667" t="s">
        <v>8</v>
      </c>
      <c r="F3667" t="s">
        <v>10</v>
      </c>
      <c r="G3667" s="16">
        <v>2826.38</v>
      </c>
      <c r="H3667" s="16">
        <v>3250.337</v>
      </c>
      <c r="J3667">
        <v>11</v>
      </c>
      <c r="K3667" t="s">
        <v>10060</v>
      </c>
      <c r="M3667">
        <v>5</v>
      </c>
      <c r="N3667">
        <v>1</v>
      </c>
      <c r="O3667" t="s">
        <v>216</v>
      </c>
      <c r="P3667" s="17"/>
      <c r="Q3667" s="17" t="str">
        <f>_xlfn.XLOOKUP(Table2[[#This Row],[buyFromVendorNo]],'Next Day Scheduled'!A:A,'Pending Returns'!O:O,"NOT_FOUND")</f>
        <v>NOT_FOUND</v>
      </c>
    </row>
    <row r="3668" spans="1:17" x14ac:dyDescent="0.3">
      <c r="A3668" s="1">
        <v>46248</v>
      </c>
      <c r="B3668" t="s">
        <v>9421</v>
      </c>
      <c r="C3668" t="s">
        <v>3773</v>
      </c>
      <c r="D3668" t="s">
        <v>3774</v>
      </c>
      <c r="E3668" t="s">
        <v>8</v>
      </c>
      <c r="F3668" t="s">
        <v>10</v>
      </c>
      <c r="G3668" s="16">
        <v>1572</v>
      </c>
      <c r="H3668" s="16">
        <v>1807.8</v>
      </c>
      <c r="J3668">
        <v>11</v>
      </c>
      <c r="K3668" t="s">
        <v>10058</v>
      </c>
      <c r="M3668">
        <v>2</v>
      </c>
      <c r="N3668">
        <v>2</v>
      </c>
      <c r="O3668" t="s">
        <v>216</v>
      </c>
      <c r="P3668" s="17"/>
      <c r="Q3668" s="17" t="str">
        <f>_xlfn.XLOOKUP(Table2[[#This Row],[buyFromVendorNo]],'Next Day Scheduled'!A:A,'Pending Returns'!O:O,"NOT_FOUND")</f>
        <v>NOT_FOUND</v>
      </c>
    </row>
    <row r="3669" spans="1:17" x14ac:dyDescent="0.3">
      <c r="A3669" s="1">
        <v>46249</v>
      </c>
      <c r="B3669" t="s">
        <v>642</v>
      </c>
      <c r="C3669" t="s">
        <v>598</v>
      </c>
      <c r="D3669" t="s">
        <v>9088</v>
      </c>
      <c r="E3669" t="s">
        <v>8</v>
      </c>
      <c r="F3669" t="s">
        <v>38</v>
      </c>
      <c r="G3669" s="16">
        <v>7787.5590000000002</v>
      </c>
      <c r="H3669" s="16">
        <v>8955.6929999999993</v>
      </c>
      <c r="J3669">
        <v>10</v>
      </c>
      <c r="K3669" t="s">
        <v>10078</v>
      </c>
      <c r="M3669">
        <v>1</v>
      </c>
      <c r="N3669">
        <v>6</v>
      </c>
      <c r="O3669" t="s">
        <v>216</v>
      </c>
      <c r="P3669" s="17"/>
      <c r="Q3669" s="17" t="str">
        <f>_xlfn.XLOOKUP(Table2[[#This Row],[buyFromVendorNo]],'Next Day Scheduled'!A:A,'Pending Returns'!O:O,"NOT_FOUND")</f>
        <v>NOT_FOUND</v>
      </c>
    </row>
    <row r="3670" spans="1:17" x14ac:dyDescent="0.3">
      <c r="A3670" s="1">
        <v>46249</v>
      </c>
      <c r="B3670" t="s">
        <v>642</v>
      </c>
      <c r="C3670" t="s">
        <v>126</v>
      </c>
      <c r="D3670" t="s">
        <v>127</v>
      </c>
      <c r="E3670" t="s">
        <v>8</v>
      </c>
      <c r="F3670" t="s">
        <v>38</v>
      </c>
      <c r="G3670" s="16">
        <v>362.91759999999999</v>
      </c>
      <c r="H3670" s="16">
        <v>417.35525999999999</v>
      </c>
      <c r="J3670">
        <v>10</v>
      </c>
      <c r="K3670" t="s">
        <v>10079</v>
      </c>
      <c r="M3670">
        <v>0</v>
      </c>
      <c r="N3670">
        <v>12</v>
      </c>
      <c r="O3670" t="s">
        <v>216</v>
      </c>
      <c r="P3670" s="17"/>
      <c r="Q3670" s="17" t="str">
        <f>_xlfn.XLOOKUP(Table2[[#This Row],[buyFromVendorNo]],'Next Day Scheduled'!A:A,'Pending Returns'!O:O,"NOT_FOUND")</f>
        <v>NOT_FOUND</v>
      </c>
    </row>
    <row r="3671" spans="1:17" x14ac:dyDescent="0.3">
      <c r="A3671" s="1">
        <v>46249</v>
      </c>
      <c r="B3671" t="s">
        <v>642</v>
      </c>
      <c r="C3671" t="s">
        <v>448</v>
      </c>
      <c r="D3671" t="s">
        <v>449</v>
      </c>
      <c r="E3671" t="s">
        <v>8</v>
      </c>
      <c r="F3671" t="s">
        <v>38</v>
      </c>
      <c r="G3671" s="16">
        <v>142.5</v>
      </c>
      <c r="H3671" s="16">
        <v>163.875</v>
      </c>
      <c r="J3671">
        <v>10</v>
      </c>
      <c r="K3671" t="s">
        <v>10080</v>
      </c>
      <c r="M3671">
        <v>2</v>
      </c>
      <c r="N3671">
        <v>1</v>
      </c>
      <c r="O3671" t="s">
        <v>216</v>
      </c>
      <c r="P3671" s="17"/>
      <c r="Q3671" s="17" t="str">
        <f>_xlfn.XLOOKUP(Table2[[#This Row],[buyFromVendorNo]],'Next Day Scheduled'!A:A,'Pending Returns'!O:O,"NOT_FOUND")</f>
        <v>NOT_FOUND</v>
      </c>
    </row>
    <row r="3672" spans="1:17" x14ac:dyDescent="0.3">
      <c r="A3672" s="1">
        <v>46249</v>
      </c>
      <c r="B3672" t="s">
        <v>642</v>
      </c>
      <c r="C3672" t="s">
        <v>444</v>
      </c>
      <c r="D3672" t="s">
        <v>445</v>
      </c>
      <c r="E3672" t="s">
        <v>8</v>
      </c>
      <c r="F3672" t="s">
        <v>38</v>
      </c>
      <c r="G3672" s="16">
        <v>1890.4</v>
      </c>
      <c r="H3672" s="16">
        <v>2173.96</v>
      </c>
      <c r="J3672">
        <v>10</v>
      </c>
      <c r="K3672" t="s">
        <v>10126</v>
      </c>
      <c r="M3672">
        <v>1</v>
      </c>
      <c r="N3672">
        <v>9</v>
      </c>
      <c r="O3672" t="s">
        <v>216</v>
      </c>
      <c r="P3672" s="17"/>
      <c r="Q3672" s="17" t="str">
        <f>_xlfn.XLOOKUP(Table2[[#This Row],[buyFromVendorNo]],'Next Day Scheduled'!A:A,'Pending Returns'!O:O,"NOT_FOUND")</f>
        <v>NOT_FOUND</v>
      </c>
    </row>
    <row r="3673" spans="1:17" x14ac:dyDescent="0.3">
      <c r="A3673" s="1">
        <v>46249</v>
      </c>
      <c r="B3673" t="s">
        <v>3344</v>
      </c>
      <c r="C3673" t="s">
        <v>420</v>
      </c>
      <c r="D3673" t="s">
        <v>421</v>
      </c>
      <c r="E3673" t="s">
        <v>8</v>
      </c>
      <c r="F3673" t="s">
        <v>10</v>
      </c>
      <c r="G3673" s="16">
        <v>268.01925999999997</v>
      </c>
      <c r="H3673" s="16">
        <v>308.22214000000002</v>
      </c>
      <c r="I3673" s="1">
        <v>46240</v>
      </c>
      <c r="J3673">
        <v>10</v>
      </c>
      <c r="K3673" t="s">
        <v>8386</v>
      </c>
      <c r="L3673" t="s">
        <v>10139</v>
      </c>
      <c r="M3673">
        <v>2</v>
      </c>
      <c r="N3673">
        <v>3</v>
      </c>
      <c r="O3673" t="s">
        <v>1036</v>
      </c>
      <c r="P3673" s="17"/>
      <c r="Q3673" s="17" t="str">
        <f>_xlfn.XLOOKUP(Table2[[#This Row],[buyFromVendorNo]],'Next Day Scheduled'!A:A,'Pending Returns'!O:O,"NOT_FOUND")</f>
        <v>NOT_FOUND</v>
      </c>
    </row>
    <row r="3674" spans="1:17" x14ac:dyDescent="0.3">
      <c r="A3674" s="1">
        <v>46249</v>
      </c>
      <c r="B3674" t="s">
        <v>2786</v>
      </c>
      <c r="C3674" t="s">
        <v>69</v>
      </c>
      <c r="D3674" t="s">
        <v>70</v>
      </c>
      <c r="E3674" t="s">
        <v>8</v>
      </c>
      <c r="F3674" t="s">
        <v>10</v>
      </c>
      <c r="G3674" s="16">
        <v>4765.33</v>
      </c>
      <c r="H3674" s="16">
        <v>5480.1293999999998</v>
      </c>
      <c r="J3674">
        <v>10</v>
      </c>
      <c r="K3674" t="s">
        <v>10085</v>
      </c>
      <c r="M3674">
        <v>10</v>
      </c>
      <c r="N3674">
        <v>1</v>
      </c>
      <c r="O3674" t="s">
        <v>216</v>
      </c>
      <c r="P3674" s="17"/>
      <c r="Q3674" s="17" t="str">
        <f>_xlfn.XLOOKUP(Table2[[#This Row],[buyFromVendorNo]],'Next Day Scheduled'!A:A,'Pending Returns'!O:O,"NOT_FOUND")</f>
        <v>Posted Credit Note</v>
      </c>
    </row>
    <row r="3675" spans="1:17" x14ac:dyDescent="0.3">
      <c r="A3675" s="1">
        <v>46249</v>
      </c>
      <c r="B3675" t="s">
        <v>5609</v>
      </c>
      <c r="C3675" t="s">
        <v>49</v>
      </c>
      <c r="D3675" t="s">
        <v>50</v>
      </c>
      <c r="E3675" t="s">
        <v>8</v>
      </c>
      <c r="F3675" t="s">
        <v>169</v>
      </c>
      <c r="G3675" s="16">
        <v>108.48</v>
      </c>
      <c r="H3675" s="16">
        <v>124.752</v>
      </c>
      <c r="J3675">
        <v>10</v>
      </c>
      <c r="K3675" t="s">
        <v>10127</v>
      </c>
      <c r="M3675">
        <v>1</v>
      </c>
      <c r="N3675">
        <v>7</v>
      </c>
      <c r="O3675" t="s">
        <v>216</v>
      </c>
      <c r="P3675" s="17"/>
      <c r="Q3675" s="17" t="str">
        <f>_xlfn.XLOOKUP(Table2[[#This Row],[buyFromVendorNo]],'Next Day Scheduled'!A:A,'Pending Returns'!O:O,"NOT_FOUND")</f>
        <v>NOT_FOUND</v>
      </c>
    </row>
    <row r="3676" spans="1:17" x14ac:dyDescent="0.3">
      <c r="A3676" s="1">
        <v>46249</v>
      </c>
      <c r="B3676" t="s">
        <v>8126</v>
      </c>
      <c r="C3676" t="s">
        <v>564</v>
      </c>
      <c r="D3676" t="s">
        <v>565</v>
      </c>
      <c r="E3676" t="s">
        <v>8</v>
      </c>
      <c r="F3676" t="s">
        <v>10</v>
      </c>
      <c r="G3676" s="16">
        <v>6.3</v>
      </c>
      <c r="H3676" s="16">
        <v>7.2450000000000001</v>
      </c>
      <c r="I3676" s="1">
        <v>46249</v>
      </c>
      <c r="J3676">
        <v>10</v>
      </c>
      <c r="K3676" t="s">
        <v>8127</v>
      </c>
      <c r="L3676" t="s">
        <v>10107</v>
      </c>
      <c r="M3676">
        <v>1</v>
      </c>
      <c r="N3676">
        <v>10</v>
      </c>
      <c r="O3676" t="s">
        <v>1036</v>
      </c>
      <c r="P3676" s="17"/>
      <c r="Q3676" s="17" t="str">
        <f>_xlfn.XLOOKUP(Table2[[#This Row],[buyFromVendorNo]],'Next Day Scheduled'!A:A,'Pending Returns'!O:O,"NOT_FOUND")</f>
        <v>Posted Credit Note</v>
      </c>
    </row>
    <row r="3677" spans="1:17" x14ac:dyDescent="0.3">
      <c r="A3677" s="1">
        <v>46249</v>
      </c>
      <c r="B3677" t="s">
        <v>642</v>
      </c>
      <c r="C3677" t="s">
        <v>253</v>
      </c>
      <c r="D3677" t="s">
        <v>254</v>
      </c>
      <c r="E3677" t="s">
        <v>8</v>
      </c>
      <c r="F3677" t="s">
        <v>38</v>
      </c>
      <c r="G3677" s="16">
        <v>310.89999999999998</v>
      </c>
      <c r="H3677" s="16">
        <v>357.53500000000003</v>
      </c>
      <c r="J3677">
        <v>10</v>
      </c>
      <c r="K3677" t="s">
        <v>10108</v>
      </c>
      <c r="M3677">
        <v>0</v>
      </c>
      <c r="N3677">
        <v>313</v>
      </c>
      <c r="O3677" t="s">
        <v>216</v>
      </c>
      <c r="P3677" s="17"/>
      <c r="Q3677" s="17" t="str">
        <f>_xlfn.XLOOKUP(Table2[[#This Row],[buyFromVendorNo]],'Next Day Scheduled'!A:A,'Pending Returns'!O:O,"NOT_FOUND")</f>
        <v>NOT_FOUND</v>
      </c>
    </row>
    <row r="3678" spans="1:17" x14ac:dyDescent="0.3">
      <c r="A3678" s="1">
        <v>46249</v>
      </c>
      <c r="B3678" t="s">
        <v>6258</v>
      </c>
      <c r="C3678" t="s">
        <v>204</v>
      </c>
      <c r="D3678" t="s">
        <v>205</v>
      </c>
      <c r="E3678" t="s">
        <v>8</v>
      </c>
      <c r="F3678" t="s">
        <v>38</v>
      </c>
      <c r="G3678" s="16">
        <v>172.63914</v>
      </c>
      <c r="H3678" s="16">
        <v>198.535</v>
      </c>
      <c r="I3678" s="1">
        <v>46246</v>
      </c>
      <c r="J3678">
        <v>10</v>
      </c>
      <c r="K3678" t="s">
        <v>8365</v>
      </c>
      <c r="L3678" t="s">
        <v>10109</v>
      </c>
      <c r="M3678">
        <v>1</v>
      </c>
      <c r="N3678">
        <v>5</v>
      </c>
      <c r="O3678" t="s">
        <v>1036</v>
      </c>
      <c r="P3678" s="17"/>
      <c r="Q3678" s="17" t="str">
        <f>_xlfn.XLOOKUP(Table2[[#This Row],[buyFromVendorNo]],'Next Day Scheduled'!A:A,'Pending Returns'!O:O,"NOT_FOUND")</f>
        <v>NOT_FOUND</v>
      </c>
    </row>
    <row r="3679" spans="1:17" x14ac:dyDescent="0.3">
      <c r="A3679" s="1">
        <v>46249</v>
      </c>
      <c r="B3679" t="s">
        <v>642</v>
      </c>
      <c r="C3679" t="s">
        <v>4119</v>
      </c>
      <c r="D3679" t="s">
        <v>4120</v>
      </c>
      <c r="E3679" t="s">
        <v>8</v>
      </c>
      <c r="F3679" t="s">
        <v>38</v>
      </c>
      <c r="G3679" s="16">
        <v>10</v>
      </c>
      <c r="H3679" s="16">
        <v>11.5</v>
      </c>
      <c r="J3679">
        <v>10</v>
      </c>
      <c r="K3679" t="s">
        <v>10086</v>
      </c>
      <c r="M3679">
        <v>0</v>
      </c>
      <c r="N3679">
        <v>37</v>
      </c>
      <c r="O3679" t="s">
        <v>216</v>
      </c>
      <c r="P3679" s="17"/>
      <c r="Q3679" s="17" t="str">
        <f>_xlfn.XLOOKUP(Table2[[#This Row],[buyFromVendorNo]],'Next Day Scheduled'!A:A,'Pending Returns'!O:O,"NOT_FOUND")</f>
        <v>NOT_FOUND</v>
      </c>
    </row>
    <row r="3680" spans="1:17" x14ac:dyDescent="0.3">
      <c r="A3680" s="1">
        <v>46249</v>
      </c>
      <c r="B3680" t="s">
        <v>2730</v>
      </c>
      <c r="C3680" t="s">
        <v>177</v>
      </c>
      <c r="D3680" t="s">
        <v>178</v>
      </c>
      <c r="E3680" t="s">
        <v>8</v>
      </c>
      <c r="F3680" t="s">
        <v>10</v>
      </c>
      <c r="G3680" s="16">
        <v>1593.84</v>
      </c>
      <c r="H3680" s="16">
        <v>1832.9159999999999</v>
      </c>
      <c r="J3680">
        <v>10</v>
      </c>
      <c r="K3680" t="s">
        <v>10110</v>
      </c>
      <c r="M3680">
        <v>5</v>
      </c>
      <c r="N3680">
        <v>2</v>
      </c>
      <c r="O3680" t="s">
        <v>216</v>
      </c>
      <c r="P3680" s="17"/>
      <c r="Q3680" s="17" t="str">
        <f>_xlfn.XLOOKUP(Table2[[#This Row],[buyFromVendorNo]],'Next Day Scheduled'!A:A,'Pending Returns'!O:O,"NOT_FOUND")</f>
        <v>Posted Credit Note</v>
      </c>
    </row>
    <row r="3681" spans="1:17" x14ac:dyDescent="0.3">
      <c r="A3681" s="1">
        <v>46249</v>
      </c>
      <c r="B3681" t="s">
        <v>7745</v>
      </c>
      <c r="C3681" t="s">
        <v>880</v>
      </c>
      <c r="D3681" t="s">
        <v>881</v>
      </c>
      <c r="E3681" t="s">
        <v>8</v>
      </c>
      <c r="F3681" t="s">
        <v>10</v>
      </c>
      <c r="G3681" s="16">
        <v>92</v>
      </c>
      <c r="H3681" s="16">
        <v>105.8</v>
      </c>
      <c r="I3681" s="1">
        <v>46249</v>
      </c>
      <c r="J3681">
        <v>10</v>
      </c>
      <c r="K3681" t="s">
        <v>9785</v>
      </c>
      <c r="L3681" t="s">
        <v>10146</v>
      </c>
      <c r="M3681">
        <v>0</v>
      </c>
      <c r="N3681">
        <v>13</v>
      </c>
      <c r="O3681" t="s">
        <v>1036</v>
      </c>
      <c r="P3681" s="17"/>
      <c r="Q3681" s="17" t="str">
        <f>_xlfn.XLOOKUP(Table2[[#This Row],[buyFromVendorNo]],'Next Day Scheduled'!A:A,'Pending Returns'!O:O,"NOT_FOUND")</f>
        <v>NOT_FOUND</v>
      </c>
    </row>
    <row r="3682" spans="1:17" x14ac:dyDescent="0.3">
      <c r="A3682" s="1">
        <v>46249</v>
      </c>
      <c r="B3682" t="s">
        <v>5119</v>
      </c>
      <c r="C3682" t="s">
        <v>39</v>
      </c>
      <c r="D3682" t="s">
        <v>40</v>
      </c>
      <c r="E3682" t="s">
        <v>8</v>
      </c>
      <c r="F3682" t="s">
        <v>10</v>
      </c>
      <c r="G3682" s="16">
        <v>1330.3483000000001</v>
      </c>
      <c r="H3682" s="16">
        <v>1529.9005</v>
      </c>
      <c r="I3682" s="1">
        <v>46246</v>
      </c>
      <c r="J3682">
        <v>10</v>
      </c>
      <c r="K3682" t="s">
        <v>9740</v>
      </c>
      <c r="L3682" t="s">
        <v>10095</v>
      </c>
      <c r="M3682">
        <v>4</v>
      </c>
      <c r="N3682">
        <v>1</v>
      </c>
      <c r="O3682" t="s">
        <v>1036</v>
      </c>
      <c r="P3682" s="17"/>
      <c r="Q3682" s="17" t="str">
        <f>_xlfn.XLOOKUP(Table2[[#This Row],[buyFromVendorNo]],'Next Day Scheduled'!A:A,'Pending Returns'!O:O,"NOT_FOUND")</f>
        <v>Posted Credit Note</v>
      </c>
    </row>
    <row r="3683" spans="1:17" x14ac:dyDescent="0.3">
      <c r="A3683" s="1">
        <v>46249</v>
      </c>
      <c r="B3683" t="s">
        <v>5336</v>
      </c>
      <c r="C3683" t="s">
        <v>191</v>
      </c>
      <c r="D3683" t="s">
        <v>192</v>
      </c>
      <c r="E3683" t="s">
        <v>8</v>
      </c>
      <c r="F3683" t="s">
        <v>10</v>
      </c>
      <c r="G3683" s="16">
        <v>108.72143</v>
      </c>
      <c r="H3683" s="16">
        <v>125.02964</v>
      </c>
      <c r="I3683" s="1">
        <v>46247</v>
      </c>
      <c r="J3683">
        <v>10</v>
      </c>
      <c r="K3683" t="s">
        <v>9815</v>
      </c>
      <c r="L3683" t="s">
        <v>10064</v>
      </c>
      <c r="M3683">
        <v>1</v>
      </c>
      <c r="N3683">
        <v>3</v>
      </c>
      <c r="O3683" t="s">
        <v>1036</v>
      </c>
      <c r="P3683" s="17"/>
      <c r="Q3683" s="17" t="str">
        <f>_xlfn.XLOOKUP(Table2[[#This Row],[buyFromVendorNo]],'Next Day Scheduled'!A:A,'Pending Returns'!O:O,"NOT_FOUND")</f>
        <v>NOT_FOUND</v>
      </c>
    </row>
    <row r="3684" spans="1:17" x14ac:dyDescent="0.3">
      <c r="A3684" s="1">
        <v>46249</v>
      </c>
      <c r="B3684" t="s">
        <v>642</v>
      </c>
      <c r="C3684" t="s">
        <v>204</v>
      </c>
      <c r="D3684" t="s">
        <v>205</v>
      </c>
      <c r="E3684" t="s">
        <v>8</v>
      </c>
      <c r="F3684" t="s">
        <v>38</v>
      </c>
      <c r="G3684" s="16">
        <v>802.33043999999995</v>
      </c>
      <c r="H3684" s="16">
        <v>922.68005000000005</v>
      </c>
      <c r="I3684" s="1">
        <v>46246</v>
      </c>
      <c r="J3684">
        <v>10</v>
      </c>
      <c r="K3684" t="s">
        <v>8729</v>
      </c>
      <c r="L3684" t="s">
        <v>10150</v>
      </c>
      <c r="M3684">
        <v>1</v>
      </c>
      <c r="N3684">
        <v>5</v>
      </c>
      <c r="O3684" t="s">
        <v>1036</v>
      </c>
      <c r="P3684" s="17"/>
      <c r="Q3684" s="17" t="str">
        <f>_xlfn.XLOOKUP(Table2[[#This Row],[buyFromVendorNo]],'Next Day Scheduled'!A:A,'Pending Returns'!O:O,"NOT_FOUND")</f>
        <v>NOT_FOUND</v>
      </c>
    </row>
    <row r="3685" spans="1:17" x14ac:dyDescent="0.3">
      <c r="A3685" s="1">
        <v>46249</v>
      </c>
      <c r="B3685" t="s">
        <v>433</v>
      </c>
      <c r="C3685" t="s">
        <v>60</v>
      </c>
      <c r="D3685" t="s">
        <v>61</v>
      </c>
      <c r="E3685" t="s">
        <v>8</v>
      </c>
      <c r="F3685" t="s">
        <v>38</v>
      </c>
      <c r="G3685" s="16">
        <v>1009.32</v>
      </c>
      <c r="H3685" s="16">
        <v>1160.7180000000001</v>
      </c>
      <c r="I3685" s="1">
        <v>46246</v>
      </c>
      <c r="J3685">
        <v>10</v>
      </c>
      <c r="K3685" t="s">
        <v>7891</v>
      </c>
      <c r="L3685" t="s">
        <v>10098</v>
      </c>
      <c r="M3685">
        <v>1</v>
      </c>
      <c r="N3685">
        <v>7</v>
      </c>
      <c r="O3685" t="s">
        <v>1036</v>
      </c>
      <c r="P3685" s="17"/>
      <c r="Q3685" s="17" t="str">
        <f>_xlfn.XLOOKUP(Table2[[#This Row],[buyFromVendorNo]],'Next Day Scheduled'!A:A,'Pending Returns'!O:O,"NOT_FOUND")</f>
        <v>NOT_FOUND</v>
      </c>
    </row>
    <row r="3686" spans="1:17" x14ac:dyDescent="0.3">
      <c r="A3686" s="1">
        <v>46249</v>
      </c>
      <c r="B3686" t="s">
        <v>5609</v>
      </c>
      <c r="C3686" t="s">
        <v>201</v>
      </c>
      <c r="D3686" t="s">
        <v>202</v>
      </c>
      <c r="E3686" t="s">
        <v>8</v>
      </c>
      <c r="F3686" t="s">
        <v>169</v>
      </c>
      <c r="G3686" s="16">
        <v>135.9</v>
      </c>
      <c r="H3686" s="16">
        <v>156.285</v>
      </c>
      <c r="J3686">
        <v>10</v>
      </c>
      <c r="K3686" t="s">
        <v>10123</v>
      </c>
      <c r="M3686">
        <v>1</v>
      </c>
      <c r="N3686">
        <v>7</v>
      </c>
      <c r="O3686" t="s">
        <v>216</v>
      </c>
      <c r="P3686" s="17"/>
      <c r="Q3686" s="17" t="str">
        <f>_xlfn.XLOOKUP(Table2[[#This Row],[buyFromVendorNo]],'Next Day Scheduled'!A:A,'Pending Returns'!O:O,"NOT_FOUND")</f>
        <v>Pending for Collection</v>
      </c>
    </row>
    <row r="3687" spans="1:17" x14ac:dyDescent="0.3">
      <c r="A3687" s="1">
        <v>46249</v>
      </c>
      <c r="B3687" t="s">
        <v>642</v>
      </c>
      <c r="C3687" t="s">
        <v>86</v>
      </c>
      <c r="D3687" t="s">
        <v>87</v>
      </c>
      <c r="E3687" t="s">
        <v>8</v>
      </c>
      <c r="F3687" t="s">
        <v>38</v>
      </c>
      <c r="G3687" s="16">
        <v>120.52</v>
      </c>
      <c r="H3687" s="16">
        <v>138.59800000000001</v>
      </c>
      <c r="J3687">
        <v>10</v>
      </c>
      <c r="K3687" t="s">
        <v>10077</v>
      </c>
      <c r="M3687">
        <v>0</v>
      </c>
      <c r="N3687">
        <v>297</v>
      </c>
      <c r="O3687" t="s">
        <v>216</v>
      </c>
      <c r="P3687" s="17"/>
      <c r="Q3687" s="17" t="str">
        <f>_xlfn.XLOOKUP(Table2[[#This Row],[buyFromVendorNo]],'Next Day Scheduled'!A:A,'Pending Returns'!O:O,"NOT_FOUND")</f>
        <v>NOT_FOUND</v>
      </c>
    </row>
    <row r="3688" spans="1:17" x14ac:dyDescent="0.3">
      <c r="A3688" s="1">
        <v>46249</v>
      </c>
      <c r="B3688" t="s">
        <v>642</v>
      </c>
      <c r="C3688" t="s">
        <v>47</v>
      </c>
      <c r="D3688" t="s">
        <v>48</v>
      </c>
      <c r="E3688" t="s">
        <v>8</v>
      </c>
      <c r="F3688" t="s">
        <v>38</v>
      </c>
      <c r="G3688" s="16">
        <v>338.49</v>
      </c>
      <c r="H3688" s="16">
        <v>389.26350000000002</v>
      </c>
      <c r="J3688">
        <v>10</v>
      </c>
      <c r="K3688" t="s">
        <v>10136</v>
      </c>
      <c r="M3688">
        <v>0</v>
      </c>
      <c r="N3688">
        <v>117</v>
      </c>
      <c r="O3688" t="s">
        <v>216</v>
      </c>
      <c r="P3688" s="17"/>
      <c r="Q3688" s="17" t="str">
        <f>_xlfn.XLOOKUP(Table2[[#This Row],[buyFromVendorNo]],'Next Day Scheduled'!A:A,'Pending Returns'!O:O,"NOT_FOUND")</f>
        <v>NOT_FOUND</v>
      </c>
    </row>
    <row r="3689" spans="1:17" x14ac:dyDescent="0.3">
      <c r="A3689" s="1">
        <v>46249</v>
      </c>
      <c r="B3689" t="s">
        <v>5119</v>
      </c>
      <c r="C3689" t="s">
        <v>39</v>
      </c>
      <c r="D3689" t="s">
        <v>40</v>
      </c>
      <c r="E3689" t="s">
        <v>8</v>
      </c>
      <c r="F3689" t="s">
        <v>10</v>
      </c>
      <c r="G3689" s="16">
        <v>1748.0001</v>
      </c>
      <c r="H3689" s="16">
        <v>2010.2002</v>
      </c>
      <c r="I3689" s="1">
        <v>46246</v>
      </c>
      <c r="J3689">
        <v>10</v>
      </c>
      <c r="K3689" t="s">
        <v>9758</v>
      </c>
      <c r="L3689" t="s">
        <v>10103</v>
      </c>
      <c r="M3689">
        <v>4</v>
      </c>
      <c r="N3689">
        <v>1</v>
      </c>
      <c r="O3689" t="s">
        <v>1036</v>
      </c>
      <c r="P3689" s="17"/>
      <c r="Q3689" s="17" t="str">
        <f>_xlfn.XLOOKUP(Table2[[#This Row],[buyFromVendorNo]],'Next Day Scheduled'!A:A,'Pending Returns'!O:O,"NOT_FOUND")</f>
        <v>Posted Credit Note</v>
      </c>
    </row>
    <row r="3690" spans="1:17" x14ac:dyDescent="0.3">
      <c r="A3690" s="1">
        <v>46249</v>
      </c>
      <c r="B3690" t="s">
        <v>5609</v>
      </c>
      <c r="C3690" t="s">
        <v>773</v>
      </c>
      <c r="D3690" t="s">
        <v>774</v>
      </c>
      <c r="E3690" t="s">
        <v>8</v>
      </c>
      <c r="F3690" t="s">
        <v>169</v>
      </c>
      <c r="G3690" s="16">
        <v>634.56510000000003</v>
      </c>
      <c r="H3690" s="16">
        <v>729.74994000000004</v>
      </c>
      <c r="J3690">
        <v>10</v>
      </c>
      <c r="K3690" t="s">
        <v>10081</v>
      </c>
      <c r="M3690">
        <v>0</v>
      </c>
      <c r="N3690">
        <v>41</v>
      </c>
      <c r="O3690" t="s">
        <v>216</v>
      </c>
      <c r="P3690" s="17"/>
      <c r="Q3690" s="17" t="str">
        <f>_xlfn.XLOOKUP(Table2[[#This Row],[buyFromVendorNo]],'Next Day Scheduled'!A:A,'Pending Returns'!O:O,"NOT_FOUND")</f>
        <v>NOT_FOUND</v>
      </c>
    </row>
    <row r="3691" spans="1:17" x14ac:dyDescent="0.3">
      <c r="A3691" s="1">
        <v>46249</v>
      </c>
      <c r="B3691" t="s">
        <v>3378</v>
      </c>
      <c r="C3691" t="s">
        <v>943</v>
      </c>
      <c r="D3691" t="s">
        <v>944</v>
      </c>
      <c r="E3691" t="s">
        <v>8</v>
      </c>
      <c r="F3691" t="s">
        <v>10</v>
      </c>
      <c r="G3691" s="16">
        <v>92.85</v>
      </c>
      <c r="H3691" s="16">
        <v>106.7775</v>
      </c>
      <c r="I3691" s="1">
        <v>46240</v>
      </c>
      <c r="J3691">
        <v>10</v>
      </c>
      <c r="K3691" t="s">
        <v>8833</v>
      </c>
      <c r="L3691" t="s">
        <v>10082</v>
      </c>
      <c r="M3691">
        <v>0</v>
      </c>
      <c r="N3691">
        <v>23</v>
      </c>
      <c r="O3691" t="s">
        <v>1036</v>
      </c>
      <c r="P3691" s="17"/>
      <c r="Q3691" s="17" t="str">
        <f>_xlfn.XLOOKUP(Table2[[#This Row],[buyFromVendorNo]],'Next Day Scheduled'!A:A,'Pending Returns'!O:O,"NOT_FOUND")</f>
        <v>NOT_FOUND</v>
      </c>
    </row>
    <row r="3692" spans="1:17" x14ac:dyDescent="0.3">
      <c r="A3692" s="1">
        <v>46249</v>
      </c>
      <c r="B3692" t="s">
        <v>642</v>
      </c>
      <c r="C3692" t="s">
        <v>401</v>
      </c>
      <c r="D3692" t="s">
        <v>402</v>
      </c>
      <c r="E3692" t="s">
        <v>8</v>
      </c>
      <c r="F3692" t="s">
        <v>38</v>
      </c>
      <c r="G3692" s="16">
        <v>144.75</v>
      </c>
      <c r="H3692" s="16">
        <v>166.46250000000001</v>
      </c>
      <c r="J3692">
        <v>10</v>
      </c>
      <c r="K3692" t="s">
        <v>10106</v>
      </c>
      <c r="M3692">
        <v>3</v>
      </c>
      <c r="N3692">
        <v>3</v>
      </c>
      <c r="O3692" t="s">
        <v>216</v>
      </c>
      <c r="P3692" s="17"/>
      <c r="Q3692" s="17" t="str">
        <f>_xlfn.XLOOKUP(Table2[[#This Row],[buyFromVendorNo]],'Next Day Scheduled'!A:A,'Pending Returns'!O:O,"NOT_FOUND")</f>
        <v>Posted Credit Note</v>
      </c>
    </row>
    <row r="3693" spans="1:17" x14ac:dyDescent="0.3">
      <c r="A3693" s="1">
        <v>46249</v>
      </c>
      <c r="B3693" t="s">
        <v>642</v>
      </c>
      <c r="C3693" t="s">
        <v>618</v>
      </c>
      <c r="D3693" t="s">
        <v>6379</v>
      </c>
      <c r="E3693" t="s">
        <v>8</v>
      </c>
      <c r="F3693" t="s">
        <v>38</v>
      </c>
      <c r="G3693" s="16">
        <v>2124.8227999999999</v>
      </c>
      <c r="H3693" s="16">
        <v>2124.8227999999999</v>
      </c>
      <c r="I3693" s="1">
        <v>46247</v>
      </c>
      <c r="J3693">
        <v>10</v>
      </c>
      <c r="K3693" t="s">
        <v>9970</v>
      </c>
      <c r="L3693" t="s">
        <v>10105</v>
      </c>
      <c r="M3693">
        <v>11</v>
      </c>
      <c r="N3693">
        <v>0</v>
      </c>
      <c r="O3693" t="s">
        <v>1036</v>
      </c>
      <c r="P3693" s="17"/>
      <c r="Q3693" s="17" t="str">
        <f>_xlfn.XLOOKUP(Table2[[#This Row],[buyFromVendorNo]],'Next Day Scheduled'!A:A,'Pending Returns'!O:O,"NOT_FOUND")</f>
        <v>NOT_FOUND</v>
      </c>
    </row>
    <row r="3694" spans="1:17" x14ac:dyDescent="0.3">
      <c r="A3694" s="1">
        <v>46249</v>
      </c>
      <c r="B3694" t="s">
        <v>9611</v>
      </c>
      <c r="C3694" t="s">
        <v>564</v>
      </c>
      <c r="D3694" t="s">
        <v>565</v>
      </c>
      <c r="E3694" t="s">
        <v>8</v>
      </c>
      <c r="F3694" t="s">
        <v>10</v>
      </c>
      <c r="G3694" s="16">
        <v>22</v>
      </c>
      <c r="H3694" s="16">
        <v>25.3</v>
      </c>
      <c r="I3694" s="1">
        <v>46249</v>
      </c>
      <c r="J3694">
        <v>10</v>
      </c>
      <c r="K3694" t="s">
        <v>9612</v>
      </c>
      <c r="L3694" t="s">
        <v>10084</v>
      </c>
      <c r="M3694">
        <v>1</v>
      </c>
      <c r="N3694">
        <v>10</v>
      </c>
      <c r="O3694" t="s">
        <v>1036</v>
      </c>
      <c r="P3694" s="17"/>
      <c r="Q3694" s="17" t="str">
        <f>_xlfn.XLOOKUP(Table2[[#This Row],[buyFromVendorNo]],'Next Day Scheduled'!A:A,'Pending Returns'!O:O,"NOT_FOUND")</f>
        <v>Posted Credit Note</v>
      </c>
    </row>
    <row r="3695" spans="1:17" x14ac:dyDescent="0.3">
      <c r="A3695" s="1">
        <v>46249</v>
      </c>
      <c r="B3695" t="s">
        <v>2583</v>
      </c>
      <c r="C3695" t="s">
        <v>2363</v>
      </c>
      <c r="D3695" t="s">
        <v>2364</v>
      </c>
      <c r="E3695" t="s">
        <v>8</v>
      </c>
      <c r="F3695" t="s">
        <v>10</v>
      </c>
      <c r="G3695" s="16">
        <v>430.62</v>
      </c>
      <c r="H3695" s="16">
        <v>495.21300000000002</v>
      </c>
      <c r="I3695" s="1">
        <v>46246</v>
      </c>
      <c r="J3695">
        <v>10</v>
      </c>
      <c r="K3695" t="s">
        <v>9805</v>
      </c>
      <c r="L3695" t="s">
        <v>10141</v>
      </c>
      <c r="M3695">
        <v>1</v>
      </c>
      <c r="N3695">
        <v>6</v>
      </c>
      <c r="O3695" t="s">
        <v>1036</v>
      </c>
      <c r="P3695" s="17"/>
      <c r="Q3695" s="17" t="str">
        <f>_xlfn.XLOOKUP(Table2[[#This Row],[buyFromVendorNo]],'Next Day Scheduled'!A:A,'Pending Returns'!O:O,"NOT_FOUND")</f>
        <v>NOT_FOUND</v>
      </c>
    </row>
    <row r="3696" spans="1:17" x14ac:dyDescent="0.3">
      <c r="A3696" s="1">
        <v>46249</v>
      </c>
      <c r="B3696" t="s">
        <v>642</v>
      </c>
      <c r="C3696" t="s">
        <v>875</v>
      </c>
      <c r="D3696" t="s">
        <v>876</v>
      </c>
      <c r="E3696" t="s">
        <v>8</v>
      </c>
      <c r="F3696" t="s">
        <v>38</v>
      </c>
      <c r="G3696" s="16">
        <v>831.99</v>
      </c>
      <c r="H3696" s="16">
        <v>956.7885</v>
      </c>
      <c r="J3696">
        <v>10</v>
      </c>
      <c r="K3696" t="s">
        <v>10130</v>
      </c>
      <c r="M3696">
        <v>0</v>
      </c>
      <c r="N3696">
        <v>14</v>
      </c>
      <c r="O3696" t="s">
        <v>216</v>
      </c>
      <c r="P3696" s="17"/>
      <c r="Q3696" s="17" t="str">
        <f>_xlfn.XLOOKUP(Table2[[#This Row],[buyFromVendorNo]],'Next Day Scheduled'!A:A,'Pending Returns'!O:O,"NOT_FOUND")</f>
        <v>NOT_FOUND</v>
      </c>
    </row>
    <row r="3697" spans="1:17" x14ac:dyDescent="0.3">
      <c r="A3697" s="1">
        <v>46249</v>
      </c>
      <c r="B3697" t="s">
        <v>642</v>
      </c>
      <c r="C3697" t="s">
        <v>1536</v>
      </c>
      <c r="D3697" t="s">
        <v>1537</v>
      </c>
      <c r="E3697" t="s">
        <v>8</v>
      </c>
      <c r="F3697" t="s">
        <v>38</v>
      </c>
      <c r="G3697" s="16">
        <v>12.5</v>
      </c>
      <c r="H3697" s="16">
        <v>14.375</v>
      </c>
      <c r="J3697">
        <v>10</v>
      </c>
      <c r="K3697" t="s">
        <v>10131</v>
      </c>
      <c r="M3697">
        <v>0</v>
      </c>
      <c r="N3697">
        <v>33</v>
      </c>
      <c r="O3697" t="s">
        <v>216</v>
      </c>
      <c r="P3697" s="17"/>
      <c r="Q3697" s="17" t="str">
        <f>_xlfn.XLOOKUP(Table2[[#This Row],[buyFromVendorNo]],'Next Day Scheduled'!A:A,'Pending Returns'!O:O,"NOT_FOUND")</f>
        <v>Posted Credit Note</v>
      </c>
    </row>
    <row r="3698" spans="1:17" x14ac:dyDescent="0.3">
      <c r="A3698" s="1">
        <v>46249</v>
      </c>
      <c r="B3698" t="s">
        <v>642</v>
      </c>
      <c r="C3698" t="s">
        <v>305</v>
      </c>
      <c r="D3698" t="s">
        <v>306</v>
      </c>
      <c r="E3698" t="s">
        <v>8</v>
      </c>
      <c r="F3698" t="s">
        <v>38</v>
      </c>
      <c r="G3698" s="16">
        <v>398.51</v>
      </c>
      <c r="H3698" s="16">
        <v>458.28649999999999</v>
      </c>
      <c r="J3698">
        <v>10</v>
      </c>
      <c r="K3698" t="s">
        <v>10144</v>
      </c>
      <c r="M3698">
        <v>0</v>
      </c>
      <c r="N3698">
        <v>195</v>
      </c>
      <c r="O3698" t="s">
        <v>216</v>
      </c>
      <c r="P3698" s="17"/>
      <c r="Q3698" s="17" t="str">
        <f>_xlfn.XLOOKUP(Table2[[#This Row],[buyFromVendorNo]],'Next Day Scheduled'!A:A,'Pending Returns'!O:O,"NOT_FOUND")</f>
        <v>NOT_FOUND</v>
      </c>
    </row>
    <row r="3699" spans="1:17" x14ac:dyDescent="0.3">
      <c r="A3699" s="1">
        <v>46249</v>
      </c>
      <c r="B3699" t="s">
        <v>5119</v>
      </c>
      <c r="C3699" t="s">
        <v>39</v>
      </c>
      <c r="D3699" t="s">
        <v>40</v>
      </c>
      <c r="E3699" t="s">
        <v>8</v>
      </c>
      <c r="F3699" t="s">
        <v>10</v>
      </c>
      <c r="G3699" s="16">
        <v>864.702</v>
      </c>
      <c r="H3699" s="16">
        <v>994.40729999999996</v>
      </c>
      <c r="I3699" s="1">
        <v>46246</v>
      </c>
      <c r="J3699">
        <v>10</v>
      </c>
      <c r="K3699" t="s">
        <v>9719</v>
      </c>
      <c r="L3699" t="s">
        <v>10145</v>
      </c>
      <c r="M3699">
        <v>4</v>
      </c>
      <c r="N3699">
        <v>1</v>
      </c>
      <c r="O3699" t="s">
        <v>1036</v>
      </c>
      <c r="P3699" s="17"/>
      <c r="Q3699" s="17" t="str">
        <f>_xlfn.XLOOKUP(Table2[[#This Row],[buyFromVendorNo]],'Next Day Scheduled'!A:A,'Pending Returns'!O:O,"NOT_FOUND")</f>
        <v>Posted Credit Note</v>
      </c>
    </row>
    <row r="3700" spans="1:17" x14ac:dyDescent="0.3">
      <c r="A3700" s="1">
        <v>46249</v>
      </c>
      <c r="B3700" t="s">
        <v>731</v>
      </c>
      <c r="C3700" t="s">
        <v>39</v>
      </c>
      <c r="D3700" t="s">
        <v>40</v>
      </c>
      <c r="E3700" t="s">
        <v>8</v>
      </c>
      <c r="F3700" t="s">
        <v>10</v>
      </c>
      <c r="G3700" s="16">
        <v>3508.145</v>
      </c>
      <c r="H3700" s="16">
        <v>4034.3670000000002</v>
      </c>
      <c r="J3700">
        <v>10</v>
      </c>
      <c r="K3700" t="s">
        <v>10090</v>
      </c>
      <c r="M3700">
        <v>4</v>
      </c>
      <c r="N3700">
        <v>1</v>
      </c>
      <c r="O3700" t="s">
        <v>216</v>
      </c>
      <c r="P3700" s="17"/>
      <c r="Q3700" s="17" t="str">
        <f>_xlfn.XLOOKUP(Table2[[#This Row],[buyFromVendorNo]],'Next Day Scheduled'!A:A,'Pending Returns'!O:O,"NOT_FOUND")</f>
        <v>Posted Credit Note</v>
      </c>
    </row>
    <row r="3701" spans="1:17" x14ac:dyDescent="0.3">
      <c r="A3701" s="1">
        <v>46249</v>
      </c>
      <c r="B3701" t="s">
        <v>642</v>
      </c>
      <c r="C3701" t="s">
        <v>60</v>
      </c>
      <c r="D3701" t="s">
        <v>61</v>
      </c>
      <c r="E3701" t="s">
        <v>8</v>
      </c>
      <c r="F3701" t="s">
        <v>38</v>
      </c>
      <c r="G3701" s="16">
        <v>1532.02</v>
      </c>
      <c r="H3701" s="16">
        <v>1761.8230000000001</v>
      </c>
      <c r="I3701" s="1">
        <v>46246</v>
      </c>
      <c r="J3701">
        <v>10</v>
      </c>
      <c r="K3701" t="s">
        <v>8723</v>
      </c>
      <c r="L3701" t="s">
        <v>10132</v>
      </c>
      <c r="M3701">
        <v>1</v>
      </c>
      <c r="N3701">
        <v>7</v>
      </c>
      <c r="O3701" t="s">
        <v>1036</v>
      </c>
      <c r="P3701" s="17"/>
      <c r="Q3701" s="17" t="str">
        <f>_xlfn.XLOOKUP(Table2[[#This Row],[buyFromVendorNo]],'Next Day Scheduled'!A:A,'Pending Returns'!O:O,"NOT_FOUND")</f>
        <v>NOT_FOUND</v>
      </c>
    </row>
    <row r="3702" spans="1:17" x14ac:dyDescent="0.3">
      <c r="A3702" s="1">
        <v>46249</v>
      </c>
      <c r="B3702" t="s">
        <v>5264</v>
      </c>
      <c r="C3702" t="s">
        <v>776</v>
      </c>
      <c r="D3702" t="s">
        <v>777</v>
      </c>
      <c r="E3702" t="s">
        <v>8</v>
      </c>
      <c r="F3702" t="s">
        <v>10</v>
      </c>
      <c r="G3702" s="16">
        <v>233.34</v>
      </c>
      <c r="H3702" s="16">
        <v>268.34100000000001</v>
      </c>
      <c r="I3702" s="1">
        <v>46246</v>
      </c>
      <c r="J3702">
        <v>10</v>
      </c>
      <c r="K3702" t="s">
        <v>9415</v>
      </c>
      <c r="L3702" t="s">
        <v>10089</v>
      </c>
      <c r="M3702">
        <v>3</v>
      </c>
      <c r="N3702">
        <v>2</v>
      </c>
      <c r="O3702" t="s">
        <v>1036</v>
      </c>
      <c r="P3702" s="17"/>
      <c r="Q3702" s="17" t="str">
        <f>_xlfn.XLOOKUP(Table2[[#This Row],[buyFromVendorNo]],'Next Day Scheduled'!A:A,'Pending Returns'!O:O,"NOT_FOUND")</f>
        <v>Posted Credit Note</v>
      </c>
    </row>
    <row r="3703" spans="1:17" x14ac:dyDescent="0.3">
      <c r="A3703" s="1">
        <v>46249</v>
      </c>
      <c r="B3703" t="s">
        <v>2619</v>
      </c>
      <c r="C3703" t="s">
        <v>177</v>
      </c>
      <c r="D3703" t="s">
        <v>178</v>
      </c>
      <c r="E3703" t="s">
        <v>8</v>
      </c>
      <c r="F3703" t="s">
        <v>10</v>
      </c>
      <c r="G3703" s="16">
        <v>3847.2</v>
      </c>
      <c r="H3703" s="16">
        <v>4424.28</v>
      </c>
      <c r="J3703">
        <v>10</v>
      </c>
      <c r="K3703" t="s">
        <v>10100</v>
      </c>
      <c r="M3703">
        <v>5</v>
      </c>
      <c r="N3703">
        <v>2</v>
      </c>
      <c r="O3703" t="s">
        <v>216</v>
      </c>
      <c r="P3703" s="17"/>
      <c r="Q3703" s="17" t="str">
        <f>_xlfn.XLOOKUP(Table2[[#This Row],[buyFromVendorNo]],'Next Day Scheduled'!A:A,'Pending Returns'!O:O,"NOT_FOUND")</f>
        <v>Posted Credit Note</v>
      </c>
    </row>
    <row r="3704" spans="1:17" x14ac:dyDescent="0.3">
      <c r="A3704" s="1">
        <v>46249</v>
      </c>
      <c r="B3704" t="s">
        <v>1697</v>
      </c>
      <c r="C3704" t="s">
        <v>1768</v>
      </c>
      <c r="D3704" t="s">
        <v>1769</v>
      </c>
      <c r="E3704" t="s">
        <v>8</v>
      </c>
      <c r="F3704" t="s">
        <v>10</v>
      </c>
      <c r="G3704" s="16">
        <v>39</v>
      </c>
      <c r="H3704" s="16">
        <v>44.85</v>
      </c>
      <c r="I3704" s="1">
        <v>46236</v>
      </c>
      <c r="J3704">
        <v>10</v>
      </c>
      <c r="K3704" t="s">
        <v>8847</v>
      </c>
      <c r="L3704" t="s">
        <v>10101</v>
      </c>
      <c r="M3704">
        <v>2</v>
      </c>
      <c r="N3704">
        <v>5</v>
      </c>
      <c r="O3704" t="s">
        <v>1036</v>
      </c>
      <c r="P3704" s="17"/>
      <c r="Q3704" s="17" t="str">
        <f>_xlfn.XLOOKUP(Table2[[#This Row],[buyFromVendorNo]],'Next Day Scheduled'!A:A,'Pending Returns'!O:O,"NOT_FOUND")</f>
        <v>NOT_FOUND</v>
      </c>
    </row>
    <row r="3705" spans="1:17" x14ac:dyDescent="0.3">
      <c r="A3705" s="1">
        <v>46249</v>
      </c>
      <c r="B3705" t="s">
        <v>3259</v>
      </c>
      <c r="C3705" t="s">
        <v>1639</v>
      </c>
      <c r="D3705" t="s">
        <v>1640</v>
      </c>
      <c r="E3705" t="s">
        <v>8</v>
      </c>
      <c r="F3705" t="s">
        <v>10</v>
      </c>
      <c r="G3705" s="16">
        <v>27.75</v>
      </c>
      <c r="H3705" s="16">
        <v>31.912500000000001</v>
      </c>
      <c r="I3705" s="1">
        <v>46246</v>
      </c>
      <c r="J3705">
        <v>10</v>
      </c>
      <c r="K3705" t="s">
        <v>9442</v>
      </c>
      <c r="L3705" t="s">
        <v>10104</v>
      </c>
      <c r="M3705">
        <v>1</v>
      </c>
      <c r="N3705">
        <v>7</v>
      </c>
      <c r="O3705" t="s">
        <v>1036</v>
      </c>
      <c r="P3705" s="17"/>
      <c r="Q3705" s="17" t="str">
        <f>_xlfn.XLOOKUP(Table2[[#This Row],[buyFromVendorNo]],'Next Day Scheduled'!A:A,'Pending Returns'!O:O,"NOT_FOUND")</f>
        <v>Posted Credit Note</v>
      </c>
    </row>
    <row r="3706" spans="1:17" x14ac:dyDescent="0.3">
      <c r="A3706" s="1">
        <v>46249</v>
      </c>
      <c r="B3706" t="s">
        <v>5119</v>
      </c>
      <c r="C3706" t="s">
        <v>39</v>
      </c>
      <c r="D3706" t="s">
        <v>40</v>
      </c>
      <c r="E3706" t="s">
        <v>8</v>
      </c>
      <c r="F3706" t="s">
        <v>10</v>
      </c>
      <c r="G3706" s="16">
        <v>3134.0713000000001</v>
      </c>
      <c r="H3706" s="16">
        <v>3604.1819999999998</v>
      </c>
      <c r="I3706" s="1">
        <v>46246</v>
      </c>
      <c r="J3706">
        <v>10</v>
      </c>
      <c r="K3706" t="s">
        <v>9717</v>
      </c>
      <c r="L3706" t="s">
        <v>10138</v>
      </c>
      <c r="M3706">
        <v>4</v>
      </c>
      <c r="N3706">
        <v>1</v>
      </c>
      <c r="O3706" t="s">
        <v>1036</v>
      </c>
      <c r="P3706" s="17"/>
      <c r="Q3706" s="17" t="str">
        <f>_xlfn.XLOOKUP(Table2[[#This Row],[buyFromVendorNo]],'Next Day Scheduled'!A:A,'Pending Returns'!O:O,"NOT_FOUND")</f>
        <v>Posted Credit Note</v>
      </c>
    </row>
    <row r="3707" spans="1:17" x14ac:dyDescent="0.3">
      <c r="A3707" s="1">
        <v>46249</v>
      </c>
      <c r="B3707" t="s">
        <v>642</v>
      </c>
      <c r="C3707" t="s">
        <v>435</v>
      </c>
      <c r="D3707" t="s">
        <v>436</v>
      </c>
      <c r="E3707" t="s">
        <v>8</v>
      </c>
      <c r="F3707" t="s">
        <v>38</v>
      </c>
      <c r="G3707" s="16">
        <v>20.18</v>
      </c>
      <c r="H3707" s="16">
        <v>23.207000000000001</v>
      </c>
      <c r="J3707">
        <v>10</v>
      </c>
      <c r="K3707" t="s">
        <v>10140</v>
      </c>
      <c r="M3707">
        <v>1</v>
      </c>
      <c r="N3707">
        <v>2</v>
      </c>
      <c r="O3707" t="s">
        <v>216</v>
      </c>
      <c r="P3707" s="17"/>
      <c r="Q3707" s="17" t="str">
        <f>_xlfn.XLOOKUP(Table2[[#This Row],[buyFromVendorNo]],'Next Day Scheduled'!A:A,'Pending Returns'!O:O,"NOT_FOUND")</f>
        <v>NOT_FOUND</v>
      </c>
    </row>
    <row r="3708" spans="1:17" x14ac:dyDescent="0.3">
      <c r="A3708" s="1">
        <v>46249</v>
      </c>
      <c r="B3708" t="s">
        <v>642</v>
      </c>
      <c r="C3708" t="s">
        <v>813</v>
      </c>
      <c r="D3708" t="s">
        <v>814</v>
      </c>
      <c r="E3708" t="s">
        <v>8</v>
      </c>
      <c r="F3708" t="s">
        <v>38</v>
      </c>
      <c r="G3708" s="16">
        <v>15.74</v>
      </c>
      <c r="H3708" s="16">
        <v>18.100999999999999</v>
      </c>
      <c r="J3708">
        <v>10</v>
      </c>
      <c r="K3708" t="s">
        <v>10128</v>
      </c>
      <c r="M3708">
        <v>0</v>
      </c>
      <c r="N3708">
        <v>55</v>
      </c>
      <c r="O3708" t="s">
        <v>216</v>
      </c>
      <c r="P3708" s="17"/>
      <c r="Q3708" s="17" t="str">
        <f>_xlfn.XLOOKUP(Table2[[#This Row],[buyFromVendorNo]],'Next Day Scheduled'!A:A,'Pending Returns'!O:O,"NOT_FOUND")</f>
        <v>NOT_FOUND</v>
      </c>
    </row>
    <row r="3709" spans="1:17" x14ac:dyDescent="0.3">
      <c r="A3709" s="1">
        <v>46249</v>
      </c>
      <c r="B3709" t="s">
        <v>642</v>
      </c>
      <c r="C3709" t="s">
        <v>773</v>
      </c>
      <c r="D3709" t="s">
        <v>774</v>
      </c>
      <c r="E3709" t="s">
        <v>8</v>
      </c>
      <c r="F3709" t="s">
        <v>38</v>
      </c>
      <c r="G3709" s="16">
        <v>9.3826099999999997</v>
      </c>
      <c r="H3709" s="16">
        <v>10.79</v>
      </c>
      <c r="J3709">
        <v>10</v>
      </c>
      <c r="K3709" t="s">
        <v>10142</v>
      </c>
      <c r="M3709">
        <v>1</v>
      </c>
      <c r="N3709">
        <v>6</v>
      </c>
      <c r="O3709" t="s">
        <v>216</v>
      </c>
      <c r="P3709" s="17"/>
      <c r="Q3709" s="17" t="str">
        <f>_xlfn.XLOOKUP(Table2[[#This Row],[buyFromVendorNo]],'Next Day Scheduled'!A:A,'Pending Returns'!O:O,"NOT_FOUND")</f>
        <v>NOT_FOUND</v>
      </c>
    </row>
    <row r="3710" spans="1:17" x14ac:dyDescent="0.3">
      <c r="A3710" s="1">
        <v>46249</v>
      </c>
      <c r="B3710" t="s">
        <v>2853</v>
      </c>
      <c r="C3710" t="s">
        <v>531</v>
      </c>
      <c r="D3710" t="s">
        <v>532</v>
      </c>
      <c r="E3710" t="s">
        <v>8</v>
      </c>
      <c r="F3710" t="s">
        <v>10</v>
      </c>
      <c r="G3710" s="16">
        <v>80</v>
      </c>
      <c r="H3710" s="16">
        <v>92</v>
      </c>
      <c r="I3710" s="1">
        <v>46245</v>
      </c>
      <c r="J3710">
        <v>10</v>
      </c>
      <c r="K3710" t="s">
        <v>9181</v>
      </c>
      <c r="L3710" t="s">
        <v>10087</v>
      </c>
      <c r="M3710">
        <v>0</v>
      </c>
      <c r="N3710">
        <v>15</v>
      </c>
      <c r="O3710" t="s">
        <v>1036</v>
      </c>
      <c r="P3710" s="17"/>
      <c r="Q3710" s="17" t="str">
        <f>_xlfn.XLOOKUP(Table2[[#This Row],[buyFromVendorNo]],'Next Day Scheduled'!A:A,'Pending Returns'!O:O,"NOT_FOUND")</f>
        <v>NOT_FOUND</v>
      </c>
    </row>
    <row r="3711" spans="1:17" x14ac:dyDescent="0.3">
      <c r="A3711" s="1">
        <v>46249</v>
      </c>
      <c r="B3711" t="s">
        <v>6258</v>
      </c>
      <c r="C3711" t="s">
        <v>204</v>
      </c>
      <c r="D3711" t="s">
        <v>205</v>
      </c>
      <c r="E3711" t="s">
        <v>8</v>
      </c>
      <c r="F3711" t="s">
        <v>38</v>
      </c>
      <c r="G3711" s="16">
        <v>305.22000000000003</v>
      </c>
      <c r="H3711" s="16">
        <v>351.00299999999999</v>
      </c>
      <c r="I3711" s="1">
        <v>46246</v>
      </c>
      <c r="J3711">
        <v>10</v>
      </c>
      <c r="K3711" t="s">
        <v>7902</v>
      </c>
      <c r="L3711" t="s">
        <v>10111</v>
      </c>
      <c r="M3711">
        <v>1</v>
      </c>
      <c r="N3711">
        <v>5</v>
      </c>
      <c r="O3711" t="s">
        <v>1036</v>
      </c>
      <c r="P3711" s="17"/>
      <c r="Q3711" s="17" t="str">
        <f>_xlfn.XLOOKUP(Table2[[#This Row],[buyFromVendorNo]],'Next Day Scheduled'!A:A,'Pending Returns'!O:O,"NOT_FOUND")</f>
        <v>NOT_FOUND</v>
      </c>
    </row>
    <row r="3712" spans="1:17" x14ac:dyDescent="0.3">
      <c r="A3712" s="1">
        <v>46249</v>
      </c>
      <c r="B3712" t="s">
        <v>642</v>
      </c>
      <c r="C3712" t="s">
        <v>349</v>
      </c>
      <c r="D3712" t="s">
        <v>350</v>
      </c>
      <c r="E3712" t="s">
        <v>8</v>
      </c>
      <c r="F3712" t="s">
        <v>38</v>
      </c>
      <c r="G3712" s="16">
        <v>42.39</v>
      </c>
      <c r="H3712" s="16">
        <v>48.7485</v>
      </c>
      <c r="J3712">
        <v>10</v>
      </c>
      <c r="K3712" t="s">
        <v>10147</v>
      </c>
      <c r="M3712">
        <v>0</v>
      </c>
      <c r="N3712">
        <v>133</v>
      </c>
      <c r="O3712" t="s">
        <v>216</v>
      </c>
      <c r="P3712" s="17"/>
      <c r="Q3712" s="17" t="str">
        <f>_xlfn.XLOOKUP(Table2[[#This Row],[buyFromVendorNo]],'Next Day Scheduled'!A:A,'Pending Returns'!O:O,"NOT_FOUND")</f>
        <v>NOT_FOUND</v>
      </c>
    </row>
    <row r="3713" spans="1:17" x14ac:dyDescent="0.3">
      <c r="A3713" s="1">
        <v>46249</v>
      </c>
      <c r="B3713" t="s">
        <v>642</v>
      </c>
      <c r="C3713" t="s">
        <v>60</v>
      </c>
      <c r="D3713" t="s">
        <v>61</v>
      </c>
      <c r="E3713" t="s">
        <v>8</v>
      </c>
      <c r="F3713" t="s">
        <v>38</v>
      </c>
      <c r="G3713" s="16">
        <v>2698.38</v>
      </c>
      <c r="H3713" s="16">
        <v>3103.1370000000002</v>
      </c>
      <c r="J3713">
        <v>10</v>
      </c>
      <c r="K3713" t="s">
        <v>10134</v>
      </c>
      <c r="M3713">
        <v>1</v>
      </c>
      <c r="N3713">
        <v>7</v>
      </c>
      <c r="O3713" t="s">
        <v>216</v>
      </c>
      <c r="P3713" s="17"/>
      <c r="Q3713" s="17" t="str">
        <f>_xlfn.XLOOKUP(Table2[[#This Row],[buyFromVendorNo]],'Next Day Scheduled'!A:A,'Pending Returns'!O:O,"NOT_FOUND")</f>
        <v>NOT_FOUND</v>
      </c>
    </row>
    <row r="3714" spans="1:17" x14ac:dyDescent="0.3">
      <c r="A3714" s="1">
        <v>46249</v>
      </c>
      <c r="B3714" t="s">
        <v>642</v>
      </c>
      <c r="C3714" t="s">
        <v>832</v>
      </c>
      <c r="D3714" t="s">
        <v>833</v>
      </c>
      <c r="E3714" t="s">
        <v>8</v>
      </c>
      <c r="F3714" t="s">
        <v>38</v>
      </c>
      <c r="G3714" s="16">
        <v>1992.8</v>
      </c>
      <c r="H3714" s="16">
        <v>2291.7199999999998</v>
      </c>
      <c r="J3714">
        <v>10</v>
      </c>
      <c r="K3714" t="s">
        <v>10096</v>
      </c>
      <c r="M3714">
        <v>0</v>
      </c>
      <c r="N3714">
        <v>76</v>
      </c>
      <c r="O3714" t="s">
        <v>216</v>
      </c>
      <c r="P3714" s="17"/>
      <c r="Q3714" s="17" t="str">
        <f>_xlfn.XLOOKUP(Table2[[#This Row],[buyFromVendorNo]],'Next Day Scheduled'!A:A,'Pending Returns'!O:O,"NOT_FOUND")</f>
        <v>NOT_FOUND</v>
      </c>
    </row>
    <row r="3715" spans="1:17" x14ac:dyDescent="0.3">
      <c r="A3715" s="1">
        <v>46249</v>
      </c>
      <c r="B3715" t="s">
        <v>642</v>
      </c>
      <c r="C3715" t="s">
        <v>2346</v>
      </c>
      <c r="D3715" t="s">
        <v>2347</v>
      </c>
      <c r="E3715" t="s">
        <v>8</v>
      </c>
      <c r="F3715" t="s">
        <v>38</v>
      </c>
      <c r="G3715" s="16">
        <v>144.27000000000001</v>
      </c>
      <c r="H3715" s="16">
        <v>165.91050000000001</v>
      </c>
      <c r="J3715">
        <v>10</v>
      </c>
      <c r="K3715" t="s">
        <v>10122</v>
      </c>
      <c r="M3715">
        <v>0</v>
      </c>
      <c r="N3715">
        <v>13</v>
      </c>
      <c r="O3715" t="s">
        <v>216</v>
      </c>
      <c r="P3715" s="17"/>
      <c r="Q3715" s="17" t="str">
        <f>_xlfn.XLOOKUP(Table2[[#This Row],[buyFromVendorNo]],'Next Day Scheduled'!A:A,'Pending Returns'!O:O,"NOT_FOUND")</f>
        <v>NOT_FOUND</v>
      </c>
    </row>
    <row r="3716" spans="1:17" x14ac:dyDescent="0.3">
      <c r="A3716" s="1">
        <v>46249</v>
      </c>
      <c r="B3716" t="s">
        <v>5609</v>
      </c>
      <c r="C3716" t="s">
        <v>327</v>
      </c>
      <c r="D3716" t="s">
        <v>328</v>
      </c>
      <c r="E3716" t="s">
        <v>8</v>
      </c>
      <c r="F3716" t="s">
        <v>169</v>
      </c>
      <c r="G3716" s="16">
        <v>48.5</v>
      </c>
      <c r="H3716" s="16">
        <v>55.774999999999999</v>
      </c>
      <c r="I3716" s="1">
        <v>46249</v>
      </c>
      <c r="J3716">
        <v>10</v>
      </c>
      <c r="K3716" t="s">
        <v>9355</v>
      </c>
      <c r="L3716" t="s">
        <v>10135</v>
      </c>
      <c r="M3716">
        <v>1</v>
      </c>
      <c r="N3716">
        <v>5</v>
      </c>
      <c r="O3716" t="s">
        <v>1036</v>
      </c>
      <c r="P3716" s="17"/>
      <c r="Q3716" s="17" t="str">
        <f>_xlfn.XLOOKUP(Table2[[#This Row],[buyFromVendorNo]],'Next Day Scheduled'!A:A,'Pending Returns'!O:O,"NOT_FOUND")</f>
        <v>NOT_FOUND</v>
      </c>
    </row>
    <row r="3717" spans="1:17" x14ac:dyDescent="0.3">
      <c r="A3717" s="1">
        <v>46249</v>
      </c>
      <c r="B3717" t="s">
        <v>2113</v>
      </c>
      <c r="C3717" t="s">
        <v>191</v>
      </c>
      <c r="D3717" t="s">
        <v>192</v>
      </c>
      <c r="E3717" t="s">
        <v>8</v>
      </c>
      <c r="F3717" t="s">
        <v>10</v>
      </c>
      <c r="G3717" s="16">
        <v>251.12</v>
      </c>
      <c r="H3717" s="16">
        <v>288.78800000000001</v>
      </c>
      <c r="I3717" s="1">
        <v>46247</v>
      </c>
      <c r="J3717">
        <v>10</v>
      </c>
      <c r="K3717" t="s">
        <v>9296</v>
      </c>
      <c r="L3717" t="s">
        <v>10063</v>
      </c>
      <c r="M3717">
        <v>1</v>
      </c>
      <c r="N3717">
        <v>3</v>
      </c>
      <c r="O3717" t="s">
        <v>1036</v>
      </c>
      <c r="P3717" s="17"/>
      <c r="Q3717" s="17" t="str">
        <f>_xlfn.XLOOKUP(Table2[[#This Row],[buyFromVendorNo]],'Next Day Scheduled'!A:A,'Pending Returns'!O:O,"NOT_FOUND")</f>
        <v>NOT_FOUND</v>
      </c>
    </row>
    <row r="3718" spans="1:17" x14ac:dyDescent="0.3">
      <c r="A3718" s="1">
        <v>46249</v>
      </c>
      <c r="B3718" t="s">
        <v>6392</v>
      </c>
      <c r="C3718" t="s">
        <v>1222</v>
      </c>
      <c r="D3718" t="s">
        <v>1223</v>
      </c>
      <c r="E3718" t="s">
        <v>8</v>
      </c>
      <c r="F3718" t="s">
        <v>10</v>
      </c>
      <c r="G3718" s="16">
        <v>30</v>
      </c>
      <c r="H3718" s="16">
        <v>34.5</v>
      </c>
      <c r="I3718" s="1">
        <v>46249</v>
      </c>
      <c r="J3718">
        <v>10</v>
      </c>
      <c r="K3718" t="s">
        <v>10008</v>
      </c>
      <c r="L3718" t="s">
        <v>10083</v>
      </c>
      <c r="M3718">
        <v>1</v>
      </c>
      <c r="N3718">
        <v>3</v>
      </c>
      <c r="O3718" t="s">
        <v>1036</v>
      </c>
      <c r="P3718" s="17"/>
      <c r="Q3718" s="17" t="str">
        <f>_xlfn.XLOOKUP(Table2[[#This Row],[buyFromVendorNo]],'Next Day Scheduled'!A:A,'Pending Returns'!O:O,"NOT_FOUND")</f>
        <v>NOT_FOUND</v>
      </c>
    </row>
    <row r="3719" spans="1:17" x14ac:dyDescent="0.3">
      <c r="A3719" s="1">
        <v>46249</v>
      </c>
      <c r="B3719" t="s">
        <v>642</v>
      </c>
      <c r="C3719" t="s">
        <v>88</v>
      </c>
      <c r="D3719" t="s">
        <v>89</v>
      </c>
      <c r="E3719" t="s">
        <v>8</v>
      </c>
      <c r="F3719" t="s">
        <v>38</v>
      </c>
      <c r="G3719" s="16">
        <v>4261.2</v>
      </c>
      <c r="H3719" s="16">
        <v>4900.38</v>
      </c>
      <c r="J3719">
        <v>10</v>
      </c>
      <c r="K3719" t="s">
        <v>10088</v>
      </c>
      <c r="M3719">
        <v>0</v>
      </c>
      <c r="N3719">
        <v>12</v>
      </c>
      <c r="O3719" t="s">
        <v>216</v>
      </c>
      <c r="P3719" s="17"/>
      <c r="Q3719" s="17" t="str">
        <f>_xlfn.XLOOKUP(Table2[[#This Row],[buyFromVendorNo]],'Next Day Scheduled'!A:A,'Pending Returns'!O:O,"NOT_FOUND")</f>
        <v>NOT_FOUND</v>
      </c>
    </row>
    <row r="3720" spans="1:17" x14ac:dyDescent="0.3">
      <c r="A3720" s="1">
        <v>46249</v>
      </c>
      <c r="B3720" t="s">
        <v>642</v>
      </c>
      <c r="C3720" t="s">
        <v>810</v>
      </c>
      <c r="D3720" t="s">
        <v>811</v>
      </c>
      <c r="E3720" t="s">
        <v>8</v>
      </c>
      <c r="F3720" t="s">
        <v>38</v>
      </c>
      <c r="G3720" s="16">
        <v>128.25</v>
      </c>
      <c r="H3720" s="16">
        <v>147.48750000000001</v>
      </c>
      <c r="J3720">
        <v>10</v>
      </c>
      <c r="K3720" t="s">
        <v>10133</v>
      </c>
      <c r="M3720">
        <v>1</v>
      </c>
      <c r="N3720">
        <v>7</v>
      </c>
      <c r="O3720" t="s">
        <v>216</v>
      </c>
      <c r="P3720" s="17"/>
      <c r="Q3720" s="17" t="str">
        <f>_xlfn.XLOOKUP(Table2[[#This Row],[buyFromVendorNo]],'Next Day Scheduled'!A:A,'Pending Returns'!O:O,"NOT_FOUND")</f>
        <v>NOT_FOUND</v>
      </c>
    </row>
    <row r="3721" spans="1:17" x14ac:dyDescent="0.3">
      <c r="A3721" s="1">
        <v>46249</v>
      </c>
      <c r="B3721" t="s">
        <v>5119</v>
      </c>
      <c r="C3721" t="s">
        <v>39</v>
      </c>
      <c r="D3721" t="s">
        <v>40</v>
      </c>
      <c r="E3721" t="s">
        <v>8</v>
      </c>
      <c r="F3721" t="s">
        <v>10</v>
      </c>
      <c r="G3721" s="16">
        <v>2522</v>
      </c>
      <c r="H3721" s="16">
        <v>2900.3</v>
      </c>
      <c r="I3721" s="1">
        <v>46246</v>
      </c>
      <c r="J3721">
        <v>10</v>
      </c>
      <c r="K3721" t="s">
        <v>9704</v>
      </c>
      <c r="L3721" t="s">
        <v>10092</v>
      </c>
      <c r="M3721">
        <v>4</v>
      </c>
      <c r="N3721">
        <v>1</v>
      </c>
      <c r="O3721" t="s">
        <v>223</v>
      </c>
      <c r="P3721" s="17"/>
      <c r="Q3721" s="17" t="str">
        <f>_xlfn.XLOOKUP(Table2[[#This Row],[buyFromVendorNo]],'Next Day Scheduled'!A:A,'Pending Returns'!O:O,"NOT_FOUND")</f>
        <v>Posted Credit Note</v>
      </c>
    </row>
    <row r="3722" spans="1:17" x14ac:dyDescent="0.3">
      <c r="A3722" s="1">
        <v>46249</v>
      </c>
      <c r="B3722" t="s">
        <v>5119</v>
      </c>
      <c r="C3722" t="s">
        <v>39</v>
      </c>
      <c r="D3722" t="s">
        <v>40</v>
      </c>
      <c r="E3722" t="s">
        <v>8</v>
      </c>
      <c r="F3722" t="s">
        <v>10</v>
      </c>
      <c r="G3722" s="16">
        <v>44.326099999999997</v>
      </c>
      <c r="H3722" s="16">
        <v>50.975020000000001</v>
      </c>
      <c r="I3722" s="1">
        <v>46246</v>
      </c>
      <c r="J3722">
        <v>10</v>
      </c>
      <c r="K3722" t="s">
        <v>9697</v>
      </c>
      <c r="L3722" t="s">
        <v>10118</v>
      </c>
      <c r="M3722">
        <v>4</v>
      </c>
      <c r="N3722">
        <v>1</v>
      </c>
      <c r="O3722" t="s">
        <v>1036</v>
      </c>
      <c r="P3722" s="17"/>
      <c r="Q3722" s="17" t="str">
        <f>_xlfn.XLOOKUP(Table2[[#This Row],[buyFromVendorNo]],'Next Day Scheduled'!A:A,'Pending Returns'!O:O,"NOT_FOUND")</f>
        <v>Posted Credit Note</v>
      </c>
    </row>
    <row r="3723" spans="1:17" x14ac:dyDescent="0.3">
      <c r="A3723" s="1">
        <v>46249</v>
      </c>
      <c r="B3723" t="s">
        <v>5119</v>
      </c>
      <c r="C3723" t="s">
        <v>39</v>
      </c>
      <c r="D3723" t="s">
        <v>40</v>
      </c>
      <c r="E3723" t="s">
        <v>8</v>
      </c>
      <c r="F3723" t="s">
        <v>10</v>
      </c>
      <c r="G3723" s="16">
        <v>1941.2832000000001</v>
      </c>
      <c r="H3723" s="16">
        <v>2232.4758000000002</v>
      </c>
      <c r="I3723" s="1">
        <v>46246</v>
      </c>
      <c r="J3723">
        <v>10</v>
      </c>
      <c r="K3723" t="s">
        <v>9739</v>
      </c>
      <c r="L3723" t="s">
        <v>10119</v>
      </c>
      <c r="M3723">
        <v>4</v>
      </c>
      <c r="N3723">
        <v>1</v>
      </c>
      <c r="O3723" t="s">
        <v>1036</v>
      </c>
      <c r="P3723" s="17"/>
      <c r="Q3723" s="17" t="str">
        <f>_xlfn.XLOOKUP(Table2[[#This Row],[buyFromVendorNo]],'Next Day Scheduled'!A:A,'Pending Returns'!O:O,"NOT_FOUND")</f>
        <v>Posted Credit Note</v>
      </c>
    </row>
    <row r="3724" spans="1:17" x14ac:dyDescent="0.3">
      <c r="A3724" s="1">
        <v>46249</v>
      </c>
      <c r="B3724" t="s">
        <v>642</v>
      </c>
      <c r="C3724" t="s">
        <v>154</v>
      </c>
      <c r="D3724" t="s">
        <v>155</v>
      </c>
      <c r="E3724" t="s">
        <v>8</v>
      </c>
      <c r="F3724" t="s">
        <v>38</v>
      </c>
      <c r="G3724" s="16">
        <v>6505.7383</v>
      </c>
      <c r="H3724" s="16">
        <v>7481.5990000000002</v>
      </c>
      <c r="J3724">
        <v>10</v>
      </c>
      <c r="K3724" t="s">
        <v>10117</v>
      </c>
      <c r="M3724">
        <v>1</v>
      </c>
      <c r="N3724">
        <v>7</v>
      </c>
      <c r="O3724" t="s">
        <v>216</v>
      </c>
      <c r="P3724" s="17"/>
      <c r="Q3724" s="17" t="str">
        <f>_xlfn.XLOOKUP(Table2[[#This Row],[buyFromVendorNo]],'Next Day Scheduled'!A:A,'Pending Returns'!O:O,"NOT_FOUND")</f>
        <v>NOT_FOUND</v>
      </c>
    </row>
    <row r="3725" spans="1:17" x14ac:dyDescent="0.3">
      <c r="A3725" s="1">
        <v>46249</v>
      </c>
      <c r="B3725" t="s">
        <v>642</v>
      </c>
      <c r="C3725" t="s">
        <v>10114</v>
      </c>
      <c r="D3725" t="s">
        <v>10115</v>
      </c>
      <c r="E3725" t="s">
        <v>8</v>
      </c>
      <c r="F3725" t="s">
        <v>38</v>
      </c>
      <c r="G3725" s="16">
        <v>59.034779999999998</v>
      </c>
      <c r="H3725" s="16">
        <v>67.89</v>
      </c>
      <c r="J3725">
        <v>10</v>
      </c>
      <c r="K3725" t="s">
        <v>10116</v>
      </c>
      <c r="M3725">
        <v>0</v>
      </c>
      <c r="N3725">
        <v>80</v>
      </c>
      <c r="O3725" t="s">
        <v>216</v>
      </c>
      <c r="P3725" s="17"/>
      <c r="Q3725" s="17" t="str">
        <f>_xlfn.XLOOKUP(Table2[[#This Row],[buyFromVendorNo]],'Next Day Scheduled'!A:A,'Pending Returns'!O:O,"NOT_FOUND")</f>
        <v>NOT_FOUND</v>
      </c>
    </row>
    <row r="3726" spans="1:17" x14ac:dyDescent="0.3">
      <c r="A3726" s="1">
        <v>46249</v>
      </c>
      <c r="B3726" t="s">
        <v>642</v>
      </c>
      <c r="C3726" t="s">
        <v>2383</v>
      </c>
      <c r="D3726" t="s">
        <v>2384</v>
      </c>
      <c r="E3726" t="s">
        <v>8</v>
      </c>
      <c r="F3726" t="s">
        <v>38</v>
      </c>
      <c r="G3726" s="16">
        <v>62</v>
      </c>
      <c r="H3726" s="16">
        <v>71.3</v>
      </c>
      <c r="J3726">
        <v>10</v>
      </c>
      <c r="K3726" t="s">
        <v>10093</v>
      </c>
      <c r="M3726">
        <v>0</v>
      </c>
      <c r="N3726">
        <v>21</v>
      </c>
      <c r="O3726" t="s">
        <v>216</v>
      </c>
      <c r="P3726" s="17"/>
      <c r="Q3726" s="17" t="str">
        <f>_xlfn.XLOOKUP(Table2[[#This Row],[buyFromVendorNo]],'Next Day Scheduled'!A:A,'Pending Returns'!O:O,"NOT_FOUND")</f>
        <v>NOT_FOUND</v>
      </c>
    </row>
    <row r="3727" spans="1:17" x14ac:dyDescent="0.3">
      <c r="A3727" s="1">
        <v>46249</v>
      </c>
      <c r="B3727" t="s">
        <v>2149</v>
      </c>
      <c r="C3727" t="s">
        <v>60</v>
      </c>
      <c r="D3727" t="s">
        <v>61</v>
      </c>
      <c r="E3727" t="s">
        <v>8</v>
      </c>
      <c r="F3727" t="s">
        <v>38</v>
      </c>
      <c r="G3727" s="16">
        <v>566.46</v>
      </c>
      <c r="H3727" s="16">
        <v>651.42899999999997</v>
      </c>
      <c r="I3727" s="1">
        <v>46246</v>
      </c>
      <c r="J3727">
        <v>10</v>
      </c>
      <c r="K3727" t="s">
        <v>8324</v>
      </c>
      <c r="L3727" t="s">
        <v>10094</v>
      </c>
      <c r="M3727">
        <v>1</v>
      </c>
      <c r="N3727">
        <v>7</v>
      </c>
      <c r="O3727" t="s">
        <v>1036</v>
      </c>
      <c r="P3727" s="17"/>
      <c r="Q3727" s="17" t="str">
        <f>_xlfn.XLOOKUP(Table2[[#This Row],[buyFromVendorNo]],'Next Day Scheduled'!A:A,'Pending Returns'!O:O,"NOT_FOUND")</f>
        <v>NOT_FOUND</v>
      </c>
    </row>
    <row r="3728" spans="1:17" x14ac:dyDescent="0.3">
      <c r="A3728" s="1">
        <v>46249</v>
      </c>
      <c r="B3728" t="s">
        <v>3557</v>
      </c>
      <c r="C3728" t="s">
        <v>191</v>
      </c>
      <c r="D3728" t="s">
        <v>192</v>
      </c>
      <c r="E3728" t="s">
        <v>8</v>
      </c>
      <c r="F3728" t="s">
        <v>10</v>
      </c>
      <c r="G3728" s="16">
        <v>10.35</v>
      </c>
      <c r="H3728" s="16">
        <v>11.9025</v>
      </c>
      <c r="I3728" s="1">
        <v>46247</v>
      </c>
      <c r="J3728">
        <v>10</v>
      </c>
      <c r="K3728" t="s">
        <v>8999</v>
      </c>
      <c r="L3728" t="s">
        <v>10065</v>
      </c>
      <c r="M3728">
        <v>1</v>
      </c>
      <c r="N3728">
        <v>3</v>
      </c>
      <c r="O3728" t="s">
        <v>1036</v>
      </c>
      <c r="P3728" s="17"/>
      <c r="Q3728" s="17" t="str">
        <f>_xlfn.XLOOKUP(Table2[[#This Row],[buyFromVendorNo]],'Next Day Scheduled'!A:A,'Pending Returns'!O:O,"NOT_FOUND")</f>
        <v>NOT_FOUND</v>
      </c>
    </row>
    <row r="3729" spans="1:17" x14ac:dyDescent="0.3">
      <c r="A3729" s="1">
        <v>46249</v>
      </c>
      <c r="B3729" t="s">
        <v>2600</v>
      </c>
      <c r="C3729" t="s">
        <v>3773</v>
      </c>
      <c r="D3729" t="s">
        <v>3774</v>
      </c>
      <c r="E3729" t="s">
        <v>8</v>
      </c>
      <c r="F3729" t="s">
        <v>10</v>
      </c>
      <c r="G3729" s="16">
        <v>1044.48</v>
      </c>
      <c r="H3729" s="16">
        <v>1201.152</v>
      </c>
      <c r="J3729">
        <v>10</v>
      </c>
      <c r="K3729" t="s">
        <v>10120</v>
      </c>
      <c r="M3729">
        <v>2</v>
      </c>
      <c r="N3729">
        <v>2</v>
      </c>
      <c r="O3729" t="s">
        <v>216</v>
      </c>
      <c r="P3729" s="17"/>
      <c r="Q3729" s="17" t="str">
        <f>_xlfn.XLOOKUP(Table2[[#This Row],[buyFromVendorNo]],'Next Day Scheduled'!A:A,'Pending Returns'!O:O,"NOT_FOUND")</f>
        <v>NOT_FOUND</v>
      </c>
    </row>
    <row r="3730" spans="1:17" x14ac:dyDescent="0.3">
      <c r="A3730" s="1">
        <v>46249</v>
      </c>
      <c r="B3730" t="s">
        <v>642</v>
      </c>
      <c r="C3730" t="s">
        <v>10151</v>
      </c>
      <c r="D3730" t="s">
        <v>10152</v>
      </c>
      <c r="E3730" t="s">
        <v>8</v>
      </c>
      <c r="F3730" t="s">
        <v>38</v>
      </c>
      <c r="G3730" s="16">
        <v>341.44</v>
      </c>
      <c r="H3730" s="16">
        <v>392.65600000000001</v>
      </c>
      <c r="J3730">
        <v>10</v>
      </c>
      <c r="K3730" t="s">
        <v>10153</v>
      </c>
      <c r="M3730">
        <v>0</v>
      </c>
      <c r="O3730" t="s">
        <v>216</v>
      </c>
      <c r="P3730" s="17"/>
      <c r="Q3730" s="17" t="str">
        <f>_xlfn.XLOOKUP(Table2[[#This Row],[buyFromVendorNo]],'Next Day Scheduled'!A:A,'Pending Returns'!O:O,"NOT_FOUND")</f>
        <v>NOT_FOUND</v>
      </c>
    </row>
    <row r="3731" spans="1:17" x14ac:dyDescent="0.3">
      <c r="A3731" s="1">
        <v>46249</v>
      </c>
      <c r="B3731" t="s">
        <v>642</v>
      </c>
      <c r="C3731" t="s">
        <v>329</v>
      </c>
      <c r="D3731" t="s">
        <v>320</v>
      </c>
      <c r="E3731" t="s">
        <v>8</v>
      </c>
      <c r="F3731" t="s">
        <v>38</v>
      </c>
      <c r="G3731" s="16">
        <v>1394.5</v>
      </c>
      <c r="H3731" s="16">
        <v>1603.675</v>
      </c>
      <c r="J3731">
        <v>10</v>
      </c>
      <c r="K3731" t="s">
        <v>10125</v>
      </c>
      <c r="M3731">
        <v>1</v>
      </c>
      <c r="N3731">
        <v>2</v>
      </c>
      <c r="O3731" t="s">
        <v>216</v>
      </c>
      <c r="P3731" s="17"/>
      <c r="Q3731" s="17" t="str">
        <f>_xlfn.XLOOKUP(Table2[[#This Row],[buyFromVendorNo]],'Next Day Scheduled'!A:A,'Pending Returns'!O:O,"NOT_FOUND")</f>
        <v>NOT_FOUND</v>
      </c>
    </row>
    <row r="3732" spans="1:17" x14ac:dyDescent="0.3">
      <c r="A3732" s="1">
        <v>46250</v>
      </c>
      <c r="B3732" t="s">
        <v>8272</v>
      </c>
      <c r="C3732" t="s">
        <v>704</v>
      </c>
      <c r="D3732" t="s">
        <v>705</v>
      </c>
      <c r="E3732" t="s">
        <v>8</v>
      </c>
      <c r="F3732" t="s">
        <v>10</v>
      </c>
      <c r="G3732" s="16">
        <v>666.11</v>
      </c>
      <c r="H3732" s="16">
        <v>766.02650000000006</v>
      </c>
      <c r="I3732" s="1">
        <v>46250</v>
      </c>
      <c r="J3732">
        <v>9</v>
      </c>
      <c r="K3732" t="s">
        <v>8273</v>
      </c>
      <c r="L3732" t="s">
        <v>10166</v>
      </c>
      <c r="M3732">
        <v>0</v>
      </c>
      <c r="N3732">
        <v>37</v>
      </c>
      <c r="O3732" t="s">
        <v>223</v>
      </c>
      <c r="P3732" s="17"/>
      <c r="Q3732" s="17" t="str">
        <f>_xlfn.XLOOKUP(Table2[[#This Row],[buyFromVendorNo]],'Next Day Scheduled'!A:A,'Pending Returns'!O:O,"NOT_FOUND")</f>
        <v>NOT_FOUND</v>
      </c>
    </row>
    <row r="3733" spans="1:17" x14ac:dyDescent="0.3">
      <c r="A3733" s="1">
        <v>46250</v>
      </c>
      <c r="B3733" t="s">
        <v>1780</v>
      </c>
      <c r="C3733" t="s">
        <v>373</v>
      </c>
      <c r="D3733" t="s">
        <v>374</v>
      </c>
      <c r="E3733" t="s">
        <v>8</v>
      </c>
      <c r="F3733" t="s">
        <v>10</v>
      </c>
      <c r="G3733" s="16">
        <v>569.54</v>
      </c>
      <c r="H3733" s="16">
        <v>654.971</v>
      </c>
      <c r="J3733">
        <v>9</v>
      </c>
      <c r="K3733" t="s">
        <v>10234</v>
      </c>
      <c r="M3733">
        <v>0</v>
      </c>
      <c r="N3733">
        <v>12</v>
      </c>
      <c r="O3733" t="s">
        <v>216</v>
      </c>
      <c r="P3733" s="17"/>
      <c r="Q3733" s="17" t="str">
        <f>_xlfn.XLOOKUP(Table2[[#This Row],[buyFromVendorNo]],'Next Day Scheduled'!A:A,'Pending Returns'!O:O,"NOT_FOUND")</f>
        <v>NOT_FOUND</v>
      </c>
    </row>
    <row r="3734" spans="1:17" x14ac:dyDescent="0.3">
      <c r="A3734" s="1">
        <v>46250</v>
      </c>
      <c r="B3734" t="s">
        <v>355</v>
      </c>
      <c r="C3734" t="s">
        <v>120</v>
      </c>
      <c r="D3734" t="s">
        <v>121</v>
      </c>
      <c r="E3734" t="s">
        <v>8</v>
      </c>
      <c r="F3734" t="s">
        <v>10</v>
      </c>
      <c r="G3734" s="16">
        <v>517</v>
      </c>
      <c r="H3734" s="16">
        <v>594.54999999999995</v>
      </c>
      <c r="J3734">
        <v>9</v>
      </c>
      <c r="K3734" t="s">
        <v>10177</v>
      </c>
      <c r="M3734">
        <v>3</v>
      </c>
      <c r="N3734">
        <v>1</v>
      </c>
      <c r="O3734" t="s">
        <v>216</v>
      </c>
      <c r="P3734" s="17"/>
      <c r="Q3734" s="17" t="str">
        <f>_xlfn.XLOOKUP(Table2[[#This Row],[buyFromVendorNo]],'Next Day Scheduled'!A:A,'Pending Returns'!O:O,"NOT_FOUND")</f>
        <v>NOT_FOUND</v>
      </c>
    </row>
    <row r="3735" spans="1:17" x14ac:dyDescent="0.3">
      <c r="A3735" s="1">
        <v>46250</v>
      </c>
      <c r="B3735" t="s">
        <v>642</v>
      </c>
      <c r="C3735" t="s">
        <v>598</v>
      </c>
      <c r="D3735" t="s">
        <v>9088</v>
      </c>
      <c r="E3735" t="s">
        <v>8</v>
      </c>
      <c r="F3735" t="s">
        <v>38</v>
      </c>
      <c r="G3735" s="16">
        <v>1527.867</v>
      </c>
      <c r="H3735" s="16">
        <v>1757.047</v>
      </c>
      <c r="J3735">
        <v>9</v>
      </c>
      <c r="K3735" t="s">
        <v>10178</v>
      </c>
      <c r="M3735">
        <v>1</v>
      </c>
      <c r="N3735">
        <v>6</v>
      </c>
      <c r="O3735" t="s">
        <v>216</v>
      </c>
      <c r="P3735" s="17"/>
      <c r="Q3735" s="17" t="str">
        <f>_xlfn.XLOOKUP(Table2[[#This Row],[buyFromVendorNo]],'Next Day Scheduled'!A:A,'Pending Returns'!O:O,"NOT_FOUND")</f>
        <v>NOT_FOUND</v>
      </c>
    </row>
    <row r="3736" spans="1:17" x14ac:dyDescent="0.3">
      <c r="A3736" s="1">
        <v>46250</v>
      </c>
      <c r="B3736" t="s">
        <v>355</v>
      </c>
      <c r="C3736" t="s">
        <v>9622</v>
      </c>
      <c r="D3736" t="s">
        <v>9623</v>
      </c>
      <c r="E3736" t="s">
        <v>8</v>
      </c>
      <c r="F3736" t="s">
        <v>10</v>
      </c>
      <c r="G3736" s="16">
        <v>144</v>
      </c>
      <c r="H3736" s="16">
        <v>165.6</v>
      </c>
      <c r="I3736" s="1">
        <v>46250</v>
      </c>
      <c r="J3736">
        <v>9</v>
      </c>
      <c r="K3736" t="s">
        <v>9624</v>
      </c>
      <c r="L3736" t="s">
        <v>10179</v>
      </c>
      <c r="M3736">
        <v>1</v>
      </c>
      <c r="N3736">
        <v>5</v>
      </c>
      <c r="O3736" t="s">
        <v>1036</v>
      </c>
      <c r="P3736" s="17"/>
      <c r="Q3736" s="17" t="str">
        <f>_xlfn.XLOOKUP(Table2[[#This Row],[buyFromVendorNo]],'Next Day Scheduled'!A:A,'Pending Returns'!O:O,"NOT_FOUND")</f>
        <v>NOT_FOUND</v>
      </c>
    </row>
    <row r="3737" spans="1:17" x14ac:dyDescent="0.3">
      <c r="A3737" s="1">
        <v>46250</v>
      </c>
      <c r="B3737" t="s">
        <v>5481</v>
      </c>
      <c r="C3737" t="s">
        <v>2647</v>
      </c>
      <c r="D3737" t="s">
        <v>2648</v>
      </c>
      <c r="E3737" t="s">
        <v>8</v>
      </c>
      <c r="F3737" t="s">
        <v>10</v>
      </c>
      <c r="G3737" s="16">
        <v>70.44</v>
      </c>
      <c r="H3737" s="16">
        <v>81.006</v>
      </c>
      <c r="I3737" s="1">
        <v>46250</v>
      </c>
      <c r="J3737">
        <v>9</v>
      </c>
      <c r="K3737" t="s">
        <v>8983</v>
      </c>
      <c r="L3737" t="s">
        <v>10154</v>
      </c>
      <c r="M3737">
        <v>1</v>
      </c>
      <c r="N3737">
        <v>3</v>
      </c>
      <c r="O3737" t="s">
        <v>223</v>
      </c>
      <c r="P3737" s="17"/>
      <c r="Q3737" s="17" t="str">
        <f>_xlfn.XLOOKUP(Table2[[#This Row],[buyFromVendorNo]],'Next Day Scheduled'!A:A,'Pending Returns'!O:O,"NOT_FOUND")</f>
        <v>NOT_FOUND</v>
      </c>
    </row>
    <row r="3738" spans="1:17" x14ac:dyDescent="0.3">
      <c r="A3738" s="1">
        <v>46250</v>
      </c>
      <c r="B3738" t="s">
        <v>2619</v>
      </c>
      <c r="C3738" t="s">
        <v>7440</v>
      </c>
      <c r="D3738" t="s">
        <v>7441</v>
      </c>
      <c r="E3738" t="s">
        <v>8</v>
      </c>
      <c r="F3738" t="s">
        <v>10</v>
      </c>
      <c r="G3738" s="16">
        <v>158.33328</v>
      </c>
      <c r="H3738" s="16">
        <v>182.08328</v>
      </c>
      <c r="I3738" s="1">
        <v>46250</v>
      </c>
      <c r="J3738">
        <v>9</v>
      </c>
      <c r="K3738" t="s">
        <v>9868</v>
      </c>
      <c r="L3738" t="s">
        <v>10203</v>
      </c>
      <c r="M3738">
        <v>0</v>
      </c>
      <c r="O3738" t="s">
        <v>1036</v>
      </c>
      <c r="P3738" s="17"/>
      <c r="Q3738" s="17" t="str">
        <f>_xlfn.XLOOKUP(Table2[[#This Row],[buyFromVendorNo]],'Next Day Scheduled'!A:A,'Pending Returns'!O:O,"NOT_FOUND")</f>
        <v>NOT_FOUND</v>
      </c>
    </row>
    <row r="3739" spans="1:17" x14ac:dyDescent="0.3">
      <c r="A3739" s="1">
        <v>46250</v>
      </c>
      <c r="B3739" t="s">
        <v>2619</v>
      </c>
      <c r="C3739" t="s">
        <v>34</v>
      </c>
      <c r="D3739" t="s">
        <v>35</v>
      </c>
      <c r="E3739" t="s">
        <v>8</v>
      </c>
      <c r="F3739" t="s">
        <v>10</v>
      </c>
      <c r="G3739" s="16">
        <v>3920.4229999999998</v>
      </c>
      <c r="H3739" s="16">
        <v>4508.4870000000001</v>
      </c>
      <c r="I3739" s="1">
        <v>46246</v>
      </c>
      <c r="J3739">
        <v>9</v>
      </c>
      <c r="K3739" t="s">
        <v>9347</v>
      </c>
      <c r="L3739" t="s">
        <v>10207</v>
      </c>
      <c r="M3739">
        <v>1</v>
      </c>
      <c r="N3739">
        <v>8</v>
      </c>
      <c r="O3739" t="s">
        <v>1036</v>
      </c>
      <c r="P3739" s="17"/>
      <c r="Q3739" s="17" t="str">
        <f>_xlfn.XLOOKUP(Table2[[#This Row],[buyFromVendorNo]],'Next Day Scheduled'!A:A,'Pending Returns'!O:O,"NOT_FOUND")</f>
        <v>Posted Credit Note</v>
      </c>
    </row>
    <row r="3740" spans="1:17" x14ac:dyDescent="0.3">
      <c r="A3740" s="1">
        <v>46250</v>
      </c>
      <c r="B3740" t="s">
        <v>642</v>
      </c>
      <c r="C3740" t="s">
        <v>508</v>
      </c>
      <c r="D3740" t="s">
        <v>509</v>
      </c>
      <c r="E3740" t="s">
        <v>8</v>
      </c>
      <c r="F3740" t="s">
        <v>38</v>
      </c>
      <c r="G3740" s="16">
        <v>28.51</v>
      </c>
      <c r="H3740" s="16">
        <v>32.786499999999997</v>
      </c>
      <c r="J3740">
        <v>9</v>
      </c>
      <c r="K3740" t="s">
        <v>10238</v>
      </c>
      <c r="M3740">
        <v>1</v>
      </c>
      <c r="N3740">
        <v>9</v>
      </c>
      <c r="O3740" t="s">
        <v>216</v>
      </c>
      <c r="P3740" s="17"/>
      <c r="Q3740" s="17" t="str">
        <f>_xlfn.XLOOKUP(Table2[[#This Row],[buyFromVendorNo]],'Next Day Scheduled'!A:A,'Pending Returns'!O:O,"NOT_FOUND")</f>
        <v>Posted Credit Note</v>
      </c>
    </row>
    <row r="3741" spans="1:17" x14ac:dyDescent="0.3">
      <c r="A3741" s="1">
        <v>46250</v>
      </c>
      <c r="B3741" t="s">
        <v>2576</v>
      </c>
      <c r="C3741" t="s">
        <v>9878</v>
      </c>
      <c r="D3741" t="s">
        <v>9879</v>
      </c>
      <c r="E3741" t="s">
        <v>8</v>
      </c>
      <c r="F3741" t="s">
        <v>10</v>
      </c>
      <c r="G3741" s="16">
        <v>21.413519999999998</v>
      </c>
      <c r="H3741" s="16">
        <v>24.62555</v>
      </c>
      <c r="J3741">
        <v>9</v>
      </c>
      <c r="K3741" t="s">
        <v>10285</v>
      </c>
      <c r="M3741">
        <v>1</v>
      </c>
      <c r="N3741">
        <v>2</v>
      </c>
      <c r="O3741" t="s">
        <v>216</v>
      </c>
      <c r="P3741" s="17"/>
      <c r="Q3741" s="17" t="str">
        <f>_xlfn.XLOOKUP(Table2[[#This Row],[buyFromVendorNo]],'Next Day Scheduled'!A:A,'Pending Returns'!O:O,"NOT_FOUND")</f>
        <v>NOT_FOUND</v>
      </c>
    </row>
    <row r="3742" spans="1:17" x14ac:dyDescent="0.3">
      <c r="A3742" s="1">
        <v>46250</v>
      </c>
      <c r="B3742" t="s">
        <v>642</v>
      </c>
      <c r="C3742" t="s">
        <v>5007</v>
      </c>
      <c r="D3742" t="s">
        <v>5008</v>
      </c>
      <c r="E3742" t="s">
        <v>8</v>
      </c>
      <c r="F3742" t="s">
        <v>38</v>
      </c>
      <c r="G3742" s="16">
        <v>235.12200000000001</v>
      </c>
      <c r="H3742" s="16">
        <v>270.39030000000002</v>
      </c>
      <c r="J3742">
        <v>9</v>
      </c>
      <c r="K3742" t="s">
        <v>10216</v>
      </c>
      <c r="M3742">
        <v>1</v>
      </c>
      <c r="N3742">
        <v>7</v>
      </c>
      <c r="O3742" t="s">
        <v>216</v>
      </c>
      <c r="P3742" s="17"/>
      <c r="Q3742" s="17" t="str">
        <f>_xlfn.XLOOKUP(Table2[[#This Row],[buyFromVendorNo]],'Next Day Scheduled'!A:A,'Pending Returns'!O:O,"NOT_FOUND")</f>
        <v>NOT_FOUND</v>
      </c>
    </row>
    <row r="3743" spans="1:17" x14ac:dyDescent="0.3">
      <c r="A3743" s="1">
        <v>46250</v>
      </c>
      <c r="B3743" t="s">
        <v>257</v>
      </c>
      <c r="C3743" t="s">
        <v>7001</v>
      </c>
      <c r="D3743" t="s">
        <v>7002</v>
      </c>
      <c r="E3743" t="s">
        <v>8</v>
      </c>
      <c r="F3743" t="s">
        <v>10</v>
      </c>
      <c r="G3743" s="16">
        <v>24</v>
      </c>
      <c r="H3743" s="16">
        <v>27.6</v>
      </c>
      <c r="I3743" s="1">
        <v>46250</v>
      </c>
      <c r="J3743">
        <v>9</v>
      </c>
      <c r="K3743" t="s">
        <v>10161</v>
      </c>
      <c r="L3743" t="s">
        <v>10162</v>
      </c>
      <c r="M3743">
        <v>2</v>
      </c>
      <c r="N3743">
        <v>7</v>
      </c>
      <c r="O3743" t="s">
        <v>223</v>
      </c>
      <c r="P3743" s="17"/>
      <c r="Q3743" s="17" t="str">
        <f>_xlfn.XLOOKUP(Table2[[#This Row],[buyFromVendorNo]],'Next Day Scheduled'!A:A,'Pending Returns'!O:O,"NOT_FOUND")</f>
        <v>Posted Credit Note</v>
      </c>
    </row>
    <row r="3744" spans="1:17" x14ac:dyDescent="0.3">
      <c r="A3744" s="1">
        <v>46250</v>
      </c>
      <c r="B3744" t="s">
        <v>642</v>
      </c>
      <c r="C3744" t="s">
        <v>808</v>
      </c>
      <c r="D3744" t="s">
        <v>904</v>
      </c>
      <c r="E3744" t="s">
        <v>8</v>
      </c>
      <c r="F3744" t="s">
        <v>38</v>
      </c>
      <c r="G3744" s="16">
        <v>2845.3710000000001</v>
      </c>
      <c r="H3744" s="16">
        <v>3272.1768000000002</v>
      </c>
      <c r="J3744">
        <v>9</v>
      </c>
      <c r="K3744" t="s">
        <v>10249</v>
      </c>
      <c r="M3744">
        <v>3</v>
      </c>
      <c r="N3744">
        <v>2</v>
      </c>
      <c r="O3744" t="s">
        <v>216</v>
      </c>
      <c r="P3744" s="17"/>
      <c r="Q3744" s="17" t="str">
        <f>_xlfn.XLOOKUP(Table2[[#This Row],[buyFromVendorNo]],'Next Day Scheduled'!A:A,'Pending Returns'!O:O,"NOT_FOUND")</f>
        <v>NOT_FOUND</v>
      </c>
    </row>
    <row r="3745" spans="1:17" x14ac:dyDescent="0.3">
      <c r="A3745" s="1">
        <v>46250</v>
      </c>
      <c r="B3745" t="s">
        <v>5264</v>
      </c>
      <c r="C3745" t="s">
        <v>966</v>
      </c>
      <c r="D3745" t="s">
        <v>967</v>
      </c>
      <c r="E3745" t="s">
        <v>8</v>
      </c>
      <c r="F3745" t="s">
        <v>10</v>
      </c>
      <c r="G3745" s="16">
        <v>40.03</v>
      </c>
      <c r="H3745" s="16">
        <v>46.034500000000001</v>
      </c>
      <c r="J3745">
        <v>9</v>
      </c>
      <c r="K3745" t="s">
        <v>10288</v>
      </c>
      <c r="M3745">
        <v>0</v>
      </c>
      <c r="N3745">
        <v>10</v>
      </c>
      <c r="O3745" t="s">
        <v>216</v>
      </c>
      <c r="P3745" s="17"/>
      <c r="Q3745" s="17" t="str">
        <f>_xlfn.XLOOKUP(Table2[[#This Row],[buyFromVendorNo]],'Next Day Scheduled'!A:A,'Pending Returns'!O:O,"NOT_FOUND")</f>
        <v>NOT_FOUND</v>
      </c>
    </row>
    <row r="3746" spans="1:17" x14ac:dyDescent="0.3">
      <c r="A3746" s="1">
        <v>46250</v>
      </c>
      <c r="B3746" t="s">
        <v>5634</v>
      </c>
      <c r="C3746" t="s">
        <v>65</v>
      </c>
      <c r="D3746" t="s">
        <v>66</v>
      </c>
      <c r="E3746" t="s">
        <v>8</v>
      </c>
      <c r="F3746" t="s">
        <v>10</v>
      </c>
      <c r="G3746" s="16">
        <v>795.3048</v>
      </c>
      <c r="H3746" s="16">
        <v>914.60059999999999</v>
      </c>
      <c r="J3746">
        <v>9</v>
      </c>
      <c r="K3746" t="s">
        <v>10255</v>
      </c>
      <c r="M3746">
        <v>3</v>
      </c>
      <c r="N3746">
        <v>5</v>
      </c>
      <c r="O3746" t="s">
        <v>216</v>
      </c>
      <c r="P3746" s="17"/>
      <c r="Q3746" s="17" t="str">
        <f>_xlfn.XLOOKUP(Table2[[#This Row],[buyFromVendorNo]],'Next Day Scheduled'!A:A,'Pending Returns'!O:O,"NOT_FOUND")</f>
        <v>Posted Credit Note</v>
      </c>
    </row>
    <row r="3747" spans="1:17" x14ac:dyDescent="0.3">
      <c r="A3747" s="1">
        <v>46250</v>
      </c>
      <c r="B3747" t="s">
        <v>5233</v>
      </c>
      <c r="C3747" t="s">
        <v>156</v>
      </c>
      <c r="D3747" t="s">
        <v>157</v>
      </c>
      <c r="E3747" t="s">
        <v>8</v>
      </c>
      <c r="F3747" t="s">
        <v>10</v>
      </c>
      <c r="G3747" s="16">
        <v>777.97159999999997</v>
      </c>
      <c r="H3747" s="16">
        <v>894.66740000000004</v>
      </c>
      <c r="J3747">
        <v>9</v>
      </c>
      <c r="K3747" t="s">
        <v>10256</v>
      </c>
      <c r="M3747">
        <v>0</v>
      </c>
      <c r="N3747">
        <v>12</v>
      </c>
      <c r="O3747" t="s">
        <v>216</v>
      </c>
      <c r="P3747" s="17"/>
      <c r="Q3747" s="17" t="str">
        <f>_xlfn.XLOOKUP(Table2[[#This Row],[buyFromVendorNo]],'Next Day Scheduled'!A:A,'Pending Returns'!O:O,"NOT_FOUND")</f>
        <v>NOT_FOUND</v>
      </c>
    </row>
    <row r="3748" spans="1:17" x14ac:dyDescent="0.3">
      <c r="A3748" s="1">
        <v>46250</v>
      </c>
      <c r="B3748" t="s">
        <v>3385</v>
      </c>
      <c r="C3748" t="s">
        <v>1020</v>
      </c>
      <c r="D3748" t="s">
        <v>1021</v>
      </c>
      <c r="E3748" t="s">
        <v>8</v>
      </c>
      <c r="F3748" t="s">
        <v>10</v>
      </c>
      <c r="G3748" s="16">
        <v>96.17398</v>
      </c>
      <c r="H3748" s="16">
        <v>110.60008000000001</v>
      </c>
      <c r="J3748">
        <v>9</v>
      </c>
      <c r="K3748" t="s">
        <v>10257</v>
      </c>
      <c r="M3748">
        <v>2</v>
      </c>
      <c r="N3748">
        <v>2</v>
      </c>
      <c r="O3748" t="s">
        <v>216</v>
      </c>
      <c r="P3748" s="17"/>
      <c r="Q3748" s="17" t="str">
        <f>_xlfn.XLOOKUP(Table2[[#This Row],[buyFromVendorNo]],'Next Day Scheduled'!A:A,'Pending Returns'!O:O,"NOT_FOUND")</f>
        <v>NOT_FOUND</v>
      </c>
    </row>
    <row r="3749" spans="1:17" x14ac:dyDescent="0.3">
      <c r="A3749" s="1">
        <v>46250</v>
      </c>
      <c r="B3749" t="s">
        <v>9396</v>
      </c>
      <c r="C3749" t="s">
        <v>25</v>
      </c>
      <c r="D3749" t="s">
        <v>26</v>
      </c>
      <c r="E3749" t="s">
        <v>8</v>
      </c>
      <c r="F3749" t="s">
        <v>10</v>
      </c>
      <c r="G3749" s="16">
        <v>407.05</v>
      </c>
      <c r="H3749" s="16">
        <v>468.10750000000002</v>
      </c>
      <c r="J3749">
        <v>9</v>
      </c>
      <c r="K3749" t="s">
        <v>10191</v>
      </c>
      <c r="M3749">
        <v>1</v>
      </c>
      <c r="N3749">
        <v>7</v>
      </c>
      <c r="O3749" t="s">
        <v>216</v>
      </c>
      <c r="P3749" s="17"/>
      <c r="Q3749" s="17" t="str">
        <f>_xlfn.XLOOKUP(Table2[[#This Row],[buyFromVendorNo]],'Next Day Scheduled'!A:A,'Pending Returns'!O:O,"NOT_FOUND")</f>
        <v>NOT_FOUND</v>
      </c>
    </row>
    <row r="3750" spans="1:17" x14ac:dyDescent="0.3">
      <c r="A3750" s="1">
        <v>46250</v>
      </c>
      <c r="B3750" t="s">
        <v>1773</v>
      </c>
      <c r="C3750" t="s">
        <v>704</v>
      </c>
      <c r="D3750" t="s">
        <v>705</v>
      </c>
      <c r="E3750" t="s">
        <v>8</v>
      </c>
      <c r="F3750" t="s">
        <v>10</v>
      </c>
      <c r="G3750" s="16">
        <v>3605.58</v>
      </c>
      <c r="H3750" s="16">
        <v>4146.4170000000004</v>
      </c>
      <c r="I3750" s="1">
        <v>46250</v>
      </c>
      <c r="J3750">
        <v>9</v>
      </c>
      <c r="K3750" t="s">
        <v>9515</v>
      </c>
      <c r="L3750" t="s">
        <v>10156</v>
      </c>
      <c r="M3750">
        <v>0</v>
      </c>
      <c r="N3750">
        <v>37</v>
      </c>
      <c r="O3750" t="s">
        <v>223</v>
      </c>
      <c r="P3750" s="17"/>
      <c r="Q3750" s="17" t="str">
        <f>_xlfn.XLOOKUP(Table2[[#This Row],[buyFromVendorNo]],'Next Day Scheduled'!A:A,'Pending Returns'!O:O,"NOT_FOUND")</f>
        <v>NOT_FOUND</v>
      </c>
    </row>
    <row r="3751" spans="1:17" x14ac:dyDescent="0.3">
      <c r="A3751" s="1">
        <v>46250</v>
      </c>
      <c r="B3751" t="s">
        <v>5434</v>
      </c>
      <c r="C3751" t="s">
        <v>1018</v>
      </c>
      <c r="D3751" t="s">
        <v>1019</v>
      </c>
      <c r="E3751" t="s">
        <v>8</v>
      </c>
      <c r="F3751" t="s">
        <v>10</v>
      </c>
      <c r="G3751" s="16">
        <v>1475.8445999999999</v>
      </c>
      <c r="H3751" s="16">
        <v>1697.2212999999999</v>
      </c>
      <c r="I3751" s="1">
        <v>46250</v>
      </c>
      <c r="J3751">
        <v>9</v>
      </c>
      <c r="K3751" t="s">
        <v>9825</v>
      </c>
      <c r="L3751" t="s">
        <v>10259</v>
      </c>
      <c r="M3751">
        <v>1</v>
      </c>
      <c r="N3751">
        <v>3</v>
      </c>
      <c r="O3751" t="s">
        <v>1036</v>
      </c>
      <c r="P3751" s="17"/>
      <c r="Q3751" s="17" t="str">
        <f>_xlfn.XLOOKUP(Table2[[#This Row],[buyFromVendorNo]],'Next Day Scheduled'!A:A,'Pending Returns'!O:O,"NOT_FOUND")</f>
        <v>NOT_FOUND</v>
      </c>
    </row>
    <row r="3752" spans="1:17" x14ac:dyDescent="0.3">
      <c r="A3752" s="1">
        <v>46250</v>
      </c>
      <c r="B3752" t="s">
        <v>3715</v>
      </c>
      <c r="C3752" t="s">
        <v>65</v>
      </c>
      <c r="D3752" t="s">
        <v>66</v>
      </c>
      <c r="E3752" t="s">
        <v>8</v>
      </c>
      <c r="F3752" t="s">
        <v>169</v>
      </c>
      <c r="G3752" s="16">
        <v>455.81</v>
      </c>
      <c r="H3752" s="16">
        <v>524.18150000000003</v>
      </c>
      <c r="I3752" s="1">
        <v>46246</v>
      </c>
      <c r="J3752">
        <v>9</v>
      </c>
      <c r="K3752" t="s">
        <v>9731</v>
      </c>
      <c r="L3752" t="s">
        <v>10297</v>
      </c>
      <c r="M3752">
        <v>2</v>
      </c>
      <c r="N3752">
        <v>5</v>
      </c>
      <c r="O3752" t="s">
        <v>1036</v>
      </c>
      <c r="P3752" s="17"/>
      <c r="Q3752" s="17" t="str">
        <f>_xlfn.XLOOKUP(Table2[[#This Row],[buyFromVendorNo]],'Next Day Scheduled'!A:A,'Pending Returns'!O:O,"NOT_FOUND")</f>
        <v>Posted Credit Note</v>
      </c>
    </row>
    <row r="3753" spans="1:17" x14ac:dyDescent="0.3">
      <c r="A3753" s="1">
        <v>46250</v>
      </c>
      <c r="B3753" t="s">
        <v>642</v>
      </c>
      <c r="C3753" t="s">
        <v>398</v>
      </c>
      <c r="D3753" t="s">
        <v>399</v>
      </c>
      <c r="E3753" t="s">
        <v>8</v>
      </c>
      <c r="F3753" t="s">
        <v>38</v>
      </c>
      <c r="G3753" s="16">
        <v>1126.5787</v>
      </c>
      <c r="H3753" s="16">
        <v>1295.5655999999999</v>
      </c>
      <c r="J3753">
        <v>9</v>
      </c>
      <c r="K3753" t="s">
        <v>10272</v>
      </c>
      <c r="M3753">
        <v>0</v>
      </c>
      <c r="N3753">
        <v>12</v>
      </c>
      <c r="O3753" t="s">
        <v>216</v>
      </c>
      <c r="P3753" s="17"/>
      <c r="Q3753" s="17" t="str">
        <f>_xlfn.XLOOKUP(Table2[[#This Row],[buyFromVendorNo]],'Next Day Scheduled'!A:A,'Pending Returns'!O:O,"NOT_FOUND")</f>
        <v>Posted Credit Note</v>
      </c>
    </row>
    <row r="3754" spans="1:17" x14ac:dyDescent="0.3">
      <c r="A3754" s="1">
        <v>46250</v>
      </c>
      <c r="B3754" t="s">
        <v>469</v>
      </c>
      <c r="C3754" t="s">
        <v>69</v>
      </c>
      <c r="D3754" t="s">
        <v>70</v>
      </c>
      <c r="E3754" t="s">
        <v>8</v>
      </c>
      <c r="F3754" t="s">
        <v>10</v>
      </c>
      <c r="G3754" s="16">
        <v>5903.79</v>
      </c>
      <c r="H3754" s="16">
        <v>6789.3584000000001</v>
      </c>
      <c r="J3754">
        <v>9</v>
      </c>
      <c r="K3754" t="s">
        <v>10198</v>
      </c>
      <c r="M3754">
        <v>9</v>
      </c>
      <c r="N3754">
        <v>1</v>
      </c>
      <c r="O3754" t="s">
        <v>216</v>
      </c>
      <c r="P3754" s="17"/>
      <c r="Q3754" s="17" t="str">
        <f>_xlfn.XLOOKUP(Table2[[#This Row],[buyFromVendorNo]],'Next Day Scheduled'!A:A,'Pending Returns'!O:O,"NOT_FOUND")</f>
        <v>Posted Credit Note</v>
      </c>
    </row>
    <row r="3755" spans="1:17" x14ac:dyDescent="0.3">
      <c r="A3755" s="1">
        <v>46250</v>
      </c>
      <c r="B3755" t="s">
        <v>2897</v>
      </c>
      <c r="C3755" t="s">
        <v>2647</v>
      </c>
      <c r="D3755" t="s">
        <v>2648</v>
      </c>
      <c r="E3755" t="s">
        <v>8</v>
      </c>
      <c r="F3755" t="s">
        <v>10</v>
      </c>
      <c r="G3755" s="16">
        <v>35.22</v>
      </c>
      <c r="H3755" s="16">
        <v>40.503</v>
      </c>
      <c r="I3755" s="1">
        <v>46250</v>
      </c>
      <c r="J3755">
        <v>9</v>
      </c>
      <c r="K3755" t="s">
        <v>10040</v>
      </c>
      <c r="L3755" t="s">
        <v>10159</v>
      </c>
      <c r="M3755">
        <v>1</v>
      </c>
      <c r="N3755">
        <v>3</v>
      </c>
      <c r="O3755" t="s">
        <v>223</v>
      </c>
      <c r="P3755" s="17"/>
      <c r="Q3755" s="17" t="str">
        <f>_xlfn.XLOOKUP(Table2[[#This Row],[buyFromVendorNo]],'Next Day Scheduled'!A:A,'Pending Returns'!O:O,"NOT_FOUND")</f>
        <v>NOT_FOUND</v>
      </c>
    </row>
    <row r="3756" spans="1:17" x14ac:dyDescent="0.3">
      <c r="A3756" s="1">
        <v>46250</v>
      </c>
      <c r="B3756" t="s">
        <v>2583</v>
      </c>
      <c r="C3756" t="s">
        <v>3773</v>
      </c>
      <c r="D3756" t="s">
        <v>3774</v>
      </c>
      <c r="E3756" t="s">
        <v>8</v>
      </c>
      <c r="F3756" t="s">
        <v>10</v>
      </c>
      <c r="G3756" s="16">
        <v>1905.6416999999999</v>
      </c>
      <c r="H3756" s="16">
        <v>2191.4879999999998</v>
      </c>
      <c r="J3756">
        <v>9</v>
      </c>
      <c r="K3756" t="s">
        <v>10200</v>
      </c>
      <c r="M3756">
        <v>2</v>
      </c>
      <c r="N3756">
        <v>2</v>
      </c>
      <c r="O3756" t="s">
        <v>216</v>
      </c>
      <c r="P3756" s="17"/>
      <c r="Q3756" s="17" t="str">
        <f>_xlfn.XLOOKUP(Table2[[#This Row],[buyFromVendorNo]],'Next Day Scheduled'!A:A,'Pending Returns'!O:O,"NOT_FOUND")</f>
        <v>NOT_FOUND</v>
      </c>
    </row>
    <row r="3757" spans="1:17" x14ac:dyDescent="0.3">
      <c r="A3757" s="1">
        <v>46250</v>
      </c>
      <c r="B3757" t="s">
        <v>642</v>
      </c>
      <c r="C3757" t="s">
        <v>4387</v>
      </c>
      <c r="D3757" t="s">
        <v>4388</v>
      </c>
      <c r="E3757" t="s">
        <v>8</v>
      </c>
      <c r="F3757" t="s">
        <v>38</v>
      </c>
      <c r="G3757" s="16">
        <v>656</v>
      </c>
      <c r="H3757" s="16">
        <v>754.4</v>
      </c>
      <c r="J3757">
        <v>9</v>
      </c>
      <c r="K3757" t="s">
        <v>10199</v>
      </c>
      <c r="M3757">
        <v>0</v>
      </c>
      <c r="N3757">
        <v>10</v>
      </c>
      <c r="O3757" t="s">
        <v>216</v>
      </c>
      <c r="P3757" s="17"/>
      <c r="Q3757" s="17" t="str">
        <f>_xlfn.XLOOKUP(Table2[[#This Row],[buyFromVendorNo]],'Next Day Scheduled'!A:A,'Pending Returns'!O:O,"NOT_FOUND")</f>
        <v>NOT_FOUND</v>
      </c>
    </row>
    <row r="3758" spans="1:17" x14ac:dyDescent="0.3">
      <c r="A3758" s="1">
        <v>46250</v>
      </c>
      <c r="B3758" t="s">
        <v>2649</v>
      </c>
      <c r="C3758" t="s">
        <v>34</v>
      </c>
      <c r="D3758" t="s">
        <v>35</v>
      </c>
      <c r="E3758" t="s">
        <v>8</v>
      </c>
      <c r="F3758" t="s">
        <v>10</v>
      </c>
      <c r="G3758" s="16">
        <v>2032.5934</v>
      </c>
      <c r="H3758" s="16">
        <v>2337.4823999999999</v>
      </c>
      <c r="I3758" s="1">
        <v>46246</v>
      </c>
      <c r="J3758">
        <v>9</v>
      </c>
      <c r="K3758" t="s">
        <v>9492</v>
      </c>
      <c r="L3758" t="s">
        <v>10204</v>
      </c>
      <c r="M3758">
        <v>1</v>
      </c>
      <c r="N3758">
        <v>8</v>
      </c>
      <c r="O3758" t="s">
        <v>1036</v>
      </c>
      <c r="P3758" s="17"/>
      <c r="Q3758" s="17" t="str">
        <f>_xlfn.XLOOKUP(Table2[[#This Row],[buyFromVendorNo]],'Next Day Scheduled'!A:A,'Pending Returns'!O:O,"NOT_FOUND")</f>
        <v>Posted Credit Note</v>
      </c>
    </row>
    <row r="3759" spans="1:17" x14ac:dyDescent="0.3">
      <c r="A3759" s="1">
        <v>46250</v>
      </c>
      <c r="B3759" t="s">
        <v>1854</v>
      </c>
      <c r="C3759" t="s">
        <v>65</v>
      </c>
      <c r="D3759" t="s">
        <v>66</v>
      </c>
      <c r="E3759" t="s">
        <v>8</v>
      </c>
      <c r="F3759" t="s">
        <v>10</v>
      </c>
      <c r="G3759" s="16">
        <v>4755.0712999999996</v>
      </c>
      <c r="H3759" s="16">
        <v>5468.3320000000003</v>
      </c>
      <c r="I3759" s="1">
        <v>46248</v>
      </c>
      <c r="J3759">
        <v>9</v>
      </c>
      <c r="K3759" t="s">
        <v>7005</v>
      </c>
      <c r="L3759" t="s">
        <v>10205</v>
      </c>
      <c r="M3759">
        <v>3</v>
      </c>
      <c r="N3759">
        <v>5</v>
      </c>
      <c r="O3759" t="s">
        <v>1036</v>
      </c>
      <c r="P3759" s="17"/>
      <c r="Q3759" s="17" t="str">
        <f>_xlfn.XLOOKUP(Table2[[#This Row],[buyFromVendorNo]],'Next Day Scheduled'!A:A,'Pending Returns'!O:O,"NOT_FOUND")</f>
        <v>Posted Credit Note</v>
      </c>
    </row>
    <row r="3760" spans="1:17" x14ac:dyDescent="0.3">
      <c r="A3760" s="1">
        <v>46250</v>
      </c>
      <c r="B3760" t="s">
        <v>10235</v>
      </c>
      <c r="C3760" t="s">
        <v>325</v>
      </c>
      <c r="D3760" t="s">
        <v>326</v>
      </c>
      <c r="E3760" t="s">
        <v>8</v>
      </c>
      <c r="F3760" t="s">
        <v>10</v>
      </c>
      <c r="G3760" s="16">
        <v>87</v>
      </c>
      <c r="H3760" s="16">
        <v>100.05</v>
      </c>
      <c r="J3760">
        <v>9</v>
      </c>
      <c r="K3760" t="s">
        <v>10236</v>
      </c>
      <c r="M3760">
        <v>5</v>
      </c>
      <c r="N3760">
        <v>1</v>
      </c>
      <c r="O3760" t="s">
        <v>216</v>
      </c>
      <c r="P3760" s="17"/>
      <c r="Q3760" s="17" t="str">
        <f>_xlfn.XLOOKUP(Table2[[#This Row],[buyFromVendorNo]],'Next Day Scheduled'!A:A,'Pending Returns'!O:O,"NOT_FOUND")</f>
        <v>Posted Credit Note</v>
      </c>
    </row>
    <row r="3761" spans="1:17" x14ac:dyDescent="0.3">
      <c r="A3761" s="1">
        <v>46250</v>
      </c>
      <c r="B3761" t="s">
        <v>443</v>
      </c>
      <c r="C3761" t="s">
        <v>295</v>
      </c>
      <c r="D3761" t="s">
        <v>345</v>
      </c>
      <c r="E3761" t="s">
        <v>8</v>
      </c>
      <c r="F3761" t="s">
        <v>10</v>
      </c>
      <c r="G3761" s="16">
        <v>42.5</v>
      </c>
      <c r="H3761" s="16">
        <v>48.875</v>
      </c>
      <c r="J3761">
        <v>9</v>
      </c>
      <c r="K3761" t="s">
        <v>10209</v>
      </c>
      <c r="M3761">
        <v>5</v>
      </c>
      <c r="N3761">
        <v>1</v>
      </c>
      <c r="O3761" t="s">
        <v>216</v>
      </c>
      <c r="P3761" s="17"/>
      <c r="Q3761" s="17" t="str">
        <f>_xlfn.XLOOKUP(Table2[[#This Row],[buyFromVendorNo]],'Next Day Scheduled'!A:A,'Pending Returns'!O:O,"NOT_FOUND")</f>
        <v>NOT_FOUND</v>
      </c>
    </row>
    <row r="3762" spans="1:17" x14ac:dyDescent="0.3">
      <c r="A3762" s="1">
        <v>46250</v>
      </c>
      <c r="B3762" t="s">
        <v>5119</v>
      </c>
      <c r="C3762" t="s">
        <v>39</v>
      </c>
      <c r="D3762" t="s">
        <v>40</v>
      </c>
      <c r="E3762" t="s">
        <v>8</v>
      </c>
      <c r="F3762" t="s">
        <v>10</v>
      </c>
      <c r="G3762" s="16">
        <v>1760.5492999999999</v>
      </c>
      <c r="H3762" s="16">
        <v>2024.6316999999999</v>
      </c>
      <c r="I3762" s="1">
        <v>46246</v>
      </c>
      <c r="J3762">
        <v>9</v>
      </c>
      <c r="K3762" t="s">
        <v>9699</v>
      </c>
      <c r="L3762" t="s">
        <v>10283</v>
      </c>
      <c r="M3762">
        <v>4</v>
      </c>
      <c r="N3762">
        <v>1</v>
      </c>
      <c r="O3762" t="s">
        <v>1036</v>
      </c>
      <c r="P3762" s="17"/>
      <c r="Q3762" s="17" t="str">
        <f>_xlfn.XLOOKUP(Table2[[#This Row],[buyFromVendorNo]],'Next Day Scheduled'!A:A,'Pending Returns'!O:O,"NOT_FOUND")</f>
        <v>Posted Credit Note</v>
      </c>
    </row>
    <row r="3763" spans="1:17" x14ac:dyDescent="0.3">
      <c r="A3763" s="1">
        <v>46250</v>
      </c>
      <c r="B3763" t="s">
        <v>720</v>
      </c>
      <c r="C3763" t="s">
        <v>65</v>
      </c>
      <c r="D3763" t="s">
        <v>66</v>
      </c>
      <c r="E3763" t="s">
        <v>8</v>
      </c>
      <c r="F3763" t="s">
        <v>10</v>
      </c>
      <c r="G3763" s="16">
        <v>4714.8926000000001</v>
      </c>
      <c r="H3763" s="16">
        <v>5422.1265000000003</v>
      </c>
      <c r="I3763" s="1">
        <v>46248</v>
      </c>
      <c r="J3763">
        <v>9</v>
      </c>
      <c r="K3763" t="s">
        <v>6522</v>
      </c>
      <c r="L3763" t="s">
        <v>10284</v>
      </c>
      <c r="M3763">
        <v>3</v>
      </c>
      <c r="N3763">
        <v>5</v>
      </c>
      <c r="O3763" t="s">
        <v>1036</v>
      </c>
      <c r="P3763" s="17"/>
      <c r="Q3763" s="17" t="str">
        <f>_xlfn.XLOOKUP(Table2[[#This Row],[buyFromVendorNo]],'Next Day Scheduled'!A:A,'Pending Returns'!O:O,"NOT_FOUND")</f>
        <v>Posted Credit Note</v>
      </c>
    </row>
    <row r="3764" spans="1:17" x14ac:dyDescent="0.3">
      <c r="A3764" s="1">
        <v>46250</v>
      </c>
      <c r="B3764" t="s">
        <v>8080</v>
      </c>
      <c r="C3764" t="s">
        <v>512</v>
      </c>
      <c r="D3764" t="s">
        <v>513</v>
      </c>
      <c r="E3764" t="s">
        <v>8</v>
      </c>
      <c r="F3764" t="s">
        <v>10</v>
      </c>
      <c r="G3764" s="16">
        <v>33.18</v>
      </c>
      <c r="H3764" s="16">
        <v>38.156999999999996</v>
      </c>
      <c r="J3764">
        <v>9</v>
      </c>
      <c r="K3764" t="s">
        <v>10214</v>
      </c>
      <c r="M3764">
        <v>2</v>
      </c>
      <c r="N3764">
        <v>3</v>
      </c>
      <c r="O3764" t="s">
        <v>216</v>
      </c>
      <c r="P3764" s="17"/>
      <c r="Q3764" s="17" t="str">
        <f>_xlfn.XLOOKUP(Table2[[#This Row],[buyFromVendorNo]],'Next Day Scheduled'!A:A,'Pending Returns'!O:O,"NOT_FOUND")</f>
        <v>NOT_FOUND</v>
      </c>
    </row>
    <row r="3765" spans="1:17" x14ac:dyDescent="0.3">
      <c r="A3765" s="1">
        <v>46250</v>
      </c>
      <c r="B3765" t="s">
        <v>9472</v>
      </c>
      <c r="C3765" t="s">
        <v>899</v>
      </c>
      <c r="D3765" t="s">
        <v>900</v>
      </c>
      <c r="E3765" t="s">
        <v>8</v>
      </c>
      <c r="F3765" t="s">
        <v>10</v>
      </c>
      <c r="G3765" s="16">
        <v>160</v>
      </c>
      <c r="H3765" s="16">
        <v>184</v>
      </c>
      <c r="J3765">
        <v>9</v>
      </c>
      <c r="K3765" t="s">
        <v>10217</v>
      </c>
      <c r="M3765">
        <v>0</v>
      </c>
      <c r="N3765">
        <v>643</v>
      </c>
      <c r="O3765" t="s">
        <v>216</v>
      </c>
      <c r="P3765" s="17"/>
      <c r="Q3765" s="17" t="str">
        <f>_xlfn.XLOOKUP(Table2[[#This Row],[buyFromVendorNo]],'Next Day Scheduled'!A:A,'Pending Returns'!O:O,"NOT_FOUND")</f>
        <v>NOT_FOUND</v>
      </c>
    </row>
    <row r="3766" spans="1:17" x14ac:dyDescent="0.3">
      <c r="A3766" s="1">
        <v>46250</v>
      </c>
      <c r="B3766" t="s">
        <v>2778</v>
      </c>
      <c r="C3766" t="s">
        <v>633</v>
      </c>
      <c r="D3766" t="s">
        <v>690</v>
      </c>
      <c r="E3766" t="s">
        <v>8</v>
      </c>
      <c r="F3766" t="s">
        <v>10</v>
      </c>
      <c r="G3766" s="16">
        <v>98.42</v>
      </c>
      <c r="H3766" s="16">
        <v>113.18300000000001</v>
      </c>
      <c r="J3766">
        <v>9</v>
      </c>
      <c r="K3766" t="s">
        <v>10218</v>
      </c>
      <c r="M3766">
        <v>1</v>
      </c>
      <c r="N3766">
        <v>6</v>
      </c>
      <c r="O3766" t="s">
        <v>216</v>
      </c>
      <c r="P3766" s="17"/>
      <c r="Q3766" s="17" t="str">
        <f>_xlfn.XLOOKUP(Table2[[#This Row],[buyFromVendorNo]],'Next Day Scheduled'!A:A,'Pending Returns'!O:O,"NOT_FOUND")</f>
        <v>NOT_FOUND</v>
      </c>
    </row>
    <row r="3767" spans="1:17" x14ac:dyDescent="0.3">
      <c r="A3767" s="1">
        <v>46250</v>
      </c>
      <c r="B3767" t="s">
        <v>642</v>
      </c>
      <c r="C3767" t="s">
        <v>810</v>
      </c>
      <c r="D3767" t="s">
        <v>811</v>
      </c>
      <c r="E3767" t="s">
        <v>8</v>
      </c>
      <c r="F3767" t="s">
        <v>38</v>
      </c>
      <c r="G3767" s="16">
        <v>4</v>
      </c>
      <c r="H3767" s="16">
        <v>4.5999999999999996</v>
      </c>
      <c r="J3767">
        <v>9</v>
      </c>
      <c r="K3767" t="s">
        <v>10241</v>
      </c>
      <c r="M3767">
        <v>1</v>
      </c>
      <c r="N3767">
        <v>7</v>
      </c>
      <c r="O3767" t="s">
        <v>216</v>
      </c>
      <c r="P3767" s="17"/>
      <c r="Q3767" s="17" t="str">
        <f>_xlfn.XLOOKUP(Table2[[#This Row],[buyFromVendorNo]],'Next Day Scheduled'!A:A,'Pending Returns'!O:O,"NOT_FOUND")</f>
        <v>NOT_FOUND</v>
      </c>
    </row>
    <row r="3768" spans="1:17" x14ac:dyDescent="0.3">
      <c r="A3768" s="1">
        <v>46250</v>
      </c>
      <c r="B3768" t="s">
        <v>10235</v>
      </c>
      <c r="C3768" t="s">
        <v>325</v>
      </c>
      <c r="D3768" t="s">
        <v>326</v>
      </c>
      <c r="E3768" t="s">
        <v>8</v>
      </c>
      <c r="F3768" t="s">
        <v>10</v>
      </c>
      <c r="G3768" s="16">
        <v>56.5</v>
      </c>
      <c r="H3768" s="16">
        <v>64.974999999999994</v>
      </c>
      <c r="J3768">
        <v>9</v>
      </c>
      <c r="K3768" t="s">
        <v>10242</v>
      </c>
      <c r="M3768">
        <v>5</v>
      </c>
      <c r="N3768">
        <v>1</v>
      </c>
      <c r="O3768" t="s">
        <v>216</v>
      </c>
      <c r="P3768" s="17"/>
      <c r="Q3768" s="17" t="str">
        <f>_xlfn.XLOOKUP(Table2[[#This Row],[buyFromVendorNo]],'Next Day Scheduled'!A:A,'Pending Returns'!O:O,"NOT_FOUND")</f>
        <v>Posted Credit Note</v>
      </c>
    </row>
    <row r="3769" spans="1:17" x14ac:dyDescent="0.3">
      <c r="A3769" s="1">
        <v>46250</v>
      </c>
      <c r="B3769" t="s">
        <v>642</v>
      </c>
      <c r="C3769" t="s">
        <v>69</v>
      </c>
      <c r="D3769" t="s">
        <v>70</v>
      </c>
      <c r="E3769" t="s">
        <v>8</v>
      </c>
      <c r="F3769" t="s">
        <v>38</v>
      </c>
      <c r="G3769" s="16">
        <v>41.9099</v>
      </c>
      <c r="H3769" s="16">
        <v>48.196390000000001</v>
      </c>
      <c r="J3769">
        <v>9</v>
      </c>
      <c r="K3769" t="s">
        <v>10243</v>
      </c>
      <c r="M3769">
        <v>1</v>
      </c>
      <c r="N3769">
        <v>2</v>
      </c>
      <c r="O3769" t="s">
        <v>216</v>
      </c>
      <c r="P3769" s="17"/>
      <c r="Q3769" s="17" t="str">
        <f>_xlfn.XLOOKUP(Table2[[#This Row],[buyFromVendorNo]],'Next Day Scheduled'!A:A,'Pending Returns'!O:O,"NOT_FOUND")</f>
        <v>Posted Credit Note</v>
      </c>
    </row>
    <row r="3770" spans="1:17" x14ac:dyDescent="0.3">
      <c r="A3770" s="1">
        <v>46250</v>
      </c>
      <c r="B3770" t="s">
        <v>2940</v>
      </c>
      <c r="C3770" t="s">
        <v>704</v>
      </c>
      <c r="D3770" t="s">
        <v>705</v>
      </c>
      <c r="E3770" t="s">
        <v>8</v>
      </c>
      <c r="F3770" t="s">
        <v>10</v>
      </c>
      <c r="G3770" s="16">
        <v>1388.24</v>
      </c>
      <c r="H3770" s="16">
        <v>1596.4760000000001</v>
      </c>
      <c r="I3770" s="1">
        <v>46250</v>
      </c>
      <c r="J3770">
        <v>9</v>
      </c>
      <c r="K3770" t="s">
        <v>8961</v>
      </c>
      <c r="L3770" t="s">
        <v>10171</v>
      </c>
      <c r="M3770">
        <v>0</v>
      </c>
      <c r="N3770">
        <v>37</v>
      </c>
      <c r="O3770" t="s">
        <v>223</v>
      </c>
      <c r="P3770" s="17"/>
      <c r="Q3770" s="17" t="str">
        <f>_xlfn.XLOOKUP(Table2[[#This Row],[buyFromVendorNo]],'Next Day Scheduled'!A:A,'Pending Returns'!O:O,"NOT_FOUND")</f>
        <v>NOT_FOUND</v>
      </c>
    </row>
    <row r="3771" spans="1:17" x14ac:dyDescent="0.3">
      <c r="A3771" s="1">
        <v>46250</v>
      </c>
      <c r="B3771" t="s">
        <v>3715</v>
      </c>
      <c r="C3771" t="s">
        <v>65</v>
      </c>
      <c r="D3771" t="s">
        <v>66</v>
      </c>
      <c r="E3771" t="s">
        <v>8</v>
      </c>
      <c r="F3771" t="s">
        <v>169</v>
      </c>
      <c r="G3771" s="16">
        <v>187.92</v>
      </c>
      <c r="H3771" s="16">
        <v>216.108</v>
      </c>
      <c r="I3771" s="1">
        <v>46246</v>
      </c>
      <c r="J3771">
        <v>9</v>
      </c>
      <c r="K3771" t="s">
        <v>9904</v>
      </c>
      <c r="L3771" t="s">
        <v>10187</v>
      </c>
      <c r="M3771">
        <v>2</v>
      </c>
      <c r="N3771">
        <v>5</v>
      </c>
      <c r="O3771" t="s">
        <v>1036</v>
      </c>
      <c r="P3771" s="17"/>
      <c r="Q3771" s="17" t="str">
        <f>_xlfn.XLOOKUP(Table2[[#This Row],[buyFromVendorNo]],'Next Day Scheduled'!A:A,'Pending Returns'!O:O,"NOT_FOUND")</f>
        <v>Posted Credit Note</v>
      </c>
    </row>
    <row r="3772" spans="1:17" x14ac:dyDescent="0.3">
      <c r="A3772" s="1">
        <v>46250</v>
      </c>
      <c r="B3772" t="s">
        <v>1780</v>
      </c>
      <c r="C3772" t="s">
        <v>704</v>
      </c>
      <c r="D3772" t="s">
        <v>705</v>
      </c>
      <c r="E3772" t="s">
        <v>8</v>
      </c>
      <c r="F3772" t="s">
        <v>10</v>
      </c>
      <c r="G3772" s="16">
        <v>491.3</v>
      </c>
      <c r="H3772" s="16">
        <v>564.995</v>
      </c>
      <c r="I3772" s="1">
        <v>46250</v>
      </c>
      <c r="J3772">
        <v>9</v>
      </c>
      <c r="K3772" t="s">
        <v>8424</v>
      </c>
      <c r="L3772" t="s">
        <v>10169</v>
      </c>
      <c r="M3772">
        <v>0</v>
      </c>
      <c r="N3772">
        <v>37</v>
      </c>
      <c r="O3772" t="s">
        <v>223</v>
      </c>
      <c r="P3772" s="17"/>
      <c r="Q3772" s="17" t="str">
        <f>_xlfn.XLOOKUP(Table2[[#This Row],[buyFromVendorNo]],'Next Day Scheduled'!A:A,'Pending Returns'!O:O,"NOT_FOUND")</f>
        <v>NOT_FOUND</v>
      </c>
    </row>
    <row r="3773" spans="1:17" x14ac:dyDescent="0.3">
      <c r="A3773" s="1">
        <v>46250</v>
      </c>
      <c r="B3773" t="s">
        <v>6387</v>
      </c>
      <c r="C3773" t="s">
        <v>8372</v>
      </c>
      <c r="D3773" t="s">
        <v>8373</v>
      </c>
      <c r="E3773" t="s">
        <v>8</v>
      </c>
      <c r="F3773" t="s">
        <v>10</v>
      </c>
      <c r="G3773" s="16">
        <v>387.5</v>
      </c>
      <c r="H3773" s="16">
        <v>445.625</v>
      </c>
      <c r="J3773">
        <v>9</v>
      </c>
      <c r="K3773" t="s">
        <v>10225</v>
      </c>
      <c r="M3773">
        <v>0</v>
      </c>
      <c r="N3773">
        <v>30</v>
      </c>
      <c r="O3773" t="s">
        <v>216</v>
      </c>
      <c r="P3773" s="17"/>
      <c r="Q3773" s="17" t="str">
        <f>_xlfn.XLOOKUP(Table2[[#This Row],[buyFromVendorNo]],'Next Day Scheduled'!A:A,'Pending Returns'!O:O,"NOT_FOUND")</f>
        <v>NOT_FOUND</v>
      </c>
    </row>
    <row r="3774" spans="1:17" x14ac:dyDescent="0.3">
      <c r="A3774" s="1">
        <v>46250</v>
      </c>
      <c r="B3774" t="s">
        <v>3277</v>
      </c>
      <c r="C3774" t="s">
        <v>573</v>
      </c>
      <c r="D3774" t="s">
        <v>574</v>
      </c>
      <c r="E3774" t="s">
        <v>8</v>
      </c>
      <c r="F3774" t="s">
        <v>10</v>
      </c>
      <c r="G3774" s="16">
        <v>162.66800000000001</v>
      </c>
      <c r="H3774" s="16">
        <v>187.06819999999999</v>
      </c>
      <c r="J3774">
        <v>9</v>
      </c>
      <c r="K3774" t="s">
        <v>10226</v>
      </c>
      <c r="M3774">
        <v>2</v>
      </c>
      <c r="N3774">
        <v>2</v>
      </c>
      <c r="O3774" t="s">
        <v>216</v>
      </c>
      <c r="P3774" s="17"/>
      <c r="Q3774" s="17" t="str">
        <f>_xlfn.XLOOKUP(Table2[[#This Row],[buyFromVendorNo]],'Next Day Scheduled'!A:A,'Pending Returns'!O:O,"NOT_FOUND")</f>
        <v>NOT_FOUND</v>
      </c>
    </row>
    <row r="3775" spans="1:17" x14ac:dyDescent="0.3">
      <c r="A3775" s="1">
        <v>46250</v>
      </c>
      <c r="B3775" t="s">
        <v>6388</v>
      </c>
      <c r="C3775" t="s">
        <v>2298</v>
      </c>
      <c r="D3775" t="s">
        <v>2299</v>
      </c>
      <c r="E3775" t="s">
        <v>8</v>
      </c>
      <c r="F3775" t="s">
        <v>10</v>
      </c>
      <c r="G3775" s="16">
        <v>20.290019999999998</v>
      </c>
      <c r="H3775" s="16">
        <v>23.33353</v>
      </c>
      <c r="J3775">
        <v>9</v>
      </c>
      <c r="K3775" t="s">
        <v>10193</v>
      </c>
      <c r="M3775">
        <v>1</v>
      </c>
      <c r="N3775">
        <v>7</v>
      </c>
      <c r="O3775" t="s">
        <v>216</v>
      </c>
      <c r="P3775" s="17"/>
      <c r="Q3775" s="17" t="str">
        <f>_xlfn.XLOOKUP(Table2[[#This Row],[buyFromVendorNo]],'Next Day Scheduled'!A:A,'Pending Returns'!O:O,"NOT_FOUND")</f>
        <v>NOT_FOUND</v>
      </c>
    </row>
    <row r="3776" spans="1:17" x14ac:dyDescent="0.3">
      <c r="A3776" s="1">
        <v>46250</v>
      </c>
      <c r="B3776" t="s">
        <v>642</v>
      </c>
      <c r="C3776" t="s">
        <v>812</v>
      </c>
      <c r="D3776" t="s">
        <v>2394</v>
      </c>
      <c r="E3776" t="s">
        <v>8</v>
      </c>
      <c r="F3776" t="s">
        <v>38</v>
      </c>
      <c r="G3776" s="16">
        <v>439</v>
      </c>
      <c r="H3776" s="16">
        <v>504.85</v>
      </c>
      <c r="J3776">
        <v>9</v>
      </c>
      <c r="K3776" t="s">
        <v>10293</v>
      </c>
      <c r="M3776">
        <v>1</v>
      </c>
      <c r="N3776">
        <v>6</v>
      </c>
      <c r="O3776" t="s">
        <v>216</v>
      </c>
      <c r="P3776" s="17"/>
      <c r="Q3776" s="17" t="str">
        <f>_xlfn.XLOOKUP(Table2[[#This Row],[buyFromVendorNo]],'Next Day Scheduled'!A:A,'Pending Returns'!O:O,"NOT_FOUND")</f>
        <v>NOT_FOUND</v>
      </c>
    </row>
    <row r="3777" spans="1:17" x14ac:dyDescent="0.3">
      <c r="A3777" s="1">
        <v>46250</v>
      </c>
      <c r="B3777" t="s">
        <v>3753</v>
      </c>
      <c r="C3777" t="s">
        <v>122</v>
      </c>
      <c r="D3777" t="s">
        <v>123</v>
      </c>
      <c r="E3777" t="s">
        <v>8</v>
      </c>
      <c r="F3777" t="s">
        <v>10</v>
      </c>
      <c r="G3777" s="16">
        <v>237.25</v>
      </c>
      <c r="H3777" s="16">
        <v>272.83749999999998</v>
      </c>
      <c r="J3777">
        <v>9</v>
      </c>
      <c r="K3777" t="s">
        <v>10232</v>
      </c>
      <c r="M3777">
        <v>5</v>
      </c>
      <c r="N3777">
        <v>1</v>
      </c>
      <c r="O3777" t="s">
        <v>216</v>
      </c>
      <c r="P3777" s="17"/>
      <c r="Q3777" s="17" t="str">
        <f>_xlfn.XLOOKUP(Table2[[#This Row],[buyFromVendorNo]],'Next Day Scheduled'!A:A,'Pending Returns'!O:O,"NOT_FOUND")</f>
        <v>NOT_FOUND</v>
      </c>
    </row>
    <row r="3778" spans="1:17" x14ac:dyDescent="0.3">
      <c r="A3778" s="1">
        <v>46250</v>
      </c>
      <c r="B3778" t="s">
        <v>3494</v>
      </c>
      <c r="C3778" t="s">
        <v>7001</v>
      </c>
      <c r="D3778" t="s">
        <v>7002</v>
      </c>
      <c r="E3778" t="s">
        <v>8</v>
      </c>
      <c r="F3778" t="s">
        <v>10</v>
      </c>
      <c r="G3778" s="16">
        <v>78.5</v>
      </c>
      <c r="H3778" s="16">
        <v>90.275000000000006</v>
      </c>
      <c r="J3778">
        <v>9</v>
      </c>
      <c r="K3778" t="s">
        <v>10233</v>
      </c>
      <c r="M3778">
        <v>2</v>
      </c>
      <c r="N3778">
        <v>7</v>
      </c>
      <c r="O3778" t="s">
        <v>216</v>
      </c>
      <c r="P3778" s="17"/>
      <c r="Q3778" s="17" t="str">
        <f>_xlfn.XLOOKUP(Table2[[#This Row],[buyFromVendorNo]],'Next Day Scheduled'!A:A,'Pending Returns'!O:O,"NOT_FOUND")</f>
        <v>Posted Credit Note</v>
      </c>
    </row>
    <row r="3779" spans="1:17" x14ac:dyDescent="0.3">
      <c r="A3779" s="1">
        <v>46250</v>
      </c>
      <c r="B3779" t="s">
        <v>1487</v>
      </c>
      <c r="C3779" t="s">
        <v>9055</v>
      </c>
      <c r="D3779" t="s">
        <v>9056</v>
      </c>
      <c r="E3779" t="s">
        <v>8</v>
      </c>
      <c r="F3779" t="s">
        <v>10</v>
      </c>
      <c r="G3779" s="16">
        <v>319</v>
      </c>
      <c r="H3779" s="16">
        <v>366.85</v>
      </c>
      <c r="J3779">
        <v>9</v>
      </c>
      <c r="K3779" t="s">
        <v>10277</v>
      </c>
      <c r="M3779">
        <v>0</v>
      </c>
      <c r="N3779">
        <v>342</v>
      </c>
      <c r="O3779" t="s">
        <v>216</v>
      </c>
      <c r="P3779" s="17"/>
      <c r="Q3779" s="17" t="str">
        <f>_xlfn.XLOOKUP(Table2[[#This Row],[buyFromVendorNo]],'Next Day Scheduled'!A:A,'Pending Returns'!O:O,"NOT_FOUND")</f>
        <v>NOT_FOUND</v>
      </c>
    </row>
    <row r="3780" spans="1:17" x14ac:dyDescent="0.3">
      <c r="A3780" s="1">
        <v>46250</v>
      </c>
      <c r="B3780" t="s">
        <v>2689</v>
      </c>
      <c r="C3780" t="s">
        <v>621</v>
      </c>
      <c r="D3780" t="s">
        <v>622</v>
      </c>
      <c r="E3780" t="s">
        <v>8</v>
      </c>
      <c r="F3780" t="s">
        <v>10</v>
      </c>
      <c r="G3780" s="16">
        <v>1621.56</v>
      </c>
      <c r="H3780" s="16">
        <v>1864.7940000000001</v>
      </c>
      <c r="I3780" s="1">
        <v>46244</v>
      </c>
      <c r="J3780">
        <v>9</v>
      </c>
      <c r="K3780" t="s">
        <v>9070</v>
      </c>
      <c r="L3780" t="s">
        <v>10201</v>
      </c>
      <c r="M3780">
        <v>1</v>
      </c>
      <c r="N3780">
        <v>3</v>
      </c>
      <c r="O3780" t="s">
        <v>1036</v>
      </c>
      <c r="P3780" s="17"/>
      <c r="Q3780" s="17" t="str">
        <f>_xlfn.XLOOKUP(Table2[[#This Row],[buyFromVendorNo]],'Next Day Scheduled'!A:A,'Pending Returns'!O:O,"NOT_FOUND")</f>
        <v>NOT_FOUND</v>
      </c>
    </row>
    <row r="3781" spans="1:17" x14ac:dyDescent="0.3">
      <c r="A3781" s="1">
        <v>46250</v>
      </c>
      <c r="B3781" t="s">
        <v>2864</v>
      </c>
      <c r="C3781" t="s">
        <v>2647</v>
      </c>
      <c r="D3781" t="s">
        <v>2648</v>
      </c>
      <c r="E3781" t="s">
        <v>8</v>
      </c>
      <c r="F3781" t="s">
        <v>10</v>
      </c>
      <c r="G3781" s="16">
        <v>17.61</v>
      </c>
      <c r="H3781" s="16">
        <v>20.2515</v>
      </c>
      <c r="I3781" s="1">
        <v>46250</v>
      </c>
      <c r="J3781">
        <v>9</v>
      </c>
      <c r="K3781" t="s">
        <v>8445</v>
      </c>
      <c r="L3781" t="s">
        <v>10167</v>
      </c>
      <c r="M3781">
        <v>1</v>
      </c>
      <c r="N3781">
        <v>3</v>
      </c>
      <c r="O3781" t="s">
        <v>223</v>
      </c>
      <c r="P3781" s="17"/>
      <c r="Q3781" s="17" t="str">
        <f>_xlfn.XLOOKUP(Table2[[#This Row],[buyFromVendorNo]],'Next Day Scheduled'!A:A,'Pending Returns'!O:O,"NOT_FOUND")</f>
        <v>NOT_FOUND</v>
      </c>
    </row>
    <row r="3782" spans="1:17" x14ac:dyDescent="0.3">
      <c r="A3782" s="1">
        <v>46250</v>
      </c>
      <c r="B3782" t="s">
        <v>2153</v>
      </c>
      <c r="C3782" t="s">
        <v>2647</v>
      </c>
      <c r="D3782" t="s">
        <v>2648</v>
      </c>
      <c r="E3782" t="s">
        <v>8</v>
      </c>
      <c r="F3782" t="s">
        <v>10</v>
      </c>
      <c r="G3782" s="16">
        <v>35.22</v>
      </c>
      <c r="H3782" s="16">
        <v>40.503</v>
      </c>
      <c r="I3782" s="1">
        <v>46250</v>
      </c>
      <c r="J3782">
        <v>9</v>
      </c>
      <c r="K3782" t="s">
        <v>8187</v>
      </c>
      <c r="L3782" t="s">
        <v>10155</v>
      </c>
      <c r="M3782">
        <v>1</v>
      </c>
      <c r="N3782">
        <v>3</v>
      </c>
      <c r="O3782" t="s">
        <v>223</v>
      </c>
      <c r="P3782" s="17"/>
      <c r="Q3782" s="17" t="str">
        <f>_xlfn.XLOOKUP(Table2[[#This Row],[buyFromVendorNo]],'Next Day Scheduled'!A:A,'Pending Returns'!O:O,"NOT_FOUND")</f>
        <v>NOT_FOUND</v>
      </c>
    </row>
    <row r="3783" spans="1:17" x14ac:dyDescent="0.3">
      <c r="A3783" s="1">
        <v>46250</v>
      </c>
      <c r="B3783" t="s">
        <v>1490</v>
      </c>
      <c r="C3783" t="s">
        <v>531</v>
      </c>
      <c r="D3783" t="s">
        <v>532</v>
      </c>
      <c r="E3783" t="s">
        <v>8</v>
      </c>
      <c r="F3783" t="s">
        <v>10</v>
      </c>
      <c r="G3783" s="16">
        <v>80</v>
      </c>
      <c r="H3783" s="16">
        <v>92</v>
      </c>
      <c r="J3783">
        <v>9</v>
      </c>
      <c r="K3783" t="s">
        <v>10206</v>
      </c>
      <c r="M3783">
        <v>0</v>
      </c>
      <c r="N3783">
        <v>15</v>
      </c>
      <c r="O3783" t="s">
        <v>216</v>
      </c>
      <c r="P3783" s="17"/>
      <c r="Q3783" s="17" t="str">
        <f>_xlfn.XLOOKUP(Table2[[#This Row],[buyFromVendorNo]],'Next Day Scheduled'!A:A,'Pending Returns'!O:O,"NOT_FOUND")</f>
        <v>NOT_FOUND</v>
      </c>
    </row>
    <row r="3784" spans="1:17" x14ac:dyDescent="0.3">
      <c r="A3784" s="1">
        <v>46250</v>
      </c>
      <c r="B3784" t="s">
        <v>2809</v>
      </c>
      <c r="C3784" t="s">
        <v>1020</v>
      </c>
      <c r="D3784" t="s">
        <v>1021</v>
      </c>
      <c r="E3784" t="s">
        <v>8</v>
      </c>
      <c r="F3784" t="s">
        <v>10</v>
      </c>
      <c r="G3784" s="16">
        <v>103.04355</v>
      </c>
      <c r="H3784" s="16">
        <v>118.50008</v>
      </c>
      <c r="I3784" s="1">
        <v>46247</v>
      </c>
      <c r="J3784">
        <v>9</v>
      </c>
      <c r="K3784" t="s">
        <v>9048</v>
      </c>
      <c r="L3784" t="s">
        <v>10282</v>
      </c>
      <c r="M3784">
        <v>2</v>
      </c>
      <c r="N3784">
        <v>2</v>
      </c>
      <c r="O3784" t="s">
        <v>1036</v>
      </c>
      <c r="P3784" s="17"/>
      <c r="Q3784" s="17" t="str">
        <f>_xlfn.XLOOKUP(Table2[[#This Row],[buyFromVendorNo]],'Next Day Scheduled'!A:A,'Pending Returns'!O:O,"NOT_FOUND")</f>
        <v>NOT_FOUND</v>
      </c>
    </row>
    <row r="3785" spans="1:17" x14ac:dyDescent="0.3">
      <c r="A3785" s="1">
        <v>46250</v>
      </c>
      <c r="B3785" t="s">
        <v>10210</v>
      </c>
      <c r="C3785" t="s">
        <v>5416</v>
      </c>
      <c r="D3785" t="s">
        <v>5417</v>
      </c>
      <c r="E3785" t="s">
        <v>8</v>
      </c>
      <c r="F3785" t="s">
        <v>10</v>
      </c>
      <c r="G3785" s="16">
        <v>41.391300000000001</v>
      </c>
      <c r="H3785" s="16">
        <v>47.6</v>
      </c>
      <c r="J3785">
        <v>9</v>
      </c>
      <c r="K3785" t="s">
        <v>10211</v>
      </c>
      <c r="M3785">
        <v>0</v>
      </c>
      <c r="N3785">
        <v>12</v>
      </c>
      <c r="O3785" t="s">
        <v>216</v>
      </c>
      <c r="P3785" s="17"/>
      <c r="Q3785" s="17" t="str">
        <f>_xlfn.XLOOKUP(Table2[[#This Row],[buyFromVendorNo]],'Next Day Scheduled'!A:A,'Pending Returns'!O:O,"NOT_FOUND")</f>
        <v>NOT_FOUND</v>
      </c>
    </row>
    <row r="3786" spans="1:17" x14ac:dyDescent="0.3">
      <c r="A3786" s="1">
        <v>46250</v>
      </c>
      <c r="B3786" t="s">
        <v>393</v>
      </c>
      <c r="C3786" t="s">
        <v>804</v>
      </c>
      <c r="D3786" t="s">
        <v>805</v>
      </c>
      <c r="E3786" t="s">
        <v>8</v>
      </c>
      <c r="F3786" t="s">
        <v>10</v>
      </c>
      <c r="G3786" s="16">
        <v>67.58</v>
      </c>
      <c r="H3786" s="16">
        <v>77.716999999999999</v>
      </c>
      <c r="J3786">
        <v>9</v>
      </c>
      <c r="K3786" t="s">
        <v>10212</v>
      </c>
      <c r="M3786">
        <v>0</v>
      </c>
      <c r="N3786">
        <v>206</v>
      </c>
      <c r="O3786" t="s">
        <v>216</v>
      </c>
      <c r="P3786" s="17"/>
      <c r="Q3786" s="17" t="str">
        <f>_xlfn.XLOOKUP(Table2[[#This Row],[buyFromVendorNo]],'Next Day Scheduled'!A:A,'Pending Returns'!O:O,"NOT_FOUND")</f>
        <v>NOT_FOUND</v>
      </c>
    </row>
    <row r="3787" spans="1:17" x14ac:dyDescent="0.3">
      <c r="A3787" s="1">
        <v>46250</v>
      </c>
      <c r="B3787" t="s">
        <v>2603</v>
      </c>
      <c r="C3787" t="s">
        <v>776</v>
      </c>
      <c r="D3787" t="s">
        <v>777</v>
      </c>
      <c r="E3787" t="s">
        <v>8</v>
      </c>
      <c r="F3787" t="s">
        <v>10</v>
      </c>
      <c r="G3787" s="16">
        <v>203.45</v>
      </c>
      <c r="H3787" s="16">
        <v>233.9675</v>
      </c>
      <c r="J3787">
        <v>9</v>
      </c>
      <c r="K3787" t="s">
        <v>10286</v>
      </c>
      <c r="M3787">
        <v>3</v>
      </c>
      <c r="N3787">
        <v>2</v>
      </c>
      <c r="O3787" t="s">
        <v>216</v>
      </c>
      <c r="P3787" s="17"/>
      <c r="Q3787" s="17" t="str">
        <f>_xlfn.XLOOKUP(Table2[[#This Row],[buyFromVendorNo]],'Next Day Scheduled'!A:A,'Pending Returns'!O:O,"NOT_FOUND")</f>
        <v>Posted Credit Note</v>
      </c>
    </row>
    <row r="3788" spans="1:17" x14ac:dyDescent="0.3">
      <c r="A3788" s="1">
        <v>46250</v>
      </c>
      <c r="B3788" t="s">
        <v>642</v>
      </c>
      <c r="C3788" t="s">
        <v>8713</v>
      </c>
      <c r="D3788" t="s">
        <v>8714</v>
      </c>
      <c r="E3788" t="s">
        <v>8</v>
      </c>
      <c r="F3788" t="s">
        <v>38</v>
      </c>
      <c r="G3788" s="16">
        <v>3081.63</v>
      </c>
      <c r="H3788" s="16">
        <v>3543.8744999999999</v>
      </c>
      <c r="I3788" s="1">
        <v>46250</v>
      </c>
      <c r="J3788">
        <v>9</v>
      </c>
      <c r="K3788" t="s">
        <v>9888</v>
      </c>
      <c r="L3788" t="s">
        <v>10219</v>
      </c>
      <c r="M3788">
        <v>0</v>
      </c>
      <c r="N3788">
        <v>10</v>
      </c>
      <c r="O3788" t="s">
        <v>1036</v>
      </c>
      <c r="P3788" s="17"/>
      <c r="Q3788" s="17" t="str">
        <f>_xlfn.XLOOKUP(Table2[[#This Row],[buyFromVendorNo]],'Next Day Scheduled'!A:A,'Pending Returns'!O:O,"NOT_FOUND")</f>
        <v>NOT_FOUND</v>
      </c>
    </row>
    <row r="3789" spans="1:17" x14ac:dyDescent="0.3">
      <c r="A3789" s="1">
        <v>46250</v>
      </c>
      <c r="B3789" t="s">
        <v>2562</v>
      </c>
      <c r="C3789" t="s">
        <v>704</v>
      </c>
      <c r="D3789" t="s">
        <v>705</v>
      </c>
      <c r="E3789" t="s">
        <v>8</v>
      </c>
      <c r="F3789" t="s">
        <v>10</v>
      </c>
      <c r="G3789" s="16">
        <v>4576.7700000000004</v>
      </c>
      <c r="H3789" s="16">
        <v>5263.2856000000002</v>
      </c>
      <c r="I3789" s="1">
        <v>46250</v>
      </c>
      <c r="J3789">
        <v>9</v>
      </c>
      <c r="K3789" t="s">
        <v>9893</v>
      </c>
      <c r="L3789" t="s">
        <v>10168</v>
      </c>
      <c r="M3789">
        <v>0</v>
      </c>
      <c r="N3789">
        <v>37</v>
      </c>
      <c r="O3789" t="s">
        <v>223</v>
      </c>
      <c r="P3789" s="17"/>
      <c r="Q3789" s="17" t="str">
        <f>_xlfn.XLOOKUP(Table2[[#This Row],[buyFromVendorNo]],'Next Day Scheduled'!A:A,'Pending Returns'!O:O,"NOT_FOUND")</f>
        <v>NOT_FOUND</v>
      </c>
    </row>
    <row r="3790" spans="1:17" x14ac:dyDescent="0.3">
      <c r="A3790" s="1">
        <v>46250</v>
      </c>
      <c r="B3790" t="s">
        <v>642</v>
      </c>
      <c r="C3790" t="s">
        <v>651</v>
      </c>
      <c r="D3790" t="s">
        <v>652</v>
      </c>
      <c r="E3790" t="s">
        <v>8</v>
      </c>
      <c r="F3790" t="s">
        <v>38</v>
      </c>
      <c r="G3790" s="16">
        <v>16</v>
      </c>
      <c r="H3790" s="16">
        <v>18.399999999999999</v>
      </c>
      <c r="J3790">
        <v>9</v>
      </c>
      <c r="K3790" t="s">
        <v>10245</v>
      </c>
      <c r="M3790">
        <v>1</v>
      </c>
      <c r="N3790">
        <v>1</v>
      </c>
      <c r="O3790" t="s">
        <v>216</v>
      </c>
      <c r="P3790" s="17"/>
      <c r="Q3790" s="17" t="str">
        <f>_xlfn.XLOOKUP(Table2[[#This Row],[buyFromVendorNo]],'Next Day Scheduled'!A:A,'Pending Returns'!O:O,"NOT_FOUND")</f>
        <v>NOT_FOUND</v>
      </c>
    </row>
    <row r="3791" spans="1:17" x14ac:dyDescent="0.3">
      <c r="A3791" s="1">
        <v>46250</v>
      </c>
      <c r="B3791" t="s">
        <v>5609</v>
      </c>
      <c r="C3791" t="s">
        <v>201</v>
      </c>
      <c r="D3791" t="s">
        <v>202</v>
      </c>
      <c r="E3791" t="s">
        <v>8</v>
      </c>
      <c r="F3791" t="s">
        <v>169</v>
      </c>
      <c r="G3791" s="16">
        <v>331.90836000000002</v>
      </c>
      <c r="H3791" s="16">
        <v>381.69459999999998</v>
      </c>
      <c r="I3791" s="1">
        <v>46242</v>
      </c>
      <c r="J3791">
        <v>9</v>
      </c>
      <c r="K3791" t="s">
        <v>7693</v>
      </c>
      <c r="L3791" t="s">
        <v>10246</v>
      </c>
      <c r="M3791">
        <v>1</v>
      </c>
      <c r="N3791">
        <v>7</v>
      </c>
      <c r="O3791" t="s">
        <v>1036</v>
      </c>
      <c r="P3791" s="17"/>
      <c r="Q3791" s="17" t="str">
        <f>_xlfn.XLOOKUP(Table2[[#This Row],[buyFromVendorNo]],'Next Day Scheduled'!A:A,'Pending Returns'!O:O,"NOT_FOUND")</f>
        <v>Pending for Collection</v>
      </c>
    </row>
    <row r="3792" spans="1:17" x14ac:dyDescent="0.3">
      <c r="A3792" s="1">
        <v>46250</v>
      </c>
      <c r="B3792" t="s">
        <v>9396</v>
      </c>
      <c r="C3792" t="s">
        <v>704</v>
      </c>
      <c r="D3792" t="s">
        <v>705</v>
      </c>
      <c r="E3792" t="s">
        <v>8</v>
      </c>
      <c r="F3792" t="s">
        <v>10</v>
      </c>
      <c r="G3792" s="16">
        <v>1502.27</v>
      </c>
      <c r="H3792" s="16">
        <v>1727.6105</v>
      </c>
      <c r="J3792">
        <v>9</v>
      </c>
      <c r="K3792" t="s">
        <v>7110</v>
      </c>
      <c r="L3792" t="s">
        <v>10170</v>
      </c>
      <c r="M3792">
        <v>0</v>
      </c>
      <c r="N3792">
        <v>37</v>
      </c>
      <c r="O3792" t="s">
        <v>216</v>
      </c>
      <c r="P3792" s="17"/>
      <c r="Q3792" s="17" t="str">
        <f>_xlfn.XLOOKUP(Table2[[#This Row],[buyFromVendorNo]],'Next Day Scheduled'!A:A,'Pending Returns'!O:O,"NOT_FOUND")</f>
        <v>NOT_FOUND</v>
      </c>
    </row>
    <row r="3793" spans="1:17" x14ac:dyDescent="0.3">
      <c r="A3793" s="1">
        <v>46250</v>
      </c>
      <c r="B3793" t="s">
        <v>642</v>
      </c>
      <c r="C3793" t="s">
        <v>418</v>
      </c>
      <c r="D3793" t="s">
        <v>419</v>
      </c>
      <c r="E3793" t="s">
        <v>8</v>
      </c>
      <c r="F3793" t="s">
        <v>38</v>
      </c>
      <c r="G3793" s="16">
        <v>36</v>
      </c>
      <c r="H3793" s="16">
        <v>41.4</v>
      </c>
      <c r="J3793">
        <v>9</v>
      </c>
      <c r="K3793" t="s">
        <v>10287</v>
      </c>
      <c r="M3793">
        <v>1</v>
      </c>
      <c r="N3793">
        <v>6</v>
      </c>
      <c r="O3793" t="s">
        <v>216</v>
      </c>
      <c r="P3793" s="17"/>
      <c r="Q3793" s="17" t="str">
        <f>_xlfn.XLOOKUP(Table2[[#This Row],[buyFromVendorNo]],'Next Day Scheduled'!A:A,'Pending Returns'!O:O,"NOT_FOUND")</f>
        <v>NOT_FOUND</v>
      </c>
    </row>
    <row r="3794" spans="1:17" x14ac:dyDescent="0.3">
      <c r="A3794" s="1">
        <v>46250</v>
      </c>
      <c r="B3794" t="s">
        <v>230</v>
      </c>
      <c r="C3794" t="s">
        <v>65</v>
      </c>
      <c r="D3794" t="s">
        <v>66</v>
      </c>
      <c r="E3794" t="s">
        <v>8</v>
      </c>
      <c r="F3794" t="s">
        <v>10</v>
      </c>
      <c r="G3794" s="16">
        <v>5936.5254000000004</v>
      </c>
      <c r="H3794" s="16">
        <v>6827.0043999999998</v>
      </c>
      <c r="I3794" s="1">
        <v>46248</v>
      </c>
      <c r="J3794">
        <v>9</v>
      </c>
      <c r="K3794" t="s">
        <v>6867</v>
      </c>
      <c r="L3794" t="s">
        <v>10248</v>
      </c>
      <c r="M3794">
        <v>3</v>
      </c>
      <c r="N3794">
        <v>5</v>
      </c>
      <c r="O3794" t="s">
        <v>1036</v>
      </c>
      <c r="P3794" s="17"/>
      <c r="Q3794" s="17" t="str">
        <f>_xlfn.XLOOKUP(Table2[[#This Row],[buyFromVendorNo]],'Next Day Scheduled'!A:A,'Pending Returns'!O:O,"NOT_FOUND")</f>
        <v>Posted Credit Note</v>
      </c>
    </row>
    <row r="3795" spans="1:17" x14ac:dyDescent="0.3">
      <c r="A3795" s="1">
        <v>46250</v>
      </c>
      <c r="B3795" t="s">
        <v>642</v>
      </c>
      <c r="C3795" t="s">
        <v>643</v>
      </c>
      <c r="D3795" t="s">
        <v>644</v>
      </c>
      <c r="E3795" t="s">
        <v>8</v>
      </c>
      <c r="F3795" t="s">
        <v>38</v>
      </c>
      <c r="G3795" s="16">
        <v>13</v>
      </c>
      <c r="H3795" s="16">
        <v>14.95</v>
      </c>
      <c r="J3795">
        <v>9</v>
      </c>
      <c r="K3795" t="s">
        <v>10224</v>
      </c>
      <c r="M3795">
        <v>1</v>
      </c>
      <c r="N3795">
        <v>5</v>
      </c>
      <c r="O3795" t="s">
        <v>216</v>
      </c>
      <c r="P3795" s="17"/>
      <c r="Q3795" s="17" t="str">
        <f>_xlfn.XLOOKUP(Table2[[#This Row],[buyFromVendorNo]],'Next Day Scheduled'!A:A,'Pending Returns'!O:O,"NOT_FOUND")</f>
        <v>NOT_FOUND</v>
      </c>
    </row>
    <row r="3796" spans="1:17" x14ac:dyDescent="0.3">
      <c r="A3796" s="1">
        <v>46250</v>
      </c>
      <c r="B3796" t="s">
        <v>642</v>
      </c>
      <c r="C3796" t="s">
        <v>621</v>
      </c>
      <c r="D3796" t="s">
        <v>622</v>
      </c>
      <c r="E3796" t="s">
        <v>8</v>
      </c>
      <c r="F3796" t="s">
        <v>38</v>
      </c>
      <c r="G3796" s="16">
        <v>49.39</v>
      </c>
      <c r="H3796" s="16">
        <v>56.798499999999997</v>
      </c>
      <c r="J3796">
        <v>9</v>
      </c>
      <c r="K3796" t="s">
        <v>10289</v>
      </c>
      <c r="M3796">
        <v>0</v>
      </c>
      <c r="N3796">
        <v>10</v>
      </c>
      <c r="O3796" t="s">
        <v>216</v>
      </c>
      <c r="P3796" s="17"/>
      <c r="Q3796" s="17" t="str">
        <f>_xlfn.XLOOKUP(Table2[[#This Row],[buyFromVendorNo]],'Next Day Scheduled'!A:A,'Pending Returns'!O:O,"NOT_FOUND")</f>
        <v>NOT_FOUND</v>
      </c>
    </row>
    <row r="3797" spans="1:17" x14ac:dyDescent="0.3">
      <c r="A3797" s="1">
        <v>46250</v>
      </c>
      <c r="B3797" t="s">
        <v>5072</v>
      </c>
      <c r="C3797" t="s">
        <v>704</v>
      </c>
      <c r="D3797" t="s">
        <v>705</v>
      </c>
      <c r="E3797" t="s">
        <v>8</v>
      </c>
      <c r="F3797" t="s">
        <v>10</v>
      </c>
      <c r="G3797" s="16">
        <v>356.44</v>
      </c>
      <c r="H3797" s="16">
        <v>409.90600000000001</v>
      </c>
      <c r="I3797" s="1">
        <v>46250</v>
      </c>
      <c r="J3797">
        <v>9</v>
      </c>
      <c r="K3797" t="s">
        <v>9194</v>
      </c>
      <c r="L3797" t="s">
        <v>10163</v>
      </c>
      <c r="M3797">
        <v>0</v>
      </c>
      <c r="N3797">
        <v>37</v>
      </c>
      <c r="O3797" t="s">
        <v>223</v>
      </c>
      <c r="P3797" s="17"/>
      <c r="Q3797" s="17" t="str">
        <f>_xlfn.XLOOKUP(Table2[[#This Row],[buyFromVendorNo]],'Next Day Scheduled'!A:A,'Pending Returns'!O:O,"NOT_FOUND")</f>
        <v>NOT_FOUND</v>
      </c>
    </row>
    <row r="3798" spans="1:17" x14ac:dyDescent="0.3">
      <c r="A3798" s="1">
        <v>46250</v>
      </c>
      <c r="B3798" t="s">
        <v>6306</v>
      </c>
      <c r="C3798" t="s">
        <v>1020</v>
      </c>
      <c r="D3798" t="s">
        <v>1021</v>
      </c>
      <c r="E3798" t="s">
        <v>8</v>
      </c>
      <c r="F3798" t="s">
        <v>10</v>
      </c>
      <c r="G3798" s="16">
        <v>42.77957</v>
      </c>
      <c r="H3798" s="16">
        <v>49.196510000000004</v>
      </c>
      <c r="I3798" s="1">
        <v>46250</v>
      </c>
      <c r="J3798">
        <v>9</v>
      </c>
      <c r="K3798" t="s">
        <v>9625</v>
      </c>
      <c r="L3798" t="s">
        <v>10188</v>
      </c>
      <c r="M3798">
        <v>2</v>
      </c>
      <c r="N3798">
        <v>2</v>
      </c>
      <c r="O3798" t="s">
        <v>1036</v>
      </c>
      <c r="P3798" s="17"/>
      <c r="Q3798" s="17" t="str">
        <f>_xlfn.XLOOKUP(Table2[[#This Row],[buyFromVendorNo]],'Next Day Scheduled'!A:A,'Pending Returns'!O:O,"NOT_FOUND")</f>
        <v>NOT_FOUND</v>
      </c>
    </row>
    <row r="3799" spans="1:17" x14ac:dyDescent="0.3">
      <c r="A3799" s="1">
        <v>46250</v>
      </c>
      <c r="B3799" t="s">
        <v>3277</v>
      </c>
      <c r="C3799" t="s">
        <v>573</v>
      </c>
      <c r="D3799" t="s">
        <v>574</v>
      </c>
      <c r="E3799" t="s">
        <v>8</v>
      </c>
      <c r="F3799" t="s">
        <v>10</v>
      </c>
      <c r="G3799" s="16">
        <v>162.66800000000001</v>
      </c>
      <c r="H3799" s="16">
        <v>187.06819999999999</v>
      </c>
      <c r="J3799">
        <v>9</v>
      </c>
      <c r="K3799" t="s">
        <v>10190</v>
      </c>
      <c r="M3799">
        <v>2</v>
      </c>
      <c r="N3799">
        <v>2</v>
      </c>
      <c r="O3799" t="s">
        <v>216</v>
      </c>
      <c r="P3799" s="17"/>
      <c r="Q3799" s="17" t="str">
        <f>_xlfn.XLOOKUP(Table2[[#This Row],[buyFromVendorNo]],'Next Day Scheduled'!A:A,'Pending Returns'!O:O,"NOT_FOUND")</f>
        <v>NOT_FOUND</v>
      </c>
    </row>
    <row r="3800" spans="1:17" x14ac:dyDescent="0.3">
      <c r="A3800" s="1">
        <v>46250</v>
      </c>
      <c r="B3800" t="s">
        <v>642</v>
      </c>
      <c r="C3800" t="s">
        <v>60</v>
      </c>
      <c r="D3800" t="s">
        <v>61</v>
      </c>
      <c r="E3800" t="s">
        <v>8</v>
      </c>
      <c r="F3800" t="s">
        <v>38</v>
      </c>
      <c r="G3800" s="16">
        <v>107.72</v>
      </c>
      <c r="H3800" s="16">
        <v>123.878</v>
      </c>
      <c r="J3800">
        <v>9</v>
      </c>
      <c r="K3800" t="s">
        <v>10192</v>
      </c>
      <c r="M3800">
        <v>1</v>
      </c>
      <c r="N3800">
        <v>7</v>
      </c>
      <c r="O3800" t="s">
        <v>216</v>
      </c>
      <c r="P3800" s="17"/>
      <c r="Q3800" s="17" t="str">
        <f>_xlfn.XLOOKUP(Table2[[#This Row],[buyFromVendorNo]],'Next Day Scheduled'!A:A,'Pending Returns'!O:O,"NOT_FOUND")</f>
        <v>NOT_FOUND</v>
      </c>
    </row>
    <row r="3801" spans="1:17" x14ac:dyDescent="0.3">
      <c r="A3801" s="1">
        <v>46250</v>
      </c>
      <c r="B3801" t="s">
        <v>2687</v>
      </c>
      <c r="C3801" t="s">
        <v>34</v>
      </c>
      <c r="D3801" t="s">
        <v>35</v>
      </c>
      <c r="E3801" t="s">
        <v>8</v>
      </c>
      <c r="F3801" t="s">
        <v>10</v>
      </c>
      <c r="G3801" s="16">
        <v>3416.8528000000001</v>
      </c>
      <c r="H3801" s="16">
        <v>3929.3806</v>
      </c>
      <c r="I3801" s="1">
        <v>46246</v>
      </c>
      <c r="J3801">
        <v>9</v>
      </c>
      <c r="K3801" t="s">
        <v>9107</v>
      </c>
      <c r="L3801" t="s">
        <v>10230</v>
      </c>
      <c r="M3801">
        <v>1</v>
      </c>
      <c r="N3801">
        <v>8</v>
      </c>
      <c r="O3801" t="s">
        <v>1036</v>
      </c>
      <c r="P3801" s="17"/>
      <c r="Q3801" s="17" t="str">
        <f>_xlfn.XLOOKUP(Table2[[#This Row],[buyFromVendorNo]],'Next Day Scheduled'!A:A,'Pending Returns'!O:O,"NOT_FOUND")</f>
        <v>Posted Credit Note</v>
      </c>
    </row>
    <row r="3802" spans="1:17" x14ac:dyDescent="0.3">
      <c r="A3802" s="1">
        <v>46250</v>
      </c>
      <c r="B3802" t="s">
        <v>5596</v>
      </c>
      <c r="C3802" t="s">
        <v>34</v>
      </c>
      <c r="D3802" t="s">
        <v>35</v>
      </c>
      <c r="E3802" t="s">
        <v>8</v>
      </c>
      <c r="F3802" t="s">
        <v>10</v>
      </c>
      <c r="G3802" s="16">
        <v>3035.75</v>
      </c>
      <c r="H3802" s="16">
        <v>3491.1125000000002</v>
      </c>
      <c r="J3802">
        <v>9</v>
      </c>
      <c r="K3802" t="s">
        <v>10298</v>
      </c>
      <c r="M3802">
        <v>1</v>
      </c>
      <c r="N3802">
        <v>8</v>
      </c>
      <c r="O3802" t="s">
        <v>216</v>
      </c>
      <c r="P3802" s="17"/>
      <c r="Q3802" s="17" t="str">
        <f>_xlfn.XLOOKUP(Table2[[#This Row],[buyFromVendorNo]],'Next Day Scheduled'!A:A,'Pending Returns'!O:O,"NOT_FOUND")</f>
        <v>Posted Credit Note</v>
      </c>
    </row>
    <row r="3803" spans="1:17" x14ac:dyDescent="0.3">
      <c r="A3803" s="1">
        <v>46250</v>
      </c>
      <c r="B3803" t="s">
        <v>3715</v>
      </c>
      <c r="C3803" t="s">
        <v>65</v>
      </c>
      <c r="D3803" t="s">
        <v>66</v>
      </c>
      <c r="E3803" t="s">
        <v>8</v>
      </c>
      <c r="F3803" t="s">
        <v>169</v>
      </c>
      <c r="G3803" s="16">
        <v>381.67</v>
      </c>
      <c r="H3803" s="16">
        <v>438.9205</v>
      </c>
      <c r="I3803" s="1">
        <v>46239</v>
      </c>
      <c r="J3803">
        <v>9</v>
      </c>
      <c r="K3803" t="s">
        <v>9303</v>
      </c>
      <c r="L3803" t="s">
        <v>10271</v>
      </c>
      <c r="M3803">
        <v>2</v>
      </c>
      <c r="N3803">
        <v>5</v>
      </c>
      <c r="O3803" t="s">
        <v>1036</v>
      </c>
      <c r="P3803" s="17"/>
      <c r="Q3803" s="17" t="str">
        <f>_xlfn.XLOOKUP(Table2[[#This Row],[buyFromVendorNo]],'Next Day Scheduled'!A:A,'Pending Returns'!O:O,"NOT_FOUND")</f>
        <v>Posted Credit Note</v>
      </c>
    </row>
    <row r="3804" spans="1:17" x14ac:dyDescent="0.3">
      <c r="A3804" s="1">
        <v>46250</v>
      </c>
      <c r="B3804" t="s">
        <v>642</v>
      </c>
      <c r="C3804" t="s">
        <v>4364</v>
      </c>
      <c r="D3804" t="s">
        <v>4542</v>
      </c>
      <c r="E3804" t="s">
        <v>8</v>
      </c>
      <c r="F3804" t="s">
        <v>38</v>
      </c>
      <c r="G3804" s="16">
        <v>1397.92</v>
      </c>
      <c r="H3804" s="16">
        <v>1607.6079999999999</v>
      </c>
      <c r="J3804">
        <v>9</v>
      </c>
      <c r="K3804" t="s">
        <v>10273</v>
      </c>
      <c r="M3804">
        <v>2</v>
      </c>
      <c r="N3804">
        <v>1</v>
      </c>
      <c r="O3804" t="s">
        <v>216</v>
      </c>
      <c r="P3804" s="17"/>
      <c r="Q3804" s="17" t="str">
        <f>_xlfn.XLOOKUP(Table2[[#This Row],[buyFromVendorNo]],'Next Day Scheduled'!A:A,'Pending Returns'!O:O,"NOT_FOUND")</f>
        <v>NOT_FOUND</v>
      </c>
    </row>
    <row r="3805" spans="1:17" x14ac:dyDescent="0.3">
      <c r="A3805" s="1">
        <v>46250</v>
      </c>
      <c r="B3805" t="s">
        <v>9611</v>
      </c>
      <c r="C3805" t="s">
        <v>197</v>
      </c>
      <c r="D3805" t="s">
        <v>198</v>
      </c>
      <c r="E3805" t="s">
        <v>8</v>
      </c>
      <c r="F3805" t="s">
        <v>10</v>
      </c>
      <c r="G3805" s="16">
        <v>68.719920000000002</v>
      </c>
      <c r="H3805" s="16">
        <v>79.027910000000006</v>
      </c>
      <c r="J3805">
        <v>9</v>
      </c>
      <c r="K3805" t="s">
        <v>10275</v>
      </c>
      <c r="M3805">
        <v>1</v>
      </c>
      <c r="N3805">
        <v>5</v>
      </c>
      <c r="O3805" t="s">
        <v>216</v>
      </c>
      <c r="P3805" s="17"/>
      <c r="Q3805" s="17" t="str">
        <f>_xlfn.XLOOKUP(Table2[[#This Row],[buyFromVendorNo]],'Next Day Scheduled'!A:A,'Pending Returns'!O:O,"NOT_FOUND")</f>
        <v>NOT_FOUND</v>
      </c>
    </row>
    <row r="3806" spans="1:17" x14ac:dyDescent="0.3">
      <c r="A3806" s="1">
        <v>46250</v>
      </c>
      <c r="B3806" t="s">
        <v>6259</v>
      </c>
      <c r="C3806" t="s">
        <v>22</v>
      </c>
      <c r="D3806" t="s">
        <v>23</v>
      </c>
      <c r="E3806" t="s">
        <v>8</v>
      </c>
      <c r="F3806" t="s">
        <v>10</v>
      </c>
      <c r="G3806" s="16">
        <v>4513.58</v>
      </c>
      <c r="H3806" s="16">
        <v>5190.6170000000002</v>
      </c>
      <c r="J3806">
        <v>9</v>
      </c>
      <c r="K3806" t="s">
        <v>10175</v>
      </c>
      <c r="M3806">
        <v>0</v>
      </c>
      <c r="N3806">
        <v>177</v>
      </c>
      <c r="O3806" t="s">
        <v>216</v>
      </c>
      <c r="P3806" s="17"/>
      <c r="Q3806" s="17" t="str">
        <f>_xlfn.XLOOKUP(Table2[[#This Row],[buyFromVendorNo]],'Next Day Scheduled'!A:A,'Pending Returns'!O:O,"NOT_FOUND")</f>
        <v>NOT_FOUND</v>
      </c>
    </row>
    <row r="3807" spans="1:17" x14ac:dyDescent="0.3">
      <c r="A3807" s="1">
        <v>46250</v>
      </c>
      <c r="B3807" t="s">
        <v>428</v>
      </c>
      <c r="C3807" t="s">
        <v>2970</v>
      </c>
      <c r="D3807" t="s">
        <v>2971</v>
      </c>
      <c r="E3807" t="s">
        <v>8</v>
      </c>
      <c r="F3807" t="s">
        <v>10</v>
      </c>
      <c r="G3807" s="16">
        <v>62.74</v>
      </c>
      <c r="H3807" s="16">
        <v>72.150999999999996</v>
      </c>
      <c r="J3807">
        <v>9</v>
      </c>
      <c r="K3807" t="s">
        <v>10176</v>
      </c>
      <c r="M3807">
        <v>2</v>
      </c>
      <c r="N3807">
        <v>2</v>
      </c>
      <c r="O3807" t="s">
        <v>216</v>
      </c>
      <c r="P3807" s="17"/>
      <c r="Q3807" s="17" t="str">
        <f>_xlfn.XLOOKUP(Table2[[#This Row],[buyFromVendorNo]],'Next Day Scheduled'!A:A,'Pending Returns'!O:O,"NOT_FOUND")</f>
        <v>NOT_FOUND</v>
      </c>
    </row>
    <row r="3808" spans="1:17" x14ac:dyDescent="0.3">
      <c r="A3808" s="1">
        <v>46250</v>
      </c>
      <c r="B3808" t="s">
        <v>6286</v>
      </c>
      <c r="C3808" t="s">
        <v>886</v>
      </c>
      <c r="D3808" t="s">
        <v>887</v>
      </c>
      <c r="E3808" t="s">
        <v>8</v>
      </c>
      <c r="F3808" t="s">
        <v>38</v>
      </c>
      <c r="G3808" s="16">
        <v>3551.97</v>
      </c>
      <c r="H3808" s="16">
        <v>4084.7654000000002</v>
      </c>
      <c r="J3808">
        <v>9</v>
      </c>
      <c r="K3808" t="s">
        <v>10244</v>
      </c>
      <c r="M3808">
        <v>1</v>
      </c>
      <c r="N3808">
        <v>6</v>
      </c>
      <c r="O3808" t="s">
        <v>216</v>
      </c>
      <c r="P3808" s="17"/>
      <c r="Q3808" s="17" t="str">
        <f>_xlfn.XLOOKUP(Table2[[#This Row],[buyFromVendorNo]],'Next Day Scheduled'!A:A,'Pending Returns'!O:O,"NOT_FOUND")</f>
        <v>NOT_FOUND</v>
      </c>
    </row>
    <row r="3809" spans="1:17" x14ac:dyDescent="0.3">
      <c r="A3809" s="1">
        <v>46250</v>
      </c>
      <c r="B3809" t="s">
        <v>2984</v>
      </c>
      <c r="C3809" t="s">
        <v>704</v>
      </c>
      <c r="D3809" t="s">
        <v>705</v>
      </c>
      <c r="E3809" t="s">
        <v>8</v>
      </c>
      <c r="F3809" t="s">
        <v>10</v>
      </c>
      <c r="G3809" s="16">
        <v>153.97</v>
      </c>
      <c r="H3809" s="16">
        <v>177.06549999999999</v>
      </c>
      <c r="I3809" s="1">
        <v>46250</v>
      </c>
      <c r="J3809">
        <v>9</v>
      </c>
      <c r="K3809" t="s">
        <v>7569</v>
      </c>
      <c r="L3809" t="s">
        <v>10160</v>
      </c>
      <c r="M3809">
        <v>0</v>
      </c>
      <c r="N3809">
        <v>37</v>
      </c>
      <c r="O3809" t="s">
        <v>223</v>
      </c>
      <c r="P3809" s="17"/>
      <c r="Q3809" s="17" t="str">
        <f>_xlfn.XLOOKUP(Table2[[#This Row],[buyFromVendorNo]],'Next Day Scheduled'!A:A,'Pending Returns'!O:O,"NOT_FOUND")</f>
        <v>NOT_FOUND</v>
      </c>
    </row>
    <row r="3810" spans="1:17" x14ac:dyDescent="0.3">
      <c r="A3810" s="1">
        <v>46250</v>
      </c>
      <c r="B3810" t="s">
        <v>2562</v>
      </c>
      <c r="C3810" t="s">
        <v>188</v>
      </c>
      <c r="D3810" t="s">
        <v>189</v>
      </c>
      <c r="E3810" t="s">
        <v>8</v>
      </c>
      <c r="F3810" t="s">
        <v>10</v>
      </c>
      <c r="G3810" s="16">
        <v>157.5</v>
      </c>
      <c r="H3810" s="16">
        <v>181.125</v>
      </c>
      <c r="J3810">
        <v>9</v>
      </c>
      <c r="K3810" t="s">
        <v>10180</v>
      </c>
      <c r="M3810">
        <v>0</v>
      </c>
      <c r="N3810">
        <v>607</v>
      </c>
      <c r="O3810" t="s">
        <v>216</v>
      </c>
      <c r="P3810" s="17"/>
      <c r="Q3810" s="17" t="str">
        <f>_xlfn.XLOOKUP(Table2[[#This Row],[buyFromVendorNo]],'Next Day Scheduled'!A:A,'Pending Returns'!O:O,"NOT_FOUND")</f>
        <v>NOT_FOUND</v>
      </c>
    </row>
    <row r="3811" spans="1:17" x14ac:dyDescent="0.3">
      <c r="A3811" s="1">
        <v>46250</v>
      </c>
      <c r="B3811" t="s">
        <v>642</v>
      </c>
      <c r="C3811" t="s">
        <v>941</v>
      </c>
      <c r="D3811" t="s">
        <v>942</v>
      </c>
      <c r="E3811" t="s">
        <v>8</v>
      </c>
      <c r="F3811" t="s">
        <v>38</v>
      </c>
      <c r="G3811" s="16">
        <v>699.13</v>
      </c>
      <c r="H3811" s="16">
        <v>803.99950000000001</v>
      </c>
      <c r="J3811">
        <v>9</v>
      </c>
      <c r="K3811" t="s">
        <v>10240</v>
      </c>
      <c r="M3811">
        <v>2</v>
      </c>
      <c r="N3811">
        <v>1</v>
      </c>
      <c r="O3811" t="s">
        <v>216</v>
      </c>
      <c r="P3811" s="17"/>
      <c r="Q3811" s="17" t="str">
        <f>_xlfn.XLOOKUP(Table2[[#This Row],[buyFromVendorNo]],'Next Day Scheduled'!A:A,'Pending Returns'!O:O,"NOT_FOUND")</f>
        <v>NOT_FOUND</v>
      </c>
    </row>
    <row r="3812" spans="1:17" x14ac:dyDescent="0.3">
      <c r="A3812" s="1">
        <v>46250</v>
      </c>
      <c r="B3812" t="s">
        <v>3243</v>
      </c>
      <c r="C3812" t="s">
        <v>177</v>
      </c>
      <c r="D3812" t="s">
        <v>178</v>
      </c>
      <c r="E3812" t="s">
        <v>8</v>
      </c>
      <c r="F3812" t="s">
        <v>10</v>
      </c>
      <c r="G3812" s="16">
        <v>720.63</v>
      </c>
      <c r="H3812" s="16">
        <v>828.72450000000003</v>
      </c>
      <c r="J3812">
        <v>9</v>
      </c>
      <c r="K3812" t="s">
        <v>10215</v>
      </c>
      <c r="M3812">
        <v>5</v>
      </c>
      <c r="N3812">
        <v>2</v>
      </c>
      <c r="O3812" t="s">
        <v>216</v>
      </c>
      <c r="P3812" s="17"/>
      <c r="Q3812" s="17" t="str">
        <f>_xlfn.XLOOKUP(Table2[[#This Row],[buyFromVendorNo]],'Next Day Scheduled'!A:A,'Pending Returns'!O:O,"NOT_FOUND")</f>
        <v>Posted Credit Note</v>
      </c>
    </row>
    <row r="3813" spans="1:17" x14ac:dyDescent="0.3">
      <c r="A3813" s="1">
        <v>46250</v>
      </c>
      <c r="B3813" t="s">
        <v>2507</v>
      </c>
      <c r="C3813" t="s">
        <v>6178</v>
      </c>
      <c r="D3813" t="s">
        <v>6261</v>
      </c>
      <c r="E3813" t="s">
        <v>8</v>
      </c>
      <c r="F3813" t="s">
        <v>10</v>
      </c>
      <c r="G3813" s="16">
        <v>26</v>
      </c>
      <c r="H3813" s="16">
        <v>29.9</v>
      </c>
      <c r="J3813">
        <v>9</v>
      </c>
      <c r="K3813" t="s">
        <v>10181</v>
      </c>
      <c r="M3813">
        <v>2</v>
      </c>
      <c r="N3813">
        <v>1</v>
      </c>
      <c r="O3813" t="s">
        <v>216</v>
      </c>
      <c r="P3813" s="17"/>
      <c r="Q3813" s="17" t="str">
        <f>_xlfn.XLOOKUP(Table2[[#This Row],[buyFromVendorNo]],'Next Day Scheduled'!A:A,'Pending Returns'!O:O,"NOT_FOUND")</f>
        <v>NOT_FOUND</v>
      </c>
    </row>
    <row r="3814" spans="1:17" x14ac:dyDescent="0.3">
      <c r="A3814" s="1">
        <v>46250</v>
      </c>
      <c r="B3814" t="s">
        <v>3378</v>
      </c>
      <c r="C3814" t="s">
        <v>2166</v>
      </c>
      <c r="D3814" t="s">
        <v>2167</v>
      </c>
      <c r="E3814" t="s">
        <v>8</v>
      </c>
      <c r="F3814" t="s">
        <v>10</v>
      </c>
      <c r="G3814" s="16">
        <v>1232.04</v>
      </c>
      <c r="H3814" s="16">
        <v>1416.846</v>
      </c>
      <c r="J3814">
        <v>9</v>
      </c>
      <c r="K3814" t="s">
        <v>10182</v>
      </c>
      <c r="M3814">
        <v>1</v>
      </c>
      <c r="N3814">
        <v>8</v>
      </c>
      <c r="O3814" t="s">
        <v>216</v>
      </c>
      <c r="P3814" s="17"/>
      <c r="Q3814" s="17" t="str">
        <f>_xlfn.XLOOKUP(Table2[[#This Row],[buyFromVendorNo]],'Next Day Scheduled'!A:A,'Pending Returns'!O:O,"NOT_FOUND")</f>
        <v>NOT_FOUND</v>
      </c>
    </row>
    <row r="3815" spans="1:17" x14ac:dyDescent="0.3">
      <c r="A3815" s="1">
        <v>46250</v>
      </c>
      <c r="B3815" t="s">
        <v>642</v>
      </c>
      <c r="C3815" t="s">
        <v>8713</v>
      </c>
      <c r="D3815" t="s">
        <v>8714</v>
      </c>
      <c r="E3815" t="s">
        <v>8</v>
      </c>
      <c r="F3815" t="s">
        <v>38</v>
      </c>
      <c r="G3815" s="16">
        <v>443.4</v>
      </c>
      <c r="H3815" s="16">
        <v>509.91</v>
      </c>
      <c r="J3815">
        <v>9</v>
      </c>
      <c r="K3815" t="s">
        <v>10222</v>
      </c>
      <c r="M3815">
        <v>0</v>
      </c>
      <c r="N3815">
        <v>10</v>
      </c>
      <c r="O3815" t="s">
        <v>216</v>
      </c>
      <c r="P3815" s="17"/>
      <c r="Q3815" s="17" t="str">
        <f>_xlfn.XLOOKUP(Table2[[#This Row],[buyFromVendorNo]],'Next Day Scheduled'!A:A,'Pending Returns'!O:O,"NOT_FOUND")</f>
        <v>NOT_FOUND</v>
      </c>
    </row>
    <row r="3816" spans="1:17" x14ac:dyDescent="0.3">
      <c r="A3816" s="1">
        <v>46250</v>
      </c>
      <c r="B3816" t="s">
        <v>8122</v>
      </c>
      <c r="C3816" t="s">
        <v>573</v>
      </c>
      <c r="D3816" t="s">
        <v>574</v>
      </c>
      <c r="E3816" t="s">
        <v>8</v>
      </c>
      <c r="F3816" t="s">
        <v>10</v>
      </c>
      <c r="G3816" s="16">
        <v>26.8125</v>
      </c>
      <c r="H3816" s="16">
        <v>30.83437</v>
      </c>
      <c r="I3816" s="1">
        <v>46238</v>
      </c>
      <c r="J3816">
        <v>9</v>
      </c>
      <c r="K3816" t="s">
        <v>8123</v>
      </c>
      <c r="L3816" t="s">
        <v>10223</v>
      </c>
      <c r="M3816">
        <v>2</v>
      </c>
      <c r="N3816">
        <v>2</v>
      </c>
      <c r="O3816" t="s">
        <v>1036</v>
      </c>
      <c r="P3816" s="17"/>
      <c r="Q3816" s="17" t="str">
        <f>_xlfn.XLOOKUP(Table2[[#This Row],[buyFromVendorNo]],'Next Day Scheduled'!A:A,'Pending Returns'!O:O,"NOT_FOUND")</f>
        <v>NOT_FOUND</v>
      </c>
    </row>
    <row r="3817" spans="1:17" x14ac:dyDescent="0.3">
      <c r="A3817" s="1">
        <v>46250</v>
      </c>
      <c r="B3817" t="s">
        <v>642</v>
      </c>
      <c r="C3817" t="s">
        <v>358</v>
      </c>
      <c r="D3817" t="s">
        <v>359</v>
      </c>
      <c r="E3817" t="s">
        <v>8</v>
      </c>
      <c r="F3817" t="s">
        <v>38</v>
      </c>
      <c r="G3817" s="16">
        <v>33.25</v>
      </c>
      <c r="H3817" s="16">
        <v>38.237499999999997</v>
      </c>
      <c r="J3817">
        <v>9</v>
      </c>
      <c r="K3817" t="s">
        <v>10186</v>
      </c>
      <c r="M3817">
        <v>1</v>
      </c>
      <c r="N3817">
        <v>1</v>
      </c>
      <c r="O3817" t="s">
        <v>216</v>
      </c>
      <c r="P3817" s="17"/>
      <c r="Q3817" s="17" t="str">
        <f>_xlfn.XLOOKUP(Table2[[#This Row],[buyFromVendorNo]],'Next Day Scheduled'!A:A,'Pending Returns'!O:O,"NOT_FOUND")</f>
        <v>NOT_FOUND</v>
      </c>
    </row>
    <row r="3818" spans="1:17" x14ac:dyDescent="0.3">
      <c r="A3818" s="1">
        <v>46250</v>
      </c>
      <c r="B3818" t="s">
        <v>5334</v>
      </c>
      <c r="C3818" t="s">
        <v>715</v>
      </c>
      <c r="D3818" t="s">
        <v>716</v>
      </c>
      <c r="E3818" t="s">
        <v>8</v>
      </c>
      <c r="F3818" t="s">
        <v>10</v>
      </c>
      <c r="G3818" s="16">
        <v>44.3</v>
      </c>
      <c r="H3818" s="16">
        <v>50.945</v>
      </c>
      <c r="J3818">
        <v>9</v>
      </c>
      <c r="K3818" t="s">
        <v>10253</v>
      </c>
      <c r="M3818">
        <v>0</v>
      </c>
      <c r="N3818">
        <v>93</v>
      </c>
      <c r="O3818" t="s">
        <v>216</v>
      </c>
      <c r="P3818" s="17"/>
      <c r="Q3818" s="17" t="str">
        <f>_xlfn.XLOOKUP(Table2[[#This Row],[buyFromVendorNo]],'Next Day Scheduled'!A:A,'Pending Returns'!O:O,"NOT_FOUND")</f>
        <v>NOT_FOUND</v>
      </c>
    </row>
    <row r="3819" spans="1:17" x14ac:dyDescent="0.3">
      <c r="A3819" s="1">
        <v>46250</v>
      </c>
      <c r="B3819" t="s">
        <v>262</v>
      </c>
      <c r="C3819" t="s">
        <v>65</v>
      </c>
      <c r="D3819" t="s">
        <v>66</v>
      </c>
      <c r="E3819" t="s">
        <v>8</v>
      </c>
      <c r="F3819" t="s">
        <v>10</v>
      </c>
      <c r="G3819" s="16">
        <v>5813.7583000000004</v>
      </c>
      <c r="H3819" s="16">
        <v>6685.8222999999998</v>
      </c>
      <c r="I3819" s="1">
        <v>46248</v>
      </c>
      <c r="J3819">
        <v>9</v>
      </c>
      <c r="K3819" t="s">
        <v>7135</v>
      </c>
      <c r="L3819" t="s">
        <v>10290</v>
      </c>
      <c r="M3819">
        <v>3</v>
      </c>
      <c r="N3819">
        <v>5</v>
      </c>
      <c r="O3819" t="s">
        <v>1036</v>
      </c>
      <c r="P3819" s="17"/>
      <c r="Q3819" s="17" t="str">
        <f>_xlfn.XLOOKUP(Table2[[#This Row],[buyFromVendorNo]],'Next Day Scheduled'!A:A,'Pending Returns'!O:O,"NOT_FOUND")</f>
        <v>Posted Credit Note</v>
      </c>
    </row>
    <row r="3820" spans="1:17" x14ac:dyDescent="0.3">
      <c r="A3820" s="1">
        <v>46250</v>
      </c>
      <c r="B3820" t="s">
        <v>5596</v>
      </c>
      <c r="C3820" t="s">
        <v>34</v>
      </c>
      <c r="D3820" t="s">
        <v>35</v>
      </c>
      <c r="E3820" t="s">
        <v>8</v>
      </c>
      <c r="F3820" t="s">
        <v>10</v>
      </c>
      <c r="G3820" s="16">
        <v>142.94999999999999</v>
      </c>
      <c r="H3820" s="16">
        <v>164.39250000000001</v>
      </c>
      <c r="J3820">
        <v>9</v>
      </c>
      <c r="K3820" t="s">
        <v>10227</v>
      </c>
      <c r="M3820">
        <v>1</v>
      </c>
      <c r="N3820">
        <v>8</v>
      </c>
      <c r="O3820" t="s">
        <v>216</v>
      </c>
      <c r="P3820" s="17"/>
      <c r="Q3820" s="17" t="str">
        <f>_xlfn.XLOOKUP(Table2[[#This Row],[buyFromVendorNo]],'Next Day Scheduled'!A:A,'Pending Returns'!O:O,"NOT_FOUND")</f>
        <v>Posted Credit Note</v>
      </c>
    </row>
    <row r="3821" spans="1:17" x14ac:dyDescent="0.3">
      <c r="A3821" s="1">
        <v>46250</v>
      </c>
      <c r="B3821" t="s">
        <v>642</v>
      </c>
      <c r="C3821" t="s">
        <v>1424</v>
      </c>
      <c r="D3821" t="s">
        <v>1425</v>
      </c>
      <c r="E3821" t="s">
        <v>8</v>
      </c>
      <c r="F3821" t="s">
        <v>38</v>
      </c>
      <c r="G3821" s="16">
        <v>70</v>
      </c>
      <c r="H3821" s="16">
        <v>80.5</v>
      </c>
      <c r="J3821">
        <v>9</v>
      </c>
      <c r="K3821" t="s">
        <v>10258</v>
      </c>
      <c r="M3821">
        <v>0</v>
      </c>
      <c r="N3821">
        <v>12</v>
      </c>
      <c r="O3821" t="s">
        <v>216</v>
      </c>
      <c r="P3821" s="17"/>
      <c r="Q3821" s="17" t="str">
        <f>_xlfn.XLOOKUP(Table2[[#This Row],[buyFromVendorNo]],'Next Day Scheduled'!A:A,'Pending Returns'!O:O,"NOT_FOUND")</f>
        <v>Posted Credit Note</v>
      </c>
    </row>
    <row r="3822" spans="1:17" x14ac:dyDescent="0.3">
      <c r="A3822" s="1">
        <v>46250</v>
      </c>
      <c r="B3822" t="s">
        <v>6712</v>
      </c>
      <c r="C3822" t="s">
        <v>704</v>
      </c>
      <c r="D3822" t="s">
        <v>705</v>
      </c>
      <c r="E3822" t="s">
        <v>8</v>
      </c>
      <c r="F3822" t="s">
        <v>10</v>
      </c>
      <c r="G3822" s="16">
        <v>881.15</v>
      </c>
      <c r="H3822" s="16">
        <v>1013.3225</v>
      </c>
      <c r="I3822" s="1">
        <v>46250</v>
      </c>
      <c r="J3822">
        <v>9</v>
      </c>
      <c r="K3822" t="s">
        <v>6713</v>
      </c>
      <c r="L3822" t="s">
        <v>10164</v>
      </c>
      <c r="M3822">
        <v>0</v>
      </c>
      <c r="N3822">
        <v>37</v>
      </c>
      <c r="O3822" t="s">
        <v>223</v>
      </c>
      <c r="P3822" s="17"/>
      <c r="Q3822" s="17" t="str">
        <f>_xlfn.XLOOKUP(Table2[[#This Row],[buyFromVendorNo]],'Next Day Scheduled'!A:A,'Pending Returns'!O:O,"NOT_FOUND")</f>
        <v>NOT_FOUND</v>
      </c>
    </row>
    <row r="3823" spans="1:17" x14ac:dyDescent="0.3">
      <c r="A3823" s="1">
        <v>46250</v>
      </c>
      <c r="B3823" t="s">
        <v>2716</v>
      </c>
      <c r="C3823" t="s">
        <v>4877</v>
      </c>
      <c r="D3823" t="s">
        <v>5340</v>
      </c>
      <c r="E3823" t="s">
        <v>8</v>
      </c>
      <c r="F3823" t="s">
        <v>10</v>
      </c>
      <c r="G3823" s="16">
        <v>1.2</v>
      </c>
      <c r="H3823" s="16">
        <v>1.38</v>
      </c>
      <c r="J3823">
        <v>9</v>
      </c>
      <c r="K3823" t="s">
        <v>10260</v>
      </c>
      <c r="M3823">
        <v>6</v>
      </c>
      <c r="N3823">
        <v>3</v>
      </c>
      <c r="O3823" t="s">
        <v>216</v>
      </c>
      <c r="P3823" s="17"/>
      <c r="Q3823" s="17" t="str">
        <f>_xlfn.XLOOKUP(Table2[[#This Row],[buyFromVendorNo]],'Next Day Scheduled'!A:A,'Pending Returns'!O:O,"NOT_FOUND")</f>
        <v>Posted Credit Note</v>
      </c>
    </row>
    <row r="3824" spans="1:17" x14ac:dyDescent="0.3">
      <c r="A3824" s="1">
        <v>46250</v>
      </c>
      <c r="B3824" t="s">
        <v>4460</v>
      </c>
      <c r="C3824" t="s">
        <v>201</v>
      </c>
      <c r="D3824" t="s">
        <v>202</v>
      </c>
      <c r="E3824" t="s">
        <v>8</v>
      </c>
      <c r="F3824" t="s">
        <v>169</v>
      </c>
      <c r="G3824" s="16">
        <v>83.019379999999998</v>
      </c>
      <c r="H3824" s="16">
        <v>95.472290000000001</v>
      </c>
      <c r="I3824" s="1">
        <v>46242</v>
      </c>
      <c r="J3824">
        <v>9</v>
      </c>
      <c r="K3824" t="s">
        <v>7969</v>
      </c>
      <c r="L3824" t="s">
        <v>10261</v>
      </c>
      <c r="M3824">
        <v>1</v>
      </c>
      <c r="N3824">
        <v>7</v>
      </c>
      <c r="O3824" t="s">
        <v>1036</v>
      </c>
      <c r="P3824" s="17"/>
      <c r="Q3824" s="17" t="str">
        <f>_xlfn.XLOOKUP(Table2[[#This Row],[buyFromVendorNo]],'Next Day Scheduled'!A:A,'Pending Returns'!O:O,"NOT_FOUND")</f>
        <v>Pending for Collection</v>
      </c>
    </row>
    <row r="3825" spans="1:17" x14ac:dyDescent="0.3">
      <c r="A3825" s="1">
        <v>46250</v>
      </c>
      <c r="B3825" t="s">
        <v>642</v>
      </c>
      <c r="C3825" t="s">
        <v>444</v>
      </c>
      <c r="D3825" t="s">
        <v>445</v>
      </c>
      <c r="E3825" t="s">
        <v>8</v>
      </c>
      <c r="F3825" t="s">
        <v>38</v>
      </c>
      <c r="G3825" s="16">
        <v>44.4</v>
      </c>
      <c r="H3825" s="16">
        <v>51.06</v>
      </c>
      <c r="J3825">
        <v>9</v>
      </c>
      <c r="K3825" t="s">
        <v>10194</v>
      </c>
      <c r="M3825">
        <v>1</v>
      </c>
      <c r="N3825">
        <v>9</v>
      </c>
      <c r="O3825" t="s">
        <v>216</v>
      </c>
      <c r="P3825" s="17"/>
      <c r="Q3825" s="17" t="str">
        <f>_xlfn.XLOOKUP(Table2[[#This Row],[buyFromVendorNo]],'Next Day Scheduled'!A:A,'Pending Returns'!O:O,"NOT_FOUND")</f>
        <v>NOT_FOUND</v>
      </c>
    </row>
    <row r="3826" spans="1:17" x14ac:dyDescent="0.3">
      <c r="A3826" s="1">
        <v>46250</v>
      </c>
      <c r="B3826" t="s">
        <v>642</v>
      </c>
      <c r="C3826" t="s">
        <v>4119</v>
      </c>
      <c r="D3826" t="s">
        <v>4120</v>
      </c>
      <c r="E3826" t="s">
        <v>8</v>
      </c>
      <c r="F3826" t="s">
        <v>38</v>
      </c>
      <c r="G3826" s="16">
        <v>15</v>
      </c>
      <c r="H3826" s="16">
        <v>17.25</v>
      </c>
      <c r="J3826">
        <v>9</v>
      </c>
      <c r="K3826" t="s">
        <v>10195</v>
      </c>
      <c r="M3826">
        <v>0</v>
      </c>
      <c r="N3826">
        <v>37</v>
      </c>
      <c r="O3826" t="s">
        <v>216</v>
      </c>
      <c r="P3826" s="17"/>
      <c r="Q3826" s="17" t="str">
        <f>_xlfn.XLOOKUP(Table2[[#This Row],[buyFromVendorNo]],'Next Day Scheduled'!A:A,'Pending Returns'!O:O,"NOT_FOUND")</f>
        <v>NOT_FOUND</v>
      </c>
    </row>
    <row r="3827" spans="1:17" x14ac:dyDescent="0.3">
      <c r="A3827" s="1">
        <v>46250</v>
      </c>
      <c r="B3827" t="s">
        <v>3313</v>
      </c>
      <c r="C3827" t="s">
        <v>111</v>
      </c>
      <c r="D3827" t="s">
        <v>112</v>
      </c>
      <c r="E3827" t="s">
        <v>8</v>
      </c>
      <c r="F3827" t="s">
        <v>10</v>
      </c>
      <c r="G3827" s="16">
        <v>111.59168</v>
      </c>
      <c r="H3827" s="16">
        <v>128.33043000000001</v>
      </c>
      <c r="J3827">
        <v>9</v>
      </c>
      <c r="K3827" t="s">
        <v>10196</v>
      </c>
      <c r="M3827">
        <v>0</v>
      </c>
      <c r="N3827">
        <v>15</v>
      </c>
      <c r="O3827" t="s">
        <v>216</v>
      </c>
      <c r="P3827" s="17"/>
      <c r="Q3827" s="17" t="str">
        <f>_xlfn.XLOOKUP(Table2[[#This Row],[buyFromVendorNo]],'Next Day Scheduled'!A:A,'Pending Returns'!O:O,"NOT_FOUND")</f>
        <v>Posted Credit Note</v>
      </c>
    </row>
    <row r="3828" spans="1:17" x14ac:dyDescent="0.3">
      <c r="A3828" s="1">
        <v>46250</v>
      </c>
      <c r="B3828" t="s">
        <v>2161</v>
      </c>
      <c r="C3828" t="s">
        <v>181</v>
      </c>
      <c r="D3828" t="s">
        <v>182</v>
      </c>
      <c r="E3828" t="s">
        <v>8</v>
      </c>
      <c r="F3828" t="s">
        <v>10</v>
      </c>
      <c r="G3828" s="16">
        <v>58.916699999999999</v>
      </c>
      <c r="H3828" s="16">
        <v>67.754199999999997</v>
      </c>
      <c r="I3828" s="1">
        <v>46245</v>
      </c>
      <c r="J3828">
        <v>9</v>
      </c>
      <c r="K3828" t="s">
        <v>9504</v>
      </c>
      <c r="L3828" t="s">
        <v>10197</v>
      </c>
      <c r="M3828">
        <v>3</v>
      </c>
      <c r="N3828">
        <v>2</v>
      </c>
      <c r="O3828" t="s">
        <v>1036</v>
      </c>
      <c r="P3828" s="17"/>
      <c r="Q3828" s="17" t="str">
        <f>_xlfn.XLOOKUP(Table2[[#This Row],[buyFromVendorNo]],'Next Day Scheduled'!A:A,'Pending Returns'!O:O,"NOT_FOUND")</f>
        <v>NOT_FOUND</v>
      </c>
    </row>
    <row r="3829" spans="1:17" x14ac:dyDescent="0.3">
      <c r="A3829" s="1">
        <v>46250</v>
      </c>
      <c r="B3829" t="s">
        <v>642</v>
      </c>
      <c r="C3829" t="s">
        <v>154</v>
      </c>
      <c r="D3829" t="s">
        <v>155</v>
      </c>
      <c r="E3829" t="s">
        <v>8</v>
      </c>
      <c r="F3829" t="s">
        <v>38</v>
      </c>
      <c r="G3829" s="16">
        <v>507.08690000000001</v>
      </c>
      <c r="H3829" s="16">
        <v>583.14995999999996</v>
      </c>
      <c r="J3829">
        <v>9</v>
      </c>
      <c r="K3829" t="s">
        <v>10262</v>
      </c>
      <c r="M3829">
        <v>1</v>
      </c>
      <c r="N3829">
        <v>7</v>
      </c>
      <c r="O3829" t="s">
        <v>216</v>
      </c>
      <c r="P3829" s="17"/>
      <c r="Q3829" s="17" t="str">
        <f>_xlfn.XLOOKUP(Table2[[#This Row],[buyFromVendorNo]],'Next Day Scheduled'!A:A,'Pending Returns'!O:O,"NOT_FOUND")</f>
        <v>NOT_FOUND</v>
      </c>
    </row>
    <row r="3830" spans="1:17" x14ac:dyDescent="0.3">
      <c r="A3830" s="1">
        <v>46250</v>
      </c>
      <c r="B3830" t="s">
        <v>5514</v>
      </c>
      <c r="C3830" t="s">
        <v>181</v>
      </c>
      <c r="D3830" t="s">
        <v>182</v>
      </c>
      <c r="E3830" t="s">
        <v>8</v>
      </c>
      <c r="F3830" t="s">
        <v>10</v>
      </c>
      <c r="G3830" s="16">
        <v>60.166699999999999</v>
      </c>
      <c r="H3830" s="16">
        <v>69.191699999999997</v>
      </c>
      <c r="J3830">
        <v>9</v>
      </c>
      <c r="K3830" t="s">
        <v>10263</v>
      </c>
      <c r="M3830">
        <v>3</v>
      </c>
      <c r="N3830">
        <v>2</v>
      </c>
      <c r="O3830" t="s">
        <v>216</v>
      </c>
      <c r="P3830" s="17"/>
      <c r="Q3830" s="17" t="str">
        <f>_xlfn.XLOOKUP(Table2[[#This Row],[buyFromVendorNo]],'Next Day Scheduled'!A:A,'Pending Returns'!O:O,"NOT_FOUND")</f>
        <v>NOT_FOUND</v>
      </c>
    </row>
    <row r="3831" spans="1:17" x14ac:dyDescent="0.3">
      <c r="A3831" s="1">
        <v>46250</v>
      </c>
      <c r="B3831" t="s">
        <v>642</v>
      </c>
      <c r="C3831" t="s">
        <v>88</v>
      </c>
      <c r="D3831" t="s">
        <v>89</v>
      </c>
      <c r="E3831" t="s">
        <v>8</v>
      </c>
      <c r="F3831" t="s">
        <v>38</v>
      </c>
      <c r="G3831" s="16">
        <v>439.95</v>
      </c>
      <c r="H3831" s="16">
        <v>505.9425</v>
      </c>
      <c r="J3831">
        <v>9</v>
      </c>
      <c r="K3831" t="s">
        <v>10265</v>
      </c>
      <c r="M3831">
        <v>0</v>
      </c>
      <c r="N3831">
        <v>12</v>
      </c>
      <c r="O3831" t="s">
        <v>216</v>
      </c>
      <c r="P3831" s="17"/>
      <c r="Q3831" s="17" t="str">
        <f>_xlfn.XLOOKUP(Table2[[#This Row],[buyFromVendorNo]],'Next Day Scheduled'!A:A,'Pending Returns'!O:O,"NOT_FOUND")</f>
        <v>NOT_FOUND</v>
      </c>
    </row>
    <row r="3832" spans="1:17" x14ac:dyDescent="0.3">
      <c r="A3832" s="1">
        <v>46250</v>
      </c>
      <c r="B3832" t="s">
        <v>2816</v>
      </c>
      <c r="C3832" t="s">
        <v>133</v>
      </c>
      <c r="D3832" t="s">
        <v>134</v>
      </c>
      <c r="E3832" t="s">
        <v>8</v>
      </c>
      <c r="F3832" t="s">
        <v>10</v>
      </c>
      <c r="G3832" s="16">
        <v>378.53699999999998</v>
      </c>
      <c r="H3832" s="16">
        <v>435.31754000000001</v>
      </c>
      <c r="J3832">
        <v>9</v>
      </c>
      <c r="K3832" t="s">
        <v>10266</v>
      </c>
      <c r="M3832">
        <v>0</v>
      </c>
      <c r="N3832">
        <v>12</v>
      </c>
      <c r="O3832" t="s">
        <v>216</v>
      </c>
      <c r="P3832" s="17"/>
      <c r="Q3832" s="17" t="str">
        <f>_xlfn.XLOOKUP(Table2[[#This Row],[buyFromVendorNo]],'Next Day Scheduled'!A:A,'Pending Returns'!O:O,"NOT_FOUND")</f>
        <v>NOT_FOUND</v>
      </c>
    </row>
    <row r="3833" spans="1:17" x14ac:dyDescent="0.3">
      <c r="A3833" s="1">
        <v>46250</v>
      </c>
      <c r="B3833" t="s">
        <v>2603</v>
      </c>
      <c r="C3833" t="s">
        <v>137</v>
      </c>
      <c r="D3833" t="s">
        <v>138</v>
      </c>
      <c r="E3833" t="s">
        <v>8</v>
      </c>
      <c r="F3833" t="s">
        <v>10</v>
      </c>
      <c r="G3833" s="16">
        <v>12060.53</v>
      </c>
      <c r="H3833" s="16">
        <v>13869.609</v>
      </c>
      <c r="I3833" s="1">
        <v>46250</v>
      </c>
      <c r="J3833">
        <v>9</v>
      </c>
      <c r="K3833" t="s">
        <v>9491</v>
      </c>
      <c r="L3833" t="s">
        <v>10165</v>
      </c>
      <c r="M3833">
        <v>5</v>
      </c>
      <c r="N3833">
        <v>5</v>
      </c>
      <c r="O3833" t="s">
        <v>223</v>
      </c>
      <c r="P3833" s="17"/>
      <c r="Q3833" s="17" t="str">
        <f>_xlfn.XLOOKUP(Table2[[#This Row],[buyFromVendorNo]],'Next Day Scheduled'!A:A,'Pending Returns'!O:O,"NOT_FOUND")</f>
        <v>NOT_FOUND</v>
      </c>
    </row>
    <row r="3834" spans="1:17" x14ac:dyDescent="0.3">
      <c r="A3834" s="1">
        <v>46250</v>
      </c>
      <c r="B3834" t="s">
        <v>2972</v>
      </c>
      <c r="C3834" t="s">
        <v>633</v>
      </c>
      <c r="D3834" t="s">
        <v>690</v>
      </c>
      <c r="E3834" t="s">
        <v>8</v>
      </c>
      <c r="F3834" t="s">
        <v>10</v>
      </c>
      <c r="G3834" s="16">
        <v>60.325000000000003</v>
      </c>
      <c r="H3834" s="16">
        <v>69.373760000000004</v>
      </c>
      <c r="I3834" s="1">
        <v>46242</v>
      </c>
      <c r="J3834">
        <v>9</v>
      </c>
      <c r="K3834" t="s">
        <v>8986</v>
      </c>
      <c r="L3834" t="s">
        <v>10294</v>
      </c>
      <c r="M3834">
        <v>1</v>
      </c>
      <c r="N3834">
        <v>6</v>
      </c>
      <c r="O3834" t="s">
        <v>1036</v>
      </c>
      <c r="P3834" s="17"/>
      <c r="Q3834" s="17" t="str">
        <f>_xlfn.XLOOKUP(Table2[[#This Row],[buyFromVendorNo]],'Next Day Scheduled'!A:A,'Pending Returns'!O:O,"NOT_FOUND")</f>
        <v>NOT_FOUND</v>
      </c>
    </row>
    <row r="3835" spans="1:17" x14ac:dyDescent="0.3">
      <c r="A3835" s="1">
        <v>46250</v>
      </c>
      <c r="B3835" t="s">
        <v>2721</v>
      </c>
      <c r="C3835" t="s">
        <v>137</v>
      </c>
      <c r="D3835" t="s">
        <v>138</v>
      </c>
      <c r="E3835" t="s">
        <v>8</v>
      </c>
      <c r="F3835" t="s">
        <v>10</v>
      </c>
      <c r="G3835" s="16">
        <v>6629.6</v>
      </c>
      <c r="H3835" s="16">
        <v>7624.04</v>
      </c>
      <c r="I3835" s="1">
        <v>46250</v>
      </c>
      <c r="J3835">
        <v>9</v>
      </c>
      <c r="K3835" t="s">
        <v>9990</v>
      </c>
      <c r="L3835" t="s">
        <v>10157</v>
      </c>
      <c r="M3835">
        <v>5</v>
      </c>
      <c r="N3835">
        <v>5</v>
      </c>
      <c r="O3835" t="s">
        <v>223</v>
      </c>
      <c r="P3835" s="17"/>
      <c r="Q3835" s="17" t="str">
        <f>_xlfn.XLOOKUP(Table2[[#This Row],[buyFromVendorNo]],'Next Day Scheduled'!A:A,'Pending Returns'!O:O,"NOT_FOUND")</f>
        <v>NOT_FOUND</v>
      </c>
    </row>
    <row r="3836" spans="1:17" x14ac:dyDescent="0.3">
      <c r="A3836" s="1">
        <v>46250</v>
      </c>
      <c r="B3836" t="s">
        <v>9474</v>
      </c>
      <c r="C3836" t="s">
        <v>843</v>
      </c>
      <c r="D3836" t="s">
        <v>844</v>
      </c>
      <c r="E3836" t="s">
        <v>8</v>
      </c>
      <c r="F3836" t="s">
        <v>10</v>
      </c>
      <c r="G3836" s="16">
        <v>99</v>
      </c>
      <c r="H3836" s="16">
        <v>113.85</v>
      </c>
      <c r="J3836">
        <v>9</v>
      </c>
      <c r="K3836" t="s">
        <v>10295</v>
      </c>
      <c r="M3836">
        <v>0</v>
      </c>
      <c r="N3836">
        <v>310</v>
      </c>
      <c r="O3836" t="s">
        <v>216</v>
      </c>
      <c r="P3836" s="17"/>
      <c r="Q3836" s="17" t="str">
        <f>_xlfn.XLOOKUP(Table2[[#This Row],[buyFromVendorNo]],'Next Day Scheduled'!A:A,'Pending Returns'!O:O,"NOT_FOUND")</f>
        <v>NOT_FOUND</v>
      </c>
    </row>
    <row r="3837" spans="1:17" x14ac:dyDescent="0.3">
      <c r="A3837" s="1">
        <v>46250</v>
      </c>
      <c r="B3837" t="s">
        <v>1777</v>
      </c>
      <c r="C3837" t="s">
        <v>73</v>
      </c>
      <c r="D3837" t="s">
        <v>74</v>
      </c>
      <c r="E3837" t="s">
        <v>8</v>
      </c>
      <c r="F3837" t="s">
        <v>10</v>
      </c>
      <c r="G3837" s="16">
        <v>766.95410000000004</v>
      </c>
      <c r="H3837" s="16">
        <v>881.99720000000002</v>
      </c>
      <c r="J3837">
        <v>9</v>
      </c>
      <c r="K3837" t="s">
        <v>10269</v>
      </c>
      <c r="M3837">
        <v>6</v>
      </c>
      <c r="N3837">
        <v>1</v>
      </c>
      <c r="O3837" t="s">
        <v>216</v>
      </c>
      <c r="P3837" s="17"/>
      <c r="Q3837" s="17" t="str">
        <f>_xlfn.XLOOKUP(Table2[[#This Row],[buyFromVendorNo]],'Next Day Scheduled'!A:A,'Pending Returns'!O:O,"NOT_FOUND")</f>
        <v>NOT_FOUND</v>
      </c>
    </row>
    <row r="3838" spans="1:17" x14ac:dyDescent="0.3">
      <c r="A3838" s="1">
        <v>46250</v>
      </c>
      <c r="B3838" t="s">
        <v>760</v>
      </c>
      <c r="C3838" t="s">
        <v>704</v>
      </c>
      <c r="D3838" t="s">
        <v>705</v>
      </c>
      <c r="E3838" t="s">
        <v>8</v>
      </c>
      <c r="F3838" t="s">
        <v>10</v>
      </c>
      <c r="G3838" s="16">
        <v>1688.9016999999999</v>
      </c>
      <c r="H3838" s="16">
        <v>1942.2370000000001</v>
      </c>
      <c r="I3838" s="1">
        <v>46250</v>
      </c>
      <c r="J3838">
        <v>9</v>
      </c>
      <c r="K3838" t="s">
        <v>6456</v>
      </c>
      <c r="L3838" t="s">
        <v>10158</v>
      </c>
      <c r="M3838">
        <v>0</v>
      </c>
      <c r="N3838">
        <v>37</v>
      </c>
      <c r="O3838" t="s">
        <v>223</v>
      </c>
      <c r="P3838" s="17"/>
      <c r="Q3838" s="17" t="str">
        <f>_xlfn.XLOOKUP(Table2[[#This Row],[buyFromVendorNo]],'Next Day Scheduled'!A:A,'Pending Returns'!O:O,"NOT_FOUND")</f>
        <v>NOT_FOUND</v>
      </c>
    </row>
    <row r="3839" spans="1:17" x14ac:dyDescent="0.3">
      <c r="A3839" s="1">
        <v>46251</v>
      </c>
      <c r="B3839" t="s">
        <v>1797</v>
      </c>
      <c r="C3839" t="s">
        <v>8841</v>
      </c>
      <c r="D3839" t="s">
        <v>8842</v>
      </c>
      <c r="E3839" t="s">
        <v>8</v>
      </c>
      <c r="F3839" t="s">
        <v>10</v>
      </c>
      <c r="G3839" s="16">
        <v>2674.8906000000002</v>
      </c>
      <c r="H3839" s="16">
        <v>3076.1242999999999</v>
      </c>
      <c r="I3839" s="1">
        <v>46247</v>
      </c>
      <c r="J3839">
        <v>8</v>
      </c>
      <c r="K3839" t="s">
        <v>8843</v>
      </c>
      <c r="L3839" t="s">
        <v>10338</v>
      </c>
      <c r="M3839">
        <v>1</v>
      </c>
      <c r="N3839">
        <v>3</v>
      </c>
      <c r="O3839" t="s">
        <v>1036</v>
      </c>
      <c r="P3839" s="17"/>
      <c r="Q3839" s="17" t="str">
        <f>_xlfn.XLOOKUP(Table2[[#This Row],[buyFromVendorNo]],'Next Day Scheduled'!A:A,'Pending Returns'!O:O,"NOT_FOUND")</f>
        <v>NOT_FOUND</v>
      </c>
    </row>
    <row r="3840" spans="1:17" x14ac:dyDescent="0.3">
      <c r="A3840" s="1">
        <v>46251</v>
      </c>
      <c r="B3840" t="s">
        <v>9554</v>
      </c>
      <c r="C3840" t="s">
        <v>423</v>
      </c>
      <c r="D3840" t="s">
        <v>424</v>
      </c>
      <c r="E3840" t="s">
        <v>8</v>
      </c>
      <c r="F3840" t="s">
        <v>10</v>
      </c>
      <c r="G3840" s="16">
        <v>494.55500000000001</v>
      </c>
      <c r="H3840" s="16">
        <v>568.73820000000001</v>
      </c>
      <c r="I3840" s="1">
        <v>46247</v>
      </c>
      <c r="J3840">
        <v>8</v>
      </c>
      <c r="K3840" t="s">
        <v>9516</v>
      </c>
      <c r="L3840" t="s">
        <v>10387</v>
      </c>
      <c r="M3840">
        <v>1</v>
      </c>
      <c r="N3840">
        <v>3</v>
      </c>
      <c r="O3840" t="s">
        <v>1036</v>
      </c>
      <c r="P3840" s="17"/>
      <c r="Q3840" s="17" t="str">
        <f>_xlfn.XLOOKUP(Table2[[#This Row],[buyFromVendorNo]],'Next Day Scheduled'!A:A,'Pending Returns'!O:O,"NOT_FOUND")</f>
        <v>NOT_FOUND</v>
      </c>
    </row>
    <row r="3841" spans="1:17" x14ac:dyDescent="0.3">
      <c r="A3841" s="1">
        <v>46251</v>
      </c>
      <c r="B3841" t="s">
        <v>2083</v>
      </c>
      <c r="C3841" t="s">
        <v>598</v>
      </c>
      <c r="D3841" t="s">
        <v>599</v>
      </c>
      <c r="E3841" t="s">
        <v>8</v>
      </c>
      <c r="F3841" t="s">
        <v>38</v>
      </c>
      <c r="G3841" s="16">
        <v>2361.6763000000001</v>
      </c>
      <c r="H3841" s="16">
        <v>2715.9277000000002</v>
      </c>
      <c r="I3841" s="1">
        <v>46252</v>
      </c>
      <c r="J3841">
        <v>8</v>
      </c>
      <c r="K3841" t="s">
        <v>7897</v>
      </c>
      <c r="L3841" t="s">
        <v>10407</v>
      </c>
      <c r="M3841">
        <v>1</v>
      </c>
      <c r="N3841">
        <v>6</v>
      </c>
      <c r="O3841" t="s">
        <v>223</v>
      </c>
      <c r="P3841" s="17"/>
      <c r="Q3841" s="17" t="str">
        <f>_xlfn.XLOOKUP(Table2[[#This Row],[buyFromVendorNo]],'Next Day Scheduled'!A:A,'Pending Returns'!O:O,"NOT_FOUND")</f>
        <v>NOT_FOUND</v>
      </c>
    </row>
    <row r="3842" spans="1:17" x14ac:dyDescent="0.3">
      <c r="A3842" s="1">
        <v>46251</v>
      </c>
      <c r="B3842" t="s">
        <v>642</v>
      </c>
      <c r="C3842" t="s">
        <v>448</v>
      </c>
      <c r="D3842" t="s">
        <v>449</v>
      </c>
      <c r="E3842" t="s">
        <v>8</v>
      </c>
      <c r="F3842" t="s">
        <v>38</v>
      </c>
      <c r="G3842" s="16">
        <v>40</v>
      </c>
      <c r="H3842" s="16">
        <v>46</v>
      </c>
      <c r="J3842">
        <v>8</v>
      </c>
      <c r="K3842" t="s">
        <v>10364</v>
      </c>
      <c r="M3842">
        <v>2</v>
      </c>
      <c r="N3842">
        <v>1</v>
      </c>
      <c r="O3842" t="s">
        <v>216</v>
      </c>
      <c r="P3842" s="17"/>
      <c r="Q3842" s="17" t="str">
        <f>_xlfn.XLOOKUP(Table2[[#This Row],[buyFromVendorNo]],'Next Day Scheduled'!A:A,'Pending Returns'!O:O,"NOT_FOUND")</f>
        <v>NOT_FOUND</v>
      </c>
    </row>
    <row r="3843" spans="1:17" x14ac:dyDescent="0.3">
      <c r="A3843" s="1">
        <v>46251</v>
      </c>
      <c r="B3843" t="s">
        <v>5087</v>
      </c>
      <c r="C3843" t="s">
        <v>9689</v>
      </c>
      <c r="D3843" t="s">
        <v>9690</v>
      </c>
      <c r="E3843" t="s">
        <v>8</v>
      </c>
      <c r="F3843" t="s">
        <v>10</v>
      </c>
      <c r="G3843" s="16">
        <v>23609.29</v>
      </c>
      <c r="H3843" s="16">
        <v>27150.684000000001</v>
      </c>
      <c r="I3843" s="1">
        <v>46252</v>
      </c>
      <c r="J3843">
        <v>8</v>
      </c>
      <c r="K3843" t="s">
        <v>9688</v>
      </c>
      <c r="L3843" t="s">
        <v>10389</v>
      </c>
      <c r="M3843">
        <v>0</v>
      </c>
      <c r="N3843">
        <v>34</v>
      </c>
      <c r="O3843" t="s">
        <v>223</v>
      </c>
      <c r="P3843" s="17"/>
      <c r="Q3843" s="17" t="str">
        <f>_xlfn.XLOOKUP(Table2[[#This Row],[buyFromVendorNo]],'Next Day Scheduled'!A:A,'Pending Returns'!O:O,"NOT_FOUND")</f>
        <v>NOT_FOUND</v>
      </c>
    </row>
    <row r="3844" spans="1:17" x14ac:dyDescent="0.3">
      <c r="A3844" s="1">
        <v>46251</v>
      </c>
      <c r="B3844" t="s">
        <v>4454</v>
      </c>
      <c r="C3844" t="s">
        <v>128</v>
      </c>
      <c r="D3844" t="s">
        <v>129</v>
      </c>
      <c r="E3844" t="s">
        <v>8</v>
      </c>
      <c r="F3844" t="s">
        <v>10</v>
      </c>
      <c r="G3844" s="16">
        <v>721.36</v>
      </c>
      <c r="H3844" s="16">
        <v>829.56399999999996</v>
      </c>
      <c r="I3844" s="1">
        <v>46252</v>
      </c>
      <c r="J3844">
        <v>8</v>
      </c>
      <c r="K3844" t="s">
        <v>5781</v>
      </c>
      <c r="L3844" t="s">
        <v>10341</v>
      </c>
      <c r="M3844">
        <v>7</v>
      </c>
      <c r="N3844">
        <v>1</v>
      </c>
      <c r="O3844" t="s">
        <v>223</v>
      </c>
      <c r="P3844" s="17"/>
      <c r="Q3844" s="17" t="str">
        <f>_xlfn.XLOOKUP(Table2[[#This Row],[buyFromVendorNo]],'Next Day Scheduled'!A:A,'Pending Returns'!O:O,"NOT_FOUND")</f>
        <v>Posted Credit Note</v>
      </c>
    </row>
    <row r="3845" spans="1:17" x14ac:dyDescent="0.3">
      <c r="A3845" s="1">
        <v>46251</v>
      </c>
      <c r="B3845" t="s">
        <v>642</v>
      </c>
      <c r="C3845" t="s">
        <v>57</v>
      </c>
      <c r="D3845" t="s">
        <v>58</v>
      </c>
      <c r="E3845" t="s">
        <v>8</v>
      </c>
      <c r="F3845" t="s">
        <v>38</v>
      </c>
      <c r="G3845" s="16">
        <v>137.45003</v>
      </c>
      <c r="H3845" s="16">
        <v>158.06752</v>
      </c>
      <c r="I3845" s="1">
        <v>46237</v>
      </c>
      <c r="J3845">
        <v>8</v>
      </c>
      <c r="K3845" t="s">
        <v>8788</v>
      </c>
      <c r="L3845" t="s">
        <v>10347</v>
      </c>
      <c r="M3845">
        <v>0</v>
      </c>
      <c r="N3845">
        <v>191</v>
      </c>
      <c r="O3845" t="s">
        <v>1036</v>
      </c>
      <c r="P3845" s="17"/>
      <c r="Q3845" s="17" t="str">
        <f>_xlfn.XLOOKUP(Table2[[#This Row],[buyFromVendorNo]],'Next Day Scheduled'!A:A,'Pending Returns'!O:O,"NOT_FOUND")</f>
        <v>Posted Credit Note</v>
      </c>
    </row>
    <row r="3846" spans="1:17" x14ac:dyDescent="0.3">
      <c r="A3846" s="1">
        <v>46251</v>
      </c>
      <c r="B3846" t="s">
        <v>9114</v>
      </c>
      <c r="C3846" t="s">
        <v>598</v>
      </c>
      <c r="D3846" t="s">
        <v>9088</v>
      </c>
      <c r="E3846" t="s">
        <v>8</v>
      </c>
      <c r="F3846" t="s">
        <v>10</v>
      </c>
      <c r="G3846" s="16">
        <v>1723.232</v>
      </c>
      <c r="H3846" s="16">
        <v>1981.7167999999999</v>
      </c>
      <c r="I3846" s="1">
        <v>46251</v>
      </c>
      <c r="J3846">
        <v>8</v>
      </c>
      <c r="K3846" t="s">
        <v>9490</v>
      </c>
      <c r="L3846" t="s">
        <v>10346</v>
      </c>
      <c r="M3846">
        <v>1</v>
      </c>
      <c r="N3846">
        <v>6</v>
      </c>
      <c r="O3846" t="s">
        <v>1036</v>
      </c>
      <c r="P3846" s="17"/>
      <c r="Q3846" s="17" t="str">
        <f>_xlfn.XLOOKUP(Table2[[#This Row],[buyFromVendorNo]],'Next Day Scheduled'!A:A,'Pending Returns'!O:O,"NOT_FOUND")</f>
        <v>NOT_FOUND</v>
      </c>
    </row>
    <row r="3847" spans="1:17" x14ac:dyDescent="0.3">
      <c r="A3847" s="1">
        <v>46251</v>
      </c>
      <c r="B3847" t="s">
        <v>6390</v>
      </c>
      <c r="C3847" t="s">
        <v>9689</v>
      </c>
      <c r="D3847" t="s">
        <v>9690</v>
      </c>
      <c r="E3847" t="s">
        <v>8</v>
      </c>
      <c r="F3847" t="s">
        <v>10</v>
      </c>
      <c r="G3847" s="16">
        <v>387.32</v>
      </c>
      <c r="H3847" s="16">
        <v>445.41800000000001</v>
      </c>
      <c r="I3847" s="1">
        <v>46252</v>
      </c>
      <c r="J3847">
        <v>8</v>
      </c>
      <c r="K3847" t="s">
        <v>10270</v>
      </c>
      <c r="L3847" t="s">
        <v>10390</v>
      </c>
      <c r="M3847">
        <v>0</v>
      </c>
      <c r="N3847">
        <v>34</v>
      </c>
      <c r="O3847" t="s">
        <v>223</v>
      </c>
      <c r="P3847" s="17"/>
      <c r="Q3847" s="17" t="str">
        <f>_xlfn.XLOOKUP(Table2[[#This Row],[buyFromVendorNo]],'Next Day Scheduled'!A:A,'Pending Returns'!O:O,"NOT_FOUND")</f>
        <v>NOT_FOUND</v>
      </c>
    </row>
    <row r="3848" spans="1:17" x14ac:dyDescent="0.3">
      <c r="A3848" s="1">
        <v>46251</v>
      </c>
      <c r="B3848" t="s">
        <v>642</v>
      </c>
      <c r="C3848" t="s">
        <v>329</v>
      </c>
      <c r="D3848" t="s">
        <v>320</v>
      </c>
      <c r="E3848" t="s">
        <v>8</v>
      </c>
      <c r="F3848" t="s">
        <v>38</v>
      </c>
      <c r="G3848" s="16">
        <v>147</v>
      </c>
      <c r="H3848" s="16">
        <v>169.05</v>
      </c>
      <c r="J3848">
        <v>8</v>
      </c>
      <c r="K3848" t="s">
        <v>10393</v>
      </c>
      <c r="M3848">
        <v>1</v>
      </c>
      <c r="N3848">
        <v>2</v>
      </c>
      <c r="O3848" t="s">
        <v>216</v>
      </c>
      <c r="P3848" s="17"/>
      <c r="Q3848" s="17" t="str">
        <f>_xlfn.XLOOKUP(Table2[[#This Row],[buyFromVendorNo]],'Next Day Scheduled'!A:A,'Pending Returns'!O:O,"NOT_FOUND")</f>
        <v>NOT_FOUND</v>
      </c>
    </row>
    <row r="3849" spans="1:17" x14ac:dyDescent="0.3">
      <c r="A3849" s="1">
        <v>46251</v>
      </c>
      <c r="B3849" t="s">
        <v>3386</v>
      </c>
      <c r="C3849" t="s">
        <v>173</v>
      </c>
      <c r="D3849" t="s">
        <v>174</v>
      </c>
      <c r="E3849" t="s">
        <v>8</v>
      </c>
      <c r="F3849" t="s">
        <v>10</v>
      </c>
      <c r="G3849" s="16">
        <v>1242.3599999999999</v>
      </c>
      <c r="H3849" s="16">
        <v>1428.7139999999999</v>
      </c>
      <c r="J3849">
        <v>8</v>
      </c>
      <c r="K3849" t="s">
        <v>10334</v>
      </c>
      <c r="M3849">
        <v>3</v>
      </c>
      <c r="N3849">
        <v>1</v>
      </c>
      <c r="O3849" t="s">
        <v>216</v>
      </c>
      <c r="P3849" s="17"/>
      <c r="Q3849" s="17" t="str">
        <f>_xlfn.XLOOKUP(Table2[[#This Row],[buyFromVendorNo]],'Next Day Scheduled'!A:A,'Pending Returns'!O:O,"NOT_FOUND")</f>
        <v>NOT_FOUND</v>
      </c>
    </row>
    <row r="3850" spans="1:17" x14ac:dyDescent="0.3">
      <c r="A3850" s="1">
        <v>46251</v>
      </c>
      <c r="B3850" t="s">
        <v>2897</v>
      </c>
      <c r="C3850" t="s">
        <v>39</v>
      </c>
      <c r="D3850" t="s">
        <v>40</v>
      </c>
      <c r="E3850" t="s">
        <v>8</v>
      </c>
      <c r="F3850" t="s">
        <v>10</v>
      </c>
      <c r="G3850" s="16">
        <v>2926.3031999999998</v>
      </c>
      <c r="H3850" s="16">
        <v>3365.2487999999998</v>
      </c>
      <c r="J3850">
        <v>8</v>
      </c>
      <c r="K3850" t="s">
        <v>10305</v>
      </c>
      <c r="M3850">
        <v>3</v>
      </c>
      <c r="N3850">
        <v>1</v>
      </c>
      <c r="O3850" t="s">
        <v>216</v>
      </c>
      <c r="P3850" s="17"/>
      <c r="Q3850" s="17" t="str">
        <f>_xlfn.XLOOKUP(Table2[[#This Row],[buyFromVendorNo]],'Next Day Scheduled'!A:A,'Pending Returns'!O:O,"NOT_FOUND")</f>
        <v>Posted Credit Note</v>
      </c>
    </row>
    <row r="3851" spans="1:17" x14ac:dyDescent="0.3">
      <c r="A3851" s="1">
        <v>46251</v>
      </c>
      <c r="B3851" t="s">
        <v>7785</v>
      </c>
      <c r="C3851" t="s">
        <v>598</v>
      </c>
      <c r="D3851" t="s">
        <v>599</v>
      </c>
      <c r="E3851" t="s">
        <v>8</v>
      </c>
      <c r="F3851" t="s">
        <v>10</v>
      </c>
      <c r="G3851" s="16">
        <v>1196.7080000000001</v>
      </c>
      <c r="H3851" s="16">
        <v>1376.2141999999999</v>
      </c>
      <c r="I3851" s="1">
        <v>46252</v>
      </c>
      <c r="J3851">
        <v>8</v>
      </c>
      <c r="K3851" t="s">
        <v>7786</v>
      </c>
      <c r="L3851" t="s">
        <v>10375</v>
      </c>
      <c r="M3851">
        <v>1</v>
      </c>
      <c r="N3851">
        <v>6</v>
      </c>
      <c r="O3851" t="s">
        <v>223</v>
      </c>
      <c r="P3851" s="17"/>
      <c r="Q3851" s="17" t="str">
        <f>_xlfn.XLOOKUP(Table2[[#This Row],[buyFromVendorNo]],'Next Day Scheduled'!A:A,'Pending Returns'!O:O,"NOT_FOUND")</f>
        <v>NOT_FOUND</v>
      </c>
    </row>
    <row r="3852" spans="1:17" x14ac:dyDescent="0.3">
      <c r="A3852" s="1">
        <v>46251</v>
      </c>
      <c r="B3852" t="s">
        <v>8042</v>
      </c>
      <c r="C3852" t="s">
        <v>598</v>
      </c>
      <c r="D3852" t="s">
        <v>599</v>
      </c>
      <c r="E3852" t="s">
        <v>8</v>
      </c>
      <c r="F3852" t="s">
        <v>10</v>
      </c>
      <c r="G3852" s="16">
        <v>440.08199999999999</v>
      </c>
      <c r="H3852" s="16">
        <v>506.09429999999998</v>
      </c>
      <c r="I3852" s="1">
        <v>46251</v>
      </c>
      <c r="J3852">
        <v>8</v>
      </c>
      <c r="K3852" t="s">
        <v>8043</v>
      </c>
      <c r="L3852" t="s">
        <v>10420</v>
      </c>
      <c r="M3852">
        <v>1</v>
      </c>
      <c r="N3852">
        <v>6</v>
      </c>
      <c r="O3852" t="s">
        <v>1036</v>
      </c>
      <c r="P3852" s="17"/>
      <c r="Q3852" s="17" t="str">
        <f>_xlfn.XLOOKUP(Table2[[#This Row],[buyFromVendorNo]],'Next Day Scheduled'!A:A,'Pending Returns'!O:O,"NOT_FOUND")</f>
        <v>NOT_FOUND</v>
      </c>
    </row>
    <row r="3853" spans="1:17" x14ac:dyDescent="0.3">
      <c r="A3853" s="1">
        <v>46251</v>
      </c>
      <c r="B3853" t="s">
        <v>1599</v>
      </c>
      <c r="C3853" t="s">
        <v>598</v>
      </c>
      <c r="D3853" t="s">
        <v>599</v>
      </c>
      <c r="E3853" t="s">
        <v>8</v>
      </c>
      <c r="F3853" t="s">
        <v>38</v>
      </c>
      <c r="G3853" s="16">
        <v>1398.7610999999999</v>
      </c>
      <c r="H3853" s="16">
        <v>1608.5753</v>
      </c>
      <c r="I3853" s="1">
        <v>46252</v>
      </c>
      <c r="J3853">
        <v>8</v>
      </c>
      <c r="K3853" t="s">
        <v>8336</v>
      </c>
      <c r="L3853" t="s">
        <v>10421</v>
      </c>
      <c r="M3853">
        <v>1</v>
      </c>
      <c r="N3853">
        <v>6</v>
      </c>
      <c r="O3853" t="s">
        <v>223</v>
      </c>
      <c r="P3853" s="17"/>
      <c r="Q3853" s="17" t="str">
        <f>_xlfn.XLOOKUP(Table2[[#This Row],[buyFromVendorNo]],'Next Day Scheduled'!A:A,'Pending Returns'!O:O,"NOT_FOUND")</f>
        <v>NOT_FOUND</v>
      </c>
    </row>
    <row r="3854" spans="1:17" x14ac:dyDescent="0.3">
      <c r="A3854" s="1">
        <v>46251</v>
      </c>
      <c r="B3854" t="s">
        <v>642</v>
      </c>
      <c r="C3854" t="s">
        <v>562</v>
      </c>
      <c r="D3854" t="s">
        <v>563</v>
      </c>
      <c r="E3854" t="s">
        <v>8</v>
      </c>
      <c r="F3854" t="s">
        <v>38</v>
      </c>
      <c r="G3854" s="16">
        <v>6576.3037000000004</v>
      </c>
      <c r="H3854" s="16">
        <v>7562.7494999999999</v>
      </c>
      <c r="I3854" s="1">
        <v>46251</v>
      </c>
      <c r="J3854">
        <v>8</v>
      </c>
      <c r="K3854" t="s">
        <v>9724</v>
      </c>
      <c r="L3854" t="s">
        <v>10423</v>
      </c>
      <c r="M3854">
        <v>0</v>
      </c>
      <c r="N3854">
        <v>23</v>
      </c>
      <c r="O3854" t="s">
        <v>223</v>
      </c>
      <c r="P3854" s="17"/>
      <c r="Q3854" s="17" t="str">
        <f>_xlfn.XLOOKUP(Table2[[#This Row],[buyFromVendorNo]],'Next Day Scheduled'!A:A,'Pending Returns'!O:O,"NOT_FOUND")</f>
        <v>NOT_FOUND</v>
      </c>
    </row>
    <row r="3855" spans="1:17" x14ac:dyDescent="0.3">
      <c r="A3855" s="1">
        <v>46251</v>
      </c>
      <c r="B3855" t="s">
        <v>5330</v>
      </c>
      <c r="C3855" t="s">
        <v>598</v>
      </c>
      <c r="D3855" t="s">
        <v>599</v>
      </c>
      <c r="E3855" t="s">
        <v>8</v>
      </c>
      <c r="F3855" t="s">
        <v>10</v>
      </c>
      <c r="G3855" s="16">
        <v>3762.38</v>
      </c>
      <c r="H3855" s="16">
        <v>4326.7370000000001</v>
      </c>
      <c r="I3855" s="1">
        <v>46251</v>
      </c>
      <c r="J3855">
        <v>8</v>
      </c>
      <c r="K3855" t="s">
        <v>6609</v>
      </c>
      <c r="L3855" t="s">
        <v>10424</v>
      </c>
      <c r="M3855">
        <v>1</v>
      </c>
      <c r="N3855">
        <v>6</v>
      </c>
      <c r="O3855" t="s">
        <v>1036</v>
      </c>
      <c r="P3855" s="17"/>
      <c r="Q3855" s="17" t="str">
        <f>_xlfn.XLOOKUP(Table2[[#This Row],[buyFromVendorNo]],'Next Day Scheduled'!A:A,'Pending Returns'!O:O,"NOT_FOUND")</f>
        <v>NOT_FOUND</v>
      </c>
    </row>
    <row r="3856" spans="1:17" x14ac:dyDescent="0.3">
      <c r="A3856" s="1">
        <v>46251</v>
      </c>
      <c r="B3856" t="s">
        <v>5233</v>
      </c>
      <c r="C3856" t="s">
        <v>548</v>
      </c>
      <c r="D3856" t="s">
        <v>549</v>
      </c>
      <c r="E3856" t="s">
        <v>8</v>
      </c>
      <c r="F3856" t="s">
        <v>10</v>
      </c>
      <c r="G3856" s="16">
        <v>1371.0784000000001</v>
      </c>
      <c r="H3856" s="16">
        <v>1576.7401</v>
      </c>
      <c r="I3856" s="1">
        <v>46238</v>
      </c>
      <c r="J3856">
        <v>8</v>
      </c>
      <c r="K3856" t="s">
        <v>8794</v>
      </c>
      <c r="L3856" t="s">
        <v>10356</v>
      </c>
      <c r="M3856">
        <v>1</v>
      </c>
      <c r="N3856">
        <v>3</v>
      </c>
      <c r="O3856" t="s">
        <v>1036</v>
      </c>
      <c r="P3856" s="17"/>
      <c r="Q3856" s="17" t="str">
        <f>_xlfn.XLOOKUP(Table2[[#This Row],[buyFromVendorNo]],'Next Day Scheduled'!A:A,'Pending Returns'!O:O,"NOT_FOUND")</f>
        <v>NOT_FOUND</v>
      </c>
    </row>
    <row r="3857" spans="1:17" x14ac:dyDescent="0.3">
      <c r="A3857" s="1">
        <v>46251</v>
      </c>
      <c r="B3857" t="s">
        <v>642</v>
      </c>
      <c r="C3857" t="s">
        <v>7440</v>
      </c>
      <c r="D3857" t="s">
        <v>7441</v>
      </c>
      <c r="E3857" t="s">
        <v>8</v>
      </c>
      <c r="F3857" t="s">
        <v>38</v>
      </c>
      <c r="G3857" s="16">
        <v>1061.4127000000001</v>
      </c>
      <c r="H3857" s="16">
        <v>1220.6246000000001</v>
      </c>
      <c r="I3857" s="1">
        <v>46251</v>
      </c>
      <c r="J3857">
        <v>8</v>
      </c>
      <c r="K3857" t="s">
        <v>10292</v>
      </c>
      <c r="L3857" t="s">
        <v>10358</v>
      </c>
      <c r="M3857">
        <v>3</v>
      </c>
      <c r="N3857">
        <v>1</v>
      </c>
      <c r="O3857" t="s">
        <v>1036</v>
      </c>
      <c r="P3857" s="17"/>
      <c r="Q3857" s="17" t="str">
        <f>_xlfn.XLOOKUP(Table2[[#This Row],[buyFromVendorNo]],'Next Day Scheduled'!A:A,'Pending Returns'!O:O,"NOT_FOUND")</f>
        <v>NOT_FOUND</v>
      </c>
    </row>
    <row r="3858" spans="1:17" x14ac:dyDescent="0.3">
      <c r="A3858" s="1">
        <v>46251</v>
      </c>
      <c r="B3858" t="s">
        <v>642</v>
      </c>
      <c r="C3858" t="s">
        <v>598</v>
      </c>
      <c r="D3858" t="s">
        <v>9088</v>
      </c>
      <c r="E3858" t="s">
        <v>8</v>
      </c>
      <c r="F3858" t="s">
        <v>38</v>
      </c>
      <c r="G3858" s="16">
        <v>983.06799999999998</v>
      </c>
      <c r="H3858" s="16">
        <v>1130.5282</v>
      </c>
      <c r="J3858">
        <v>8</v>
      </c>
      <c r="K3858" t="s">
        <v>10382</v>
      </c>
      <c r="M3858">
        <v>1</v>
      </c>
      <c r="N3858">
        <v>6</v>
      </c>
      <c r="O3858" t="s">
        <v>216</v>
      </c>
      <c r="P3858" s="17"/>
      <c r="Q3858" s="17" t="str">
        <f>_xlfn.XLOOKUP(Table2[[#This Row],[buyFromVendorNo]],'Next Day Scheduled'!A:A,'Pending Returns'!O:O,"NOT_FOUND")</f>
        <v>NOT_FOUND</v>
      </c>
    </row>
    <row r="3859" spans="1:17" x14ac:dyDescent="0.3">
      <c r="A3859" s="1">
        <v>46251</v>
      </c>
      <c r="B3859" t="s">
        <v>5434</v>
      </c>
      <c r="C3859" t="s">
        <v>373</v>
      </c>
      <c r="D3859" t="s">
        <v>374</v>
      </c>
      <c r="E3859" t="s">
        <v>8</v>
      </c>
      <c r="F3859" t="s">
        <v>10</v>
      </c>
      <c r="G3859" s="16">
        <v>458.99990000000003</v>
      </c>
      <c r="H3859" s="16">
        <v>527.84990000000005</v>
      </c>
      <c r="I3859" s="1">
        <v>46240</v>
      </c>
      <c r="J3859">
        <v>8</v>
      </c>
      <c r="K3859" t="s">
        <v>7567</v>
      </c>
      <c r="L3859" t="s">
        <v>10384</v>
      </c>
      <c r="M3859">
        <v>0</v>
      </c>
      <c r="N3859">
        <v>12</v>
      </c>
      <c r="O3859" t="s">
        <v>1036</v>
      </c>
      <c r="P3859" s="17"/>
      <c r="Q3859" s="17" t="str">
        <f>_xlfn.XLOOKUP(Table2[[#This Row],[buyFromVendorNo]],'Next Day Scheduled'!A:A,'Pending Returns'!O:O,"NOT_FOUND")</f>
        <v>NOT_FOUND</v>
      </c>
    </row>
    <row r="3860" spans="1:17" x14ac:dyDescent="0.3">
      <c r="A3860" s="1">
        <v>46251</v>
      </c>
      <c r="B3860" t="s">
        <v>2537</v>
      </c>
      <c r="C3860" t="s">
        <v>598</v>
      </c>
      <c r="D3860" t="s">
        <v>599</v>
      </c>
      <c r="E3860" t="s">
        <v>8</v>
      </c>
      <c r="F3860" t="s">
        <v>38</v>
      </c>
      <c r="G3860" s="16">
        <v>1483.9960000000001</v>
      </c>
      <c r="H3860" s="16">
        <v>1706.5954999999999</v>
      </c>
      <c r="I3860" s="1">
        <v>46252</v>
      </c>
      <c r="J3860">
        <v>8</v>
      </c>
      <c r="K3860" t="s">
        <v>6951</v>
      </c>
      <c r="L3860" t="s">
        <v>10386</v>
      </c>
      <c r="M3860">
        <v>1</v>
      </c>
      <c r="N3860">
        <v>6</v>
      </c>
      <c r="O3860" t="s">
        <v>223</v>
      </c>
      <c r="P3860" s="17"/>
      <c r="Q3860" s="17" t="str">
        <f>_xlfn.XLOOKUP(Table2[[#This Row],[buyFromVendorNo]],'Next Day Scheduled'!A:A,'Pending Returns'!O:O,"NOT_FOUND")</f>
        <v>NOT_FOUND</v>
      </c>
    </row>
    <row r="3861" spans="1:17" x14ac:dyDescent="0.3">
      <c r="A3861" s="1">
        <v>46251</v>
      </c>
      <c r="B3861" t="s">
        <v>642</v>
      </c>
      <c r="C3861" t="s">
        <v>813</v>
      </c>
      <c r="D3861" t="s">
        <v>814</v>
      </c>
      <c r="E3861" t="s">
        <v>8</v>
      </c>
      <c r="F3861" t="s">
        <v>38</v>
      </c>
      <c r="G3861" s="16">
        <v>110.92</v>
      </c>
      <c r="H3861" s="16">
        <v>127.55800000000001</v>
      </c>
      <c r="I3861" s="1">
        <v>46238</v>
      </c>
      <c r="J3861">
        <v>8</v>
      </c>
      <c r="K3861" t="s">
        <v>8866</v>
      </c>
      <c r="L3861" t="s">
        <v>10401</v>
      </c>
      <c r="M3861">
        <v>0</v>
      </c>
      <c r="N3861">
        <v>55</v>
      </c>
      <c r="O3861" t="s">
        <v>1036</v>
      </c>
      <c r="P3861" s="17"/>
      <c r="Q3861" s="17" t="str">
        <f>_xlfn.XLOOKUP(Table2[[#This Row],[buyFromVendorNo]],'Next Day Scheduled'!A:A,'Pending Returns'!O:O,"NOT_FOUND")</f>
        <v>NOT_FOUND</v>
      </c>
    </row>
    <row r="3862" spans="1:17" x14ac:dyDescent="0.3">
      <c r="A3862" s="1">
        <v>46251</v>
      </c>
      <c r="B3862" t="s">
        <v>2575</v>
      </c>
      <c r="C3862" t="s">
        <v>598</v>
      </c>
      <c r="D3862" t="s">
        <v>599</v>
      </c>
      <c r="E3862" t="s">
        <v>8</v>
      </c>
      <c r="F3862" t="s">
        <v>10</v>
      </c>
      <c r="G3862" s="16">
        <v>246.54</v>
      </c>
      <c r="H3862" s="16">
        <v>283.52100000000002</v>
      </c>
      <c r="I3862" s="1">
        <v>46251</v>
      </c>
      <c r="J3862">
        <v>8</v>
      </c>
      <c r="K3862" t="s">
        <v>8681</v>
      </c>
      <c r="L3862" t="s">
        <v>10366</v>
      </c>
      <c r="M3862">
        <v>1</v>
      </c>
      <c r="N3862">
        <v>6</v>
      </c>
      <c r="O3862" t="s">
        <v>1036</v>
      </c>
      <c r="P3862" s="17"/>
      <c r="Q3862" s="17" t="str">
        <f>_xlfn.XLOOKUP(Table2[[#This Row],[buyFromVendorNo]],'Next Day Scheduled'!A:A,'Pending Returns'!O:O,"NOT_FOUND")</f>
        <v>NOT_FOUND</v>
      </c>
    </row>
    <row r="3863" spans="1:17" x14ac:dyDescent="0.3">
      <c r="A3863" s="1">
        <v>46251</v>
      </c>
      <c r="B3863" t="s">
        <v>1777</v>
      </c>
      <c r="C3863" t="s">
        <v>304</v>
      </c>
      <c r="D3863" t="s">
        <v>307</v>
      </c>
      <c r="E3863" t="s">
        <v>8</v>
      </c>
      <c r="F3863" t="s">
        <v>10</v>
      </c>
      <c r="G3863" s="16">
        <v>2249.04</v>
      </c>
      <c r="H3863" s="16">
        <v>2586.3960000000002</v>
      </c>
      <c r="I3863" s="1">
        <v>46250</v>
      </c>
      <c r="J3863">
        <v>8</v>
      </c>
      <c r="K3863" t="s">
        <v>9009</v>
      </c>
      <c r="L3863" t="s">
        <v>10367</v>
      </c>
      <c r="M3863">
        <v>1</v>
      </c>
      <c r="N3863">
        <v>6</v>
      </c>
      <c r="O3863" t="s">
        <v>1036</v>
      </c>
      <c r="P3863" s="17"/>
      <c r="Q3863" s="17" t="str">
        <f>_xlfn.XLOOKUP(Table2[[#This Row],[buyFromVendorNo]],'Next Day Scheduled'!A:A,'Pending Returns'!O:O,"NOT_FOUND")</f>
        <v>NOT_FOUND</v>
      </c>
    </row>
    <row r="3864" spans="1:17" x14ac:dyDescent="0.3">
      <c r="A3864" s="1">
        <v>46251</v>
      </c>
      <c r="B3864" t="s">
        <v>8981</v>
      </c>
      <c r="C3864" t="s">
        <v>2775</v>
      </c>
      <c r="D3864" t="s">
        <v>2776</v>
      </c>
      <c r="E3864" t="s">
        <v>8</v>
      </c>
      <c r="F3864" t="s">
        <v>10</v>
      </c>
      <c r="G3864" s="16">
        <v>80</v>
      </c>
      <c r="H3864" s="16">
        <v>92</v>
      </c>
      <c r="I3864" s="1">
        <v>46245</v>
      </c>
      <c r="J3864">
        <v>8</v>
      </c>
      <c r="K3864" t="s">
        <v>8982</v>
      </c>
      <c r="L3864" t="s">
        <v>10342</v>
      </c>
      <c r="M3864">
        <v>1</v>
      </c>
      <c r="N3864">
        <v>6</v>
      </c>
      <c r="O3864" t="s">
        <v>1036</v>
      </c>
      <c r="P3864" s="17"/>
      <c r="Q3864" s="17" t="str">
        <f>_xlfn.XLOOKUP(Table2[[#This Row],[buyFromVendorNo]],'Next Day Scheduled'!A:A,'Pending Returns'!O:O,"NOT_FOUND")</f>
        <v>NOT_FOUND</v>
      </c>
    </row>
    <row r="3865" spans="1:17" x14ac:dyDescent="0.3">
      <c r="A3865" s="1">
        <v>46251</v>
      </c>
      <c r="B3865" t="s">
        <v>4032</v>
      </c>
      <c r="C3865" t="s">
        <v>373</v>
      </c>
      <c r="D3865" t="s">
        <v>374</v>
      </c>
      <c r="E3865" t="s">
        <v>8</v>
      </c>
      <c r="F3865" t="s">
        <v>10</v>
      </c>
      <c r="G3865" s="16">
        <v>959.07500000000005</v>
      </c>
      <c r="H3865" s="16">
        <v>1102.9363000000001</v>
      </c>
      <c r="I3865" s="1">
        <v>46240</v>
      </c>
      <c r="J3865">
        <v>8</v>
      </c>
      <c r="K3865" t="s">
        <v>8086</v>
      </c>
      <c r="L3865" t="s">
        <v>10410</v>
      </c>
      <c r="M3865">
        <v>0</v>
      </c>
      <c r="N3865">
        <v>12</v>
      </c>
      <c r="O3865" t="s">
        <v>1036</v>
      </c>
      <c r="P3865" s="17"/>
      <c r="Q3865" s="17" t="str">
        <f>_xlfn.XLOOKUP(Table2[[#This Row],[buyFromVendorNo]],'Next Day Scheduled'!A:A,'Pending Returns'!O:O,"NOT_FOUND")</f>
        <v>NOT_FOUND</v>
      </c>
    </row>
    <row r="3866" spans="1:17" x14ac:dyDescent="0.3">
      <c r="A3866" s="1">
        <v>46251</v>
      </c>
      <c r="B3866" t="s">
        <v>10368</v>
      </c>
      <c r="C3866" t="s">
        <v>6178</v>
      </c>
      <c r="D3866" t="s">
        <v>6261</v>
      </c>
      <c r="E3866" t="s">
        <v>8</v>
      </c>
      <c r="F3866" t="s">
        <v>10</v>
      </c>
      <c r="G3866" s="16">
        <v>23.5</v>
      </c>
      <c r="H3866" s="16">
        <v>27.024999999999999</v>
      </c>
      <c r="J3866">
        <v>8</v>
      </c>
      <c r="K3866" t="s">
        <v>10369</v>
      </c>
      <c r="M3866">
        <v>2</v>
      </c>
      <c r="N3866">
        <v>1</v>
      </c>
      <c r="O3866" t="s">
        <v>216</v>
      </c>
      <c r="P3866" s="17"/>
      <c r="Q3866" s="17" t="str">
        <f>_xlfn.XLOOKUP(Table2[[#This Row],[buyFromVendorNo]],'Next Day Scheduled'!A:A,'Pending Returns'!O:O,"NOT_FOUND")</f>
        <v>NOT_FOUND</v>
      </c>
    </row>
    <row r="3867" spans="1:17" x14ac:dyDescent="0.3">
      <c r="A3867" s="1">
        <v>46251</v>
      </c>
      <c r="B3867" t="s">
        <v>642</v>
      </c>
      <c r="C3867" t="s">
        <v>88</v>
      </c>
      <c r="D3867" t="s">
        <v>89</v>
      </c>
      <c r="E3867" t="s">
        <v>8</v>
      </c>
      <c r="F3867" t="s">
        <v>38</v>
      </c>
      <c r="G3867" s="16">
        <v>378.75</v>
      </c>
      <c r="H3867" s="16">
        <v>435.5625</v>
      </c>
      <c r="J3867">
        <v>8</v>
      </c>
      <c r="K3867" t="s">
        <v>10370</v>
      </c>
      <c r="M3867">
        <v>0</v>
      </c>
      <c r="N3867">
        <v>12</v>
      </c>
      <c r="O3867" t="s">
        <v>216</v>
      </c>
      <c r="P3867" s="17"/>
      <c r="Q3867" s="17" t="str">
        <f>_xlfn.XLOOKUP(Table2[[#This Row],[buyFromVendorNo]],'Next Day Scheduled'!A:A,'Pending Returns'!O:O,"NOT_FOUND")</f>
        <v>NOT_FOUND</v>
      </c>
    </row>
    <row r="3868" spans="1:17" x14ac:dyDescent="0.3">
      <c r="A3868" s="1">
        <v>46251</v>
      </c>
      <c r="B3868" t="s">
        <v>1997</v>
      </c>
      <c r="C3868" t="s">
        <v>156</v>
      </c>
      <c r="D3868" t="s">
        <v>157</v>
      </c>
      <c r="E3868" t="s">
        <v>8</v>
      </c>
      <c r="F3868" t="s">
        <v>10</v>
      </c>
      <c r="G3868" s="16">
        <v>119.73912</v>
      </c>
      <c r="H3868" s="16">
        <v>137.69999999999999</v>
      </c>
      <c r="I3868" s="1">
        <v>46251</v>
      </c>
      <c r="J3868">
        <v>8</v>
      </c>
      <c r="K3868" t="s">
        <v>8995</v>
      </c>
      <c r="L3868" t="s">
        <v>10308</v>
      </c>
      <c r="M3868">
        <v>0</v>
      </c>
      <c r="N3868">
        <v>12</v>
      </c>
      <c r="O3868" t="s">
        <v>223</v>
      </c>
      <c r="P3868" s="17"/>
      <c r="Q3868" s="17" t="str">
        <f>_xlfn.XLOOKUP(Table2[[#This Row],[buyFromVendorNo]],'Next Day Scheduled'!A:A,'Pending Returns'!O:O,"NOT_FOUND")</f>
        <v>NOT_FOUND</v>
      </c>
    </row>
    <row r="3869" spans="1:17" x14ac:dyDescent="0.3">
      <c r="A3869" s="1">
        <v>46251</v>
      </c>
      <c r="B3869" t="s">
        <v>3582</v>
      </c>
      <c r="C3869" t="s">
        <v>621</v>
      </c>
      <c r="D3869" t="s">
        <v>622</v>
      </c>
      <c r="E3869" t="s">
        <v>8</v>
      </c>
      <c r="F3869" t="s">
        <v>10</v>
      </c>
      <c r="G3869" s="16">
        <v>6891.22</v>
      </c>
      <c r="H3869" s="16">
        <v>7924.9030000000002</v>
      </c>
      <c r="I3869" s="1">
        <v>46250</v>
      </c>
      <c r="J3869">
        <v>8</v>
      </c>
      <c r="K3869" t="s">
        <v>9951</v>
      </c>
      <c r="L3869" t="s">
        <v>10395</v>
      </c>
      <c r="M3869">
        <v>1</v>
      </c>
      <c r="N3869">
        <v>3</v>
      </c>
      <c r="O3869" t="s">
        <v>1036</v>
      </c>
      <c r="P3869" s="17"/>
      <c r="Q3869" s="17" t="str">
        <f>_xlfn.XLOOKUP(Table2[[#This Row],[buyFromVendorNo]],'Next Day Scheduled'!A:A,'Pending Returns'!O:O,"NOT_FOUND")</f>
        <v>NOT_FOUND</v>
      </c>
    </row>
    <row r="3870" spans="1:17" x14ac:dyDescent="0.3">
      <c r="A3870" s="1">
        <v>46251</v>
      </c>
      <c r="B3870" t="s">
        <v>2533</v>
      </c>
      <c r="C3870" t="s">
        <v>598</v>
      </c>
      <c r="D3870" t="s">
        <v>9088</v>
      </c>
      <c r="E3870" t="s">
        <v>8</v>
      </c>
      <c r="F3870" t="s">
        <v>10</v>
      </c>
      <c r="G3870" s="16">
        <v>506.43799999999999</v>
      </c>
      <c r="H3870" s="16">
        <v>582.40369999999996</v>
      </c>
      <c r="I3870" s="1">
        <v>46251</v>
      </c>
      <c r="J3870">
        <v>8</v>
      </c>
      <c r="K3870" t="s">
        <v>9089</v>
      </c>
      <c r="L3870" t="s">
        <v>10350</v>
      </c>
      <c r="M3870">
        <v>1</v>
      </c>
      <c r="N3870">
        <v>6</v>
      </c>
      <c r="O3870" t="s">
        <v>1036</v>
      </c>
      <c r="P3870" s="17"/>
      <c r="Q3870" s="17" t="str">
        <f>_xlfn.XLOOKUP(Table2[[#This Row],[buyFromVendorNo]],'Next Day Scheduled'!A:A,'Pending Returns'!O:O,"NOT_FOUND")</f>
        <v>NOT_FOUND</v>
      </c>
    </row>
    <row r="3871" spans="1:17" x14ac:dyDescent="0.3">
      <c r="A3871" s="1">
        <v>46251</v>
      </c>
      <c r="B3871" t="s">
        <v>3344</v>
      </c>
      <c r="C3871" t="s">
        <v>621</v>
      </c>
      <c r="D3871" t="s">
        <v>622</v>
      </c>
      <c r="E3871" t="s">
        <v>8</v>
      </c>
      <c r="F3871" t="s">
        <v>10</v>
      </c>
      <c r="G3871" s="16">
        <v>7067.86</v>
      </c>
      <c r="H3871" s="16">
        <v>8128.0389999999998</v>
      </c>
      <c r="I3871" s="1">
        <v>46244</v>
      </c>
      <c r="J3871">
        <v>8</v>
      </c>
      <c r="K3871" t="s">
        <v>9374</v>
      </c>
      <c r="L3871" t="s">
        <v>10351</v>
      </c>
      <c r="M3871">
        <v>1</v>
      </c>
      <c r="N3871">
        <v>3</v>
      </c>
      <c r="O3871" t="s">
        <v>1036</v>
      </c>
      <c r="P3871" s="17"/>
      <c r="Q3871" s="17" t="str">
        <f>_xlfn.XLOOKUP(Table2[[#This Row],[buyFromVendorNo]],'Next Day Scheduled'!A:A,'Pending Returns'!O:O,"NOT_FOUND")</f>
        <v>NOT_FOUND</v>
      </c>
    </row>
    <row r="3872" spans="1:17" x14ac:dyDescent="0.3">
      <c r="A3872" s="1">
        <v>46251</v>
      </c>
      <c r="B3872" t="s">
        <v>642</v>
      </c>
      <c r="C3872" t="s">
        <v>7440</v>
      </c>
      <c r="D3872" t="s">
        <v>7441</v>
      </c>
      <c r="E3872" t="s">
        <v>8</v>
      </c>
      <c r="F3872" t="s">
        <v>38</v>
      </c>
      <c r="G3872" s="16">
        <v>336.23187000000001</v>
      </c>
      <c r="H3872" s="16">
        <v>386.66665999999998</v>
      </c>
      <c r="I3872" s="1">
        <v>46251</v>
      </c>
      <c r="J3872">
        <v>8</v>
      </c>
      <c r="K3872" t="s">
        <v>10121</v>
      </c>
      <c r="L3872" t="s">
        <v>10376</v>
      </c>
      <c r="M3872">
        <v>3</v>
      </c>
      <c r="N3872">
        <v>1</v>
      </c>
      <c r="O3872" t="s">
        <v>1036</v>
      </c>
      <c r="P3872" s="17"/>
      <c r="Q3872" s="17" t="str">
        <f>_xlfn.XLOOKUP(Table2[[#This Row],[buyFromVendorNo]],'Next Day Scheduled'!A:A,'Pending Returns'!O:O,"NOT_FOUND")</f>
        <v>NOT_FOUND</v>
      </c>
    </row>
    <row r="3873" spans="1:17" x14ac:dyDescent="0.3">
      <c r="A3873" s="1">
        <v>46251</v>
      </c>
      <c r="B3873" t="s">
        <v>642</v>
      </c>
      <c r="C3873" t="s">
        <v>9053</v>
      </c>
      <c r="D3873" t="s">
        <v>9054</v>
      </c>
      <c r="E3873" t="s">
        <v>8</v>
      </c>
      <c r="F3873" t="s">
        <v>38</v>
      </c>
      <c r="G3873" s="16">
        <v>67.018270000000001</v>
      </c>
      <c r="H3873" s="16">
        <v>77.071020000000004</v>
      </c>
      <c r="I3873" s="1">
        <v>46251</v>
      </c>
      <c r="J3873">
        <v>8</v>
      </c>
      <c r="K3873" t="s">
        <v>10023</v>
      </c>
      <c r="L3873" t="s">
        <v>10377</v>
      </c>
      <c r="M3873">
        <v>2</v>
      </c>
      <c r="N3873">
        <v>3</v>
      </c>
      <c r="O3873" t="s">
        <v>223</v>
      </c>
      <c r="P3873" s="17"/>
      <c r="Q3873" s="17" t="str">
        <f>_xlfn.XLOOKUP(Table2[[#This Row],[buyFromVendorNo]],'Next Day Scheduled'!A:A,'Pending Returns'!O:O,"NOT_FOUND")</f>
        <v>NOT_FOUND</v>
      </c>
    </row>
    <row r="3874" spans="1:17" x14ac:dyDescent="0.3">
      <c r="A3874" s="1">
        <v>46251</v>
      </c>
      <c r="B3874" t="s">
        <v>642</v>
      </c>
      <c r="C3874" t="s">
        <v>71</v>
      </c>
      <c r="D3874" t="s">
        <v>72</v>
      </c>
      <c r="E3874" t="s">
        <v>8</v>
      </c>
      <c r="F3874" t="s">
        <v>38</v>
      </c>
      <c r="G3874" s="16">
        <v>972.8</v>
      </c>
      <c r="H3874" s="16">
        <v>1118.72</v>
      </c>
      <c r="I3874" s="1">
        <v>46251</v>
      </c>
      <c r="J3874">
        <v>8</v>
      </c>
      <c r="K3874" t="s">
        <v>7418</v>
      </c>
      <c r="L3874" t="s">
        <v>10378</v>
      </c>
      <c r="M3874">
        <v>2</v>
      </c>
      <c r="N3874">
        <v>7</v>
      </c>
      <c r="O3874" t="s">
        <v>223</v>
      </c>
      <c r="P3874" s="17"/>
      <c r="Q3874" s="17" t="str">
        <f>_xlfn.XLOOKUP(Table2[[#This Row],[buyFromVendorNo]],'Next Day Scheduled'!A:A,'Pending Returns'!O:O,"NOT_FOUND")</f>
        <v>Posted Credit Note</v>
      </c>
    </row>
    <row r="3875" spans="1:17" x14ac:dyDescent="0.3">
      <c r="A3875" s="1">
        <v>46251</v>
      </c>
      <c r="B3875" t="s">
        <v>7355</v>
      </c>
      <c r="C3875" t="s">
        <v>931</v>
      </c>
      <c r="D3875" t="s">
        <v>1767</v>
      </c>
      <c r="E3875" t="s">
        <v>8</v>
      </c>
      <c r="F3875" t="s">
        <v>10</v>
      </c>
      <c r="G3875" s="16">
        <v>1899.29</v>
      </c>
      <c r="H3875" s="16">
        <v>2184.1835999999998</v>
      </c>
      <c r="I3875" s="1">
        <v>46252</v>
      </c>
      <c r="J3875">
        <v>8</v>
      </c>
      <c r="K3875" t="s">
        <v>10007</v>
      </c>
      <c r="L3875" t="s">
        <v>10419</v>
      </c>
      <c r="M3875">
        <v>2</v>
      </c>
      <c r="N3875">
        <v>3</v>
      </c>
      <c r="O3875" t="s">
        <v>223</v>
      </c>
      <c r="P3875" s="17"/>
      <c r="Q3875" s="17" t="str">
        <f>_xlfn.XLOOKUP(Table2[[#This Row],[buyFromVendorNo]],'Next Day Scheduled'!A:A,'Pending Returns'!O:O,"NOT_FOUND")</f>
        <v>NOT_FOUND</v>
      </c>
    </row>
    <row r="3876" spans="1:17" x14ac:dyDescent="0.3">
      <c r="A3876" s="1">
        <v>46251</v>
      </c>
      <c r="B3876" t="s">
        <v>1995</v>
      </c>
      <c r="C3876" t="s">
        <v>156</v>
      </c>
      <c r="D3876" t="s">
        <v>157</v>
      </c>
      <c r="E3876" t="s">
        <v>8</v>
      </c>
      <c r="F3876" t="s">
        <v>10</v>
      </c>
      <c r="G3876" s="16">
        <v>2198.4326000000001</v>
      </c>
      <c r="H3876" s="16">
        <v>2528.1975000000002</v>
      </c>
      <c r="I3876" s="1">
        <v>46251</v>
      </c>
      <c r="J3876">
        <v>8</v>
      </c>
      <c r="K3876" t="s">
        <v>7223</v>
      </c>
      <c r="L3876" t="s">
        <v>10315</v>
      </c>
      <c r="M3876">
        <v>0</v>
      </c>
      <c r="N3876">
        <v>12</v>
      </c>
      <c r="O3876" t="s">
        <v>223</v>
      </c>
      <c r="P3876" s="17"/>
      <c r="Q3876" s="17" t="str">
        <f>_xlfn.XLOOKUP(Table2[[#This Row],[buyFromVendorNo]],'Next Day Scheduled'!A:A,'Pending Returns'!O:O,"NOT_FOUND")</f>
        <v>NOT_FOUND</v>
      </c>
    </row>
    <row r="3877" spans="1:17" x14ac:dyDescent="0.3">
      <c r="A3877" s="1">
        <v>46251</v>
      </c>
      <c r="B3877" t="s">
        <v>9178</v>
      </c>
      <c r="C3877" t="s">
        <v>304</v>
      </c>
      <c r="D3877" t="s">
        <v>307</v>
      </c>
      <c r="E3877" t="s">
        <v>8</v>
      </c>
      <c r="F3877" t="s">
        <v>10</v>
      </c>
      <c r="G3877" s="16">
        <v>1845.1042</v>
      </c>
      <c r="H3877" s="16">
        <v>2121.8699000000001</v>
      </c>
      <c r="I3877" s="1">
        <v>46250</v>
      </c>
      <c r="J3877">
        <v>8</v>
      </c>
      <c r="K3877" t="s">
        <v>9813</v>
      </c>
      <c r="L3877" t="s">
        <v>10380</v>
      </c>
      <c r="M3877">
        <v>1</v>
      </c>
      <c r="N3877">
        <v>6</v>
      </c>
      <c r="O3877" t="s">
        <v>1036</v>
      </c>
      <c r="P3877" s="17"/>
      <c r="Q3877" s="17" t="str">
        <f>_xlfn.XLOOKUP(Table2[[#This Row],[buyFromVendorNo]],'Next Day Scheduled'!A:A,'Pending Returns'!O:O,"NOT_FOUND")</f>
        <v>NOT_FOUND</v>
      </c>
    </row>
    <row r="3878" spans="1:17" x14ac:dyDescent="0.3">
      <c r="A3878" s="1">
        <v>46251</v>
      </c>
      <c r="B3878" t="s">
        <v>9554</v>
      </c>
      <c r="C3878" t="s">
        <v>2319</v>
      </c>
      <c r="D3878" t="s">
        <v>2320</v>
      </c>
      <c r="E3878" t="s">
        <v>8</v>
      </c>
      <c r="F3878" t="s">
        <v>10</v>
      </c>
      <c r="G3878" s="16">
        <v>229.29</v>
      </c>
      <c r="H3878" s="16">
        <v>263.68349999999998</v>
      </c>
      <c r="I3878" s="1">
        <v>46252</v>
      </c>
      <c r="J3878">
        <v>8</v>
      </c>
      <c r="K3878" t="s">
        <v>10012</v>
      </c>
      <c r="L3878" t="s">
        <v>10422</v>
      </c>
      <c r="M3878">
        <v>1</v>
      </c>
      <c r="N3878">
        <v>8</v>
      </c>
      <c r="O3878" t="s">
        <v>223</v>
      </c>
      <c r="P3878" s="17"/>
      <c r="Q3878" s="17" t="str">
        <f>_xlfn.XLOOKUP(Table2[[#This Row],[buyFromVendorNo]],'Next Day Scheduled'!A:A,'Pending Returns'!O:O,"NOT_FOUND")</f>
        <v>NOT_FOUND</v>
      </c>
    </row>
    <row r="3879" spans="1:17" x14ac:dyDescent="0.3">
      <c r="A3879" s="1">
        <v>46251</v>
      </c>
      <c r="B3879" t="s">
        <v>2735</v>
      </c>
      <c r="C3879" t="s">
        <v>128</v>
      </c>
      <c r="D3879" t="s">
        <v>129</v>
      </c>
      <c r="E3879" t="s">
        <v>8</v>
      </c>
      <c r="F3879" t="s">
        <v>10</v>
      </c>
      <c r="G3879" s="16">
        <v>599.34500000000003</v>
      </c>
      <c r="H3879" s="16">
        <v>689.24676999999997</v>
      </c>
      <c r="I3879" s="1">
        <v>46252</v>
      </c>
      <c r="J3879">
        <v>8</v>
      </c>
      <c r="K3879" t="s">
        <v>6126</v>
      </c>
      <c r="L3879" t="s">
        <v>10400</v>
      </c>
      <c r="M3879">
        <v>7</v>
      </c>
      <c r="N3879">
        <v>1</v>
      </c>
      <c r="O3879" t="s">
        <v>223</v>
      </c>
      <c r="P3879" s="17"/>
      <c r="Q3879" s="17" t="str">
        <f>_xlfn.XLOOKUP(Table2[[#This Row],[buyFromVendorNo]],'Next Day Scheduled'!A:A,'Pending Returns'!O:O,"NOT_FOUND")</f>
        <v>Posted Credit Note</v>
      </c>
    </row>
    <row r="3880" spans="1:17" x14ac:dyDescent="0.3">
      <c r="A3880" s="1">
        <v>46251</v>
      </c>
      <c r="B3880" t="s">
        <v>654</v>
      </c>
      <c r="C3880" t="s">
        <v>173</v>
      </c>
      <c r="D3880" t="s">
        <v>174</v>
      </c>
      <c r="E3880" t="s">
        <v>8</v>
      </c>
      <c r="F3880" t="s">
        <v>10</v>
      </c>
      <c r="G3880" s="16">
        <v>1470.94</v>
      </c>
      <c r="H3880" s="16">
        <v>1691.5809999999999</v>
      </c>
      <c r="J3880">
        <v>8</v>
      </c>
      <c r="K3880" t="s">
        <v>10333</v>
      </c>
      <c r="M3880">
        <v>3</v>
      </c>
      <c r="N3880">
        <v>1</v>
      </c>
      <c r="O3880" t="s">
        <v>216</v>
      </c>
      <c r="P3880" s="17"/>
      <c r="Q3880" s="17" t="str">
        <f>_xlfn.XLOOKUP(Table2[[#This Row],[buyFromVendorNo]],'Next Day Scheduled'!A:A,'Pending Returns'!O:O,"NOT_FOUND")</f>
        <v>NOT_FOUND</v>
      </c>
    </row>
    <row r="3881" spans="1:17" x14ac:dyDescent="0.3">
      <c r="A3881" s="1">
        <v>46251</v>
      </c>
      <c r="B3881" t="s">
        <v>1698</v>
      </c>
      <c r="C3881" t="s">
        <v>318</v>
      </c>
      <c r="D3881" t="s">
        <v>319</v>
      </c>
      <c r="E3881" t="s">
        <v>8</v>
      </c>
      <c r="F3881" t="s">
        <v>10</v>
      </c>
      <c r="G3881" s="16">
        <v>486.5917</v>
      </c>
      <c r="H3881" s="16">
        <v>559.58050000000003</v>
      </c>
      <c r="I3881" s="1">
        <v>46246</v>
      </c>
      <c r="J3881">
        <v>8</v>
      </c>
      <c r="K3881" t="s">
        <v>8888</v>
      </c>
      <c r="L3881" t="s">
        <v>10428</v>
      </c>
      <c r="M3881">
        <v>1</v>
      </c>
      <c r="N3881">
        <v>2</v>
      </c>
      <c r="O3881" t="s">
        <v>1036</v>
      </c>
      <c r="P3881" s="17"/>
      <c r="Q3881" s="17" t="str">
        <f>_xlfn.XLOOKUP(Table2[[#This Row],[buyFromVendorNo]],'Next Day Scheduled'!A:A,'Pending Returns'!O:O,"NOT_FOUND")</f>
        <v>NOT_FOUND</v>
      </c>
    </row>
    <row r="3882" spans="1:17" x14ac:dyDescent="0.3">
      <c r="A3882" s="1">
        <v>46251</v>
      </c>
      <c r="B3882" t="s">
        <v>7862</v>
      </c>
      <c r="C3882" t="s">
        <v>598</v>
      </c>
      <c r="D3882" t="s">
        <v>599</v>
      </c>
      <c r="E3882" t="s">
        <v>8</v>
      </c>
      <c r="F3882" t="s">
        <v>38</v>
      </c>
      <c r="G3882" s="16">
        <v>2264.355</v>
      </c>
      <c r="H3882" s="16">
        <v>2604.0083</v>
      </c>
      <c r="I3882" s="1">
        <v>46252</v>
      </c>
      <c r="J3882">
        <v>8</v>
      </c>
      <c r="K3882" t="s">
        <v>6531</v>
      </c>
      <c r="L3882" t="s">
        <v>10430</v>
      </c>
      <c r="M3882">
        <v>1</v>
      </c>
      <c r="N3882">
        <v>6</v>
      </c>
      <c r="O3882" t="s">
        <v>223</v>
      </c>
      <c r="P3882" s="17"/>
      <c r="Q3882" s="17" t="str">
        <f>_xlfn.XLOOKUP(Table2[[#This Row],[buyFromVendorNo]],'Next Day Scheduled'!A:A,'Pending Returns'!O:O,"NOT_FOUND")</f>
        <v>NOT_FOUND</v>
      </c>
    </row>
    <row r="3883" spans="1:17" x14ac:dyDescent="0.3">
      <c r="A3883" s="1">
        <v>46251</v>
      </c>
      <c r="B3883" t="s">
        <v>3702</v>
      </c>
      <c r="C3883" t="s">
        <v>128</v>
      </c>
      <c r="D3883" t="s">
        <v>129</v>
      </c>
      <c r="E3883" t="s">
        <v>8</v>
      </c>
      <c r="F3883" t="s">
        <v>10</v>
      </c>
      <c r="G3883" s="16">
        <v>174.29499999999999</v>
      </c>
      <c r="H3883" s="16">
        <v>200.43924999999999</v>
      </c>
      <c r="I3883" s="1">
        <v>46252</v>
      </c>
      <c r="J3883">
        <v>8</v>
      </c>
      <c r="K3883" t="s">
        <v>7332</v>
      </c>
      <c r="L3883" t="s">
        <v>10385</v>
      </c>
      <c r="M3883">
        <v>7</v>
      </c>
      <c r="N3883">
        <v>1</v>
      </c>
      <c r="O3883" t="s">
        <v>223</v>
      </c>
      <c r="P3883" s="17"/>
      <c r="Q3883" s="17" t="str">
        <f>_xlfn.XLOOKUP(Table2[[#This Row],[buyFromVendorNo]],'Next Day Scheduled'!A:A,'Pending Returns'!O:O,"NOT_FOUND")</f>
        <v>Posted Credit Note</v>
      </c>
    </row>
    <row r="3884" spans="1:17" x14ac:dyDescent="0.3">
      <c r="A3884" s="1">
        <v>46251</v>
      </c>
      <c r="B3884" t="s">
        <v>6565</v>
      </c>
      <c r="C3884" t="s">
        <v>2319</v>
      </c>
      <c r="D3884" t="s">
        <v>2320</v>
      </c>
      <c r="E3884" t="s">
        <v>8</v>
      </c>
      <c r="F3884" t="s">
        <v>10</v>
      </c>
      <c r="G3884" s="16">
        <v>389.91</v>
      </c>
      <c r="H3884" s="16">
        <v>448.3965</v>
      </c>
      <c r="I3884" s="1">
        <v>46252</v>
      </c>
      <c r="J3884">
        <v>8</v>
      </c>
      <c r="K3884" t="s">
        <v>9435</v>
      </c>
      <c r="L3884" t="s">
        <v>10363</v>
      </c>
      <c r="M3884">
        <v>1</v>
      </c>
      <c r="N3884">
        <v>8</v>
      </c>
      <c r="O3884" t="s">
        <v>223</v>
      </c>
      <c r="P3884" s="17"/>
      <c r="Q3884" s="17" t="str">
        <f>_xlfn.XLOOKUP(Table2[[#This Row],[buyFromVendorNo]],'Next Day Scheduled'!A:A,'Pending Returns'!O:O,"NOT_FOUND")</f>
        <v>NOT_FOUND</v>
      </c>
    </row>
    <row r="3885" spans="1:17" x14ac:dyDescent="0.3">
      <c r="A3885" s="1">
        <v>46251</v>
      </c>
      <c r="B3885" t="s">
        <v>1249</v>
      </c>
      <c r="C3885" t="s">
        <v>1161</v>
      </c>
      <c r="D3885" t="s">
        <v>1162</v>
      </c>
      <c r="E3885" t="s">
        <v>8</v>
      </c>
      <c r="F3885" t="s">
        <v>10</v>
      </c>
      <c r="G3885" s="16">
        <v>5284.5</v>
      </c>
      <c r="H3885" s="16">
        <v>6077.1750000000002</v>
      </c>
      <c r="I3885" s="1">
        <v>46250</v>
      </c>
      <c r="J3885">
        <v>8</v>
      </c>
      <c r="K3885" t="s">
        <v>10056</v>
      </c>
      <c r="L3885" t="s">
        <v>10406</v>
      </c>
      <c r="M3885">
        <v>1</v>
      </c>
      <c r="N3885">
        <v>6</v>
      </c>
      <c r="O3885" t="s">
        <v>1036</v>
      </c>
      <c r="P3885" s="17"/>
      <c r="Q3885" s="17" t="str">
        <f>_xlfn.XLOOKUP(Table2[[#This Row],[buyFromVendorNo]],'Next Day Scheduled'!A:A,'Pending Returns'!O:O,"NOT_FOUND")</f>
        <v>NOT_FOUND</v>
      </c>
    </row>
    <row r="3886" spans="1:17" x14ac:dyDescent="0.3">
      <c r="A3886" s="1">
        <v>46251</v>
      </c>
      <c r="B3886" t="s">
        <v>9421</v>
      </c>
      <c r="C3886" t="s">
        <v>318</v>
      </c>
      <c r="D3886" t="s">
        <v>319</v>
      </c>
      <c r="E3886" t="s">
        <v>8</v>
      </c>
      <c r="F3886" t="s">
        <v>10</v>
      </c>
      <c r="G3886" s="16">
        <v>1331.1333999999999</v>
      </c>
      <c r="H3886" s="16">
        <v>1530.8035</v>
      </c>
      <c r="I3886" s="1">
        <v>46246</v>
      </c>
      <c r="J3886">
        <v>8</v>
      </c>
      <c r="K3886" t="s">
        <v>9422</v>
      </c>
      <c r="L3886" t="s">
        <v>10405</v>
      </c>
      <c r="M3886">
        <v>1</v>
      </c>
      <c r="N3886">
        <v>2</v>
      </c>
      <c r="O3886" t="s">
        <v>1036</v>
      </c>
      <c r="P3886" s="17"/>
      <c r="Q3886" s="17" t="str">
        <f>_xlfn.XLOOKUP(Table2[[#This Row],[buyFromVendorNo]],'Next Day Scheduled'!A:A,'Pending Returns'!O:O,"NOT_FOUND")</f>
        <v>NOT_FOUND</v>
      </c>
    </row>
    <row r="3887" spans="1:17" x14ac:dyDescent="0.3">
      <c r="A3887" s="1">
        <v>46251</v>
      </c>
      <c r="B3887" t="s">
        <v>6392</v>
      </c>
      <c r="C3887" t="s">
        <v>69</v>
      </c>
      <c r="D3887" t="s">
        <v>70</v>
      </c>
      <c r="E3887" t="s">
        <v>8</v>
      </c>
      <c r="F3887" t="s">
        <v>10</v>
      </c>
      <c r="G3887" s="16">
        <v>3772.84</v>
      </c>
      <c r="H3887" s="16">
        <v>4338.7659999999996</v>
      </c>
      <c r="J3887">
        <v>8</v>
      </c>
      <c r="K3887" t="s">
        <v>10408</v>
      </c>
      <c r="M3887">
        <v>8</v>
      </c>
      <c r="N3887">
        <v>1</v>
      </c>
      <c r="O3887" t="s">
        <v>216</v>
      </c>
      <c r="P3887" s="17"/>
      <c r="Q3887" s="17" t="str">
        <f>_xlfn.XLOOKUP(Table2[[#This Row],[buyFromVendorNo]],'Next Day Scheduled'!A:A,'Pending Returns'!O:O,"NOT_FOUND")</f>
        <v>Posted Credit Note</v>
      </c>
    </row>
    <row r="3888" spans="1:17" x14ac:dyDescent="0.3">
      <c r="A3888" s="1">
        <v>46251</v>
      </c>
      <c r="B3888" t="s">
        <v>2915</v>
      </c>
      <c r="C3888" t="s">
        <v>9596</v>
      </c>
      <c r="D3888" t="s">
        <v>9616</v>
      </c>
      <c r="E3888" t="s">
        <v>8</v>
      </c>
      <c r="F3888" t="s">
        <v>10</v>
      </c>
      <c r="G3888" s="16">
        <v>50</v>
      </c>
      <c r="H3888" s="16">
        <v>57.5</v>
      </c>
      <c r="I3888" s="1">
        <v>46251</v>
      </c>
      <c r="J3888">
        <v>8</v>
      </c>
      <c r="K3888" t="s">
        <v>9617</v>
      </c>
      <c r="L3888" t="s">
        <v>10306</v>
      </c>
      <c r="M3888">
        <v>1</v>
      </c>
      <c r="N3888">
        <v>1</v>
      </c>
      <c r="O3888" t="s">
        <v>223</v>
      </c>
      <c r="P3888" s="17"/>
      <c r="Q3888" s="17" t="str">
        <f>_xlfn.XLOOKUP(Table2[[#This Row],[buyFromVendorNo]],'Next Day Scheduled'!A:A,'Pending Returns'!O:O,"NOT_FOUND")</f>
        <v>NOT_FOUND</v>
      </c>
    </row>
    <row r="3889" spans="1:17" x14ac:dyDescent="0.3">
      <c r="A3889" s="1">
        <v>46251</v>
      </c>
      <c r="B3889" t="s">
        <v>3243</v>
      </c>
      <c r="C3889" t="s">
        <v>634</v>
      </c>
      <c r="D3889" t="s">
        <v>659</v>
      </c>
      <c r="E3889" t="s">
        <v>8</v>
      </c>
      <c r="F3889" t="s">
        <v>10</v>
      </c>
      <c r="G3889" s="16">
        <v>29.81</v>
      </c>
      <c r="H3889" s="16">
        <v>34.281500000000001</v>
      </c>
      <c r="I3889" s="1">
        <v>46251</v>
      </c>
      <c r="J3889">
        <v>8</v>
      </c>
      <c r="K3889" t="s">
        <v>9531</v>
      </c>
      <c r="L3889" t="s">
        <v>10311</v>
      </c>
      <c r="M3889">
        <v>1</v>
      </c>
      <c r="N3889">
        <v>7</v>
      </c>
      <c r="O3889" t="s">
        <v>223</v>
      </c>
      <c r="P3889" s="17"/>
      <c r="Q3889" s="17" t="str">
        <f>_xlfn.XLOOKUP(Table2[[#This Row],[buyFromVendorNo]],'Next Day Scheduled'!A:A,'Pending Returns'!O:O,"NOT_FOUND")</f>
        <v>Posted Credit Note</v>
      </c>
    </row>
    <row r="3890" spans="1:17" x14ac:dyDescent="0.3">
      <c r="A3890" s="1">
        <v>46251</v>
      </c>
      <c r="B3890" t="s">
        <v>2942</v>
      </c>
      <c r="C3890" t="s">
        <v>156</v>
      </c>
      <c r="D3890" t="s">
        <v>157</v>
      </c>
      <c r="E3890" t="s">
        <v>8</v>
      </c>
      <c r="F3890" t="s">
        <v>10</v>
      </c>
      <c r="G3890" s="16">
        <v>1437.2981</v>
      </c>
      <c r="H3890" s="16">
        <v>1652.8928000000001</v>
      </c>
      <c r="I3890" s="1">
        <v>46251</v>
      </c>
      <c r="J3890">
        <v>8</v>
      </c>
      <c r="K3890" t="s">
        <v>8813</v>
      </c>
      <c r="L3890" t="s">
        <v>10303</v>
      </c>
      <c r="M3890">
        <v>0</v>
      </c>
      <c r="N3890">
        <v>12</v>
      </c>
      <c r="O3890" t="s">
        <v>223</v>
      </c>
      <c r="P3890" s="17"/>
      <c r="Q3890" s="17" t="str">
        <f>_xlfn.XLOOKUP(Table2[[#This Row],[buyFromVendorNo]],'Next Day Scheduled'!A:A,'Pending Returns'!O:O,"NOT_FOUND")</f>
        <v>NOT_FOUND</v>
      </c>
    </row>
    <row r="3891" spans="1:17" x14ac:dyDescent="0.3">
      <c r="A3891" s="1">
        <v>46251</v>
      </c>
      <c r="B3891" t="s">
        <v>3025</v>
      </c>
      <c r="C3891" t="s">
        <v>95</v>
      </c>
      <c r="D3891" t="s">
        <v>96</v>
      </c>
      <c r="E3891" t="s">
        <v>8</v>
      </c>
      <c r="F3891" t="s">
        <v>10</v>
      </c>
      <c r="G3891" s="16">
        <v>1892.6134999999999</v>
      </c>
      <c r="H3891" s="16">
        <v>2176.5056</v>
      </c>
      <c r="I3891" s="1">
        <v>46252</v>
      </c>
      <c r="J3891">
        <v>8</v>
      </c>
      <c r="K3891" t="s">
        <v>9410</v>
      </c>
      <c r="L3891" t="s">
        <v>10365</v>
      </c>
      <c r="M3891">
        <v>2</v>
      </c>
      <c r="N3891">
        <v>1</v>
      </c>
      <c r="O3891" t="s">
        <v>223</v>
      </c>
      <c r="P3891" s="17"/>
      <c r="Q3891" s="17" t="str">
        <f>_xlfn.XLOOKUP(Table2[[#This Row],[buyFromVendorNo]],'Next Day Scheduled'!A:A,'Pending Returns'!O:O,"NOT_FOUND")</f>
        <v>NOT_FOUND</v>
      </c>
    </row>
    <row r="3892" spans="1:17" x14ac:dyDescent="0.3">
      <c r="A3892" s="1">
        <v>46251</v>
      </c>
      <c r="B3892" t="s">
        <v>5241</v>
      </c>
      <c r="C3892" t="s">
        <v>156</v>
      </c>
      <c r="D3892" t="s">
        <v>157</v>
      </c>
      <c r="E3892" t="s">
        <v>8</v>
      </c>
      <c r="F3892" t="s">
        <v>10</v>
      </c>
      <c r="G3892" s="16">
        <v>3578.3519999999999</v>
      </c>
      <c r="H3892" s="16">
        <v>4115.1049999999996</v>
      </c>
      <c r="I3892" s="1">
        <v>46251</v>
      </c>
      <c r="J3892">
        <v>8</v>
      </c>
      <c r="K3892" t="s">
        <v>6735</v>
      </c>
      <c r="L3892" t="s">
        <v>10304</v>
      </c>
      <c r="M3892">
        <v>0</v>
      </c>
      <c r="N3892">
        <v>12</v>
      </c>
      <c r="O3892" t="s">
        <v>223</v>
      </c>
      <c r="P3892" s="17"/>
      <c r="Q3892" s="17" t="str">
        <f>_xlfn.XLOOKUP(Table2[[#This Row],[buyFromVendorNo]],'Next Day Scheduled'!A:A,'Pending Returns'!O:O,"NOT_FOUND")</f>
        <v>NOT_FOUND</v>
      </c>
    </row>
    <row r="3893" spans="1:17" x14ac:dyDescent="0.3">
      <c r="A3893" s="1">
        <v>46251</v>
      </c>
      <c r="B3893" t="s">
        <v>2138</v>
      </c>
      <c r="C3893" t="s">
        <v>373</v>
      </c>
      <c r="D3893" t="s">
        <v>374</v>
      </c>
      <c r="E3893" t="s">
        <v>8</v>
      </c>
      <c r="F3893" t="s">
        <v>10</v>
      </c>
      <c r="G3893" s="16">
        <v>1245.4998000000001</v>
      </c>
      <c r="H3893" s="16">
        <v>1432.3246999999999</v>
      </c>
      <c r="I3893" s="1">
        <v>46240</v>
      </c>
      <c r="J3893">
        <v>8</v>
      </c>
      <c r="K3893" t="s">
        <v>8671</v>
      </c>
      <c r="L3893" t="s">
        <v>10411</v>
      </c>
      <c r="M3893">
        <v>0</v>
      </c>
      <c r="N3893">
        <v>12</v>
      </c>
      <c r="O3893" t="s">
        <v>1036</v>
      </c>
      <c r="P3893" s="17"/>
      <c r="Q3893" s="17" t="str">
        <f>_xlfn.XLOOKUP(Table2[[#This Row],[buyFromVendorNo]],'Next Day Scheduled'!A:A,'Pending Returns'!O:O,"NOT_FOUND")</f>
        <v>NOT_FOUND</v>
      </c>
    </row>
    <row r="3894" spans="1:17" x14ac:dyDescent="0.3">
      <c r="A3894" s="1">
        <v>46251</v>
      </c>
      <c r="B3894" t="s">
        <v>3327</v>
      </c>
      <c r="C3894" t="s">
        <v>2317</v>
      </c>
      <c r="D3894" t="s">
        <v>2318</v>
      </c>
      <c r="E3894" t="s">
        <v>8</v>
      </c>
      <c r="F3894" t="s">
        <v>10</v>
      </c>
      <c r="G3894" s="16">
        <v>30.1</v>
      </c>
      <c r="H3894" s="16">
        <v>34.615000000000002</v>
      </c>
      <c r="I3894" s="1">
        <v>46240</v>
      </c>
      <c r="J3894">
        <v>8</v>
      </c>
      <c r="K3894" t="s">
        <v>7160</v>
      </c>
      <c r="L3894" t="s">
        <v>10413</v>
      </c>
      <c r="M3894">
        <v>1</v>
      </c>
      <c r="N3894">
        <v>7</v>
      </c>
      <c r="O3894" t="s">
        <v>1036</v>
      </c>
      <c r="P3894" s="17"/>
      <c r="Q3894" s="17" t="str">
        <f>_xlfn.XLOOKUP(Table2[[#This Row],[buyFromVendorNo]],'Next Day Scheduled'!A:A,'Pending Returns'!O:O,"NOT_FOUND")</f>
        <v>NOT_FOUND</v>
      </c>
    </row>
    <row r="3895" spans="1:17" x14ac:dyDescent="0.3">
      <c r="A3895" s="1">
        <v>46251</v>
      </c>
      <c r="B3895" t="s">
        <v>2095</v>
      </c>
      <c r="C3895" t="s">
        <v>749</v>
      </c>
      <c r="D3895" t="s">
        <v>750</v>
      </c>
      <c r="E3895" t="s">
        <v>8</v>
      </c>
      <c r="F3895" t="s">
        <v>10</v>
      </c>
      <c r="G3895" s="16">
        <v>24</v>
      </c>
      <c r="H3895" s="16">
        <v>27.6</v>
      </c>
      <c r="I3895" s="1">
        <v>46251</v>
      </c>
      <c r="J3895">
        <v>8</v>
      </c>
      <c r="K3895" t="s">
        <v>9838</v>
      </c>
      <c r="L3895" t="s">
        <v>10412</v>
      </c>
      <c r="M3895">
        <v>0</v>
      </c>
      <c r="N3895">
        <v>10</v>
      </c>
      <c r="O3895" t="s">
        <v>1036</v>
      </c>
      <c r="P3895" s="17"/>
      <c r="Q3895" s="17" t="str">
        <f>_xlfn.XLOOKUP(Table2[[#This Row],[buyFromVendorNo]],'Next Day Scheduled'!A:A,'Pending Returns'!O:O,"NOT_FOUND")</f>
        <v>NOT_FOUND</v>
      </c>
    </row>
    <row r="3896" spans="1:17" x14ac:dyDescent="0.3">
      <c r="A3896" s="1">
        <v>46251</v>
      </c>
      <c r="B3896" t="s">
        <v>3408</v>
      </c>
      <c r="C3896" t="s">
        <v>9456</v>
      </c>
      <c r="D3896" t="s">
        <v>9457</v>
      </c>
      <c r="E3896" t="s">
        <v>8</v>
      </c>
      <c r="F3896" t="s">
        <v>10</v>
      </c>
      <c r="G3896" s="16">
        <v>11.5</v>
      </c>
      <c r="H3896" s="16">
        <v>13.225</v>
      </c>
      <c r="I3896" s="1">
        <v>46251</v>
      </c>
      <c r="J3896">
        <v>8</v>
      </c>
      <c r="K3896" t="s">
        <v>9458</v>
      </c>
      <c r="L3896" t="s">
        <v>10391</v>
      </c>
      <c r="M3896">
        <v>0</v>
      </c>
      <c r="N3896">
        <v>21</v>
      </c>
      <c r="O3896" t="s">
        <v>1036</v>
      </c>
      <c r="P3896" s="17"/>
      <c r="Q3896" s="17" t="str">
        <f>_xlfn.XLOOKUP(Table2[[#This Row],[buyFromVendorNo]],'Next Day Scheduled'!A:A,'Pending Returns'!O:O,"NOT_FOUND")</f>
        <v>NOT_FOUND</v>
      </c>
    </row>
    <row r="3897" spans="1:17" x14ac:dyDescent="0.3">
      <c r="A3897" s="1">
        <v>46251</v>
      </c>
      <c r="B3897" t="s">
        <v>642</v>
      </c>
      <c r="C3897" t="s">
        <v>1031</v>
      </c>
      <c r="D3897" t="s">
        <v>1032</v>
      </c>
      <c r="E3897" t="s">
        <v>8</v>
      </c>
      <c r="F3897" t="s">
        <v>38</v>
      </c>
      <c r="G3897" s="16">
        <v>1087.2</v>
      </c>
      <c r="H3897" s="16">
        <v>1250.28</v>
      </c>
      <c r="I3897" s="1">
        <v>46251</v>
      </c>
      <c r="J3897">
        <v>8</v>
      </c>
      <c r="K3897" t="s">
        <v>10099</v>
      </c>
      <c r="L3897" t="s">
        <v>10371</v>
      </c>
      <c r="M3897">
        <v>1</v>
      </c>
      <c r="N3897">
        <v>7</v>
      </c>
      <c r="O3897" t="s">
        <v>1036</v>
      </c>
      <c r="P3897" s="17"/>
      <c r="Q3897" s="17" t="str">
        <f>_xlfn.XLOOKUP(Table2[[#This Row],[buyFromVendorNo]],'Next Day Scheduled'!A:A,'Pending Returns'!O:O,"NOT_FOUND")</f>
        <v>Pending for Collection</v>
      </c>
    </row>
    <row r="3898" spans="1:17" x14ac:dyDescent="0.3">
      <c r="A3898" s="1">
        <v>46251</v>
      </c>
      <c r="B3898" t="s">
        <v>3245</v>
      </c>
      <c r="C3898" t="s">
        <v>512</v>
      </c>
      <c r="D3898" t="s">
        <v>513</v>
      </c>
      <c r="E3898" t="s">
        <v>8</v>
      </c>
      <c r="F3898" t="s">
        <v>10</v>
      </c>
      <c r="G3898" s="16">
        <v>368.41665999999998</v>
      </c>
      <c r="H3898" s="16">
        <v>423.67917</v>
      </c>
      <c r="I3898" s="1">
        <v>46245</v>
      </c>
      <c r="J3898">
        <v>8</v>
      </c>
      <c r="K3898" t="s">
        <v>8107</v>
      </c>
      <c r="L3898" t="s">
        <v>10394</v>
      </c>
      <c r="M3898">
        <v>1</v>
      </c>
      <c r="N3898">
        <v>3</v>
      </c>
      <c r="O3898" t="s">
        <v>1036</v>
      </c>
      <c r="P3898" s="17"/>
      <c r="Q3898" s="17" t="str">
        <f>_xlfn.XLOOKUP(Table2[[#This Row],[buyFromVendorNo]],'Next Day Scheduled'!A:A,'Pending Returns'!O:O,"NOT_FOUND")</f>
        <v>NOT_FOUND</v>
      </c>
    </row>
    <row r="3899" spans="1:17" x14ac:dyDescent="0.3">
      <c r="A3899" s="1">
        <v>46251</v>
      </c>
      <c r="B3899" t="s">
        <v>2583</v>
      </c>
      <c r="C3899" t="s">
        <v>3773</v>
      </c>
      <c r="D3899" t="s">
        <v>3774</v>
      </c>
      <c r="E3899" t="s">
        <v>8</v>
      </c>
      <c r="F3899" t="s">
        <v>10</v>
      </c>
      <c r="G3899" s="16">
        <v>10033.69</v>
      </c>
      <c r="H3899" s="16">
        <v>11538.744000000001</v>
      </c>
      <c r="J3899">
        <v>8</v>
      </c>
      <c r="K3899" t="s">
        <v>10415</v>
      </c>
      <c r="M3899">
        <v>2</v>
      </c>
      <c r="N3899">
        <v>2</v>
      </c>
      <c r="O3899" t="s">
        <v>216</v>
      </c>
      <c r="P3899" s="17"/>
      <c r="Q3899" s="17" t="str">
        <f>_xlfn.XLOOKUP(Table2[[#This Row],[buyFromVendorNo]],'Next Day Scheduled'!A:A,'Pending Returns'!O:O,"NOT_FOUND")</f>
        <v>NOT_FOUND</v>
      </c>
    </row>
    <row r="3900" spans="1:17" x14ac:dyDescent="0.3">
      <c r="A3900" s="1">
        <v>46251</v>
      </c>
      <c r="B3900" t="s">
        <v>1825</v>
      </c>
      <c r="C3900" t="s">
        <v>1353</v>
      </c>
      <c r="D3900" t="s">
        <v>1354</v>
      </c>
      <c r="E3900" t="s">
        <v>8</v>
      </c>
      <c r="F3900" t="s">
        <v>10</v>
      </c>
      <c r="G3900" s="16">
        <v>420</v>
      </c>
      <c r="H3900" s="16">
        <v>483</v>
      </c>
      <c r="I3900" s="1">
        <v>46251</v>
      </c>
      <c r="J3900">
        <v>8</v>
      </c>
      <c r="K3900" t="s">
        <v>10208</v>
      </c>
      <c r="L3900" t="s">
        <v>10416</v>
      </c>
      <c r="M3900">
        <v>1</v>
      </c>
      <c r="N3900">
        <v>5</v>
      </c>
      <c r="O3900" t="s">
        <v>1036</v>
      </c>
      <c r="P3900" s="17"/>
      <c r="Q3900" s="17" t="str">
        <f>_xlfn.XLOOKUP(Table2[[#This Row],[buyFromVendorNo]],'Next Day Scheduled'!A:A,'Pending Returns'!O:O,"NOT_FOUND")</f>
        <v>NOT_FOUND</v>
      </c>
    </row>
    <row r="3901" spans="1:17" x14ac:dyDescent="0.3">
      <c r="A3901" s="1">
        <v>46251</v>
      </c>
      <c r="B3901" t="s">
        <v>2925</v>
      </c>
      <c r="C3901" t="s">
        <v>318</v>
      </c>
      <c r="D3901" t="s">
        <v>319</v>
      </c>
      <c r="E3901" t="s">
        <v>8</v>
      </c>
      <c r="F3901" t="s">
        <v>10</v>
      </c>
      <c r="G3901" s="16">
        <v>314.60000000000002</v>
      </c>
      <c r="H3901" s="16">
        <v>361.79</v>
      </c>
      <c r="I3901" s="1">
        <v>46246</v>
      </c>
      <c r="J3901">
        <v>8</v>
      </c>
      <c r="K3901" t="s">
        <v>8425</v>
      </c>
      <c r="L3901" t="s">
        <v>10418</v>
      </c>
      <c r="M3901">
        <v>1</v>
      </c>
      <c r="N3901">
        <v>2</v>
      </c>
      <c r="O3901" t="s">
        <v>1036</v>
      </c>
      <c r="P3901" s="17"/>
      <c r="Q3901" s="17" t="str">
        <f>_xlfn.XLOOKUP(Table2[[#This Row],[buyFromVendorNo]],'Next Day Scheduled'!A:A,'Pending Returns'!O:O,"NOT_FOUND")</f>
        <v>NOT_FOUND</v>
      </c>
    </row>
    <row r="3902" spans="1:17" x14ac:dyDescent="0.3">
      <c r="A3902" s="1">
        <v>46251</v>
      </c>
      <c r="B3902" t="s">
        <v>3298</v>
      </c>
      <c r="C3902" t="s">
        <v>8841</v>
      </c>
      <c r="D3902" t="s">
        <v>8842</v>
      </c>
      <c r="E3902" t="s">
        <v>8</v>
      </c>
      <c r="F3902" t="s">
        <v>10</v>
      </c>
      <c r="G3902" s="16">
        <v>198.1739</v>
      </c>
      <c r="H3902" s="16">
        <v>227.90001000000001</v>
      </c>
      <c r="I3902" s="1">
        <v>46247</v>
      </c>
      <c r="J3902">
        <v>8</v>
      </c>
      <c r="K3902" t="s">
        <v>9601</v>
      </c>
      <c r="L3902" t="s">
        <v>10399</v>
      </c>
      <c r="M3902">
        <v>1</v>
      </c>
      <c r="N3902">
        <v>3</v>
      </c>
      <c r="O3902" t="s">
        <v>1036</v>
      </c>
      <c r="P3902" s="17"/>
      <c r="Q3902" s="17" t="str">
        <f>_xlfn.XLOOKUP(Table2[[#This Row],[buyFromVendorNo]],'Next Day Scheduled'!A:A,'Pending Returns'!O:O,"NOT_FOUND")</f>
        <v>NOT_FOUND</v>
      </c>
    </row>
    <row r="3903" spans="1:17" x14ac:dyDescent="0.3">
      <c r="A3903" s="1">
        <v>46251</v>
      </c>
      <c r="B3903" t="s">
        <v>334</v>
      </c>
      <c r="C3903" t="s">
        <v>598</v>
      </c>
      <c r="D3903" t="s">
        <v>599</v>
      </c>
      <c r="E3903" t="s">
        <v>8</v>
      </c>
      <c r="F3903" t="s">
        <v>38</v>
      </c>
      <c r="G3903" s="16">
        <v>3475.0160000000001</v>
      </c>
      <c r="H3903" s="16">
        <v>3996.2685999999999</v>
      </c>
      <c r="I3903" s="1">
        <v>46252</v>
      </c>
      <c r="J3903">
        <v>8</v>
      </c>
      <c r="K3903" t="s">
        <v>7434</v>
      </c>
      <c r="L3903" t="s">
        <v>10359</v>
      </c>
      <c r="M3903">
        <v>1</v>
      </c>
      <c r="N3903">
        <v>6</v>
      </c>
      <c r="O3903" t="s">
        <v>223</v>
      </c>
      <c r="P3903" s="17"/>
      <c r="Q3903" s="17" t="str">
        <f>_xlfn.XLOOKUP(Table2[[#This Row],[buyFromVendorNo]],'Next Day Scheduled'!A:A,'Pending Returns'!O:O,"NOT_FOUND")</f>
        <v>NOT_FOUND</v>
      </c>
    </row>
    <row r="3904" spans="1:17" x14ac:dyDescent="0.3">
      <c r="A3904" s="1">
        <v>46251</v>
      </c>
      <c r="B3904" t="s">
        <v>3753</v>
      </c>
      <c r="C3904" t="s">
        <v>304</v>
      </c>
      <c r="D3904" t="s">
        <v>307</v>
      </c>
      <c r="E3904" t="s">
        <v>8</v>
      </c>
      <c r="F3904" t="s">
        <v>10</v>
      </c>
      <c r="G3904" s="16">
        <v>60.7</v>
      </c>
      <c r="H3904" s="16">
        <v>69.805000000000007</v>
      </c>
      <c r="I3904" s="1">
        <v>46250</v>
      </c>
      <c r="J3904">
        <v>8</v>
      </c>
      <c r="K3904" t="s">
        <v>9630</v>
      </c>
      <c r="L3904" t="s">
        <v>10426</v>
      </c>
      <c r="M3904">
        <v>1</v>
      </c>
      <c r="N3904">
        <v>6</v>
      </c>
      <c r="O3904" t="s">
        <v>1036</v>
      </c>
      <c r="P3904" s="17"/>
      <c r="Q3904" s="17" t="str">
        <f>_xlfn.XLOOKUP(Table2[[#This Row],[buyFromVendorNo]],'Next Day Scheduled'!A:A,'Pending Returns'!O:O,"NOT_FOUND")</f>
        <v>NOT_FOUND</v>
      </c>
    </row>
    <row r="3905" spans="1:17" x14ac:dyDescent="0.3">
      <c r="A3905" s="1">
        <v>46251</v>
      </c>
      <c r="B3905" t="s">
        <v>642</v>
      </c>
      <c r="C3905" t="s">
        <v>444</v>
      </c>
      <c r="D3905" t="s">
        <v>445</v>
      </c>
      <c r="E3905" t="s">
        <v>8</v>
      </c>
      <c r="F3905" t="s">
        <v>38</v>
      </c>
      <c r="G3905" s="16">
        <v>44.4</v>
      </c>
      <c r="H3905" s="16">
        <v>51.06</v>
      </c>
      <c r="J3905">
        <v>8</v>
      </c>
      <c r="K3905" t="s">
        <v>10360</v>
      </c>
      <c r="M3905">
        <v>0</v>
      </c>
      <c r="N3905">
        <v>9</v>
      </c>
      <c r="O3905" t="s">
        <v>216</v>
      </c>
      <c r="P3905" s="17"/>
      <c r="Q3905" s="17" t="str">
        <f>_xlfn.XLOOKUP(Table2[[#This Row],[buyFromVendorNo]],'Next Day Scheduled'!A:A,'Pending Returns'!O:O,"NOT_FOUND")</f>
        <v>NOT_FOUND</v>
      </c>
    </row>
    <row r="3906" spans="1:17" x14ac:dyDescent="0.3">
      <c r="A3906" s="1">
        <v>46251</v>
      </c>
      <c r="B3906" t="s">
        <v>10052</v>
      </c>
      <c r="C3906" t="s">
        <v>1161</v>
      </c>
      <c r="D3906" t="s">
        <v>1162</v>
      </c>
      <c r="E3906" t="s">
        <v>8</v>
      </c>
      <c r="F3906" t="s">
        <v>10</v>
      </c>
      <c r="G3906" s="16">
        <v>7410</v>
      </c>
      <c r="H3906" s="16">
        <v>8521.5</v>
      </c>
      <c r="I3906" s="1">
        <v>46250</v>
      </c>
      <c r="J3906">
        <v>8</v>
      </c>
      <c r="K3906" t="s">
        <v>10053</v>
      </c>
      <c r="L3906" t="s">
        <v>10427</v>
      </c>
      <c r="M3906">
        <v>1</v>
      </c>
      <c r="N3906">
        <v>6</v>
      </c>
      <c r="O3906" t="s">
        <v>1036</v>
      </c>
      <c r="P3906" s="17"/>
      <c r="Q3906" s="17" t="str">
        <f>_xlfn.XLOOKUP(Table2[[#This Row],[buyFromVendorNo]],'Next Day Scheduled'!A:A,'Pending Returns'!O:O,"NOT_FOUND")</f>
        <v>NOT_FOUND</v>
      </c>
    </row>
    <row r="3907" spans="1:17" x14ac:dyDescent="0.3">
      <c r="A3907" s="1">
        <v>46251</v>
      </c>
      <c r="B3907" t="s">
        <v>2207</v>
      </c>
      <c r="C3907" t="s">
        <v>139</v>
      </c>
      <c r="D3907" t="s">
        <v>140</v>
      </c>
      <c r="E3907" t="s">
        <v>8</v>
      </c>
      <c r="F3907" t="s">
        <v>10</v>
      </c>
      <c r="G3907" s="16">
        <v>31.980599999999999</v>
      </c>
      <c r="H3907" s="16">
        <v>36.777679999999997</v>
      </c>
      <c r="I3907" s="1">
        <v>46246</v>
      </c>
      <c r="J3907">
        <v>8</v>
      </c>
      <c r="K3907" t="s">
        <v>9529</v>
      </c>
      <c r="L3907" t="s">
        <v>10361</v>
      </c>
      <c r="M3907">
        <v>1</v>
      </c>
      <c r="N3907">
        <v>7</v>
      </c>
      <c r="O3907" t="s">
        <v>1036</v>
      </c>
      <c r="P3907" s="17"/>
      <c r="Q3907" s="17" t="str">
        <f>_xlfn.XLOOKUP(Table2[[#This Row],[buyFromVendorNo]],'Next Day Scheduled'!A:A,'Pending Returns'!O:O,"NOT_FOUND")</f>
        <v>NOT_FOUND</v>
      </c>
    </row>
    <row r="3908" spans="1:17" x14ac:dyDescent="0.3">
      <c r="A3908" s="1">
        <v>46251</v>
      </c>
      <c r="B3908" t="s">
        <v>2706</v>
      </c>
      <c r="C3908" t="s">
        <v>634</v>
      </c>
      <c r="D3908" t="s">
        <v>659</v>
      </c>
      <c r="E3908" t="s">
        <v>8</v>
      </c>
      <c r="F3908" t="s">
        <v>10</v>
      </c>
      <c r="G3908" s="16">
        <v>213.66</v>
      </c>
      <c r="H3908" s="16">
        <v>245.709</v>
      </c>
      <c r="I3908" s="1">
        <v>46251</v>
      </c>
      <c r="J3908">
        <v>8</v>
      </c>
      <c r="K3908" t="s">
        <v>9638</v>
      </c>
      <c r="L3908" t="s">
        <v>10310</v>
      </c>
      <c r="M3908">
        <v>1</v>
      </c>
      <c r="N3908">
        <v>7</v>
      </c>
      <c r="O3908" t="s">
        <v>223</v>
      </c>
      <c r="P3908" s="17"/>
      <c r="Q3908" s="17" t="str">
        <f>_xlfn.XLOOKUP(Table2[[#This Row],[buyFromVendorNo]],'Next Day Scheduled'!A:A,'Pending Returns'!O:O,"NOT_FOUND")</f>
        <v>Posted Credit Note</v>
      </c>
    </row>
    <row r="3909" spans="1:17" x14ac:dyDescent="0.3">
      <c r="A3909" s="1">
        <v>46251</v>
      </c>
      <c r="B3909" t="s">
        <v>3333</v>
      </c>
      <c r="C3909" t="s">
        <v>128</v>
      </c>
      <c r="D3909" t="s">
        <v>129</v>
      </c>
      <c r="E3909" t="s">
        <v>8</v>
      </c>
      <c r="F3909" t="s">
        <v>10</v>
      </c>
      <c r="G3909" s="16">
        <v>798.57</v>
      </c>
      <c r="H3909" s="16">
        <v>918.35550000000001</v>
      </c>
      <c r="I3909" s="1">
        <v>46252</v>
      </c>
      <c r="J3909">
        <v>8</v>
      </c>
      <c r="K3909" t="s">
        <v>10032</v>
      </c>
      <c r="L3909" t="s">
        <v>10339</v>
      </c>
      <c r="M3909">
        <v>7</v>
      </c>
      <c r="N3909">
        <v>1</v>
      </c>
      <c r="O3909" t="s">
        <v>223</v>
      </c>
      <c r="P3909" s="17"/>
      <c r="Q3909" s="17" t="str">
        <f>_xlfn.XLOOKUP(Table2[[#This Row],[buyFromVendorNo]],'Next Day Scheduled'!A:A,'Pending Returns'!O:O,"NOT_FOUND")</f>
        <v>Posted Credit Note</v>
      </c>
    </row>
    <row r="3910" spans="1:17" x14ac:dyDescent="0.3">
      <c r="A3910" s="1">
        <v>46251</v>
      </c>
      <c r="B3910" t="s">
        <v>3333</v>
      </c>
      <c r="C3910" t="s">
        <v>173</v>
      </c>
      <c r="D3910" t="s">
        <v>174</v>
      </c>
      <c r="E3910" t="s">
        <v>8</v>
      </c>
      <c r="F3910" t="s">
        <v>10</v>
      </c>
      <c r="G3910" s="16">
        <v>2891.98</v>
      </c>
      <c r="H3910" s="16">
        <v>3325.777</v>
      </c>
      <c r="J3910">
        <v>8</v>
      </c>
      <c r="K3910" t="s">
        <v>10402</v>
      </c>
      <c r="M3910">
        <v>3</v>
      </c>
      <c r="N3910">
        <v>1</v>
      </c>
      <c r="O3910" t="s">
        <v>216</v>
      </c>
      <c r="P3910" s="17"/>
      <c r="Q3910" s="17" t="str">
        <f>_xlfn.XLOOKUP(Table2[[#This Row],[buyFromVendorNo]],'Next Day Scheduled'!A:A,'Pending Returns'!O:O,"NOT_FOUND")</f>
        <v>NOT_FOUND</v>
      </c>
    </row>
    <row r="3911" spans="1:17" x14ac:dyDescent="0.3">
      <c r="A3911" s="1">
        <v>46251</v>
      </c>
      <c r="B3911" t="s">
        <v>5272</v>
      </c>
      <c r="C3911" t="s">
        <v>156</v>
      </c>
      <c r="D3911" t="s">
        <v>157</v>
      </c>
      <c r="E3911" t="s">
        <v>8</v>
      </c>
      <c r="F3911" t="s">
        <v>10</v>
      </c>
      <c r="G3911" s="16">
        <v>2422.7213999999999</v>
      </c>
      <c r="H3911" s="16">
        <v>2786.13</v>
      </c>
      <c r="I3911" s="1">
        <v>46251</v>
      </c>
      <c r="J3911">
        <v>8</v>
      </c>
      <c r="K3911" t="s">
        <v>9735</v>
      </c>
      <c r="L3911" t="s">
        <v>10302</v>
      </c>
      <c r="M3911">
        <v>0</v>
      </c>
      <c r="N3911">
        <v>12</v>
      </c>
      <c r="O3911" t="s">
        <v>223</v>
      </c>
      <c r="P3911" s="17"/>
      <c r="Q3911" s="17" t="str">
        <f>_xlfn.XLOOKUP(Table2[[#This Row],[buyFromVendorNo]],'Next Day Scheduled'!A:A,'Pending Returns'!O:O,"NOT_FOUND")</f>
        <v>NOT_FOUND</v>
      </c>
    </row>
    <row r="3912" spans="1:17" x14ac:dyDescent="0.3">
      <c r="A3912" s="1">
        <v>46251</v>
      </c>
      <c r="B3912" t="s">
        <v>2207</v>
      </c>
      <c r="C3912" t="s">
        <v>621</v>
      </c>
      <c r="D3912" t="s">
        <v>622</v>
      </c>
      <c r="E3912" t="s">
        <v>8</v>
      </c>
      <c r="F3912" t="s">
        <v>10</v>
      </c>
      <c r="G3912" s="16">
        <v>58.65</v>
      </c>
      <c r="H3912" s="16">
        <v>67.447500000000005</v>
      </c>
      <c r="I3912" s="1">
        <v>46237</v>
      </c>
      <c r="J3912">
        <v>8</v>
      </c>
      <c r="K3912" t="s">
        <v>8797</v>
      </c>
      <c r="L3912" t="s">
        <v>10404</v>
      </c>
      <c r="M3912">
        <v>1</v>
      </c>
      <c r="N3912">
        <v>3</v>
      </c>
      <c r="O3912" t="s">
        <v>1036</v>
      </c>
      <c r="P3912" s="17"/>
      <c r="Q3912" s="17" t="str">
        <f>_xlfn.XLOOKUP(Table2[[#This Row],[buyFromVendorNo]],'Next Day Scheduled'!A:A,'Pending Returns'!O:O,"NOT_FOUND")</f>
        <v>NOT_FOUND</v>
      </c>
    </row>
    <row r="3913" spans="1:17" x14ac:dyDescent="0.3">
      <c r="A3913" s="1">
        <v>46251</v>
      </c>
      <c r="B3913" t="s">
        <v>3272</v>
      </c>
      <c r="C3913" t="s">
        <v>2319</v>
      </c>
      <c r="D3913" t="s">
        <v>2320</v>
      </c>
      <c r="E3913" t="s">
        <v>8</v>
      </c>
      <c r="F3913" t="s">
        <v>10</v>
      </c>
      <c r="G3913" s="16">
        <v>59.12</v>
      </c>
      <c r="H3913" s="16">
        <v>67.988</v>
      </c>
      <c r="I3913" s="1">
        <v>46252</v>
      </c>
      <c r="J3913">
        <v>8</v>
      </c>
      <c r="K3913" t="s">
        <v>8196</v>
      </c>
      <c r="L3913" t="s">
        <v>10340</v>
      </c>
      <c r="M3913">
        <v>1</v>
      </c>
      <c r="N3913">
        <v>8</v>
      </c>
      <c r="O3913" t="s">
        <v>223</v>
      </c>
      <c r="P3913" s="17"/>
      <c r="Q3913" s="17" t="str">
        <f>_xlfn.XLOOKUP(Table2[[#This Row],[buyFromVendorNo]],'Next Day Scheduled'!A:A,'Pending Returns'!O:O,"NOT_FOUND")</f>
        <v>NOT_FOUND</v>
      </c>
    </row>
    <row r="3914" spans="1:17" x14ac:dyDescent="0.3">
      <c r="A3914" s="1">
        <v>46251</v>
      </c>
      <c r="B3914" t="s">
        <v>1781</v>
      </c>
      <c r="C3914" t="s">
        <v>95</v>
      </c>
      <c r="D3914" t="s">
        <v>96</v>
      </c>
      <c r="E3914" t="s">
        <v>8</v>
      </c>
      <c r="F3914" t="s">
        <v>10</v>
      </c>
      <c r="G3914" s="16">
        <v>941.64526000000001</v>
      </c>
      <c r="H3914" s="16">
        <v>1082.8921</v>
      </c>
      <c r="I3914" s="1">
        <v>46252</v>
      </c>
      <c r="J3914">
        <v>8</v>
      </c>
      <c r="K3914" t="s">
        <v>9803</v>
      </c>
      <c r="L3914" t="s">
        <v>10388</v>
      </c>
      <c r="M3914">
        <v>2</v>
      </c>
      <c r="N3914">
        <v>1</v>
      </c>
      <c r="O3914" t="s">
        <v>223</v>
      </c>
      <c r="P3914" s="17"/>
      <c r="Q3914" s="17" t="str">
        <f>_xlfn.XLOOKUP(Table2[[#This Row],[buyFromVendorNo]],'Next Day Scheduled'!A:A,'Pending Returns'!O:O,"NOT_FOUND")</f>
        <v>NOT_FOUND</v>
      </c>
    </row>
    <row r="3915" spans="1:17" x14ac:dyDescent="0.3">
      <c r="A3915" s="1">
        <v>46251</v>
      </c>
      <c r="B3915" t="s">
        <v>3372</v>
      </c>
      <c r="C3915" t="s">
        <v>128</v>
      </c>
      <c r="D3915" t="s">
        <v>129</v>
      </c>
      <c r="E3915" t="s">
        <v>8</v>
      </c>
      <c r="F3915" t="s">
        <v>10</v>
      </c>
      <c r="G3915" s="16">
        <v>839.06</v>
      </c>
      <c r="H3915" s="16">
        <v>964.91899999999998</v>
      </c>
      <c r="I3915" s="1">
        <v>46252</v>
      </c>
      <c r="J3915">
        <v>8</v>
      </c>
      <c r="K3915" t="s">
        <v>8944</v>
      </c>
      <c r="L3915" t="s">
        <v>10409</v>
      </c>
      <c r="M3915">
        <v>7</v>
      </c>
      <c r="N3915">
        <v>1</v>
      </c>
      <c r="O3915" t="s">
        <v>223</v>
      </c>
      <c r="P3915" s="17"/>
      <c r="Q3915" s="17" t="str">
        <f>_xlfn.XLOOKUP(Table2[[#This Row],[buyFromVendorNo]],'Next Day Scheduled'!A:A,'Pending Returns'!O:O,"NOT_FOUND")</f>
        <v>Posted Credit Note</v>
      </c>
    </row>
    <row r="3916" spans="1:17" x14ac:dyDescent="0.3">
      <c r="A3916" s="1">
        <v>46251</v>
      </c>
      <c r="B3916" t="s">
        <v>642</v>
      </c>
      <c r="C3916" t="s">
        <v>154</v>
      </c>
      <c r="D3916" t="s">
        <v>155</v>
      </c>
      <c r="E3916" t="s">
        <v>8</v>
      </c>
      <c r="F3916" t="s">
        <v>38</v>
      </c>
      <c r="G3916" s="16">
        <v>543.52166999999997</v>
      </c>
      <c r="H3916" s="16">
        <v>625.04989999999998</v>
      </c>
      <c r="J3916">
        <v>8</v>
      </c>
      <c r="K3916" t="s">
        <v>10343</v>
      </c>
      <c r="M3916">
        <v>1</v>
      </c>
      <c r="N3916">
        <v>7</v>
      </c>
      <c r="O3916" t="s">
        <v>216</v>
      </c>
      <c r="P3916" s="17"/>
      <c r="Q3916" s="17" t="str">
        <f>_xlfn.XLOOKUP(Table2[[#This Row],[buyFromVendorNo]],'Next Day Scheduled'!A:A,'Pending Returns'!O:O,"NOT_FOUND")</f>
        <v>NOT_FOUND</v>
      </c>
    </row>
    <row r="3917" spans="1:17" x14ac:dyDescent="0.3">
      <c r="A3917" s="1">
        <v>46251</v>
      </c>
      <c r="B3917" t="s">
        <v>3344</v>
      </c>
      <c r="C3917" t="s">
        <v>536</v>
      </c>
      <c r="D3917" t="s">
        <v>537</v>
      </c>
      <c r="E3917" t="s">
        <v>8</v>
      </c>
      <c r="F3917" t="s">
        <v>10</v>
      </c>
      <c r="G3917" s="16">
        <v>491.15372000000002</v>
      </c>
      <c r="H3917" s="16">
        <v>564.82680000000005</v>
      </c>
      <c r="I3917" s="1">
        <v>46251</v>
      </c>
      <c r="J3917">
        <v>8</v>
      </c>
      <c r="K3917" t="s">
        <v>9512</v>
      </c>
      <c r="L3917" t="s">
        <v>10307</v>
      </c>
      <c r="M3917">
        <v>1</v>
      </c>
      <c r="N3917">
        <v>2</v>
      </c>
      <c r="O3917" t="s">
        <v>223</v>
      </c>
      <c r="P3917" s="17"/>
      <c r="Q3917" s="17" t="str">
        <f>_xlfn.XLOOKUP(Table2[[#This Row],[buyFromVendorNo]],'Next Day Scheduled'!A:A,'Pending Returns'!O:O,"NOT_FOUND")</f>
        <v>NOT_FOUND</v>
      </c>
    </row>
    <row r="3918" spans="1:17" x14ac:dyDescent="0.3">
      <c r="A3918" s="1">
        <v>46251</v>
      </c>
      <c r="B3918" t="s">
        <v>1992</v>
      </c>
      <c r="C3918" t="s">
        <v>423</v>
      </c>
      <c r="D3918" t="s">
        <v>424</v>
      </c>
      <c r="E3918" t="s">
        <v>8</v>
      </c>
      <c r="F3918" t="s">
        <v>10</v>
      </c>
      <c r="G3918" s="16">
        <v>155.08000000000001</v>
      </c>
      <c r="H3918" s="16">
        <v>178.34200000000001</v>
      </c>
      <c r="I3918" s="1">
        <v>46248</v>
      </c>
      <c r="J3918">
        <v>8</v>
      </c>
      <c r="K3918" t="s">
        <v>8947</v>
      </c>
      <c r="L3918" t="s">
        <v>10345</v>
      </c>
      <c r="M3918">
        <v>1</v>
      </c>
      <c r="N3918">
        <v>3</v>
      </c>
      <c r="O3918" t="s">
        <v>1036</v>
      </c>
      <c r="P3918" s="17"/>
      <c r="Q3918" s="17" t="str">
        <f>_xlfn.XLOOKUP(Table2[[#This Row],[buyFromVendorNo]],'Next Day Scheduled'!A:A,'Pending Returns'!O:O,"NOT_FOUND")</f>
        <v>NOT_FOUND</v>
      </c>
    </row>
    <row r="3919" spans="1:17" x14ac:dyDescent="0.3">
      <c r="A3919" s="1">
        <v>46251</v>
      </c>
      <c r="B3919" t="s">
        <v>2949</v>
      </c>
      <c r="C3919" t="s">
        <v>156</v>
      </c>
      <c r="D3919" t="s">
        <v>157</v>
      </c>
      <c r="E3919" t="s">
        <v>8</v>
      </c>
      <c r="F3919" t="s">
        <v>10</v>
      </c>
      <c r="G3919" s="16">
        <v>627.48479999999995</v>
      </c>
      <c r="H3919" s="16">
        <v>721.60749999999996</v>
      </c>
      <c r="I3919" s="1">
        <v>46251</v>
      </c>
      <c r="J3919">
        <v>8</v>
      </c>
      <c r="K3919" t="s">
        <v>7325</v>
      </c>
      <c r="L3919" t="s">
        <v>10312</v>
      </c>
      <c r="M3919">
        <v>0</v>
      </c>
      <c r="N3919">
        <v>12</v>
      </c>
      <c r="O3919" t="s">
        <v>223</v>
      </c>
      <c r="P3919" s="17"/>
      <c r="Q3919" s="17" t="str">
        <f>_xlfn.XLOOKUP(Table2[[#This Row],[buyFromVendorNo]],'Next Day Scheduled'!A:A,'Pending Returns'!O:O,"NOT_FOUND")</f>
        <v>NOT_FOUND</v>
      </c>
    </row>
    <row r="3920" spans="1:17" x14ac:dyDescent="0.3">
      <c r="A3920" s="1">
        <v>46251</v>
      </c>
      <c r="B3920" t="s">
        <v>612</v>
      </c>
      <c r="C3920" t="s">
        <v>1161</v>
      </c>
      <c r="D3920" t="s">
        <v>1162</v>
      </c>
      <c r="E3920" t="s">
        <v>8</v>
      </c>
      <c r="F3920" t="s">
        <v>10</v>
      </c>
      <c r="G3920" s="16">
        <v>6042</v>
      </c>
      <c r="H3920" s="16">
        <v>6948.3</v>
      </c>
      <c r="I3920" s="1">
        <v>46250</v>
      </c>
      <c r="J3920">
        <v>8</v>
      </c>
      <c r="K3920" t="s">
        <v>10054</v>
      </c>
      <c r="L3920" t="s">
        <v>10348</v>
      </c>
      <c r="M3920">
        <v>1</v>
      </c>
      <c r="N3920">
        <v>6</v>
      </c>
      <c r="O3920" t="s">
        <v>1036</v>
      </c>
      <c r="P3920" s="17"/>
      <c r="Q3920" s="17" t="str">
        <f>_xlfn.XLOOKUP(Table2[[#This Row],[buyFromVendorNo]],'Next Day Scheduled'!A:A,'Pending Returns'!O:O,"NOT_FOUND")</f>
        <v>NOT_FOUND</v>
      </c>
    </row>
    <row r="3921" spans="1:17" x14ac:dyDescent="0.3">
      <c r="A3921" s="1">
        <v>46251</v>
      </c>
      <c r="B3921" t="s">
        <v>1993</v>
      </c>
      <c r="C3921" t="s">
        <v>373</v>
      </c>
      <c r="D3921" t="s">
        <v>374</v>
      </c>
      <c r="E3921" t="s">
        <v>8</v>
      </c>
      <c r="F3921" t="s">
        <v>10</v>
      </c>
      <c r="G3921" s="16">
        <v>1891.4132</v>
      </c>
      <c r="H3921" s="16">
        <v>2175.1251999999999</v>
      </c>
      <c r="I3921" s="1">
        <v>46240</v>
      </c>
      <c r="J3921">
        <v>8</v>
      </c>
      <c r="K3921" t="s">
        <v>7054</v>
      </c>
      <c r="L3921" t="s">
        <v>10373</v>
      </c>
      <c r="M3921">
        <v>0</v>
      </c>
      <c r="N3921">
        <v>12</v>
      </c>
      <c r="O3921" t="s">
        <v>1036</v>
      </c>
      <c r="P3921" s="17"/>
      <c r="Q3921" s="17" t="str">
        <f>_xlfn.XLOOKUP(Table2[[#This Row],[buyFromVendorNo]],'Next Day Scheduled'!A:A,'Pending Returns'!O:O,"NOT_FOUND")</f>
        <v>NOT_FOUND</v>
      </c>
    </row>
    <row r="3922" spans="1:17" x14ac:dyDescent="0.3">
      <c r="A3922" s="1">
        <v>46251</v>
      </c>
      <c r="B3922" t="s">
        <v>5483</v>
      </c>
      <c r="C3922" t="s">
        <v>156</v>
      </c>
      <c r="D3922" t="s">
        <v>157</v>
      </c>
      <c r="E3922" t="s">
        <v>8</v>
      </c>
      <c r="F3922" t="s">
        <v>10</v>
      </c>
      <c r="G3922" s="16">
        <v>1388.4492</v>
      </c>
      <c r="H3922" s="16">
        <v>1596.7166999999999</v>
      </c>
      <c r="I3922" s="1">
        <v>46251</v>
      </c>
      <c r="J3922">
        <v>8</v>
      </c>
      <c r="K3922" t="s">
        <v>7748</v>
      </c>
      <c r="L3922" t="s">
        <v>10313</v>
      </c>
      <c r="M3922">
        <v>0</v>
      </c>
      <c r="N3922">
        <v>12</v>
      </c>
      <c r="O3922" t="s">
        <v>223</v>
      </c>
      <c r="P3922" s="17"/>
      <c r="Q3922" s="17" t="str">
        <f>_xlfn.XLOOKUP(Table2[[#This Row],[buyFromVendorNo]],'Next Day Scheduled'!A:A,'Pending Returns'!O:O,"NOT_FOUND")</f>
        <v>NOT_FOUND</v>
      </c>
    </row>
    <row r="3923" spans="1:17" x14ac:dyDescent="0.3">
      <c r="A3923" s="1">
        <v>46251</v>
      </c>
      <c r="B3923" t="s">
        <v>5276</v>
      </c>
      <c r="C3923" t="s">
        <v>156</v>
      </c>
      <c r="D3923" t="s">
        <v>157</v>
      </c>
      <c r="E3923" t="s">
        <v>8</v>
      </c>
      <c r="F3923" t="s">
        <v>10</v>
      </c>
      <c r="G3923" s="16">
        <v>670.0145</v>
      </c>
      <c r="H3923" s="16">
        <v>770.51670000000001</v>
      </c>
      <c r="I3923" s="1">
        <v>46251</v>
      </c>
      <c r="J3923">
        <v>8</v>
      </c>
      <c r="K3923" t="s">
        <v>8057</v>
      </c>
      <c r="L3923" t="s">
        <v>10314</v>
      </c>
      <c r="M3923">
        <v>0</v>
      </c>
      <c r="N3923">
        <v>12</v>
      </c>
      <c r="O3923" t="s">
        <v>223</v>
      </c>
      <c r="P3923" s="17"/>
      <c r="Q3923" s="17" t="str">
        <f>_xlfn.XLOOKUP(Table2[[#This Row],[buyFromVendorNo]],'Next Day Scheduled'!A:A,'Pending Returns'!O:O,"NOT_FOUND")</f>
        <v>NOT_FOUND</v>
      </c>
    </row>
    <row r="3924" spans="1:17" x14ac:dyDescent="0.3">
      <c r="A3924" s="1">
        <v>46251</v>
      </c>
      <c r="B3924" t="s">
        <v>1776</v>
      </c>
      <c r="C3924" t="s">
        <v>373</v>
      </c>
      <c r="D3924" t="s">
        <v>374</v>
      </c>
      <c r="E3924" t="s">
        <v>8</v>
      </c>
      <c r="F3924" t="s">
        <v>10</v>
      </c>
      <c r="G3924" s="16">
        <v>476.24829999999997</v>
      </c>
      <c r="H3924" s="16">
        <v>547.68555000000003</v>
      </c>
      <c r="I3924" s="1">
        <v>46240</v>
      </c>
      <c r="J3924">
        <v>8</v>
      </c>
      <c r="K3924" t="s">
        <v>9071</v>
      </c>
      <c r="L3924" t="s">
        <v>10414</v>
      </c>
      <c r="M3924">
        <v>0</v>
      </c>
      <c r="N3924">
        <v>12</v>
      </c>
      <c r="O3924" t="s">
        <v>1036</v>
      </c>
      <c r="P3924" s="17"/>
      <c r="Q3924" s="17" t="str">
        <f>_xlfn.XLOOKUP(Table2[[#This Row],[buyFromVendorNo]],'Next Day Scheduled'!A:A,'Pending Returns'!O:O,"NOT_FOUND")</f>
        <v>NOT_FOUND</v>
      </c>
    </row>
    <row r="3925" spans="1:17" x14ac:dyDescent="0.3">
      <c r="A3925" s="1">
        <v>46251</v>
      </c>
      <c r="B3925" t="s">
        <v>5353</v>
      </c>
      <c r="C3925" t="s">
        <v>423</v>
      </c>
      <c r="D3925" t="s">
        <v>424</v>
      </c>
      <c r="E3925" t="s">
        <v>8</v>
      </c>
      <c r="F3925" t="s">
        <v>10</v>
      </c>
      <c r="G3925" s="16">
        <v>58.5</v>
      </c>
      <c r="H3925" s="16">
        <v>67.275000000000006</v>
      </c>
      <c r="I3925" s="1">
        <v>46247</v>
      </c>
      <c r="J3925">
        <v>8</v>
      </c>
      <c r="K3925" t="s">
        <v>8810</v>
      </c>
      <c r="L3925" t="s">
        <v>10396</v>
      </c>
      <c r="M3925">
        <v>1</v>
      </c>
      <c r="N3925">
        <v>3</v>
      </c>
      <c r="O3925" t="s">
        <v>1036</v>
      </c>
      <c r="P3925" s="17"/>
      <c r="Q3925" s="17" t="str">
        <f>_xlfn.XLOOKUP(Table2[[#This Row],[buyFromVendorNo]],'Next Day Scheduled'!A:A,'Pending Returns'!O:O,"NOT_FOUND")</f>
        <v>NOT_FOUND</v>
      </c>
    </row>
    <row r="3926" spans="1:17" x14ac:dyDescent="0.3">
      <c r="A3926" s="1">
        <v>46251</v>
      </c>
      <c r="B3926" t="s">
        <v>642</v>
      </c>
      <c r="C3926" t="s">
        <v>60</v>
      </c>
      <c r="D3926" t="s">
        <v>61</v>
      </c>
      <c r="E3926" t="s">
        <v>8</v>
      </c>
      <c r="F3926" t="s">
        <v>38</v>
      </c>
      <c r="G3926" s="16">
        <v>365.48</v>
      </c>
      <c r="H3926" s="16">
        <v>420.30200000000002</v>
      </c>
      <c r="J3926">
        <v>8</v>
      </c>
      <c r="K3926" t="s">
        <v>10352</v>
      </c>
      <c r="M3926">
        <v>1</v>
      </c>
      <c r="N3926">
        <v>7</v>
      </c>
      <c r="O3926" t="s">
        <v>216</v>
      </c>
      <c r="P3926" s="17"/>
      <c r="Q3926" s="17" t="str">
        <f>_xlfn.XLOOKUP(Table2[[#This Row],[buyFromVendorNo]],'Next Day Scheduled'!A:A,'Pending Returns'!O:O,"NOT_FOUND")</f>
        <v>NOT_FOUND</v>
      </c>
    </row>
    <row r="3927" spans="1:17" x14ac:dyDescent="0.3">
      <c r="A3927" s="1">
        <v>46251</v>
      </c>
      <c r="B3927" t="s">
        <v>233</v>
      </c>
      <c r="C3927" t="s">
        <v>1161</v>
      </c>
      <c r="D3927" t="s">
        <v>1162</v>
      </c>
      <c r="E3927" t="s">
        <v>8</v>
      </c>
      <c r="F3927" t="s">
        <v>10</v>
      </c>
      <c r="G3927" s="16">
        <v>5472</v>
      </c>
      <c r="H3927" s="16">
        <v>6292.8</v>
      </c>
      <c r="I3927" s="1">
        <v>46250</v>
      </c>
      <c r="J3927">
        <v>8</v>
      </c>
      <c r="K3927" t="s">
        <v>10057</v>
      </c>
      <c r="L3927" t="s">
        <v>10417</v>
      </c>
      <c r="M3927">
        <v>1</v>
      </c>
      <c r="N3927">
        <v>6</v>
      </c>
      <c r="O3927" t="s">
        <v>1036</v>
      </c>
      <c r="P3927" s="17"/>
      <c r="Q3927" s="17" t="str">
        <f>_xlfn.XLOOKUP(Table2[[#This Row],[buyFromVendorNo]],'Next Day Scheduled'!A:A,'Pending Returns'!O:O,"NOT_FOUND")</f>
        <v>NOT_FOUND</v>
      </c>
    </row>
    <row r="3928" spans="1:17" x14ac:dyDescent="0.3">
      <c r="A3928" s="1">
        <v>46251</v>
      </c>
      <c r="B3928" t="s">
        <v>6259</v>
      </c>
      <c r="C3928" t="s">
        <v>156</v>
      </c>
      <c r="D3928" t="s">
        <v>157</v>
      </c>
      <c r="E3928" t="s">
        <v>8</v>
      </c>
      <c r="F3928" t="s">
        <v>10</v>
      </c>
      <c r="G3928" s="16">
        <v>1567.326</v>
      </c>
      <c r="H3928" s="16">
        <v>1802.425</v>
      </c>
      <c r="I3928" s="1">
        <v>46251</v>
      </c>
      <c r="J3928">
        <v>8</v>
      </c>
      <c r="K3928" t="s">
        <v>8435</v>
      </c>
      <c r="L3928" t="s">
        <v>10309</v>
      </c>
      <c r="M3928">
        <v>0</v>
      </c>
      <c r="N3928">
        <v>12</v>
      </c>
      <c r="O3928" t="s">
        <v>223</v>
      </c>
      <c r="P3928" s="17"/>
      <c r="Q3928" s="17" t="str">
        <f>_xlfn.XLOOKUP(Table2[[#This Row],[buyFromVendorNo]],'Next Day Scheduled'!A:A,'Pending Returns'!O:O,"NOT_FOUND")</f>
        <v>NOT_FOUND</v>
      </c>
    </row>
    <row r="3929" spans="1:17" x14ac:dyDescent="0.3">
      <c r="A3929" s="1">
        <v>46251</v>
      </c>
      <c r="B3929" t="s">
        <v>7219</v>
      </c>
      <c r="C3929" t="s">
        <v>598</v>
      </c>
      <c r="D3929" t="s">
        <v>9088</v>
      </c>
      <c r="E3929" t="s">
        <v>8</v>
      </c>
      <c r="F3929" t="s">
        <v>10</v>
      </c>
      <c r="G3929" s="16">
        <v>458.35399999999998</v>
      </c>
      <c r="H3929" s="16">
        <v>527.10709999999995</v>
      </c>
      <c r="I3929" s="1">
        <v>46252</v>
      </c>
      <c r="J3929">
        <v>8</v>
      </c>
      <c r="K3929" t="s">
        <v>10035</v>
      </c>
      <c r="L3929" t="s">
        <v>10354</v>
      </c>
      <c r="M3929">
        <v>1</v>
      </c>
      <c r="N3929">
        <v>6</v>
      </c>
      <c r="O3929" t="s">
        <v>223</v>
      </c>
      <c r="P3929" s="17"/>
      <c r="Q3929" s="17" t="str">
        <f>_xlfn.XLOOKUP(Table2[[#This Row],[buyFromVendorNo]],'Next Day Scheduled'!A:A,'Pending Returns'!O:O,"NOT_FOUND")</f>
        <v>NOT_FOUND</v>
      </c>
    </row>
    <row r="3930" spans="1:17" x14ac:dyDescent="0.3">
      <c r="A3930" s="1">
        <v>46251</v>
      </c>
      <c r="B3930" t="s">
        <v>3316</v>
      </c>
      <c r="C3930" t="s">
        <v>128</v>
      </c>
      <c r="D3930" t="s">
        <v>129</v>
      </c>
      <c r="E3930" t="s">
        <v>8</v>
      </c>
      <c r="F3930" t="s">
        <v>10</v>
      </c>
      <c r="G3930" s="16">
        <v>419.17</v>
      </c>
      <c r="H3930" s="16">
        <v>482.0455</v>
      </c>
      <c r="I3930" s="1">
        <v>46252</v>
      </c>
      <c r="J3930">
        <v>8</v>
      </c>
      <c r="K3930" t="s">
        <v>8251</v>
      </c>
      <c r="L3930" t="s">
        <v>10355</v>
      </c>
      <c r="M3930">
        <v>7</v>
      </c>
      <c r="N3930">
        <v>1</v>
      </c>
      <c r="O3930" t="s">
        <v>223</v>
      </c>
      <c r="P3930" s="17"/>
      <c r="Q3930" s="17" t="str">
        <f>_xlfn.XLOOKUP(Table2[[#This Row],[buyFromVendorNo]],'Next Day Scheduled'!A:A,'Pending Returns'!O:O,"NOT_FOUND")</f>
        <v>Posted Credit Note</v>
      </c>
    </row>
    <row r="3931" spans="1:17" x14ac:dyDescent="0.3">
      <c r="A3931" s="1">
        <v>46251</v>
      </c>
      <c r="B3931" t="s">
        <v>5233</v>
      </c>
      <c r="C3931" t="s">
        <v>304</v>
      </c>
      <c r="D3931" t="s">
        <v>307</v>
      </c>
      <c r="E3931" t="s">
        <v>8</v>
      </c>
      <c r="F3931" t="s">
        <v>10</v>
      </c>
      <c r="G3931" s="16">
        <v>5605.9633999999996</v>
      </c>
      <c r="H3931" s="16">
        <v>6446.8580000000002</v>
      </c>
      <c r="I3931" s="1">
        <v>46250</v>
      </c>
      <c r="J3931">
        <v>8</v>
      </c>
      <c r="K3931" t="s">
        <v>9505</v>
      </c>
      <c r="L3931" t="s">
        <v>10398</v>
      </c>
      <c r="M3931">
        <v>1</v>
      </c>
      <c r="N3931">
        <v>6</v>
      </c>
      <c r="O3931" t="s">
        <v>1036</v>
      </c>
      <c r="P3931" s="17"/>
      <c r="Q3931" s="17" t="str">
        <f>_xlfn.XLOOKUP(Table2[[#This Row],[buyFromVendorNo]],'Next Day Scheduled'!A:A,'Pending Returns'!O:O,"NOT_FOUND")</f>
        <v>NOT_FOUND</v>
      </c>
    </row>
    <row r="3932" spans="1:17" x14ac:dyDescent="0.3">
      <c r="A3932" s="1">
        <v>46251</v>
      </c>
      <c r="B3932" t="s">
        <v>7344</v>
      </c>
      <c r="C3932" t="s">
        <v>598</v>
      </c>
      <c r="D3932" t="s">
        <v>599</v>
      </c>
      <c r="E3932" t="s">
        <v>8</v>
      </c>
      <c r="F3932" t="s">
        <v>10</v>
      </c>
      <c r="G3932" s="16">
        <v>662.87199999999996</v>
      </c>
      <c r="H3932" s="16">
        <v>762.30280000000005</v>
      </c>
      <c r="I3932" s="1">
        <v>46251</v>
      </c>
      <c r="J3932">
        <v>8</v>
      </c>
      <c r="K3932" t="s">
        <v>7345</v>
      </c>
      <c r="L3932" t="s">
        <v>10425</v>
      </c>
      <c r="M3932">
        <v>1</v>
      </c>
      <c r="N3932">
        <v>6</v>
      </c>
      <c r="O3932" t="s">
        <v>1036</v>
      </c>
      <c r="P3932" s="17"/>
      <c r="Q3932" s="17" t="str">
        <f>_xlfn.XLOOKUP(Table2[[#This Row],[buyFromVendorNo]],'Next Day Scheduled'!A:A,'Pending Returns'!O:O,"NOT_FOUND")</f>
        <v>NOT_FOUND</v>
      </c>
    </row>
    <row r="3933" spans="1:17" x14ac:dyDescent="0.3">
      <c r="A3933" s="1">
        <v>46251</v>
      </c>
      <c r="B3933" t="s">
        <v>4678</v>
      </c>
      <c r="C3933" t="s">
        <v>598</v>
      </c>
      <c r="D3933" t="s">
        <v>599</v>
      </c>
      <c r="E3933" t="s">
        <v>8</v>
      </c>
      <c r="F3933" t="s">
        <v>10</v>
      </c>
      <c r="G3933" s="16">
        <v>2289.35</v>
      </c>
      <c r="H3933" s="16">
        <v>2632.7523999999999</v>
      </c>
      <c r="I3933" s="1">
        <v>46251</v>
      </c>
      <c r="J3933">
        <v>8</v>
      </c>
      <c r="K3933" t="s">
        <v>7101</v>
      </c>
      <c r="L3933" t="s">
        <v>10357</v>
      </c>
      <c r="M3933">
        <v>1</v>
      </c>
      <c r="N3933">
        <v>6</v>
      </c>
      <c r="O3933" t="s">
        <v>1036</v>
      </c>
      <c r="P3933" s="17"/>
      <c r="Q3933" s="17" t="str">
        <f>_xlfn.XLOOKUP(Table2[[#This Row],[buyFromVendorNo]],'Next Day Scheduled'!A:A,'Pending Returns'!O:O,"NOT_FOUND")</f>
        <v>NOT_FOUND</v>
      </c>
    </row>
    <row r="3934" spans="1:17" x14ac:dyDescent="0.3">
      <c r="A3934" s="1">
        <v>46251</v>
      </c>
      <c r="B3934" t="s">
        <v>7650</v>
      </c>
      <c r="C3934" t="s">
        <v>2775</v>
      </c>
      <c r="D3934" t="s">
        <v>2776</v>
      </c>
      <c r="E3934" t="s">
        <v>8</v>
      </c>
      <c r="F3934" t="s">
        <v>10</v>
      </c>
      <c r="G3934" s="16">
        <v>520</v>
      </c>
      <c r="H3934" s="16">
        <v>598</v>
      </c>
      <c r="I3934" s="1">
        <v>46245</v>
      </c>
      <c r="J3934">
        <v>8</v>
      </c>
      <c r="K3934" t="s">
        <v>9527</v>
      </c>
      <c r="L3934" t="s">
        <v>10381</v>
      </c>
      <c r="M3934">
        <v>1</v>
      </c>
      <c r="N3934">
        <v>6</v>
      </c>
      <c r="O3934" t="s">
        <v>1036</v>
      </c>
      <c r="P3934" s="17"/>
      <c r="Q3934" s="17" t="str">
        <f>_xlfn.XLOOKUP(Table2[[#This Row],[buyFromVendorNo]],'Next Day Scheduled'!A:A,'Pending Returns'!O:O,"NOT_FOUND")</f>
        <v>NOT_FOUND</v>
      </c>
    </row>
    <row r="3935" spans="1:17" x14ac:dyDescent="0.3">
      <c r="A3935" s="1">
        <v>46251</v>
      </c>
      <c r="B3935" t="s">
        <v>6390</v>
      </c>
      <c r="C3935" t="s">
        <v>9689</v>
      </c>
      <c r="D3935" t="s">
        <v>9690</v>
      </c>
      <c r="E3935" t="s">
        <v>8</v>
      </c>
      <c r="F3935" t="s">
        <v>10</v>
      </c>
      <c r="G3935" s="16">
        <v>1198</v>
      </c>
      <c r="H3935" s="16">
        <v>1377.7</v>
      </c>
      <c r="I3935" s="1">
        <v>46252</v>
      </c>
      <c r="J3935">
        <v>8</v>
      </c>
      <c r="K3935" t="s">
        <v>10202</v>
      </c>
      <c r="L3935" t="s">
        <v>10431</v>
      </c>
      <c r="M3935">
        <v>0</v>
      </c>
      <c r="N3935">
        <v>34</v>
      </c>
      <c r="O3935" t="s">
        <v>223</v>
      </c>
      <c r="P3935" s="17"/>
      <c r="Q3935" s="17" t="str">
        <f>_xlfn.XLOOKUP(Table2[[#This Row],[buyFromVendorNo]],'Next Day Scheduled'!A:A,'Pending Returns'!O:O,"NOT_FOUND")</f>
        <v>NOT_FOUND</v>
      </c>
    </row>
    <row r="3936" spans="1:17" x14ac:dyDescent="0.3">
      <c r="A3936" s="1">
        <v>46252</v>
      </c>
      <c r="B3936" t="s">
        <v>6387</v>
      </c>
      <c r="C3936" t="s">
        <v>508</v>
      </c>
      <c r="D3936" t="s">
        <v>509</v>
      </c>
      <c r="E3936" t="s">
        <v>8</v>
      </c>
      <c r="F3936" t="s">
        <v>10</v>
      </c>
      <c r="G3936" s="16">
        <v>66.833340000000007</v>
      </c>
      <c r="H3936" s="16">
        <v>76.858339999999998</v>
      </c>
      <c r="I3936" s="1">
        <v>46251</v>
      </c>
      <c r="J3936">
        <v>7</v>
      </c>
      <c r="K3936" t="s">
        <v>7136</v>
      </c>
      <c r="L3936" t="s">
        <v>10451</v>
      </c>
      <c r="M3936">
        <v>0</v>
      </c>
      <c r="N3936">
        <v>9</v>
      </c>
      <c r="O3936" t="s">
        <v>1036</v>
      </c>
      <c r="P3936" s="17"/>
      <c r="Q3936" s="17" t="str">
        <f>_xlfn.XLOOKUP(Table2[[#This Row],[buyFromVendorNo]],'Next Day Scheduled'!A:A,'Pending Returns'!O:O,"NOT_FOUND")</f>
        <v>Posted Credit Note</v>
      </c>
    </row>
    <row r="3937" spans="1:17" x14ac:dyDescent="0.3">
      <c r="A3937" s="1">
        <v>46252</v>
      </c>
      <c r="B3937" t="s">
        <v>642</v>
      </c>
      <c r="C3937" t="s">
        <v>1031</v>
      </c>
      <c r="D3937" t="s">
        <v>1032</v>
      </c>
      <c r="E3937" t="s">
        <v>8</v>
      </c>
      <c r="F3937" t="s">
        <v>38</v>
      </c>
      <c r="G3937" s="16">
        <v>1258.8</v>
      </c>
      <c r="H3937" s="16">
        <v>1447.62</v>
      </c>
      <c r="I3937" s="1">
        <v>46252</v>
      </c>
      <c r="J3937">
        <v>7</v>
      </c>
      <c r="K3937" t="s">
        <v>10379</v>
      </c>
      <c r="L3937" t="s">
        <v>10452</v>
      </c>
      <c r="M3937">
        <v>1</v>
      </c>
      <c r="N3937">
        <v>7</v>
      </c>
      <c r="O3937" t="s">
        <v>1036</v>
      </c>
      <c r="P3937" s="17"/>
      <c r="Q3937" s="17" t="str">
        <f>_xlfn.XLOOKUP(Table2[[#This Row],[buyFromVendorNo]],'Next Day Scheduled'!A:A,'Pending Returns'!O:O,"NOT_FOUND")</f>
        <v>Pending for Collection</v>
      </c>
    </row>
    <row r="3938" spans="1:17" x14ac:dyDescent="0.3">
      <c r="A3938" s="1">
        <v>46252</v>
      </c>
      <c r="B3938" t="s">
        <v>6286</v>
      </c>
      <c r="C3938" t="s">
        <v>43</v>
      </c>
      <c r="D3938" t="s">
        <v>44</v>
      </c>
      <c r="E3938" t="s">
        <v>8</v>
      </c>
      <c r="F3938" t="s">
        <v>38</v>
      </c>
      <c r="G3938" s="16">
        <v>3235.9823999999999</v>
      </c>
      <c r="H3938" s="16">
        <v>3721.38</v>
      </c>
      <c r="I3938" s="1">
        <v>46252</v>
      </c>
      <c r="J3938">
        <v>7</v>
      </c>
      <c r="K3938" t="s">
        <v>10183</v>
      </c>
      <c r="L3938" t="s">
        <v>10516</v>
      </c>
      <c r="M3938">
        <v>6</v>
      </c>
      <c r="N3938">
        <v>1</v>
      </c>
      <c r="O3938" t="s">
        <v>1036</v>
      </c>
      <c r="P3938" s="17"/>
      <c r="Q3938" s="17" t="str">
        <f>_xlfn.XLOOKUP(Table2[[#This Row],[buyFromVendorNo]],'Next Day Scheduled'!A:A,'Pending Returns'!O:O,"NOT_FOUND")</f>
        <v>Posted Credit Note</v>
      </c>
    </row>
    <row r="3939" spans="1:17" x14ac:dyDescent="0.3">
      <c r="A3939" s="1">
        <v>46252</v>
      </c>
      <c r="B3939" t="s">
        <v>3252</v>
      </c>
      <c r="C3939" t="s">
        <v>508</v>
      </c>
      <c r="D3939" t="s">
        <v>509</v>
      </c>
      <c r="E3939" t="s">
        <v>8</v>
      </c>
      <c r="F3939" t="s">
        <v>10</v>
      </c>
      <c r="G3939" s="16">
        <v>91.666700000000006</v>
      </c>
      <c r="H3939" s="16">
        <v>105.41670999999999</v>
      </c>
      <c r="I3939" s="1">
        <v>46251</v>
      </c>
      <c r="J3939">
        <v>7</v>
      </c>
      <c r="K3939" t="s">
        <v>9844</v>
      </c>
      <c r="L3939" t="s">
        <v>10483</v>
      </c>
      <c r="M3939">
        <v>0</v>
      </c>
      <c r="N3939">
        <v>9</v>
      </c>
      <c r="O3939" t="s">
        <v>1036</v>
      </c>
      <c r="P3939" s="17"/>
      <c r="Q3939" s="17" t="str">
        <f>_xlfn.XLOOKUP(Table2[[#This Row],[buyFromVendorNo]],'Next Day Scheduled'!A:A,'Pending Returns'!O:O,"NOT_FOUND")</f>
        <v>Posted Credit Note</v>
      </c>
    </row>
    <row r="3940" spans="1:17" x14ac:dyDescent="0.3">
      <c r="A3940" s="1">
        <v>46252</v>
      </c>
      <c r="B3940" t="s">
        <v>642</v>
      </c>
      <c r="C3940" t="s">
        <v>1031</v>
      </c>
      <c r="D3940" t="s">
        <v>1032</v>
      </c>
      <c r="E3940" t="s">
        <v>8</v>
      </c>
      <c r="F3940" t="s">
        <v>38</v>
      </c>
      <c r="G3940" s="16">
        <v>975.6</v>
      </c>
      <c r="H3940" s="16">
        <v>1121.94</v>
      </c>
      <c r="I3940" s="1">
        <v>46252</v>
      </c>
      <c r="J3940">
        <v>7</v>
      </c>
      <c r="K3940" t="s">
        <v>10278</v>
      </c>
      <c r="L3940" t="s">
        <v>10461</v>
      </c>
      <c r="M3940">
        <v>1</v>
      </c>
      <c r="N3940">
        <v>7</v>
      </c>
      <c r="O3940" t="s">
        <v>1036</v>
      </c>
      <c r="P3940" s="17"/>
      <c r="Q3940" s="17" t="str">
        <f>_xlfn.XLOOKUP(Table2[[#This Row],[buyFromVendorNo]],'Next Day Scheduled'!A:A,'Pending Returns'!O:O,"NOT_FOUND")</f>
        <v>Pending for Collection</v>
      </c>
    </row>
    <row r="3941" spans="1:17" x14ac:dyDescent="0.3">
      <c r="A3941" s="1">
        <v>46252</v>
      </c>
      <c r="B3941" t="s">
        <v>6286</v>
      </c>
      <c r="C3941" t="s">
        <v>43</v>
      </c>
      <c r="D3941" t="s">
        <v>44</v>
      </c>
      <c r="E3941" t="s">
        <v>8</v>
      </c>
      <c r="F3941" t="s">
        <v>38</v>
      </c>
      <c r="G3941" s="16">
        <v>2101.1</v>
      </c>
      <c r="H3941" s="16">
        <v>2416.2649999999999</v>
      </c>
      <c r="J3941">
        <v>7</v>
      </c>
      <c r="K3941" t="s">
        <v>10485</v>
      </c>
      <c r="M3941">
        <v>6</v>
      </c>
      <c r="N3941">
        <v>1</v>
      </c>
      <c r="O3941" t="s">
        <v>216</v>
      </c>
      <c r="P3941" s="17"/>
      <c r="Q3941" s="17" t="str">
        <f>_xlfn.XLOOKUP(Table2[[#This Row],[buyFromVendorNo]],'Next Day Scheduled'!A:A,'Pending Returns'!O:O,"NOT_FOUND")</f>
        <v>Posted Credit Note</v>
      </c>
    </row>
    <row r="3942" spans="1:17" x14ac:dyDescent="0.3">
      <c r="A3942" s="1">
        <v>46252</v>
      </c>
      <c r="B3942" t="s">
        <v>5509</v>
      </c>
      <c r="C3942" t="s">
        <v>5437</v>
      </c>
      <c r="D3942" t="s">
        <v>5438</v>
      </c>
      <c r="E3942" t="s">
        <v>8</v>
      </c>
      <c r="F3942" t="s">
        <v>10</v>
      </c>
      <c r="G3942" s="16">
        <v>50.002000000000002</v>
      </c>
      <c r="H3942" s="16">
        <v>57.502299999999998</v>
      </c>
      <c r="J3942">
        <v>7</v>
      </c>
      <c r="K3942" t="s">
        <v>10550</v>
      </c>
      <c r="M3942">
        <v>1</v>
      </c>
      <c r="N3942">
        <v>3</v>
      </c>
      <c r="O3942" t="s">
        <v>216</v>
      </c>
      <c r="P3942" s="17"/>
      <c r="Q3942" s="17" t="str">
        <f>_xlfn.XLOOKUP(Table2[[#This Row],[buyFromVendorNo]],'Next Day Scheduled'!A:A,'Pending Returns'!O:O,"NOT_FOUND")</f>
        <v>NOT_FOUND</v>
      </c>
    </row>
    <row r="3943" spans="1:17" x14ac:dyDescent="0.3">
      <c r="A3943" s="1">
        <v>46252</v>
      </c>
      <c r="B3943" t="s">
        <v>5243</v>
      </c>
      <c r="C3943" t="s">
        <v>863</v>
      </c>
      <c r="D3943" t="s">
        <v>864</v>
      </c>
      <c r="E3943" t="s">
        <v>8</v>
      </c>
      <c r="F3943" t="s">
        <v>10</v>
      </c>
      <c r="G3943" s="16">
        <v>29024.782999999999</v>
      </c>
      <c r="H3943" s="16">
        <v>33378.5</v>
      </c>
      <c r="J3943">
        <v>7</v>
      </c>
      <c r="K3943" t="s">
        <v>10551</v>
      </c>
      <c r="M3943">
        <v>1</v>
      </c>
      <c r="N3943">
        <v>7</v>
      </c>
      <c r="O3943" t="s">
        <v>216</v>
      </c>
      <c r="P3943" s="17"/>
      <c r="Q3943" s="17" t="str">
        <f>_xlfn.XLOOKUP(Table2[[#This Row],[buyFromVendorNo]],'Next Day Scheduled'!A:A,'Pending Returns'!O:O,"NOT_FOUND")</f>
        <v>NOT_FOUND</v>
      </c>
    </row>
    <row r="3944" spans="1:17" x14ac:dyDescent="0.3">
      <c r="A3944" s="1">
        <v>46252</v>
      </c>
      <c r="B3944" t="s">
        <v>642</v>
      </c>
      <c r="C3944" t="s">
        <v>398</v>
      </c>
      <c r="D3944" t="s">
        <v>399</v>
      </c>
      <c r="E3944" t="s">
        <v>8</v>
      </c>
      <c r="F3944" t="s">
        <v>38</v>
      </c>
      <c r="G3944" s="16">
        <v>628.06389999999999</v>
      </c>
      <c r="H3944" s="16">
        <v>722.27350000000001</v>
      </c>
      <c r="I3944" s="1">
        <v>46240</v>
      </c>
      <c r="J3944">
        <v>7</v>
      </c>
      <c r="K3944" t="s">
        <v>7823</v>
      </c>
      <c r="L3944" t="s">
        <v>10486</v>
      </c>
      <c r="M3944">
        <v>0</v>
      </c>
      <c r="N3944">
        <v>12</v>
      </c>
      <c r="O3944" t="s">
        <v>1036</v>
      </c>
      <c r="P3944" s="17"/>
      <c r="Q3944" s="17" t="str">
        <f>_xlfn.XLOOKUP(Table2[[#This Row],[buyFromVendorNo]],'Next Day Scheduled'!A:A,'Pending Returns'!O:O,"NOT_FOUND")</f>
        <v>Posted Credit Note</v>
      </c>
    </row>
    <row r="3945" spans="1:17" x14ac:dyDescent="0.3">
      <c r="A3945" s="1">
        <v>46252</v>
      </c>
      <c r="B3945" t="s">
        <v>1825</v>
      </c>
      <c r="C3945" t="s">
        <v>508</v>
      </c>
      <c r="D3945" t="s">
        <v>509</v>
      </c>
      <c r="E3945" t="s">
        <v>8</v>
      </c>
      <c r="F3945" t="s">
        <v>10</v>
      </c>
      <c r="G3945" s="16">
        <v>236.66669999999999</v>
      </c>
      <c r="H3945" s="16">
        <v>272.16669999999999</v>
      </c>
      <c r="I3945" s="1">
        <v>46251</v>
      </c>
      <c r="J3945">
        <v>7</v>
      </c>
      <c r="K3945" t="s">
        <v>8068</v>
      </c>
      <c r="L3945" t="s">
        <v>10465</v>
      </c>
      <c r="M3945">
        <v>0</v>
      </c>
      <c r="N3945">
        <v>9</v>
      </c>
      <c r="O3945" t="s">
        <v>1036</v>
      </c>
      <c r="P3945" s="17"/>
      <c r="Q3945" s="17" t="str">
        <f>_xlfn.XLOOKUP(Table2[[#This Row],[buyFromVendorNo]],'Next Day Scheduled'!A:A,'Pending Returns'!O:O,"NOT_FOUND")</f>
        <v>Posted Credit Note</v>
      </c>
    </row>
    <row r="3946" spans="1:17" x14ac:dyDescent="0.3">
      <c r="A3946" s="1">
        <v>46252</v>
      </c>
      <c r="B3946" t="s">
        <v>642</v>
      </c>
      <c r="C3946" t="s">
        <v>905</v>
      </c>
      <c r="D3946" t="s">
        <v>906</v>
      </c>
      <c r="E3946" t="s">
        <v>8</v>
      </c>
      <c r="F3946" t="s">
        <v>38</v>
      </c>
      <c r="G3946" s="16">
        <v>89.2</v>
      </c>
      <c r="H3946" s="16">
        <v>102.58</v>
      </c>
      <c r="I3946" s="1">
        <v>46254</v>
      </c>
      <c r="J3946">
        <v>7</v>
      </c>
      <c r="K3946" t="s">
        <v>9728</v>
      </c>
      <c r="L3946" t="s">
        <v>10747</v>
      </c>
      <c r="M3946">
        <v>1</v>
      </c>
      <c r="N3946">
        <v>5</v>
      </c>
      <c r="O3946" t="s">
        <v>1036</v>
      </c>
      <c r="P3946" s="17"/>
      <c r="Q3946" s="17" t="str">
        <f>_xlfn.XLOOKUP(Table2[[#This Row],[buyFromVendorNo]],'Next Day Scheduled'!A:A,'Pending Returns'!O:O,"NOT_FOUND")</f>
        <v>NOT_FOUND</v>
      </c>
    </row>
    <row r="3947" spans="1:17" x14ac:dyDescent="0.3">
      <c r="A3947" s="1">
        <v>46252</v>
      </c>
      <c r="B3947" t="s">
        <v>642</v>
      </c>
      <c r="C3947" t="s">
        <v>398</v>
      </c>
      <c r="D3947" t="s">
        <v>399</v>
      </c>
      <c r="E3947" t="s">
        <v>8</v>
      </c>
      <c r="F3947" t="s">
        <v>38</v>
      </c>
      <c r="G3947" s="16">
        <v>185.86958000000001</v>
      </c>
      <c r="H3947" s="16">
        <v>213.75003000000001</v>
      </c>
      <c r="I3947" s="1">
        <v>46240</v>
      </c>
      <c r="J3947">
        <v>7</v>
      </c>
      <c r="K3947" t="s">
        <v>7507</v>
      </c>
      <c r="L3947" t="s">
        <v>10455</v>
      </c>
      <c r="M3947">
        <v>0</v>
      </c>
      <c r="N3947">
        <v>12</v>
      </c>
      <c r="O3947" t="s">
        <v>1036</v>
      </c>
      <c r="P3947" s="17"/>
      <c r="Q3947" s="17" t="str">
        <f>_xlfn.XLOOKUP(Table2[[#This Row],[buyFromVendorNo]],'Next Day Scheduled'!A:A,'Pending Returns'!O:O,"NOT_FOUND")</f>
        <v>Posted Credit Note</v>
      </c>
    </row>
    <row r="3948" spans="1:17" x14ac:dyDescent="0.3">
      <c r="A3948" s="1">
        <v>46252</v>
      </c>
      <c r="B3948" t="s">
        <v>642</v>
      </c>
      <c r="C3948" t="s">
        <v>7440</v>
      </c>
      <c r="D3948" t="s">
        <v>7441</v>
      </c>
      <c r="E3948" t="s">
        <v>8</v>
      </c>
      <c r="F3948" t="s">
        <v>38</v>
      </c>
      <c r="G3948" s="16">
        <v>43.115940000000002</v>
      </c>
      <c r="H3948" s="16">
        <v>49.583329999999997</v>
      </c>
      <c r="I3948" s="1">
        <v>46252</v>
      </c>
      <c r="J3948">
        <v>7</v>
      </c>
      <c r="K3948" t="s">
        <v>10362</v>
      </c>
      <c r="L3948" t="s">
        <v>10489</v>
      </c>
      <c r="M3948">
        <v>2</v>
      </c>
      <c r="N3948">
        <v>1</v>
      </c>
      <c r="O3948" t="s">
        <v>1036</v>
      </c>
      <c r="P3948" s="17"/>
      <c r="Q3948" s="17" t="str">
        <f>_xlfn.XLOOKUP(Table2[[#This Row],[buyFromVendorNo]],'Next Day Scheduled'!A:A,'Pending Returns'!O:O,"NOT_FOUND")</f>
        <v>NOT_FOUND</v>
      </c>
    </row>
    <row r="3949" spans="1:17" x14ac:dyDescent="0.3">
      <c r="A3949" s="1">
        <v>46252</v>
      </c>
      <c r="B3949" t="s">
        <v>3557</v>
      </c>
      <c r="C3949" t="s">
        <v>71</v>
      </c>
      <c r="D3949" t="s">
        <v>72</v>
      </c>
      <c r="E3949" t="s">
        <v>8</v>
      </c>
      <c r="F3949" t="s">
        <v>10</v>
      </c>
      <c r="G3949" s="16">
        <v>2339.5862000000002</v>
      </c>
      <c r="H3949" s="16">
        <v>2690.5239999999999</v>
      </c>
      <c r="I3949" s="1">
        <v>46252</v>
      </c>
      <c r="J3949">
        <v>7</v>
      </c>
      <c r="K3949" t="s">
        <v>9976</v>
      </c>
      <c r="L3949" t="s">
        <v>10466</v>
      </c>
      <c r="M3949">
        <v>0</v>
      </c>
      <c r="N3949">
        <v>8</v>
      </c>
      <c r="O3949" t="s">
        <v>1036</v>
      </c>
      <c r="P3949" s="17"/>
      <c r="Q3949" s="17" t="str">
        <f>_xlfn.XLOOKUP(Table2[[#This Row],[buyFromVendorNo]],'Next Day Scheduled'!A:A,'Pending Returns'!O:O,"NOT_FOUND")</f>
        <v>Posted Credit Note</v>
      </c>
    </row>
    <row r="3950" spans="1:17" x14ac:dyDescent="0.3">
      <c r="A3950" s="1">
        <v>46252</v>
      </c>
      <c r="B3950" t="s">
        <v>1995</v>
      </c>
      <c r="C3950" t="s">
        <v>633</v>
      </c>
      <c r="D3950" t="s">
        <v>690</v>
      </c>
      <c r="E3950" t="s">
        <v>8</v>
      </c>
      <c r="F3950" t="s">
        <v>10</v>
      </c>
      <c r="G3950" s="16">
        <v>788.59500000000003</v>
      </c>
      <c r="H3950" s="16">
        <v>906.88430000000005</v>
      </c>
      <c r="J3950">
        <v>7</v>
      </c>
      <c r="K3950" t="s">
        <v>10541</v>
      </c>
      <c r="M3950">
        <v>1</v>
      </c>
      <c r="N3950">
        <v>6</v>
      </c>
      <c r="O3950" t="s">
        <v>216</v>
      </c>
      <c r="P3950" s="17"/>
      <c r="Q3950" s="17" t="str">
        <f>_xlfn.XLOOKUP(Table2[[#This Row],[buyFromVendorNo]],'Next Day Scheduled'!A:A,'Pending Returns'!O:O,"NOT_FOUND")</f>
        <v>NOT_FOUND</v>
      </c>
    </row>
    <row r="3951" spans="1:17" x14ac:dyDescent="0.3">
      <c r="A3951" s="1">
        <v>46252</v>
      </c>
      <c r="B3951" t="s">
        <v>1972</v>
      </c>
      <c r="C3951" t="s">
        <v>75</v>
      </c>
      <c r="D3951" t="s">
        <v>76</v>
      </c>
      <c r="E3951" t="s">
        <v>8</v>
      </c>
      <c r="F3951" t="s">
        <v>169</v>
      </c>
      <c r="G3951" s="16">
        <v>289.625</v>
      </c>
      <c r="H3951" s="16">
        <v>333.06876</v>
      </c>
      <c r="J3951">
        <v>7</v>
      </c>
      <c r="K3951" t="s">
        <v>10491</v>
      </c>
      <c r="M3951">
        <v>1</v>
      </c>
      <c r="N3951">
        <v>3</v>
      </c>
      <c r="O3951" t="s">
        <v>216</v>
      </c>
      <c r="P3951" s="17"/>
      <c r="Q3951" s="17" t="str">
        <f>_xlfn.XLOOKUP(Table2[[#This Row],[buyFromVendorNo]],'Next Day Scheduled'!A:A,'Pending Returns'!O:O,"NOT_FOUND")</f>
        <v>Posted Credit Note</v>
      </c>
    </row>
    <row r="3952" spans="1:17" x14ac:dyDescent="0.3">
      <c r="A3952" s="1">
        <v>46252</v>
      </c>
      <c r="B3952" t="s">
        <v>4032</v>
      </c>
      <c r="C3952" t="s">
        <v>2315</v>
      </c>
      <c r="D3952" t="s">
        <v>2316</v>
      </c>
      <c r="E3952" t="s">
        <v>8</v>
      </c>
      <c r="F3952" t="s">
        <v>10</v>
      </c>
      <c r="G3952" s="16">
        <v>300.02999999999997</v>
      </c>
      <c r="H3952" s="16">
        <v>345.03449999999998</v>
      </c>
      <c r="I3952" s="1">
        <v>46246</v>
      </c>
      <c r="J3952">
        <v>7</v>
      </c>
      <c r="K3952" t="s">
        <v>9459</v>
      </c>
      <c r="L3952" t="s">
        <v>10492</v>
      </c>
      <c r="M3952">
        <v>0</v>
      </c>
      <c r="N3952">
        <v>61</v>
      </c>
      <c r="O3952" t="s">
        <v>1036</v>
      </c>
      <c r="P3952" s="17"/>
      <c r="Q3952" s="17" t="str">
        <f>_xlfn.XLOOKUP(Table2[[#This Row],[buyFromVendorNo]],'Next Day Scheduled'!A:A,'Pending Returns'!O:O,"NOT_FOUND")</f>
        <v>NOT_FOUND</v>
      </c>
    </row>
    <row r="3953" spans="1:17" x14ac:dyDescent="0.3">
      <c r="A3953" s="1">
        <v>46252</v>
      </c>
      <c r="B3953" t="s">
        <v>5239</v>
      </c>
      <c r="C3953" t="s">
        <v>199</v>
      </c>
      <c r="D3953" t="s">
        <v>200</v>
      </c>
      <c r="E3953" t="s">
        <v>8</v>
      </c>
      <c r="F3953" t="s">
        <v>10</v>
      </c>
      <c r="G3953" s="16">
        <v>379</v>
      </c>
      <c r="H3953" s="16">
        <v>435.85</v>
      </c>
      <c r="J3953">
        <v>7</v>
      </c>
      <c r="K3953" t="s">
        <v>10542</v>
      </c>
      <c r="M3953">
        <v>1</v>
      </c>
      <c r="N3953">
        <v>6</v>
      </c>
      <c r="O3953" t="s">
        <v>216</v>
      </c>
      <c r="P3953" s="17"/>
      <c r="Q3953" s="17" t="str">
        <f>_xlfn.XLOOKUP(Table2[[#This Row],[buyFromVendorNo]],'Next Day Scheduled'!A:A,'Pending Returns'!O:O,"NOT_FOUND")</f>
        <v>NOT_FOUND</v>
      </c>
    </row>
    <row r="3954" spans="1:17" x14ac:dyDescent="0.3">
      <c r="A3954" s="1">
        <v>46252</v>
      </c>
      <c r="B3954" t="s">
        <v>7298</v>
      </c>
      <c r="C3954" t="s">
        <v>987</v>
      </c>
      <c r="D3954" t="s">
        <v>988</v>
      </c>
      <c r="E3954" t="s">
        <v>8</v>
      </c>
      <c r="F3954" t="s">
        <v>10</v>
      </c>
      <c r="G3954" s="16">
        <v>36</v>
      </c>
      <c r="H3954" s="16">
        <v>41.4</v>
      </c>
      <c r="J3954">
        <v>7</v>
      </c>
      <c r="K3954" t="s">
        <v>10520</v>
      </c>
      <c r="M3954">
        <v>0</v>
      </c>
      <c r="N3954">
        <v>240</v>
      </c>
      <c r="O3954" t="s">
        <v>216</v>
      </c>
      <c r="P3954" s="17"/>
      <c r="Q3954" s="17" t="str">
        <f>_xlfn.XLOOKUP(Table2[[#This Row],[buyFromVendorNo]],'Next Day Scheduled'!A:A,'Pending Returns'!O:O,"NOT_FOUND")</f>
        <v>NOT_FOUND</v>
      </c>
    </row>
    <row r="3955" spans="1:17" x14ac:dyDescent="0.3">
      <c r="A3955" s="1">
        <v>46252</v>
      </c>
      <c r="B3955" t="s">
        <v>5330</v>
      </c>
      <c r="C3955" t="s">
        <v>69</v>
      </c>
      <c r="D3955" t="s">
        <v>70</v>
      </c>
      <c r="E3955" t="s">
        <v>8</v>
      </c>
      <c r="F3955" t="s">
        <v>10</v>
      </c>
      <c r="G3955" s="16">
        <v>4520.8100000000004</v>
      </c>
      <c r="H3955" s="16">
        <v>5198.9315999999999</v>
      </c>
      <c r="J3955">
        <v>7</v>
      </c>
      <c r="K3955" t="s">
        <v>10552</v>
      </c>
      <c r="M3955">
        <v>7</v>
      </c>
      <c r="N3955">
        <v>1</v>
      </c>
      <c r="O3955" t="s">
        <v>216</v>
      </c>
      <c r="P3955" s="17"/>
      <c r="Q3955" s="17" t="str">
        <f>_xlfn.XLOOKUP(Table2[[#This Row],[buyFromVendorNo]],'Next Day Scheduled'!A:A,'Pending Returns'!O:O,"NOT_FOUND")</f>
        <v>Posted Credit Note</v>
      </c>
    </row>
    <row r="3956" spans="1:17" x14ac:dyDescent="0.3">
      <c r="A3956" s="1">
        <v>46252</v>
      </c>
      <c r="B3956" t="s">
        <v>642</v>
      </c>
      <c r="C3956" t="s">
        <v>398</v>
      </c>
      <c r="D3956" t="s">
        <v>399</v>
      </c>
      <c r="E3956" t="s">
        <v>8</v>
      </c>
      <c r="F3956" t="s">
        <v>38</v>
      </c>
      <c r="G3956" s="16">
        <v>1030.2505000000001</v>
      </c>
      <c r="H3956" s="16">
        <v>1184.788</v>
      </c>
      <c r="I3956" s="1">
        <v>46240</v>
      </c>
      <c r="J3956">
        <v>7</v>
      </c>
      <c r="K3956" t="s">
        <v>7986</v>
      </c>
      <c r="L3956" t="s">
        <v>10459</v>
      </c>
      <c r="M3956">
        <v>0</v>
      </c>
      <c r="N3956">
        <v>12</v>
      </c>
      <c r="O3956" t="s">
        <v>1036</v>
      </c>
      <c r="P3956" s="17"/>
      <c r="Q3956" s="17" t="str">
        <f>_xlfn.XLOOKUP(Table2[[#This Row],[buyFromVendorNo]],'Next Day Scheduled'!A:A,'Pending Returns'!O:O,"NOT_FOUND")</f>
        <v>Posted Credit Note</v>
      </c>
    </row>
    <row r="3957" spans="1:17" x14ac:dyDescent="0.3">
      <c r="A3957" s="1">
        <v>46252</v>
      </c>
      <c r="B3957" t="s">
        <v>642</v>
      </c>
      <c r="C3957" t="s">
        <v>398</v>
      </c>
      <c r="D3957" t="s">
        <v>399</v>
      </c>
      <c r="E3957" t="s">
        <v>8</v>
      </c>
      <c r="F3957" t="s">
        <v>38</v>
      </c>
      <c r="G3957" s="16">
        <v>520.53954999999996</v>
      </c>
      <c r="H3957" s="16">
        <v>598.62049999999999</v>
      </c>
      <c r="I3957" s="1">
        <v>46240</v>
      </c>
      <c r="J3957">
        <v>7</v>
      </c>
      <c r="K3957" t="s">
        <v>7759</v>
      </c>
      <c r="L3957" t="s">
        <v>10496</v>
      </c>
      <c r="M3957">
        <v>0</v>
      </c>
      <c r="N3957">
        <v>12</v>
      </c>
      <c r="O3957" t="s">
        <v>1036</v>
      </c>
      <c r="P3957" s="17"/>
      <c r="Q3957" s="17" t="str">
        <f>_xlfn.XLOOKUP(Table2[[#This Row],[buyFromVendorNo]],'Next Day Scheduled'!A:A,'Pending Returns'!O:O,"NOT_FOUND")</f>
        <v>Posted Credit Note</v>
      </c>
    </row>
    <row r="3958" spans="1:17" x14ac:dyDescent="0.3">
      <c r="A3958" s="1">
        <v>46252</v>
      </c>
      <c r="B3958" t="s">
        <v>5284</v>
      </c>
      <c r="C3958" t="s">
        <v>361</v>
      </c>
      <c r="D3958" t="s">
        <v>7334</v>
      </c>
      <c r="E3958" t="s">
        <v>8</v>
      </c>
      <c r="F3958" t="s">
        <v>10</v>
      </c>
      <c r="G3958" s="16">
        <v>23.75</v>
      </c>
      <c r="H3958" s="16">
        <v>27.3125</v>
      </c>
      <c r="J3958">
        <v>7</v>
      </c>
      <c r="K3958" t="s">
        <v>10538</v>
      </c>
      <c r="M3958">
        <v>2</v>
      </c>
      <c r="N3958">
        <v>2</v>
      </c>
      <c r="O3958" t="s">
        <v>216</v>
      </c>
      <c r="P3958" s="17"/>
      <c r="Q3958" s="17" t="str">
        <f>_xlfn.XLOOKUP(Table2[[#This Row],[buyFromVendorNo]],'Next Day Scheduled'!A:A,'Pending Returns'!O:O,"NOT_FOUND")</f>
        <v>NOT_FOUND</v>
      </c>
    </row>
    <row r="3959" spans="1:17" x14ac:dyDescent="0.3">
      <c r="A3959" s="1">
        <v>46252</v>
      </c>
      <c r="B3959" t="s">
        <v>2220</v>
      </c>
      <c r="C3959" t="s">
        <v>57</v>
      </c>
      <c r="D3959" t="s">
        <v>58</v>
      </c>
      <c r="E3959" t="s">
        <v>8</v>
      </c>
      <c r="F3959" t="s">
        <v>10</v>
      </c>
      <c r="G3959" s="16">
        <v>1019.5</v>
      </c>
      <c r="H3959" s="16">
        <v>1172.425</v>
      </c>
      <c r="J3959">
        <v>7</v>
      </c>
      <c r="K3959" t="s">
        <v>10554</v>
      </c>
      <c r="M3959">
        <v>0</v>
      </c>
      <c r="N3959">
        <v>8</v>
      </c>
      <c r="O3959" t="s">
        <v>216</v>
      </c>
      <c r="P3959" s="17"/>
      <c r="Q3959" s="17" t="str">
        <f>_xlfn.XLOOKUP(Table2[[#This Row],[buyFromVendorNo]],'Next Day Scheduled'!A:A,'Pending Returns'!O:O,"NOT_FOUND")</f>
        <v>Posted Credit Note</v>
      </c>
    </row>
    <row r="3960" spans="1:17" x14ac:dyDescent="0.3">
      <c r="A3960" s="1">
        <v>46252</v>
      </c>
      <c r="B3960" t="s">
        <v>642</v>
      </c>
      <c r="C3960" t="s">
        <v>71</v>
      </c>
      <c r="D3960" t="s">
        <v>72</v>
      </c>
      <c r="E3960" t="s">
        <v>8</v>
      </c>
      <c r="F3960" t="s">
        <v>38</v>
      </c>
      <c r="G3960" s="16">
        <v>2938.261</v>
      </c>
      <c r="H3960" s="16">
        <v>3379.0001999999999</v>
      </c>
      <c r="I3960" s="1">
        <v>46251</v>
      </c>
      <c r="J3960">
        <v>7</v>
      </c>
      <c r="K3960" t="s">
        <v>8732</v>
      </c>
      <c r="L3960" t="s">
        <v>10481</v>
      </c>
      <c r="M3960">
        <v>1</v>
      </c>
      <c r="N3960">
        <v>7</v>
      </c>
      <c r="O3960" t="s">
        <v>1036</v>
      </c>
      <c r="P3960" s="17"/>
      <c r="Q3960" s="17" t="str">
        <f>_xlfn.XLOOKUP(Table2[[#This Row],[buyFromVendorNo]],'Next Day Scheduled'!A:A,'Pending Returns'!O:O,"NOT_FOUND")</f>
        <v>Posted Credit Note</v>
      </c>
    </row>
    <row r="3961" spans="1:17" x14ac:dyDescent="0.3">
      <c r="A3961" s="1">
        <v>46252</v>
      </c>
      <c r="B3961" t="s">
        <v>3494</v>
      </c>
      <c r="C3961" t="s">
        <v>2779</v>
      </c>
      <c r="D3961" t="s">
        <v>2780</v>
      </c>
      <c r="E3961" t="s">
        <v>8</v>
      </c>
      <c r="F3961" t="s">
        <v>10</v>
      </c>
      <c r="G3961" s="16">
        <v>13.32</v>
      </c>
      <c r="H3961" s="16">
        <v>15.318</v>
      </c>
      <c r="I3961" s="1">
        <v>46248</v>
      </c>
      <c r="J3961">
        <v>7</v>
      </c>
      <c r="K3961" t="s">
        <v>8778</v>
      </c>
      <c r="L3961" t="s">
        <v>10450</v>
      </c>
      <c r="M3961">
        <v>0</v>
      </c>
      <c r="N3961">
        <v>136</v>
      </c>
      <c r="O3961" t="s">
        <v>1036</v>
      </c>
      <c r="P3961" s="17"/>
      <c r="Q3961" s="17" t="str">
        <f>_xlfn.XLOOKUP(Table2[[#This Row],[buyFromVendorNo]],'Next Day Scheduled'!A:A,'Pending Returns'!O:O,"NOT_FOUND")</f>
        <v>NOT_FOUND</v>
      </c>
    </row>
    <row r="3962" spans="1:17" x14ac:dyDescent="0.3">
      <c r="A3962" s="1">
        <v>46252</v>
      </c>
      <c r="B3962" t="s">
        <v>3259</v>
      </c>
      <c r="C3962" t="s">
        <v>504</v>
      </c>
      <c r="D3962" t="s">
        <v>505</v>
      </c>
      <c r="E3962" t="s">
        <v>8</v>
      </c>
      <c r="F3962" t="s">
        <v>10</v>
      </c>
      <c r="G3962" s="16">
        <v>45</v>
      </c>
      <c r="H3962" s="16">
        <v>51.75</v>
      </c>
      <c r="I3962" s="1">
        <v>46252</v>
      </c>
      <c r="J3962">
        <v>7</v>
      </c>
      <c r="K3962" t="s">
        <v>9887</v>
      </c>
      <c r="L3962" t="s">
        <v>10484</v>
      </c>
      <c r="M3962">
        <v>0</v>
      </c>
      <c r="N3962">
        <v>13</v>
      </c>
      <c r="O3962" t="s">
        <v>1036</v>
      </c>
      <c r="P3962" s="17"/>
      <c r="Q3962" s="17" t="str">
        <f>_xlfn.XLOOKUP(Table2[[#This Row],[buyFromVendorNo]],'Next Day Scheduled'!A:A,'Pending Returns'!O:O,"NOT_FOUND")</f>
        <v>NOT_FOUND</v>
      </c>
    </row>
    <row r="3963" spans="1:17" x14ac:dyDescent="0.3">
      <c r="A3963" s="1">
        <v>46252</v>
      </c>
      <c r="B3963" t="s">
        <v>1778</v>
      </c>
      <c r="C3963" t="s">
        <v>304</v>
      </c>
      <c r="D3963" t="s">
        <v>307</v>
      </c>
      <c r="E3963" t="s">
        <v>8</v>
      </c>
      <c r="F3963" t="s">
        <v>10</v>
      </c>
      <c r="G3963" s="16">
        <v>1728.4087999999999</v>
      </c>
      <c r="H3963" s="16">
        <v>1987.67</v>
      </c>
      <c r="J3963">
        <v>7</v>
      </c>
      <c r="K3963" t="s">
        <v>10549</v>
      </c>
      <c r="M3963">
        <v>1</v>
      </c>
      <c r="N3963">
        <v>6</v>
      </c>
      <c r="O3963" t="s">
        <v>216</v>
      </c>
      <c r="P3963" s="17"/>
      <c r="Q3963" s="17" t="str">
        <f>_xlfn.XLOOKUP(Table2[[#This Row],[buyFromVendorNo]],'Next Day Scheduled'!A:A,'Pending Returns'!O:O,"NOT_FOUND")</f>
        <v>NOT_FOUND</v>
      </c>
    </row>
    <row r="3964" spans="1:17" x14ac:dyDescent="0.3">
      <c r="A3964" s="1">
        <v>46252</v>
      </c>
      <c r="B3964" t="s">
        <v>6286</v>
      </c>
      <c r="C3964" t="s">
        <v>886</v>
      </c>
      <c r="D3964" t="s">
        <v>887</v>
      </c>
      <c r="E3964" t="s">
        <v>8</v>
      </c>
      <c r="F3964" t="s">
        <v>38</v>
      </c>
      <c r="G3964" s="16">
        <v>7788.46</v>
      </c>
      <c r="H3964" s="16">
        <v>8956.7289999999994</v>
      </c>
      <c r="I3964" s="1">
        <v>46246</v>
      </c>
      <c r="J3964">
        <v>7</v>
      </c>
      <c r="K3964" t="s">
        <v>9352</v>
      </c>
      <c r="L3964" t="s">
        <v>10462</v>
      </c>
      <c r="M3964">
        <v>1</v>
      </c>
      <c r="N3964">
        <v>6</v>
      </c>
      <c r="O3964" t="s">
        <v>1036</v>
      </c>
      <c r="P3964" s="17"/>
      <c r="Q3964" s="17" t="str">
        <f>_xlfn.XLOOKUP(Table2[[#This Row],[buyFromVendorNo]],'Next Day Scheduled'!A:A,'Pending Returns'!O:O,"NOT_FOUND")</f>
        <v>NOT_FOUND</v>
      </c>
    </row>
    <row r="3965" spans="1:17" x14ac:dyDescent="0.3">
      <c r="A3965" s="1">
        <v>46252</v>
      </c>
      <c r="B3965" t="s">
        <v>5299</v>
      </c>
      <c r="C3965" t="s">
        <v>75</v>
      </c>
      <c r="D3965" t="s">
        <v>76</v>
      </c>
      <c r="E3965" t="s">
        <v>8</v>
      </c>
      <c r="F3965" t="s">
        <v>10</v>
      </c>
      <c r="G3965" s="16">
        <v>15.66</v>
      </c>
      <c r="H3965" s="16">
        <v>18.009</v>
      </c>
      <c r="I3965" s="1">
        <v>46239</v>
      </c>
      <c r="J3965">
        <v>7</v>
      </c>
      <c r="K3965" t="s">
        <v>5300</v>
      </c>
      <c r="L3965" t="s">
        <v>10463</v>
      </c>
      <c r="M3965">
        <v>1</v>
      </c>
      <c r="N3965">
        <v>5</v>
      </c>
      <c r="O3965" t="s">
        <v>1036</v>
      </c>
      <c r="P3965" s="17"/>
      <c r="Q3965" s="17" t="str">
        <f>_xlfn.XLOOKUP(Table2[[#This Row],[buyFromVendorNo]],'Next Day Scheduled'!A:A,'Pending Returns'!O:O,"NOT_FOUND")</f>
        <v>Posted Credit Note</v>
      </c>
    </row>
    <row r="3966" spans="1:17" x14ac:dyDescent="0.3">
      <c r="A3966" s="1">
        <v>46252</v>
      </c>
      <c r="B3966" t="s">
        <v>642</v>
      </c>
      <c r="C3966" t="s">
        <v>398</v>
      </c>
      <c r="D3966" t="s">
        <v>399</v>
      </c>
      <c r="E3966" t="s">
        <v>8</v>
      </c>
      <c r="F3966" t="s">
        <v>38</v>
      </c>
      <c r="G3966" s="16">
        <v>533.02435000000003</v>
      </c>
      <c r="H3966" s="16">
        <v>612.97799999999995</v>
      </c>
      <c r="I3966" s="1">
        <v>46240</v>
      </c>
      <c r="J3966">
        <v>7</v>
      </c>
      <c r="K3966" t="s">
        <v>8071</v>
      </c>
      <c r="L3966" t="s">
        <v>10487</v>
      </c>
      <c r="M3966">
        <v>0</v>
      </c>
      <c r="N3966">
        <v>12</v>
      </c>
      <c r="O3966" t="s">
        <v>1036</v>
      </c>
      <c r="P3966" s="17"/>
      <c r="Q3966" s="17" t="str">
        <f>_xlfn.XLOOKUP(Table2[[#This Row],[buyFromVendorNo]],'Next Day Scheduled'!A:A,'Pending Returns'!O:O,"NOT_FOUND")</f>
        <v>Posted Credit Note</v>
      </c>
    </row>
    <row r="3967" spans="1:17" x14ac:dyDescent="0.3">
      <c r="A3967" s="1">
        <v>46252</v>
      </c>
      <c r="B3967" t="s">
        <v>642</v>
      </c>
      <c r="C3967" t="s">
        <v>398</v>
      </c>
      <c r="D3967" t="s">
        <v>399</v>
      </c>
      <c r="E3967" t="s">
        <v>8</v>
      </c>
      <c r="F3967" t="s">
        <v>38</v>
      </c>
      <c r="G3967" s="16">
        <v>375.48</v>
      </c>
      <c r="H3967" s="16">
        <v>431.80200000000002</v>
      </c>
      <c r="I3967" s="1">
        <v>46240</v>
      </c>
      <c r="J3967">
        <v>7</v>
      </c>
      <c r="K3967" t="s">
        <v>7417</v>
      </c>
      <c r="L3967" t="s">
        <v>10488</v>
      </c>
      <c r="M3967">
        <v>0</v>
      </c>
      <c r="N3967">
        <v>12</v>
      </c>
      <c r="O3967" t="s">
        <v>1036</v>
      </c>
      <c r="P3967" s="17"/>
      <c r="Q3967" s="17" t="str">
        <f>_xlfn.XLOOKUP(Table2[[#This Row],[buyFromVendorNo]],'Next Day Scheduled'!A:A,'Pending Returns'!O:O,"NOT_FOUND")</f>
        <v>Posted Credit Note</v>
      </c>
    </row>
    <row r="3968" spans="1:17" x14ac:dyDescent="0.3">
      <c r="A3968" s="1">
        <v>46252</v>
      </c>
      <c r="B3968" t="s">
        <v>642</v>
      </c>
      <c r="C3968" t="s">
        <v>398</v>
      </c>
      <c r="D3968" t="s">
        <v>399</v>
      </c>
      <c r="E3968" t="s">
        <v>8</v>
      </c>
      <c r="F3968" t="s">
        <v>38</v>
      </c>
      <c r="G3968" s="16">
        <v>812.85299999999995</v>
      </c>
      <c r="H3968" s="16">
        <v>934.78093999999999</v>
      </c>
      <c r="I3968" s="1">
        <v>46240</v>
      </c>
      <c r="J3968">
        <v>7</v>
      </c>
      <c r="K3968" t="s">
        <v>8377</v>
      </c>
      <c r="L3968" t="s">
        <v>10454</v>
      </c>
      <c r="M3968">
        <v>0</v>
      </c>
      <c r="N3968">
        <v>12</v>
      </c>
      <c r="O3968" t="s">
        <v>1036</v>
      </c>
      <c r="P3968" s="17"/>
      <c r="Q3968" s="17" t="str">
        <f>_xlfn.XLOOKUP(Table2[[#This Row],[buyFromVendorNo]],'Next Day Scheduled'!A:A,'Pending Returns'!O:O,"NOT_FOUND")</f>
        <v>Posted Credit Note</v>
      </c>
    </row>
    <row r="3969" spans="1:17" x14ac:dyDescent="0.3">
      <c r="A3969" s="1">
        <v>46252</v>
      </c>
      <c r="B3969" t="s">
        <v>6286</v>
      </c>
      <c r="C3969" t="s">
        <v>808</v>
      </c>
      <c r="D3969" t="s">
        <v>904</v>
      </c>
      <c r="E3969" t="s">
        <v>8</v>
      </c>
      <c r="F3969" t="s">
        <v>38</v>
      </c>
      <c r="G3969" s="16">
        <v>2302.607</v>
      </c>
      <c r="H3969" s="16">
        <v>2647.998</v>
      </c>
      <c r="I3969" s="1">
        <v>46245</v>
      </c>
      <c r="J3969">
        <v>7</v>
      </c>
      <c r="K3969" t="s">
        <v>9742</v>
      </c>
      <c r="L3969" t="s">
        <v>10490</v>
      </c>
      <c r="M3969">
        <v>2</v>
      </c>
      <c r="N3969">
        <v>2</v>
      </c>
      <c r="O3969" t="s">
        <v>1036</v>
      </c>
      <c r="P3969" s="17"/>
      <c r="Q3969" s="17" t="str">
        <f>_xlfn.XLOOKUP(Table2[[#This Row],[buyFromVendorNo]],'Next Day Scheduled'!A:A,'Pending Returns'!O:O,"NOT_FOUND")</f>
        <v>NOT_FOUND</v>
      </c>
    </row>
    <row r="3970" spans="1:17" x14ac:dyDescent="0.3">
      <c r="A3970" s="1">
        <v>46252</v>
      </c>
      <c r="B3970" t="s">
        <v>642</v>
      </c>
      <c r="C3970" t="s">
        <v>398</v>
      </c>
      <c r="D3970" t="s">
        <v>399</v>
      </c>
      <c r="E3970" t="s">
        <v>8</v>
      </c>
      <c r="F3970" t="s">
        <v>38</v>
      </c>
      <c r="G3970" s="16">
        <v>569.17565999999999</v>
      </c>
      <c r="H3970" s="16">
        <v>654.55200000000002</v>
      </c>
      <c r="I3970" s="1">
        <v>46240</v>
      </c>
      <c r="J3970">
        <v>7</v>
      </c>
      <c r="K3970" t="s">
        <v>7919</v>
      </c>
      <c r="L3970" t="s">
        <v>10473</v>
      </c>
      <c r="M3970">
        <v>0</v>
      </c>
      <c r="N3970">
        <v>12</v>
      </c>
      <c r="O3970" t="s">
        <v>1036</v>
      </c>
      <c r="P3970" s="17"/>
      <c r="Q3970" s="17" t="str">
        <f>_xlfn.XLOOKUP(Table2[[#This Row],[buyFromVendorNo]],'Next Day Scheduled'!A:A,'Pending Returns'!O:O,"NOT_FOUND")</f>
        <v>Posted Credit Note</v>
      </c>
    </row>
    <row r="3971" spans="1:17" x14ac:dyDescent="0.3">
      <c r="A3971" s="1">
        <v>46252</v>
      </c>
      <c r="B3971" t="s">
        <v>642</v>
      </c>
      <c r="C3971" t="s">
        <v>63</v>
      </c>
      <c r="D3971" t="s">
        <v>64</v>
      </c>
      <c r="E3971" t="s">
        <v>8</v>
      </c>
      <c r="F3971" t="s">
        <v>38</v>
      </c>
      <c r="G3971" s="16">
        <v>13478.846</v>
      </c>
      <c r="H3971" s="16">
        <v>15500.673000000001</v>
      </c>
      <c r="J3971">
        <v>7</v>
      </c>
      <c r="K3971" t="s">
        <v>10456</v>
      </c>
      <c r="M3971">
        <v>1</v>
      </c>
      <c r="N3971">
        <v>3</v>
      </c>
      <c r="O3971" t="s">
        <v>216</v>
      </c>
      <c r="P3971" s="17"/>
      <c r="Q3971" s="17" t="str">
        <f>_xlfn.XLOOKUP(Table2[[#This Row],[buyFromVendorNo]],'Next Day Scheduled'!A:A,'Pending Returns'!O:O,"NOT_FOUND")</f>
        <v>NOT_FOUND</v>
      </c>
    </row>
    <row r="3972" spans="1:17" x14ac:dyDescent="0.3">
      <c r="A3972" s="1">
        <v>46252</v>
      </c>
      <c r="B3972" t="s">
        <v>6390</v>
      </c>
      <c r="C3972" t="s">
        <v>508</v>
      </c>
      <c r="D3972" t="s">
        <v>509</v>
      </c>
      <c r="E3972" t="s">
        <v>8</v>
      </c>
      <c r="F3972" t="s">
        <v>10</v>
      </c>
      <c r="G3972" s="16">
        <v>71.000010000000003</v>
      </c>
      <c r="H3972" s="16">
        <v>81.650009999999995</v>
      </c>
      <c r="I3972" s="1">
        <v>46251</v>
      </c>
      <c r="J3972">
        <v>7</v>
      </c>
      <c r="K3972" t="s">
        <v>8680</v>
      </c>
      <c r="L3972" t="s">
        <v>10458</v>
      </c>
      <c r="M3972">
        <v>0</v>
      </c>
      <c r="N3972">
        <v>9</v>
      </c>
      <c r="O3972" t="s">
        <v>1036</v>
      </c>
      <c r="P3972" s="17"/>
      <c r="Q3972" s="17" t="str">
        <f>_xlfn.XLOOKUP(Table2[[#This Row],[buyFromVendorNo]],'Next Day Scheduled'!A:A,'Pending Returns'!O:O,"NOT_FOUND")</f>
        <v>Posted Credit Note</v>
      </c>
    </row>
    <row r="3973" spans="1:17" x14ac:dyDescent="0.3">
      <c r="A3973" s="1">
        <v>46252</v>
      </c>
      <c r="B3973" t="s">
        <v>8200</v>
      </c>
      <c r="C3973" t="s">
        <v>508</v>
      </c>
      <c r="D3973" t="s">
        <v>509</v>
      </c>
      <c r="E3973" t="s">
        <v>8</v>
      </c>
      <c r="F3973" t="s">
        <v>10</v>
      </c>
      <c r="G3973" s="16">
        <v>59.666670000000003</v>
      </c>
      <c r="H3973" s="16">
        <v>68.616669999999999</v>
      </c>
      <c r="I3973" s="1">
        <v>46251</v>
      </c>
      <c r="J3973">
        <v>7</v>
      </c>
      <c r="K3973" t="s">
        <v>8201</v>
      </c>
      <c r="L3973" t="s">
        <v>10467</v>
      </c>
      <c r="M3973">
        <v>0</v>
      </c>
      <c r="N3973">
        <v>9</v>
      </c>
      <c r="O3973" t="s">
        <v>1036</v>
      </c>
      <c r="P3973" s="17"/>
      <c r="Q3973" s="17" t="str">
        <f>_xlfn.XLOOKUP(Table2[[#This Row],[buyFromVendorNo]],'Next Day Scheduled'!A:A,'Pending Returns'!O:O,"NOT_FOUND")</f>
        <v>Posted Credit Note</v>
      </c>
    </row>
    <row r="3974" spans="1:17" x14ac:dyDescent="0.3">
      <c r="A3974" s="1">
        <v>46252</v>
      </c>
      <c r="B3974" t="s">
        <v>2583</v>
      </c>
      <c r="C3974" t="s">
        <v>3773</v>
      </c>
      <c r="D3974" t="s">
        <v>3774</v>
      </c>
      <c r="E3974" t="s">
        <v>8</v>
      </c>
      <c r="F3974" t="s">
        <v>10</v>
      </c>
      <c r="G3974" s="16">
        <v>11197.69</v>
      </c>
      <c r="H3974" s="16">
        <v>12877.343999999999</v>
      </c>
      <c r="J3974">
        <v>7</v>
      </c>
      <c r="K3974" t="s">
        <v>10445</v>
      </c>
      <c r="M3974">
        <v>1</v>
      </c>
      <c r="N3974">
        <v>2</v>
      </c>
      <c r="O3974" t="s">
        <v>216</v>
      </c>
      <c r="P3974" s="17"/>
      <c r="Q3974" s="17" t="str">
        <f>_xlfn.XLOOKUP(Table2[[#This Row],[buyFromVendorNo]],'Next Day Scheduled'!A:A,'Pending Returns'!O:O,"NOT_FOUND")</f>
        <v>NOT_FOUND</v>
      </c>
    </row>
    <row r="3975" spans="1:17" x14ac:dyDescent="0.3">
      <c r="A3975" s="1">
        <v>46252</v>
      </c>
      <c r="B3975" t="s">
        <v>7887</v>
      </c>
      <c r="C3975" t="s">
        <v>9871</v>
      </c>
      <c r="D3975" t="s">
        <v>9872</v>
      </c>
      <c r="E3975" t="s">
        <v>8</v>
      </c>
      <c r="F3975" t="s">
        <v>10</v>
      </c>
      <c r="G3975" s="16">
        <v>60.521740000000001</v>
      </c>
      <c r="H3975" s="16">
        <v>69.599999999999994</v>
      </c>
      <c r="I3975" s="1">
        <v>46252</v>
      </c>
      <c r="J3975">
        <v>7</v>
      </c>
      <c r="K3975" t="s">
        <v>9873</v>
      </c>
      <c r="L3975" t="s">
        <v>10582</v>
      </c>
      <c r="M3975">
        <v>0</v>
      </c>
      <c r="N3975">
        <v>27</v>
      </c>
      <c r="O3975" t="s">
        <v>1036</v>
      </c>
      <c r="P3975" s="17"/>
      <c r="Q3975" s="17" t="str">
        <f>_xlfn.XLOOKUP(Table2[[#This Row],[buyFromVendorNo]],'Next Day Scheduled'!A:A,'Pending Returns'!O:O,"NOT_FOUND")</f>
        <v>NOT_FOUND</v>
      </c>
    </row>
    <row r="3976" spans="1:17" x14ac:dyDescent="0.3">
      <c r="A3976" s="1">
        <v>46252</v>
      </c>
      <c r="B3976" t="s">
        <v>642</v>
      </c>
      <c r="C3976" t="s">
        <v>71</v>
      </c>
      <c r="D3976" t="s">
        <v>72</v>
      </c>
      <c r="E3976" t="s">
        <v>8</v>
      </c>
      <c r="F3976" t="s">
        <v>38</v>
      </c>
      <c r="G3976" s="16">
        <v>2229.56</v>
      </c>
      <c r="H3976" s="16">
        <v>2563.9940000000001</v>
      </c>
      <c r="I3976" s="1">
        <v>46251</v>
      </c>
      <c r="J3976">
        <v>7</v>
      </c>
      <c r="K3976" t="s">
        <v>8580</v>
      </c>
      <c r="L3976" t="s">
        <v>10469</v>
      </c>
      <c r="M3976">
        <v>1</v>
      </c>
      <c r="N3976">
        <v>7</v>
      </c>
      <c r="O3976" t="s">
        <v>1036</v>
      </c>
      <c r="P3976" s="17"/>
      <c r="Q3976" s="17" t="str">
        <f>_xlfn.XLOOKUP(Table2[[#This Row],[buyFromVendorNo]],'Next Day Scheduled'!A:A,'Pending Returns'!O:O,"NOT_FOUND")</f>
        <v>Posted Credit Note</v>
      </c>
    </row>
    <row r="3977" spans="1:17" x14ac:dyDescent="0.3">
      <c r="A3977" s="1">
        <v>46252</v>
      </c>
      <c r="B3977" t="s">
        <v>1487</v>
      </c>
      <c r="C3977" t="s">
        <v>508</v>
      </c>
      <c r="D3977" t="s">
        <v>509</v>
      </c>
      <c r="E3977" t="s">
        <v>8</v>
      </c>
      <c r="F3977" t="s">
        <v>10</v>
      </c>
      <c r="G3977" s="16">
        <v>55.000019999999999</v>
      </c>
      <c r="H3977" s="16">
        <v>63.250019999999999</v>
      </c>
      <c r="I3977" s="1">
        <v>46251</v>
      </c>
      <c r="J3977">
        <v>7</v>
      </c>
      <c r="K3977" t="s">
        <v>9654</v>
      </c>
      <c r="L3977" t="s">
        <v>10482</v>
      </c>
      <c r="M3977">
        <v>0</v>
      </c>
      <c r="N3977">
        <v>9</v>
      </c>
      <c r="O3977" t="s">
        <v>1036</v>
      </c>
      <c r="P3977" s="17"/>
      <c r="Q3977" s="17" t="str">
        <f>_xlfn.XLOOKUP(Table2[[#This Row],[buyFromVendorNo]],'Next Day Scheduled'!A:A,'Pending Returns'!O:O,"NOT_FOUND")</f>
        <v>Posted Credit Note</v>
      </c>
    </row>
    <row r="3978" spans="1:17" x14ac:dyDescent="0.3">
      <c r="A3978" s="1">
        <v>46252</v>
      </c>
      <c r="B3978" t="s">
        <v>1854</v>
      </c>
      <c r="C3978" t="s">
        <v>8841</v>
      </c>
      <c r="D3978" t="s">
        <v>8842</v>
      </c>
      <c r="E3978" t="s">
        <v>8</v>
      </c>
      <c r="F3978" t="s">
        <v>10</v>
      </c>
      <c r="G3978" s="16">
        <v>72.525220000000004</v>
      </c>
      <c r="H3978" s="16">
        <v>83.403999999999996</v>
      </c>
      <c r="J3978">
        <v>7</v>
      </c>
      <c r="K3978" t="s">
        <v>10515</v>
      </c>
      <c r="M3978">
        <v>1</v>
      </c>
      <c r="N3978">
        <v>3</v>
      </c>
      <c r="O3978" t="s">
        <v>216</v>
      </c>
      <c r="P3978" s="17"/>
      <c r="Q3978" s="17" t="str">
        <f>_xlfn.XLOOKUP(Table2[[#This Row],[buyFromVendorNo]],'Next Day Scheduled'!A:A,'Pending Returns'!O:O,"NOT_FOUND")</f>
        <v>NOT_FOUND</v>
      </c>
    </row>
    <row r="3979" spans="1:17" x14ac:dyDescent="0.3">
      <c r="A3979" s="1">
        <v>46252</v>
      </c>
      <c r="B3979" t="s">
        <v>5276</v>
      </c>
      <c r="C3979" t="s">
        <v>937</v>
      </c>
      <c r="D3979" t="s">
        <v>938</v>
      </c>
      <c r="E3979" t="s">
        <v>8</v>
      </c>
      <c r="F3979" t="s">
        <v>10</v>
      </c>
      <c r="G3979" s="16">
        <v>1896.8022000000001</v>
      </c>
      <c r="H3979" s="16">
        <v>2181.3227999999999</v>
      </c>
      <c r="J3979">
        <v>7</v>
      </c>
      <c r="K3979" t="s">
        <v>10545</v>
      </c>
      <c r="M3979">
        <v>0</v>
      </c>
      <c r="N3979">
        <v>12</v>
      </c>
      <c r="O3979" t="s">
        <v>216</v>
      </c>
      <c r="P3979" s="17"/>
      <c r="Q3979" s="17" t="str">
        <f>_xlfn.XLOOKUP(Table2[[#This Row],[buyFromVendorNo]],'Next Day Scheduled'!A:A,'Pending Returns'!O:O,"NOT_FOUND")</f>
        <v>NOT_FOUND</v>
      </c>
    </row>
    <row r="3980" spans="1:17" x14ac:dyDescent="0.3">
      <c r="A3980" s="1">
        <v>46252</v>
      </c>
      <c r="B3980" t="s">
        <v>1783</v>
      </c>
      <c r="C3980" t="s">
        <v>865</v>
      </c>
      <c r="D3980" t="s">
        <v>866</v>
      </c>
      <c r="E3980" t="s">
        <v>8</v>
      </c>
      <c r="F3980" t="s">
        <v>10</v>
      </c>
      <c r="G3980" s="16">
        <v>85</v>
      </c>
      <c r="H3980" s="16">
        <v>97.75</v>
      </c>
      <c r="J3980">
        <v>7</v>
      </c>
      <c r="K3980" t="s">
        <v>10546</v>
      </c>
      <c r="M3980">
        <v>1</v>
      </c>
      <c r="N3980">
        <v>7</v>
      </c>
      <c r="O3980" t="s">
        <v>216</v>
      </c>
      <c r="P3980" s="17"/>
      <c r="Q3980" s="17" t="str">
        <f>_xlfn.XLOOKUP(Table2[[#This Row],[buyFromVendorNo]],'Next Day Scheduled'!A:A,'Pending Returns'!O:O,"NOT_FOUND")</f>
        <v>Posted Credit Note</v>
      </c>
    </row>
    <row r="3981" spans="1:17" x14ac:dyDescent="0.3">
      <c r="A3981" s="1">
        <v>46252</v>
      </c>
      <c r="B3981" t="s">
        <v>6286</v>
      </c>
      <c r="C3981" t="s">
        <v>2300</v>
      </c>
      <c r="D3981" t="s">
        <v>2301</v>
      </c>
      <c r="E3981" t="s">
        <v>8</v>
      </c>
      <c r="F3981" t="s">
        <v>38</v>
      </c>
      <c r="G3981" s="16">
        <v>4499.01</v>
      </c>
      <c r="H3981" s="16">
        <v>5173.8612999999996</v>
      </c>
      <c r="I3981" s="1">
        <v>46250</v>
      </c>
      <c r="J3981">
        <v>7</v>
      </c>
      <c r="K3981" t="s">
        <v>10332</v>
      </c>
      <c r="L3981" t="s">
        <v>10526</v>
      </c>
      <c r="M3981">
        <v>1</v>
      </c>
      <c r="N3981">
        <v>2</v>
      </c>
      <c r="O3981" t="s">
        <v>1036</v>
      </c>
      <c r="P3981" s="17"/>
      <c r="Q3981" s="17" t="str">
        <f>_xlfn.XLOOKUP(Table2[[#This Row],[buyFromVendorNo]],'Next Day Scheduled'!A:A,'Pending Returns'!O:O,"NOT_FOUND")</f>
        <v>NOT_FOUND</v>
      </c>
    </row>
    <row r="3982" spans="1:17" x14ac:dyDescent="0.3">
      <c r="A3982" s="1">
        <v>46252</v>
      </c>
      <c r="B3982" t="s">
        <v>642</v>
      </c>
      <c r="C3982" t="s">
        <v>4144</v>
      </c>
      <c r="D3982" t="s">
        <v>4145</v>
      </c>
      <c r="E3982" t="s">
        <v>8</v>
      </c>
      <c r="F3982" t="s">
        <v>38</v>
      </c>
      <c r="G3982" s="16">
        <v>17</v>
      </c>
      <c r="H3982" s="16">
        <v>19.55</v>
      </c>
      <c r="I3982" s="1">
        <v>46252</v>
      </c>
      <c r="J3982">
        <v>7</v>
      </c>
      <c r="K3982" t="s">
        <v>10228</v>
      </c>
      <c r="L3982" t="s">
        <v>10464</v>
      </c>
      <c r="M3982">
        <v>0</v>
      </c>
      <c r="N3982">
        <v>9</v>
      </c>
      <c r="O3982" t="s">
        <v>1036</v>
      </c>
      <c r="P3982" s="17"/>
      <c r="Q3982" s="17" t="str">
        <f>_xlfn.XLOOKUP(Table2[[#This Row],[buyFromVendorNo]],'Next Day Scheduled'!A:A,'Pending Returns'!O:O,"NOT_FOUND")</f>
        <v>NOT_FOUND</v>
      </c>
    </row>
    <row r="3983" spans="1:17" x14ac:dyDescent="0.3">
      <c r="A3983" s="1">
        <v>46252</v>
      </c>
      <c r="B3983" t="s">
        <v>642</v>
      </c>
      <c r="C3983" t="s">
        <v>71</v>
      </c>
      <c r="D3983" t="s">
        <v>72</v>
      </c>
      <c r="E3983" t="s">
        <v>8</v>
      </c>
      <c r="F3983" t="s">
        <v>38</v>
      </c>
      <c r="G3983" s="16">
        <v>4816.0810000000001</v>
      </c>
      <c r="H3983" s="16">
        <v>5538.4930000000004</v>
      </c>
      <c r="I3983" s="1">
        <v>46251</v>
      </c>
      <c r="J3983">
        <v>7</v>
      </c>
      <c r="K3983" t="s">
        <v>9876</v>
      </c>
      <c r="L3983" t="s">
        <v>10471</v>
      </c>
      <c r="M3983">
        <v>1</v>
      </c>
      <c r="N3983">
        <v>7</v>
      </c>
      <c r="O3983" t="s">
        <v>1036</v>
      </c>
      <c r="P3983" s="17"/>
      <c r="Q3983" s="17" t="str">
        <f>_xlfn.XLOOKUP(Table2[[#This Row],[buyFromVendorNo]],'Next Day Scheduled'!A:A,'Pending Returns'!O:O,"NOT_FOUND")</f>
        <v>Posted Credit Note</v>
      </c>
    </row>
    <row r="3984" spans="1:17" x14ac:dyDescent="0.3">
      <c r="A3984" s="1">
        <v>46252</v>
      </c>
      <c r="B3984" t="s">
        <v>4032</v>
      </c>
      <c r="C3984" t="s">
        <v>191</v>
      </c>
      <c r="D3984" t="s">
        <v>192</v>
      </c>
      <c r="E3984" t="s">
        <v>8</v>
      </c>
      <c r="F3984" t="s">
        <v>10</v>
      </c>
      <c r="G3984" s="16">
        <v>45.07</v>
      </c>
      <c r="H3984" s="16">
        <v>51.830500000000001</v>
      </c>
      <c r="J3984">
        <v>7</v>
      </c>
      <c r="K3984" t="s">
        <v>10528</v>
      </c>
      <c r="M3984">
        <v>1</v>
      </c>
      <c r="N3984">
        <v>3</v>
      </c>
      <c r="O3984" t="s">
        <v>216</v>
      </c>
      <c r="P3984" s="17"/>
      <c r="Q3984" s="17" t="str">
        <f>_xlfn.XLOOKUP(Table2[[#This Row],[buyFromVendorNo]],'Next Day Scheduled'!A:A,'Pending Returns'!O:O,"NOT_FOUND")</f>
        <v>NOT_FOUND</v>
      </c>
    </row>
    <row r="3985" spans="1:17" x14ac:dyDescent="0.3">
      <c r="A3985" s="1">
        <v>46252</v>
      </c>
      <c r="B3985" t="s">
        <v>9554</v>
      </c>
      <c r="C3985" t="s">
        <v>2319</v>
      </c>
      <c r="D3985" t="s">
        <v>2320</v>
      </c>
      <c r="E3985" t="s">
        <v>8</v>
      </c>
      <c r="F3985" t="s">
        <v>10</v>
      </c>
      <c r="G3985" s="16">
        <v>164.19</v>
      </c>
      <c r="H3985" s="16">
        <v>188.8185</v>
      </c>
      <c r="J3985">
        <v>7</v>
      </c>
      <c r="K3985" t="s">
        <v>10530</v>
      </c>
      <c r="M3985">
        <v>0</v>
      </c>
      <c r="N3985">
        <v>8</v>
      </c>
      <c r="O3985" t="s">
        <v>216</v>
      </c>
      <c r="P3985" s="17"/>
      <c r="Q3985" s="17" t="str">
        <f>_xlfn.XLOOKUP(Table2[[#This Row],[buyFromVendorNo]],'Next Day Scheduled'!A:A,'Pending Returns'!O:O,"NOT_FOUND")</f>
        <v>NOT_FOUND</v>
      </c>
    </row>
    <row r="3986" spans="1:17" x14ac:dyDescent="0.3">
      <c r="A3986" s="1">
        <v>46252</v>
      </c>
      <c r="B3986" t="s">
        <v>2814</v>
      </c>
      <c r="C3986" t="s">
        <v>7245</v>
      </c>
      <c r="D3986" t="s">
        <v>7246</v>
      </c>
      <c r="E3986" t="s">
        <v>8</v>
      </c>
      <c r="F3986" t="s">
        <v>10</v>
      </c>
      <c r="G3986" s="16">
        <v>1944.52</v>
      </c>
      <c r="H3986" s="16">
        <v>2236.1979999999999</v>
      </c>
      <c r="J3986">
        <v>7</v>
      </c>
      <c r="K3986" t="s">
        <v>10529</v>
      </c>
      <c r="M3986">
        <v>0</v>
      </c>
      <c r="N3986">
        <v>164</v>
      </c>
      <c r="O3986" t="s">
        <v>216</v>
      </c>
      <c r="P3986" s="17"/>
      <c r="Q3986" s="17" t="str">
        <f>_xlfn.XLOOKUP(Table2[[#This Row],[buyFromVendorNo]],'Next Day Scheduled'!A:A,'Pending Returns'!O:O,"NOT_FOUND")</f>
        <v>NOT_FOUND</v>
      </c>
    </row>
    <row r="3987" spans="1:17" x14ac:dyDescent="0.3">
      <c r="A3987" s="1">
        <v>46252</v>
      </c>
      <c r="B3987" t="s">
        <v>6565</v>
      </c>
      <c r="C3987" t="s">
        <v>704</v>
      </c>
      <c r="D3987" t="s">
        <v>705</v>
      </c>
      <c r="E3987" t="s">
        <v>8</v>
      </c>
      <c r="F3987" t="s">
        <v>10</v>
      </c>
      <c r="G3987" s="16">
        <v>2928.27</v>
      </c>
      <c r="H3987" s="16">
        <v>3367.5104999999999</v>
      </c>
      <c r="J3987">
        <v>7</v>
      </c>
      <c r="K3987" t="s">
        <v>10531</v>
      </c>
      <c r="M3987">
        <v>0</v>
      </c>
      <c r="N3987">
        <v>37</v>
      </c>
      <c r="O3987" t="s">
        <v>216</v>
      </c>
      <c r="P3987" s="17"/>
      <c r="Q3987" s="17" t="str">
        <f>_xlfn.XLOOKUP(Table2[[#This Row],[buyFromVendorNo]],'Next Day Scheduled'!A:A,'Pending Returns'!O:O,"NOT_FOUND")</f>
        <v>NOT_FOUND</v>
      </c>
    </row>
    <row r="3988" spans="1:17" x14ac:dyDescent="0.3">
      <c r="A3988" s="1">
        <v>46252</v>
      </c>
      <c r="B3988" t="s">
        <v>2615</v>
      </c>
      <c r="C3988" t="s">
        <v>151</v>
      </c>
      <c r="D3988" t="s">
        <v>152</v>
      </c>
      <c r="E3988" t="s">
        <v>8</v>
      </c>
      <c r="F3988" t="s">
        <v>10</v>
      </c>
      <c r="G3988" s="16">
        <v>1219.6424999999999</v>
      </c>
      <c r="H3988" s="16">
        <v>1402.5889</v>
      </c>
      <c r="J3988">
        <v>7</v>
      </c>
      <c r="K3988" t="s">
        <v>10533</v>
      </c>
      <c r="M3988">
        <v>1</v>
      </c>
      <c r="N3988">
        <v>2</v>
      </c>
      <c r="O3988" t="s">
        <v>216</v>
      </c>
      <c r="P3988" s="17"/>
      <c r="Q3988" s="17" t="str">
        <f>_xlfn.XLOOKUP(Table2[[#This Row],[buyFromVendorNo]],'Next Day Scheduled'!A:A,'Pending Returns'!O:O,"NOT_FOUND")</f>
        <v>NOT_FOUND</v>
      </c>
    </row>
    <row r="3989" spans="1:17" x14ac:dyDescent="0.3">
      <c r="A3989" s="1">
        <v>46252</v>
      </c>
      <c r="B3989" t="s">
        <v>2782</v>
      </c>
      <c r="C3989" t="s">
        <v>75</v>
      </c>
      <c r="D3989" t="s">
        <v>76</v>
      </c>
      <c r="E3989" t="s">
        <v>8</v>
      </c>
      <c r="F3989" t="s">
        <v>10</v>
      </c>
      <c r="G3989" s="16">
        <v>18.719000000000001</v>
      </c>
      <c r="H3989" s="16">
        <v>21.52685</v>
      </c>
      <c r="I3989" s="1">
        <v>46239</v>
      </c>
      <c r="J3989">
        <v>7</v>
      </c>
      <c r="K3989" t="s">
        <v>8281</v>
      </c>
      <c r="L3989" t="s">
        <v>10457</v>
      </c>
      <c r="M3989">
        <v>1</v>
      </c>
      <c r="N3989">
        <v>5</v>
      </c>
      <c r="O3989" t="s">
        <v>1036</v>
      </c>
      <c r="P3989" s="17"/>
      <c r="Q3989" s="17" t="str">
        <f>_xlfn.XLOOKUP(Table2[[#This Row],[buyFromVendorNo]],'Next Day Scheduled'!A:A,'Pending Returns'!O:O,"NOT_FOUND")</f>
        <v>Posted Credit Note</v>
      </c>
    </row>
    <row r="3990" spans="1:17" x14ac:dyDescent="0.3">
      <c r="A3990" s="1">
        <v>46252</v>
      </c>
      <c r="B3990" t="s">
        <v>642</v>
      </c>
      <c r="C3990" t="s">
        <v>75</v>
      </c>
      <c r="D3990" t="s">
        <v>76</v>
      </c>
      <c r="E3990" t="s">
        <v>8</v>
      </c>
      <c r="F3990" t="s">
        <v>38</v>
      </c>
      <c r="G3990" s="16">
        <v>1168.0206000000001</v>
      </c>
      <c r="H3990" s="16">
        <v>1343.2236</v>
      </c>
      <c r="I3990" s="1">
        <v>46239</v>
      </c>
      <c r="J3990">
        <v>7</v>
      </c>
      <c r="K3990" t="s">
        <v>7419</v>
      </c>
      <c r="L3990" t="s">
        <v>10474</v>
      </c>
      <c r="M3990">
        <v>1</v>
      </c>
      <c r="N3990">
        <v>5</v>
      </c>
      <c r="O3990" t="s">
        <v>1036</v>
      </c>
      <c r="P3990" s="17"/>
      <c r="Q3990" s="17" t="str">
        <f>_xlfn.XLOOKUP(Table2[[#This Row],[buyFromVendorNo]],'Next Day Scheduled'!A:A,'Pending Returns'!O:O,"NOT_FOUND")</f>
        <v>Posted Credit Note</v>
      </c>
    </row>
    <row r="3991" spans="1:17" x14ac:dyDescent="0.3">
      <c r="A3991" s="1">
        <v>46252</v>
      </c>
      <c r="B3991" t="s">
        <v>642</v>
      </c>
      <c r="C3991" t="s">
        <v>398</v>
      </c>
      <c r="D3991" t="s">
        <v>399</v>
      </c>
      <c r="E3991" t="s">
        <v>8</v>
      </c>
      <c r="F3991" t="s">
        <v>38</v>
      </c>
      <c r="G3991" s="16">
        <v>1458.673</v>
      </c>
      <c r="H3991" s="16">
        <v>1677.4739</v>
      </c>
      <c r="I3991" s="1">
        <v>46240</v>
      </c>
      <c r="J3991">
        <v>7</v>
      </c>
      <c r="K3991" t="s">
        <v>8439</v>
      </c>
      <c r="L3991" t="s">
        <v>10475</v>
      </c>
      <c r="M3991">
        <v>0</v>
      </c>
      <c r="N3991">
        <v>12</v>
      </c>
      <c r="O3991" t="s">
        <v>1036</v>
      </c>
      <c r="P3991" s="17"/>
      <c r="Q3991" s="17" t="str">
        <f>_xlfn.XLOOKUP(Table2[[#This Row],[buyFromVendorNo]],'Next Day Scheduled'!A:A,'Pending Returns'!O:O,"NOT_FOUND")</f>
        <v>Posted Credit Note</v>
      </c>
    </row>
    <row r="3992" spans="1:17" x14ac:dyDescent="0.3">
      <c r="A3992" s="1">
        <v>46252</v>
      </c>
      <c r="B3992" t="s">
        <v>7745</v>
      </c>
      <c r="C3992" t="s">
        <v>141</v>
      </c>
      <c r="D3992" t="s">
        <v>142</v>
      </c>
      <c r="E3992" t="s">
        <v>8</v>
      </c>
      <c r="F3992" t="s">
        <v>10</v>
      </c>
      <c r="G3992" s="16">
        <v>2162.16</v>
      </c>
      <c r="H3992" s="16">
        <v>2486.4839999999999</v>
      </c>
      <c r="I3992" s="1">
        <v>46246</v>
      </c>
      <c r="J3992">
        <v>7</v>
      </c>
      <c r="K3992" t="s">
        <v>9411</v>
      </c>
      <c r="L3992" t="s">
        <v>10476</v>
      </c>
      <c r="M3992">
        <v>1</v>
      </c>
      <c r="N3992">
        <v>6</v>
      </c>
      <c r="O3992" t="s">
        <v>1036</v>
      </c>
      <c r="P3992" s="17"/>
      <c r="Q3992" s="17" t="str">
        <f>_xlfn.XLOOKUP(Table2[[#This Row],[buyFromVendorNo]],'Next Day Scheduled'!A:A,'Pending Returns'!O:O,"NOT_FOUND")</f>
        <v>NOT_FOUND</v>
      </c>
    </row>
    <row r="3993" spans="1:17" x14ac:dyDescent="0.3">
      <c r="A3993" s="1">
        <v>46252</v>
      </c>
      <c r="B3993" t="s">
        <v>2173</v>
      </c>
      <c r="C3993" t="s">
        <v>51</v>
      </c>
      <c r="D3993" t="s">
        <v>52</v>
      </c>
      <c r="E3993" t="s">
        <v>8</v>
      </c>
      <c r="F3993" t="s">
        <v>10</v>
      </c>
      <c r="G3993" s="16">
        <v>1476.45</v>
      </c>
      <c r="H3993" s="16">
        <v>1697.9175</v>
      </c>
      <c r="J3993">
        <v>7</v>
      </c>
      <c r="K3993" t="s">
        <v>10536</v>
      </c>
      <c r="M3993">
        <v>1</v>
      </c>
      <c r="N3993">
        <v>1</v>
      </c>
      <c r="O3993" t="s">
        <v>216</v>
      </c>
      <c r="P3993" s="17"/>
      <c r="Q3993" s="17" t="str">
        <f>_xlfn.XLOOKUP(Table2[[#This Row],[buyFromVendorNo]],'Next Day Scheduled'!A:A,'Pending Returns'!O:O,"NOT_FOUND")</f>
        <v>NOT_FOUND</v>
      </c>
    </row>
    <row r="3994" spans="1:17" x14ac:dyDescent="0.3">
      <c r="A3994" s="1">
        <v>46252</v>
      </c>
      <c r="B3994" t="s">
        <v>1972</v>
      </c>
      <c r="C3994" t="s">
        <v>773</v>
      </c>
      <c r="D3994" t="s">
        <v>774</v>
      </c>
      <c r="E3994" t="s">
        <v>8</v>
      </c>
      <c r="F3994" t="s">
        <v>169</v>
      </c>
      <c r="G3994" s="16">
        <v>422.60863999999998</v>
      </c>
      <c r="H3994" s="16">
        <v>485.99993999999998</v>
      </c>
      <c r="J3994">
        <v>7</v>
      </c>
      <c r="K3994" t="s">
        <v>10477</v>
      </c>
      <c r="M3994">
        <v>0</v>
      </c>
      <c r="N3994">
        <v>41</v>
      </c>
      <c r="O3994" t="s">
        <v>216</v>
      </c>
      <c r="P3994" s="17"/>
      <c r="Q3994" s="17" t="str">
        <f>_xlfn.XLOOKUP(Table2[[#This Row],[buyFromVendorNo]],'Next Day Scheduled'!A:A,'Pending Returns'!O:O,"NOT_FOUND")</f>
        <v>NOT_FOUND</v>
      </c>
    </row>
    <row r="3995" spans="1:17" x14ac:dyDescent="0.3">
      <c r="A3995" s="1">
        <v>46252</v>
      </c>
      <c r="B3995" t="s">
        <v>3542</v>
      </c>
      <c r="C3995" t="s">
        <v>621</v>
      </c>
      <c r="D3995" t="s">
        <v>622</v>
      </c>
      <c r="E3995" t="s">
        <v>8</v>
      </c>
      <c r="F3995" t="s">
        <v>10</v>
      </c>
      <c r="G3995" s="16">
        <v>11119.42</v>
      </c>
      <c r="H3995" s="16">
        <v>12787.333000000001</v>
      </c>
      <c r="I3995" s="1">
        <v>46250</v>
      </c>
      <c r="J3995">
        <v>7</v>
      </c>
      <c r="K3995" t="s">
        <v>9694</v>
      </c>
      <c r="L3995" t="s">
        <v>10479</v>
      </c>
      <c r="M3995">
        <v>1</v>
      </c>
      <c r="N3995">
        <v>3</v>
      </c>
      <c r="O3995" t="s">
        <v>1036</v>
      </c>
      <c r="P3995" s="17"/>
      <c r="Q3995" s="17" t="str">
        <f>_xlfn.XLOOKUP(Table2[[#This Row],[buyFromVendorNo]],'Next Day Scheduled'!A:A,'Pending Returns'!O:O,"NOT_FOUND")</f>
        <v>NOT_FOUND</v>
      </c>
    </row>
    <row r="3996" spans="1:17" x14ac:dyDescent="0.3">
      <c r="A3996" s="1">
        <v>46252</v>
      </c>
      <c r="B3996" t="s">
        <v>642</v>
      </c>
      <c r="C3996" t="s">
        <v>71</v>
      </c>
      <c r="D3996" t="s">
        <v>72</v>
      </c>
      <c r="E3996" t="s">
        <v>8</v>
      </c>
      <c r="F3996" t="s">
        <v>38</v>
      </c>
      <c r="G3996" s="16">
        <v>45.6</v>
      </c>
      <c r="H3996" s="16">
        <v>52.44</v>
      </c>
      <c r="I3996" s="1">
        <v>46251</v>
      </c>
      <c r="J3996">
        <v>7</v>
      </c>
      <c r="K3996" t="s">
        <v>10237</v>
      </c>
      <c r="L3996" t="s">
        <v>10495</v>
      </c>
      <c r="M3996">
        <v>1</v>
      </c>
      <c r="N3996">
        <v>7</v>
      </c>
      <c r="O3996" t="s">
        <v>1036</v>
      </c>
      <c r="P3996" s="17"/>
      <c r="Q3996" s="17" t="str">
        <f>_xlfn.XLOOKUP(Table2[[#This Row],[buyFromVendorNo]],'Next Day Scheduled'!A:A,'Pending Returns'!O:O,"NOT_FOUND")</f>
        <v>Posted Credit Note</v>
      </c>
    </row>
    <row r="3997" spans="1:17" x14ac:dyDescent="0.3">
      <c r="A3997" s="1">
        <v>46252</v>
      </c>
      <c r="B3997" t="s">
        <v>642</v>
      </c>
      <c r="C3997" t="s">
        <v>71</v>
      </c>
      <c r="D3997" t="s">
        <v>72</v>
      </c>
      <c r="E3997" t="s">
        <v>8</v>
      </c>
      <c r="F3997" t="s">
        <v>38</v>
      </c>
      <c r="G3997" s="16">
        <v>332.8</v>
      </c>
      <c r="H3997" s="16">
        <v>382.72</v>
      </c>
      <c r="I3997" s="1">
        <v>46251</v>
      </c>
      <c r="J3997">
        <v>7</v>
      </c>
      <c r="K3997" t="s">
        <v>6759</v>
      </c>
      <c r="L3997" t="s">
        <v>10494</v>
      </c>
      <c r="M3997">
        <v>1</v>
      </c>
      <c r="N3997">
        <v>7</v>
      </c>
      <c r="O3997" t="s">
        <v>1036</v>
      </c>
      <c r="P3997" s="17"/>
      <c r="Q3997" s="17" t="str">
        <f>_xlfn.XLOOKUP(Table2[[#This Row],[buyFromVendorNo]],'Next Day Scheduled'!A:A,'Pending Returns'!O:O,"NOT_FOUND")</f>
        <v>Posted Credit Note</v>
      </c>
    </row>
    <row r="3998" spans="1:17" x14ac:dyDescent="0.3">
      <c r="A3998" s="1">
        <v>46252</v>
      </c>
      <c r="B3998" t="s">
        <v>1698</v>
      </c>
      <c r="C3998" t="s">
        <v>164</v>
      </c>
      <c r="D3998" t="s">
        <v>165</v>
      </c>
      <c r="E3998" t="s">
        <v>8</v>
      </c>
      <c r="F3998" t="s">
        <v>10</v>
      </c>
      <c r="G3998" s="16">
        <v>24</v>
      </c>
      <c r="H3998" s="16">
        <v>27.6</v>
      </c>
      <c r="J3998">
        <v>7</v>
      </c>
      <c r="K3998" t="s">
        <v>10514</v>
      </c>
      <c r="M3998">
        <v>1</v>
      </c>
      <c r="N3998">
        <v>3</v>
      </c>
      <c r="O3998" t="s">
        <v>216</v>
      </c>
      <c r="P3998" s="17"/>
      <c r="Q3998" s="17" t="str">
        <f>_xlfn.XLOOKUP(Table2[[#This Row],[buyFromVendorNo]],'Next Day Scheduled'!A:A,'Pending Returns'!O:O,"NOT_FOUND")</f>
        <v>NOT_FOUND</v>
      </c>
    </row>
    <row r="3999" spans="1:17" x14ac:dyDescent="0.3">
      <c r="A3999" s="1">
        <v>46252</v>
      </c>
      <c r="B3999" t="s">
        <v>6286</v>
      </c>
      <c r="C3999" t="s">
        <v>43</v>
      </c>
      <c r="D3999" t="s">
        <v>44</v>
      </c>
      <c r="E3999" t="s">
        <v>8</v>
      </c>
      <c r="F3999" t="s">
        <v>38</v>
      </c>
      <c r="G3999" s="16">
        <v>9812.0939999999991</v>
      </c>
      <c r="H3999" s="16">
        <v>11283.906999999999</v>
      </c>
      <c r="I3999" s="1">
        <v>46250</v>
      </c>
      <c r="J3999">
        <v>7</v>
      </c>
      <c r="K3999" t="s">
        <v>10074</v>
      </c>
      <c r="L3999" t="s">
        <v>10539</v>
      </c>
      <c r="M3999">
        <v>6</v>
      </c>
      <c r="N3999">
        <v>1</v>
      </c>
      <c r="O3999" t="s">
        <v>1036</v>
      </c>
      <c r="P3999" s="17"/>
      <c r="Q3999" s="17" t="str">
        <f>_xlfn.XLOOKUP(Table2[[#This Row],[buyFromVendorNo]],'Next Day Scheduled'!A:A,'Pending Returns'!O:O,"NOT_FOUND")</f>
        <v>Posted Credit Note</v>
      </c>
    </row>
    <row r="4000" spans="1:17" x14ac:dyDescent="0.3">
      <c r="A4000" s="1">
        <v>46252</v>
      </c>
      <c r="B4000" t="s">
        <v>6286</v>
      </c>
      <c r="C4000" t="s">
        <v>886</v>
      </c>
      <c r="D4000" t="s">
        <v>887</v>
      </c>
      <c r="E4000" t="s">
        <v>8</v>
      </c>
      <c r="F4000" t="s">
        <v>38</v>
      </c>
      <c r="G4000" s="16">
        <v>5082.2</v>
      </c>
      <c r="H4000" s="16">
        <v>5844.53</v>
      </c>
      <c r="I4000" s="1">
        <v>46239</v>
      </c>
      <c r="J4000">
        <v>7</v>
      </c>
      <c r="K4000" t="s">
        <v>9307</v>
      </c>
      <c r="L4000" t="s">
        <v>10470</v>
      </c>
      <c r="M4000">
        <v>1</v>
      </c>
      <c r="N4000">
        <v>6</v>
      </c>
      <c r="O4000" t="s">
        <v>1036</v>
      </c>
      <c r="P4000" s="17"/>
      <c r="Q4000" s="17" t="str">
        <f>_xlfn.XLOOKUP(Table2[[#This Row],[buyFromVendorNo]],'Next Day Scheduled'!A:A,'Pending Returns'!O:O,"NOT_FOUND")</f>
        <v>NOT_FOUND</v>
      </c>
    </row>
    <row r="4001" spans="1:17" x14ac:dyDescent="0.3">
      <c r="A4001" s="1">
        <v>46252</v>
      </c>
      <c r="B4001" t="s">
        <v>2972</v>
      </c>
      <c r="C4001" t="s">
        <v>109</v>
      </c>
      <c r="D4001" t="s">
        <v>110</v>
      </c>
      <c r="E4001" t="s">
        <v>8</v>
      </c>
      <c r="F4001" t="s">
        <v>10</v>
      </c>
      <c r="G4001" s="16">
        <v>41.72</v>
      </c>
      <c r="H4001" s="16">
        <v>47.978000000000002</v>
      </c>
      <c r="J4001">
        <v>7</v>
      </c>
      <c r="K4001" t="s">
        <v>10524</v>
      </c>
      <c r="M4001">
        <v>1</v>
      </c>
      <c r="N4001">
        <v>7</v>
      </c>
      <c r="O4001" t="s">
        <v>216</v>
      </c>
      <c r="P4001" s="17"/>
      <c r="Q4001" s="17" t="str">
        <f>_xlfn.XLOOKUP(Table2[[#This Row],[buyFromVendorNo]],'Next Day Scheduled'!A:A,'Pending Returns'!O:O,"NOT_FOUND")</f>
        <v>NOT_FOUND</v>
      </c>
    </row>
    <row r="4002" spans="1:17" x14ac:dyDescent="0.3">
      <c r="A4002" s="1">
        <v>46252</v>
      </c>
      <c r="B4002" t="s">
        <v>7219</v>
      </c>
      <c r="C4002" t="s">
        <v>494</v>
      </c>
      <c r="D4002" t="s">
        <v>495</v>
      </c>
      <c r="E4002" t="s">
        <v>8</v>
      </c>
      <c r="F4002" t="s">
        <v>10</v>
      </c>
      <c r="G4002" s="16">
        <v>78.62</v>
      </c>
      <c r="H4002" s="16">
        <v>90.412999999999997</v>
      </c>
      <c r="J4002">
        <v>7</v>
      </c>
      <c r="K4002" t="s">
        <v>10518</v>
      </c>
      <c r="M4002">
        <v>1</v>
      </c>
      <c r="N4002">
        <v>7</v>
      </c>
      <c r="O4002" t="s">
        <v>216</v>
      </c>
      <c r="P4002" s="17"/>
      <c r="Q4002" s="17" t="str">
        <f>_xlfn.XLOOKUP(Table2[[#This Row],[buyFromVendorNo]],'Next Day Scheduled'!A:A,'Pending Returns'!O:O,"NOT_FOUND")</f>
        <v>Posted Credit Note</v>
      </c>
    </row>
    <row r="4003" spans="1:17" x14ac:dyDescent="0.3">
      <c r="A4003" s="1">
        <v>46252</v>
      </c>
      <c r="B4003" t="s">
        <v>1972</v>
      </c>
      <c r="C4003" t="s">
        <v>65</v>
      </c>
      <c r="D4003" t="s">
        <v>66</v>
      </c>
      <c r="E4003" t="s">
        <v>8</v>
      </c>
      <c r="F4003" t="s">
        <v>169</v>
      </c>
      <c r="G4003" s="16">
        <v>403.13</v>
      </c>
      <c r="H4003" s="16">
        <v>463.59949999999998</v>
      </c>
      <c r="J4003">
        <v>7</v>
      </c>
      <c r="K4003" t="s">
        <v>10453</v>
      </c>
      <c r="M4003">
        <v>2</v>
      </c>
      <c r="N4003">
        <v>5</v>
      </c>
      <c r="O4003" t="s">
        <v>216</v>
      </c>
      <c r="P4003" s="17"/>
      <c r="Q4003" s="17" t="str">
        <f>_xlfn.XLOOKUP(Table2[[#This Row],[buyFromVendorNo]],'Next Day Scheduled'!A:A,'Pending Returns'!O:O,"NOT_FOUND")</f>
        <v>Posted Credit Note</v>
      </c>
    </row>
    <row r="4004" spans="1:17" x14ac:dyDescent="0.3">
      <c r="A4004" s="1">
        <v>46252</v>
      </c>
      <c r="B4004" t="s">
        <v>5087</v>
      </c>
      <c r="C4004" t="s">
        <v>358</v>
      </c>
      <c r="D4004" t="s">
        <v>359</v>
      </c>
      <c r="E4004" t="s">
        <v>8</v>
      </c>
      <c r="F4004" t="s">
        <v>10</v>
      </c>
      <c r="G4004" s="16">
        <v>10.3</v>
      </c>
      <c r="H4004" s="16">
        <v>11.845000000000001</v>
      </c>
      <c r="J4004">
        <v>7</v>
      </c>
      <c r="K4004" t="s">
        <v>10534</v>
      </c>
      <c r="M4004">
        <v>1</v>
      </c>
      <c r="N4004">
        <v>1</v>
      </c>
      <c r="O4004" t="s">
        <v>216</v>
      </c>
      <c r="P4004" s="17"/>
      <c r="Q4004" s="17" t="str">
        <f>_xlfn.XLOOKUP(Table2[[#This Row],[buyFromVendorNo]],'Next Day Scheduled'!A:A,'Pending Returns'!O:O,"NOT_FOUND")</f>
        <v>NOT_FOUND</v>
      </c>
    </row>
    <row r="4005" spans="1:17" x14ac:dyDescent="0.3">
      <c r="A4005" s="1">
        <v>46252</v>
      </c>
      <c r="B4005" t="s">
        <v>2153</v>
      </c>
      <c r="C4005" t="s">
        <v>548</v>
      </c>
      <c r="D4005" t="s">
        <v>549</v>
      </c>
      <c r="E4005" t="s">
        <v>8</v>
      </c>
      <c r="F4005" t="s">
        <v>10</v>
      </c>
      <c r="G4005" s="16">
        <v>1352.82</v>
      </c>
      <c r="H4005" s="16">
        <v>1555.7429999999999</v>
      </c>
      <c r="J4005">
        <v>7</v>
      </c>
      <c r="K4005" t="s">
        <v>10519</v>
      </c>
      <c r="M4005">
        <v>1</v>
      </c>
      <c r="N4005">
        <v>3</v>
      </c>
      <c r="O4005" t="s">
        <v>216</v>
      </c>
      <c r="P4005" s="17"/>
      <c r="Q4005" s="17" t="str">
        <f>_xlfn.XLOOKUP(Table2[[#This Row],[buyFromVendorNo]],'Next Day Scheduled'!A:A,'Pending Returns'!O:O,"NOT_FOUND")</f>
        <v>NOT_FOUND</v>
      </c>
    </row>
    <row r="4006" spans="1:17" x14ac:dyDescent="0.3">
      <c r="A4006" s="1">
        <v>46252</v>
      </c>
      <c r="B4006" t="s">
        <v>642</v>
      </c>
      <c r="C4006" t="s">
        <v>398</v>
      </c>
      <c r="D4006" t="s">
        <v>399</v>
      </c>
      <c r="E4006" t="s">
        <v>8</v>
      </c>
      <c r="F4006" t="s">
        <v>38</v>
      </c>
      <c r="G4006" s="16">
        <v>1756.3456000000001</v>
      </c>
      <c r="H4006" s="16">
        <v>2019.7973999999999</v>
      </c>
      <c r="I4006" s="1">
        <v>46240</v>
      </c>
      <c r="J4006">
        <v>7</v>
      </c>
      <c r="K4006" t="s">
        <v>8590</v>
      </c>
      <c r="L4006" t="s">
        <v>10493</v>
      </c>
      <c r="M4006">
        <v>0</v>
      </c>
      <c r="N4006">
        <v>12</v>
      </c>
      <c r="O4006" t="s">
        <v>1036</v>
      </c>
      <c r="P4006" s="17"/>
      <c r="Q4006" s="17" t="str">
        <f>_xlfn.XLOOKUP(Table2[[#This Row],[buyFromVendorNo]],'Next Day Scheduled'!A:A,'Pending Returns'!O:O,"NOT_FOUND")</f>
        <v>Posted Credit Note</v>
      </c>
    </row>
    <row r="4007" spans="1:17" x14ac:dyDescent="0.3">
      <c r="A4007" s="1">
        <v>46252</v>
      </c>
      <c r="B4007" t="s">
        <v>6258</v>
      </c>
      <c r="C4007" t="s">
        <v>173</v>
      </c>
      <c r="D4007" t="s">
        <v>174</v>
      </c>
      <c r="E4007" t="s">
        <v>8</v>
      </c>
      <c r="F4007" t="s">
        <v>10</v>
      </c>
      <c r="G4007" s="16">
        <v>1613.17</v>
      </c>
      <c r="H4007" s="16">
        <v>1855.1455000000001</v>
      </c>
      <c r="J4007">
        <v>7</v>
      </c>
      <c r="K4007" t="s">
        <v>10535</v>
      </c>
      <c r="M4007">
        <v>3</v>
      </c>
      <c r="N4007">
        <v>1</v>
      </c>
      <c r="O4007" t="s">
        <v>216</v>
      </c>
      <c r="P4007" s="17"/>
      <c r="Q4007" s="17" t="str">
        <f>_xlfn.XLOOKUP(Table2[[#This Row],[buyFromVendorNo]],'Next Day Scheduled'!A:A,'Pending Returns'!O:O,"NOT_FOUND")</f>
        <v>NOT_FOUND</v>
      </c>
    </row>
    <row r="4008" spans="1:17" x14ac:dyDescent="0.3">
      <c r="A4008" s="1">
        <v>46252</v>
      </c>
      <c r="B4008" t="s">
        <v>2533</v>
      </c>
      <c r="C4008" t="s">
        <v>154</v>
      </c>
      <c r="D4008" t="s">
        <v>155</v>
      </c>
      <c r="E4008" t="s">
        <v>8</v>
      </c>
      <c r="F4008" t="s">
        <v>10</v>
      </c>
      <c r="G4008" s="16">
        <v>2912.3917999999999</v>
      </c>
      <c r="H4008" s="16">
        <v>3349.2507000000001</v>
      </c>
      <c r="J4008">
        <v>7</v>
      </c>
      <c r="K4008" t="s">
        <v>10543</v>
      </c>
      <c r="M4008">
        <v>1</v>
      </c>
      <c r="N4008">
        <v>7</v>
      </c>
      <c r="O4008" t="s">
        <v>216</v>
      </c>
      <c r="P4008" s="17"/>
      <c r="Q4008" s="17" t="str">
        <f>_xlfn.XLOOKUP(Table2[[#This Row],[buyFromVendorNo]],'Next Day Scheduled'!A:A,'Pending Returns'!O:O,"NOT_FOUND")</f>
        <v>NOT_FOUND</v>
      </c>
    </row>
    <row r="4009" spans="1:17" x14ac:dyDescent="0.3">
      <c r="A4009" s="1">
        <v>46252</v>
      </c>
      <c r="B4009" t="s">
        <v>2607</v>
      </c>
      <c r="C4009" t="s">
        <v>41</v>
      </c>
      <c r="D4009" t="s">
        <v>42</v>
      </c>
      <c r="E4009" t="s">
        <v>8</v>
      </c>
      <c r="F4009" t="s">
        <v>10</v>
      </c>
      <c r="G4009" s="16">
        <v>39.967199999999998</v>
      </c>
      <c r="H4009" s="16">
        <v>45.96228</v>
      </c>
      <c r="J4009">
        <v>7</v>
      </c>
      <c r="K4009" t="s">
        <v>10537</v>
      </c>
      <c r="M4009">
        <v>0</v>
      </c>
      <c r="N4009">
        <v>26</v>
      </c>
      <c r="O4009" t="s">
        <v>216</v>
      </c>
      <c r="P4009" s="17"/>
      <c r="Q4009" s="17" t="str">
        <f>_xlfn.XLOOKUP(Table2[[#This Row],[buyFromVendorNo]],'Next Day Scheduled'!A:A,'Pending Returns'!O:O,"NOT_FOUND")</f>
        <v>NOT_FOUND</v>
      </c>
    </row>
    <row r="4010" spans="1:17" x14ac:dyDescent="0.3">
      <c r="A4010" s="1">
        <v>46252</v>
      </c>
      <c r="B4010" t="s">
        <v>3025</v>
      </c>
      <c r="C4010" t="s">
        <v>318</v>
      </c>
      <c r="D4010" t="s">
        <v>319</v>
      </c>
      <c r="E4010" t="s">
        <v>8</v>
      </c>
      <c r="F4010" t="s">
        <v>10</v>
      </c>
      <c r="G4010" s="16">
        <v>1076.0934999999999</v>
      </c>
      <c r="H4010" s="16">
        <v>1237.5075999999999</v>
      </c>
      <c r="J4010">
        <v>7</v>
      </c>
      <c r="K4010" t="s">
        <v>10521</v>
      </c>
      <c r="M4010">
        <v>1</v>
      </c>
      <c r="N4010">
        <v>2</v>
      </c>
      <c r="O4010" t="s">
        <v>216</v>
      </c>
      <c r="P4010" s="17"/>
      <c r="Q4010" s="17" t="str">
        <f>_xlfn.XLOOKUP(Table2[[#This Row],[buyFromVendorNo]],'Next Day Scheduled'!A:A,'Pending Returns'!O:O,"NOT_FOUND")</f>
        <v>NOT_FOUND</v>
      </c>
    </row>
    <row r="4011" spans="1:17" x14ac:dyDescent="0.3">
      <c r="A4011" s="1">
        <v>46252</v>
      </c>
      <c r="B4011" t="s">
        <v>3280</v>
      </c>
      <c r="C4011" t="s">
        <v>71</v>
      </c>
      <c r="D4011" t="s">
        <v>72</v>
      </c>
      <c r="E4011" t="s">
        <v>8</v>
      </c>
      <c r="F4011" t="s">
        <v>10</v>
      </c>
      <c r="G4011" s="16">
        <v>2763.7123999999999</v>
      </c>
      <c r="H4011" s="16">
        <v>3178.2692999999999</v>
      </c>
      <c r="I4011" s="1">
        <v>46252</v>
      </c>
      <c r="J4011">
        <v>7</v>
      </c>
      <c r="K4011" t="s">
        <v>9525</v>
      </c>
      <c r="L4011" t="s">
        <v>10478</v>
      </c>
      <c r="M4011">
        <v>0</v>
      </c>
      <c r="N4011">
        <v>8</v>
      </c>
      <c r="O4011" t="s">
        <v>1036</v>
      </c>
      <c r="P4011" s="17"/>
      <c r="Q4011" s="17" t="str">
        <f>_xlfn.XLOOKUP(Table2[[#This Row],[buyFromVendorNo]],'Next Day Scheduled'!A:A,'Pending Returns'!O:O,"NOT_FOUND")</f>
        <v>Posted Credit Note</v>
      </c>
    </row>
    <row r="4012" spans="1:17" x14ac:dyDescent="0.3">
      <c r="A4012" s="1">
        <v>46252</v>
      </c>
      <c r="B4012" t="s">
        <v>5683</v>
      </c>
      <c r="C4012" t="s">
        <v>141</v>
      </c>
      <c r="D4012" t="s">
        <v>142</v>
      </c>
      <c r="E4012" t="s">
        <v>8</v>
      </c>
      <c r="F4012" t="s">
        <v>10</v>
      </c>
      <c r="G4012" s="16">
        <v>1045.44</v>
      </c>
      <c r="H4012" s="16">
        <v>1202.2560000000001</v>
      </c>
      <c r="I4012" s="1">
        <v>46240</v>
      </c>
      <c r="J4012">
        <v>7</v>
      </c>
      <c r="K4012" t="s">
        <v>8852</v>
      </c>
      <c r="L4012" t="s">
        <v>10468</v>
      </c>
      <c r="M4012">
        <v>1</v>
      </c>
      <c r="N4012">
        <v>6</v>
      </c>
      <c r="O4012" t="s">
        <v>1036</v>
      </c>
      <c r="P4012" s="17"/>
      <c r="Q4012" s="17" t="str">
        <f>_xlfn.XLOOKUP(Table2[[#This Row],[buyFromVendorNo]],'Next Day Scheduled'!A:A,'Pending Returns'!O:O,"NOT_FOUND")</f>
        <v>NOT_FOUND</v>
      </c>
    </row>
    <row r="4013" spans="1:17" x14ac:dyDescent="0.3">
      <c r="A4013" s="1">
        <v>46252</v>
      </c>
      <c r="B4013" t="s">
        <v>8154</v>
      </c>
      <c r="C4013" t="s">
        <v>2315</v>
      </c>
      <c r="D4013" t="s">
        <v>2316</v>
      </c>
      <c r="E4013" t="s">
        <v>8</v>
      </c>
      <c r="F4013" t="s">
        <v>10</v>
      </c>
      <c r="G4013" s="16">
        <v>249.65</v>
      </c>
      <c r="H4013" s="16">
        <v>287.09750000000003</v>
      </c>
      <c r="I4013" s="1">
        <v>46246</v>
      </c>
      <c r="J4013">
        <v>7</v>
      </c>
      <c r="K4013" t="s">
        <v>8155</v>
      </c>
      <c r="L4013" t="s">
        <v>10480</v>
      </c>
      <c r="M4013">
        <v>0</v>
      </c>
      <c r="N4013">
        <v>61</v>
      </c>
      <c r="O4013" t="s">
        <v>1036</v>
      </c>
      <c r="P4013" s="17"/>
      <c r="Q4013" s="17" t="str">
        <f>_xlfn.XLOOKUP(Table2[[#This Row],[buyFromVendorNo]],'Next Day Scheduled'!A:A,'Pending Returns'!O:O,"NOT_FOUND")</f>
        <v>NOT_FOUND</v>
      </c>
    </row>
    <row r="4014" spans="1:17" x14ac:dyDescent="0.3">
      <c r="A4014" s="1">
        <v>46253</v>
      </c>
      <c r="B4014" t="s">
        <v>2161</v>
      </c>
      <c r="C4014" t="s">
        <v>133</v>
      </c>
      <c r="D4014" t="s">
        <v>134</v>
      </c>
      <c r="E4014" t="s">
        <v>8</v>
      </c>
      <c r="F4014" t="s">
        <v>10</v>
      </c>
      <c r="G4014" s="16">
        <v>33.950000000000003</v>
      </c>
      <c r="H4014" s="16">
        <v>39.042499999999997</v>
      </c>
      <c r="I4014" s="1">
        <v>46239</v>
      </c>
      <c r="J4014">
        <v>6</v>
      </c>
      <c r="K4014" t="s">
        <v>7798</v>
      </c>
      <c r="L4014" t="s">
        <v>10614</v>
      </c>
      <c r="M4014">
        <v>0</v>
      </c>
      <c r="N4014">
        <v>12</v>
      </c>
      <c r="O4014" t="s">
        <v>1036</v>
      </c>
      <c r="P4014" s="17"/>
      <c r="Q4014" s="17" t="str">
        <f>_xlfn.XLOOKUP(Table2[[#This Row],[buyFromVendorNo]],'Next Day Scheduled'!A:A,'Pending Returns'!O:O,"NOT_FOUND")</f>
        <v>NOT_FOUND</v>
      </c>
    </row>
    <row r="4015" spans="1:17" x14ac:dyDescent="0.3">
      <c r="A4015" s="1">
        <v>46253</v>
      </c>
      <c r="B4015" t="s">
        <v>642</v>
      </c>
      <c r="C4015" t="s">
        <v>776</v>
      </c>
      <c r="D4015" t="s">
        <v>777</v>
      </c>
      <c r="E4015" t="s">
        <v>8</v>
      </c>
      <c r="F4015" t="s">
        <v>38</v>
      </c>
      <c r="G4015" s="16">
        <v>174.82</v>
      </c>
      <c r="H4015" s="16">
        <v>201.04300000000001</v>
      </c>
      <c r="I4015" s="1">
        <v>46251</v>
      </c>
      <c r="J4015">
        <v>6</v>
      </c>
      <c r="K4015" t="s">
        <v>10247</v>
      </c>
      <c r="L4015" t="s">
        <v>10615</v>
      </c>
      <c r="M4015">
        <v>1</v>
      </c>
      <c r="N4015">
        <v>2</v>
      </c>
      <c r="O4015" t="s">
        <v>1036</v>
      </c>
      <c r="P4015" s="17"/>
      <c r="Q4015" s="17" t="str">
        <f>_xlfn.XLOOKUP(Table2[[#This Row],[buyFromVendorNo]],'Next Day Scheduled'!A:A,'Pending Returns'!O:O,"NOT_FOUND")</f>
        <v>Posted Credit Note</v>
      </c>
    </row>
    <row r="4016" spans="1:17" x14ac:dyDescent="0.3">
      <c r="A4016" s="1">
        <v>46253</v>
      </c>
      <c r="B4016" t="s">
        <v>2113</v>
      </c>
      <c r="C4016" t="s">
        <v>2363</v>
      </c>
      <c r="D4016" t="s">
        <v>2364</v>
      </c>
      <c r="E4016" t="s">
        <v>8</v>
      </c>
      <c r="F4016" t="s">
        <v>10</v>
      </c>
      <c r="G4016" s="16">
        <v>329.7</v>
      </c>
      <c r="H4016" s="16">
        <v>379.15499999999997</v>
      </c>
      <c r="I4016" s="1">
        <v>46253</v>
      </c>
      <c r="J4016">
        <v>6</v>
      </c>
      <c r="K4016" t="s">
        <v>10540</v>
      </c>
      <c r="L4016" t="s">
        <v>10646</v>
      </c>
      <c r="M4016">
        <v>1</v>
      </c>
      <c r="N4016">
        <v>6</v>
      </c>
      <c r="O4016" t="s">
        <v>1036</v>
      </c>
      <c r="P4016" s="17"/>
      <c r="Q4016" s="17" t="str">
        <f>_xlfn.XLOOKUP(Table2[[#This Row],[buyFromVendorNo]],'Next Day Scheduled'!A:A,'Pending Returns'!O:O,"NOT_FOUND")</f>
        <v>NOT_FOUND</v>
      </c>
    </row>
    <row r="4017" spans="1:17" x14ac:dyDescent="0.3">
      <c r="A4017" s="1">
        <v>46253</v>
      </c>
      <c r="B4017" t="s">
        <v>3273</v>
      </c>
      <c r="C4017" t="s">
        <v>310</v>
      </c>
      <c r="D4017" t="s">
        <v>311</v>
      </c>
      <c r="E4017" t="s">
        <v>8</v>
      </c>
      <c r="F4017" t="s">
        <v>10</v>
      </c>
      <c r="G4017" s="16">
        <v>19.260000000000002</v>
      </c>
      <c r="H4017" s="16">
        <v>22.149000000000001</v>
      </c>
      <c r="I4017" s="1">
        <v>46251</v>
      </c>
      <c r="J4017">
        <v>6</v>
      </c>
      <c r="K4017" t="s">
        <v>8889</v>
      </c>
      <c r="L4017" t="s">
        <v>10588</v>
      </c>
      <c r="M4017">
        <v>1</v>
      </c>
      <c r="N4017">
        <v>2</v>
      </c>
      <c r="O4017" t="s">
        <v>1036</v>
      </c>
      <c r="P4017" s="17"/>
      <c r="Q4017" s="17" t="str">
        <f>_xlfn.XLOOKUP(Table2[[#This Row],[buyFromVendorNo]],'Next Day Scheduled'!A:A,'Pending Returns'!O:O,"NOT_FOUND")</f>
        <v>NOT_FOUND</v>
      </c>
    </row>
    <row r="4018" spans="1:17" x14ac:dyDescent="0.3">
      <c r="A4018" s="1">
        <v>46253</v>
      </c>
      <c r="B4018" t="s">
        <v>760</v>
      </c>
      <c r="C4018" t="s">
        <v>2448</v>
      </c>
      <c r="D4018" t="s">
        <v>2449</v>
      </c>
      <c r="E4018" t="s">
        <v>8</v>
      </c>
      <c r="F4018" t="s">
        <v>10</v>
      </c>
      <c r="G4018" s="16">
        <v>28</v>
      </c>
      <c r="H4018" s="16">
        <v>32.200000000000003</v>
      </c>
      <c r="I4018" s="1">
        <v>46253</v>
      </c>
      <c r="J4018">
        <v>6</v>
      </c>
      <c r="K4018" t="s">
        <v>10279</v>
      </c>
      <c r="L4018" t="s">
        <v>10556</v>
      </c>
      <c r="M4018">
        <v>0</v>
      </c>
      <c r="N4018">
        <v>7</v>
      </c>
      <c r="O4018" t="s">
        <v>223</v>
      </c>
      <c r="P4018" s="17"/>
      <c r="Q4018" s="17" t="str">
        <f>_xlfn.XLOOKUP(Table2[[#This Row],[buyFromVendorNo]],'Next Day Scheduled'!A:A,'Pending Returns'!O:O,"NOT_FOUND")</f>
        <v>NOT_FOUND</v>
      </c>
    </row>
    <row r="4019" spans="1:17" x14ac:dyDescent="0.3">
      <c r="A4019" s="1">
        <v>46253</v>
      </c>
      <c r="B4019" t="s">
        <v>8266</v>
      </c>
      <c r="C4019" t="s">
        <v>2976</v>
      </c>
      <c r="D4019" t="s">
        <v>2977</v>
      </c>
      <c r="E4019" t="s">
        <v>8</v>
      </c>
      <c r="F4019" t="s">
        <v>10</v>
      </c>
      <c r="G4019" s="16">
        <v>41</v>
      </c>
      <c r="H4019" s="16">
        <v>47.15</v>
      </c>
      <c r="I4019" s="1">
        <v>46253</v>
      </c>
      <c r="J4019">
        <v>6</v>
      </c>
      <c r="K4019" t="s">
        <v>10036</v>
      </c>
      <c r="L4019" t="s">
        <v>10557</v>
      </c>
      <c r="M4019">
        <v>0</v>
      </c>
      <c r="N4019">
        <v>7</v>
      </c>
      <c r="O4019" t="s">
        <v>223</v>
      </c>
      <c r="P4019" s="17"/>
      <c r="Q4019" s="17" t="str">
        <f>_xlfn.XLOOKUP(Table2[[#This Row],[buyFromVendorNo]],'Next Day Scheduled'!A:A,'Pending Returns'!O:O,"NOT_FOUND")</f>
        <v>NOT_FOUND</v>
      </c>
    </row>
    <row r="4020" spans="1:17" x14ac:dyDescent="0.3">
      <c r="A4020" s="1">
        <v>46253</v>
      </c>
      <c r="B4020" t="s">
        <v>642</v>
      </c>
      <c r="C4020" t="s">
        <v>93</v>
      </c>
      <c r="D4020" t="s">
        <v>94</v>
      </c>
      <c r="E4020" t="s">
        <v>8</v>
      </c>
      <c r="F4020" t="s">
        <v>38</v>
      </c>
      <c r="G4020" s="16">
        <v>181.78299999999999</v>
      </c>
      <c r="H4020" s="16">
        <v>209.05045000000001</v>
      </c>
      <c r="I4020" s="1">
        <v>46253</v>
      </c>
      <c r="J4020">
        <v>6</v>
      </c>
      <c r="K4020" t="s">
        <v>10397</v>
      </c>
      <c r="L4020" t="s">
        <v>10648</v>
      </c>
      <c r="M4020">
        <v>1</v>
      </c>
      <c r="N4020">
        <v>6</v>
      </c>
      <c r="O4020" t="s">
        <v>223</v>
      </c>
      <c r="P4020" s="17"/>
      <c r="Q4020" s="17" t="str">
        <f>_xlfn.XLOOKUP(Table2[[#This Row],[buyFromVendorNo]],'Next Day Scheduled'!A:A,'Pending Returns'!O:O,"NOT_FOUND")</f>
        <v>Posted Credit Note</v>
      </c>
    </row>
    <row r="4021" spans="1:17" x14ac:dyDescent="0.3">
      <c r="A4021" s="1">
        <v>46253</v>
      </c>
      <c r="B4021" t="s">
        <v>5396</v>
      </c>
      <c r="C4021" t="s">
        <v>133</v>
      </c>
      <c r="D4021" t="s">
        <v>134</v>
      </c>
      <c r="E4021" t="s">
        <v>8</v>
      </c>
      <c r="F4021" t="s">
        <v>10</v>
      </c>
      <c r="G4021" s="16">
        <v>401.50599999999997</v>
      </c>
      <c r="H4021" s="16">
        <v>461.7319</v>
      </c>
      <c r="I4021" s="1">
        <v>46248</v>
      </c>
      <c r="J4021">
        <v>6</v>
      </c>
      <c r="K4021" t="s">
        <v>9662</v>
      </c>
      <c r="L4021" t="s">
        <v>10592</v>
      </c>
      <c r="M4021">
        <v>0</v>
      </c>
      <c r="N4021">
        <v>12</v>
      </c>
      <c r="O4021" t="s">
        <v>1036</v>
      </c>
      <c r="P4021" s="17"/>
      <c r="Q4021" s="17" t="str">
        <f>_xlfn.XLOOKUP(Table2[[#This Row],[buyFromVendorNo]],'Next Day Scheduled'!A:A,'Pending Returns'!O:O,"NOT_FOUND")</f>
        <v>NOT_FOUND</v>
      </c>
    </row>
    <row r="4022" spans="1:17" x14ac:dyDescent="0.3">
      <c r="A4022" s="1">
        <v>46253</v>
      </c>
      <c r="B4022" t="s">
        <v>1774</v>
      </c>
      <c r="C4022" t="s">
        <v>109</v>
      </c>
      <c r="D4022" t="s">
        <v>110</v>
      </c>
      <c r="E4022" t="s">
        <v>8</v>
      </c>
      <c r="F4022" t="s">
        <v>10</v>
      </c>
      <c r="G4022" s="16">
        <v>73.010000000000005</v>
      </c>
      <c r="H4022" s="16">
        <v>83.961500000000001</v>
      </c>
      <c r="I4022" s="1">
        <v>46253</v>
      </c>
      <c r="J4022">
        <v>6</v>
      </c>
      <c r="K4022" t="s">
        <v>9798</v>
      </c>
      <c r="L4022" t="s">
        <v>10575</v>
      </c>
      <c r="M4022">
        <v>0</v>
      </c>
      <c r="N4022">
        <v>7</v>
      </c>
      <c r="O4022" t="s">
        <v>223</v>
      </c>
      <c r="P4022" s="17"/>
      <c r="Q4022" s="17" t="str">
        <f>_xlfn.XLOOKUP(Table2[[#This Row],[buyFromVendorNo]],'Next Day Scheduled'!A:A,'Pending Returns'!O:O,"NOT_FOUND")</f>
        <v>NOT_FOUND</v>
      </c>
    </row>
    <row r="4023" spans="1:17" x14ac:dyDescent="0.3">
      <c r="A4023" s="1">
        <v>46253</v>
      </c>
      <c r="B4023" t="s">
        <v>709</v>
      </c>
      <c r="C4023" t="s">
        <v>22</v>
      </c>
      <c r="D4023" t="s">
        <v>23</v>
      </c>
      <c r="E4023" t="s">
        <v>8</v>
      </c>
      <c r="F4023" t="s">
        <v>10</v>
      </c>
      <c r="G4023" s="16">
        <v>1163.46</v>
      </c>
      <c r="H4023" s="16">
        <v>1337.979</v>
      </c>
      <c r="J4023">
        <v>6</v>
      </c>
      <c r="K4023" t="s">
        <v>10677</v>
      </c>
      <c r="M4023">
        <v>0</v>
      </c>
      <c r="N4023">
        <v>177</v>
      </c>
      <c r="O4023" t="s">
        <v>216</v>
      </c>
      <c r="P4023" s="17"/>
      <c r="Q4023" s="17" t="str">
        <f>_xlfn.XLOOKUP(Table2[[#This Row],[buyFromVendorNo]],'Next Day Scheduled'!A:A,'Pending Returns'!O:O,"NOT_FOUND")</f>
        <v>NOT_FOUND</v>
      </c>
    </row>
    <row r="4024" spans="1:17" x14ac:dyDescent="0.3">
      <c r="A4024" s="1">
        <v>46253</v>
      </c>
      <c r="B4024" t="s">
        <v>8744</v>
      </c>
      <c r="C4024" t="s">
        <v>77</v>
      </c>
      <c r="D4024" t="s">
        <v>78</v>
      </c>
      <c r="E4024" t="s">
        <v>8</v>
      </c>
      <c r="F4024" t="s">
        <v>10</v>
      </c>
      <c r="G4024" s="16">
        <v>196.15</v>
      </c>
      <c r="H4024" s="16">
        <v>225.57249999999999</v>
      </c>
      <c r="I4024" s="1">
        <v>46253</v>
      </c>
      <c r="J4024">
        <v>6</v>
      </c>
      <c r="K4024" t="s">
        <v>8696</v>
      </c>
      <c r="L4024" t="s">
        <v>10573</v>
      </c>
      <c r="M4024">
        <v>0</v>
      </c>
      <c r="N4024">
        <v>7</v>
      </c>
      <c r="O4024" t="s">
        <v>223</v>
      </c>
      <c r="P4024" s="17"/>
      <c r="Q4024" s="17" t="str">
        <f>_xlfn.XLOOKUP(Table2[[#This Row],[buyFromVendorNo]],'Next Day Scheduled'!A:A,'Pending Returns'!O:O,"NOT_FOUND")</f>
        <v>NOT_FOUND</v>
      </c>
    </row>
    <row r="4025" spans="1:17" x14ac:dyDescent="0.3">
      <c r="A4025" s="1">
        <v>46253</v>
      </c>
      <c r="B4025" t="s">
        <v>3439</v>
      </c>
      <c r="C4025" t="s">
        <v>1022</v>
      </c>
      <c r="D4025" t="s">
        <v>1023</v>
      </c>
      <c r="E4025" t="s">
        <v>8</v>
      </c>
      <c r="F4025" t="s">
        <v>10</v>
      </c>
      <c r="G4025" s="16">
        <v>153</v>
      </c>
      <c r="H4025" s="16">
        <v>175.95</v>
      </c>
      <c r="I4025" s="1">
        <v>46246</v>
      </c>
      <c r="J4025">
        <v>6</v>
      </c>
      <c r="K4025" t="s">
        <v>8759</v>
      </c>
      <c r="L4025" t="s">
        <v>10656</v>
      </c>
      <c r="M4025">
        <v>1</v>
      </c>
      <c r="N4025">
        <v>5</v>
      </c>
      <c r="O4025" t="s">
        <v>1036</v>
      </c>
      <c r="P4025" s="17"/>
      <c r="Q4025" s="17" t="str">
        <f>_xlfn.XLOOKUP(Table2[[#This Row],[buyFromVendorNo]],'Next Day Scheduled'!A:A,'Pending Returns'!O:O,"NOT_FOUND")</f>
        <v>Posted Credit Note</v>
      </c>
    </row>
    <row r="4026" spans="1:17" x14ac:dyDescent="0.3">
      <c r="A4026" s="1">
        <v>46253</v>
      </c>
      <c r="B4026" t="s">
        <v>10684</v>
      </c>
      <c r="C4026" t="s">
        <v>929</v>
      </c>
      <c r="D4026" t="s">
        <v>930</v>
      </c>
      <c r="E4026" t="s">
        <v>8</v>
      </c>
      <c r="F4026" t="s">
        <v>10</v>
      </c>
      <c r="G4026" s="16">
        <v>20.00676</v>
      </c>
      <c r="H4026" s="16">
        <v>23.00778</v>
      </c>
      <c r="J4026">
        <v>6</v>
      </c>
      <c r="K4026" t="s">
        <v>10685</v>
      </c>
      <c r="M4026">
        <v>0</v>
      </c>
      <c r="N4026">
        <v>8</v>
      </c>
      <c r="O4026" t="s">
        <v>216</v>
      </c>
      <c r="P4026" s="17"/>
      <c r="Q4026" s="17" t="str">
        <f>_xlfn.XLOOKUP(Table2[[#This Row],[buyFromVendorNo]],'Next Day Scheduled'!A:A,'Pending Returns'!O:O,"NOT_FOUND")</f>
        <v>NOT_FOUND</v>
      </c>
    </row>
    <row r="4027" spans="1:17" x14ac:dyDescent="0.3">
      <c r="A4027" s="1">
        <v>46253</v>
      </c>
      <c r="B4027" t="s">
        <v>317</v>
      </c>
      <c r="C4027" t="s">
        <v>173</v>
      </c>
      <c r="D4027" t="s">
        <v>174</v>
      </c>
      <c r="E4027" t="s">
        <v>8</v>
      </c>
      <c r="F4027" t="s">
        <v>10</v>
      </c>
      <c r="G4027" s="16">
        <v>2168.71</v>
      </c>
      <c r="H4027" s="16">
        <v>2494.0165999999999</v>
      </c>
      <c r="J4027">
        <v>6</v>
      </c>
      <c r="K4027" t="s">
        <v>10686</v>
      </c>
      <c r="M4027">
        <v>3</v>
      </c>
      <c r="N4027">
        <v>1</v>
      </c>
      <c r="O4027" t="s">
        <v>216</v>
      </c>
      <c r="P4027" s="17"/>
      <c r="Q4027" s="17" t="str">
        <f>_xlfn.XLOOKUP(Table2[[#This Row],[buyFromVendorNo]],'Next Day Scheduled'!A:A,'Pending Returns'!O:O,"NOT_FOUND")</f>
        <v>NOT_FOUND</v>
      </c>
    </row>
    <row r="4028" spans="1:17" x14ac:dyDescent="0.3">
      <c r="A4028" s="1">
        <v>46253</v>
      </c>
      <c r="B4028" t="s">
        <v>5112</v>
      </c>
      <c r="C4028" t="s">
        <v>817</v>
      </c>
      <c r="D4028" t="s">
        <v>818</v>
      </c>
      <c r="E4028" t="s">
        <v>8</v>
      </c>
      <c r="F4028" t="s">
        <v>10</v>
      </c>
      <c r="G4028" s="16">
        <v>10.83</v>
      </c>
      <c r="H4028" s="16">
        <v>12.454499999999999</v>
      </c>
      <c r="I4028" s="1">
        <v>46253</v>
      </c>
      <c r="J4028">
        <v>6</v>
      </c>
      <c r="K4028" t="s">
        <v>9639</v>
      </c>
      <c r="L4028" t="s">
        <v>10687</v>
      </c>
      <c r="M4028">
        <v>1</v>
      </c>
      <c r="N4028">
        <v>5</v>
      </c>
      <c r="O4028" t="s">
        <v>1036</v>
      </c>
      <c r="P4028" s="17"/>
      <c r="Q4028" s="17" t="str">
        <f>_xlfn.XLOOKUP(Table2[[#This Row],[buyFromVendorNo]],'Next Day Scheduled'!A:A,'Pending Returns'!O:O,"NOT_FOUND")</f>
        <v>NOT_FOUND</v>
      </c>
    </row>
    <row r="4029" spans="1:17" x14ac:dyDescent="0.3">
      <c r="A4029" s="1">
        <v>46253</v>
      </c>
      <c r="B4029" t="s">
        <v>9473</v>
      </c>
      <c r="C4029" t="s">
        <v>2976</v>
      </c>
      <c r="D4029" t="s">
        <v>2977</v>
      </c>
      <c r="E4029" t="s">
        <v>8</v>
      </c>
      <c r="F4029" t="s">
        <v>10</v>
      </c>
      <c r="G4029" s="16">
        <v>410</v>
      </c>
      <c r="H4029" s="16">
        <v>471.5</v>
      </c>
      <c r="I4029" s="1">
        <v>46253</v>
      </c>
      <c r="J4029">
        <v>6</v>
      </c>
      <c r="K4029" t="s">
        <v>9468</v>
      </c>
      <c r="L4029" t="s">
        <v>10574</v>
      </c>
      <c r="M4029">
        <v>0</v>
      </c>
      <c r="N4029">
        <v>7</v>
      </c>
      <c r="O4029" t="s">
        <v>223</v>
      </c>
      <c r="P4029" s="17"/>
      <c r="Q4029" s="17" t="str">
        <f>_xlfn.XLOOKUP(Table2[[#This Row],[buyFromVendorNo]],'Next Day Scheduled'!A:A,'Pending Returns'!O:O,"NOT_FOUND")</f>
        <v>NOT_FOUND</v>
      </c>
    </row>
    <row r="4030" spans="1:17" x14ac:dyDescent="0.3">
      <c r="A4030" s="1">
        <v>46253</v>
      </c>
      <c r="B4030" t="s">
        <v>8486</v>
      </c>
      <c r="C4030" t="s">
        <v>90</v>
      </c>
      <c r="D4030" t="s">
        <v>91</v>
      </c>
      <c r="E4030" t="s">
        <v>8</v>
      </c>
      <c r="F4030" t="s">
        <v>10</v>
      </c>
      <c r="G4030" s="16">
        <v>43.7</v>
      </c>
      <c r="H4030" s="16">
        <v>50.255000000000003</v>
      </c>
      <c r="J4030">
        <v>6</v>
      </c>
      <c r="K4030" t="s">
        <v>10659</v>
      </c>
      <c r="M4030">
        <v>1</v>
      </c>
      <c r="N4030">
        <v>3</v>
      </c>
      <c r="O4030" t="s">
        <v>216</v>
      </c>
      <c r="P4030" s="17"/>
      <c r="Q4030" s="17" t="str">
        <f>_xlfn.XLOOKUP(Table2[[#This Row],[buyFromVendorNo]],'Next Day Scheduled'!A:A,'Pending Returns'!O:O,"NOT_FOUND")</f>
        <v>NOT_FOUND</v>
      </c>
    </row>
    <row r="4031" spans="1:17" x14ac:dyDescent="0.3">
      <c r="A4031" s="1">
        <v>46253</v>
      </c>
      <c r="B4031" t="s">
        <v>642</v>
      </c>
      <c r="C4031" t="s">
        <v>651</v>
      </c>
      <c r="D4031" t="s">
        <v>652</v>
      </c>
      <c r="E4031" t="s">
        <v>8</v>
      </c>
      <c r="F4031" t="s">
        <v>38</v>
      </c>
      <c r="G4031" s="16">
        <v>200</v>
      </c>
      <c r="H4031" s="16">
        <v>230</v>
      </c>
      <c r="I4031" s="1">
        <v>46250</v>
      </c>
      <c r="J4031">
        <v>6</v>
      </c>
      <c r="K4031" t="s">
        <v>8865</v>
      </c>
      <c r="L4031" t="s">
        <v>10635</v>
      </c>
      <c r="M4031">
        <v>1</v>
      </c>
      <c r="N4031">
        <v>1</v>
      </c>
      <c r="O4031" t="s">
        <v>1036</v>
      </c>
      <c r="P4031" s="17"/>
      <c r="Q4031" s="17" t="str">
        <f>_xlfn.XLOOKUP(Table2[[#This Row],[buyFromVendorNo]],'Next Day Scheduled'!A:A,'Pending Returns'!O:O,"NOT_FOUND")</f>
        <v>NOT_FOUND</v>
      </c>
    </row>
    <row r="4032" spans="1:17" x14ac:dyDescent="0.3">
      <c r="A4032" s="1">
        <v>46253</v>
      </c>
      <c r="B4032" t="s">
        <v>2735</v>
      </c>
      <c r="C4032" t="s">
        <v>1161</v>
      </c>
      <c r="D4032" t="s">
        <v>1162</v>
      </c>
      <c r="E4032" t="s">
        <v>8</v>
      </c>
      <c r="F4032" t="s">
        <v>10</v>
      </c>
      <c r="G4032" s="16">
        <v>2432</v>
      </c>
      <c r="H4032" s="16">
        <v>2796.8</v>
      </c>
      <c r="J4032">
        <v>6</v>
      </c>
      <c r="K4032" t="s">
        <v>10688</v>
      </c>
      <c r="M4032">
        <v>1</v>
      </c>
      <c r="N4032">
        <v>6</v>
      </c>
      <c r="O4032" t="s">
        <v>216</v>
      </c>
      <c r="P4032" s="17"/>
      <c r="Q4032" s="17" t="str">
        <f>_xlfn.XLOOKUP(Table2[[#This Row],[buyFromVendorNo]],'Next Day Scheduled'!A:A,'Pending Returns'!O:O,"NOT_FOUND")</f>
        <v>NOT_FOUND</v>
      </c>
    </row>
    <row r="4033" spans="1:17" x14ac:dyDescent="0.3">
      <c r="A4033" s="1">
        <v>46253</v>
      </c>
      <c r="B4033" t="s">
        <v>8063</v>
      </c>
      <c r="C4033" t="s">
        <v>90</v>
      </c>
      <c r="D4033" t="s">
        <v>91</v>
      </c>
      <c r="E4033" t="s">
        <v>8</v>
      </c>
      <c r="F4033" t="s">
        <v>10</v>
      </c>
      <c r="G4033" s="16">
        <v>316.66090000000003</v>
      </c>
      <c r="H4033" s="16">
        <v>364.16</v>
      </c>
      <c r="I4033" s="1">
        <v>46247</v>
      </c>
      <c r="J4033">
        <v>6</v>
      </c>
      <c r="K4033" t="s">
        <v>8255</v>
      </c>
      <c r="L4033" t="s">
        <v>10637</v>
      </c>
      <c r="M4033">
        <v>1</v>
      </c>
      <c r="N4033">
        <v>3</v>
      </c>
      <c r="O4033" t="s">
        <v>1036</v>
      </c>
      <c r="P4033" s="17"/>
      <c r="Q4033" s="17" t="str">
        <f>_xlfn.XLOOKUP(Table2[[#This Row],[buyFromVendorNo]],'Next Day Scheduled'!A:A,'Pending Returns'!O:O,"NOT_FOUND")</f>
        <v>NOT_FOUND</v>
      </c>
    </row>
    <row r="4034" spans="1:17" x14ac:dyDescent="0.3">
      <c r="A4034" s="1">
        <v>46253</v>
      </c>
      <c r="B4034" t="s">
        <v>8253</v>
      </c>
      <c r="C4034" t="s">
        <v>1472</v>
      </c>
      <c r="D4034" t="s">
        <v>1473</v>
      </c>
      <c r="E4034" t="s">
        <v>8</v>
      </c>
      <c r="F4034" t="s">
        <v>10</v>
      </c>
      <c r="G4034" s="16">
        <v>324.67703</v>
      </c>
      <c r="H4034" s="16">
        <v>373.37860000000001</v>
      </c>
      <c r="J4034">
        <v>6</v>
      </c>
      <c r="K4034" t="s">
        <v>10638</v>
      </c>
      <c r="M4034">
        <v>0</v>
      </c>
      <c r="N4034">
        <v>20</v>
      </c>
      <c r="O4034" t="s">
        <v>216</v>
      </c>
      <c r="P4034" s="17"/>
      <c r="Q4034" s="17" t="str">
        <f>_xlfn.XLOOKUP(Table2[[#This Row],[buyFromVendorNo]],'Next Day Scheduled'!A:A,'Pending Returns'!O:O,"NOT_FOUND")</f>
        <v>Posted Credit Note</v>
      </c>
    </row>
    <row r="4035" spans="1:17" x14ac:dyDescent="0.3">
      <c r="A4035" s="1">
        <v>46253</v>
      </c>
      <c r="B4035" t="s">
        <v>642</v>
      </c>
      <c r="C4035" t="s">
        <v>75</v>
      </c>
      <c r="D4035" t="s">
        <v>76</v>
      </c>
      <c r="E4035" t="s">
        <v>8</v>
      </c>
      <c r="F4035" t="s">
        <v>38</v>
      </c>
      <c r="G4035" s="16">
        <v>1782.4375</v>
      </c>
      <c r="H4035" s="16">
        <v>2049.8031999999998</v>
      </c>
      <c r="I4035" s="1">
        <v>46253</v>
      </c>
      <c r="J4035">
        <v>6</v>
      </c>
      <c r="K4035" t="s">
        <v>9886</v>
      </c>
      <c r="L4035" t="s">
        <v>10604</v>
      </c>
      <c r="M4035">
        <v>1</v>
      </c>
      <c r="N4035">
        <v>5</v>
      </c>
      <c r="O4035" t="s">
        <v>223</v>
      </c>
      <c r="P4035" s="17"/>
      <c r="Q4035" s="17" t="str">
        <f>_xlfn.XLOOKUP(Table2[[#This Row],[buyFromVendorNo]],'Next Day Scheduled'!A:A,'Pending Returns'!O:O,"NOT_FOUND")</f>
        <v>Posted Credit Note</v>
      </c>
    </row>
    <row r="4036" spans="1:17" x14ac:dyDescent="0.3">
      <c r="A4036" s="1">
        <v>46253</v>
      </c>
      <c r="B4036" t="s">
        <v>3271</v>
      </c>
      <c r="C4036" t="s">
        <v>77</v>
      </c>
      <c r="D4036" t="s">
        <v>78</v>
      </c>
      <c r="E4036" t="s">
        <v>8</v>
      </c>
      <c r="F4036" t="s">
        <v>10</v>
      </c>
      <c r="G4036" s="16">
        <v>96.45</v>
      </c>
      <c r="H4036" s="16">
        <v>110.9175</v>
      </c>
      <c r="I4036" s="1">
        <v>46253</v>
      </c>
      <c r="J4036">
        <v>6</v>
      </c>
      <c r="K4036" t="s">
        <v>10013</v>
      </c>
      <c r="L4036" t="s">
        <v>10568</v>
      </c>
      <c r="M4036">
        <v>0</v>
      </c>
      <c r="N4036">
        <v>7</v>
      </c>
      <c r="O4036" t="s">
        <v>223</v>
      </c>
      <c r="P4036" s="17"/>
      <c r="Q4036" s="17" t="str">
        <f>_xlfn.XLOOKUP(Table2[[#This Row],[buyFromVendorNo]],'Next Day Scheduled'!A:A,'Pending Returns'!O:O,"NOT_FOUND")</f>
        <v>NOT_FOUND</v>
      </c>
    </row>
    <row r="4037" spans="1:17" x14ac:dyDescent="0.3">
      <c r="A4037" s="1">
        <v>46253</v>
      </c>
      <c r="B4037" t="s">
        <v>334</v>
      </c>
      <c r="C4037" t="s">
        <v>580</v>
      </c>
      <c r="D4037" t="s">
        <v>581</v>
      </c>
      <c r="E4037" t="s">
        <v>8</v>
      </c>
      <c r="F4037" t="s">
        <v>10</v>
      </c>
      <c r="G4037" s="16">
        <v>1230</v>
      </c>
      <c r="H4037" s="16">
        <v>1414.5</v>
      </c>
      <c r="J4037">
        <v>6</v>
      </c>
      <c r="K4037" t="s">
        <v>10606</v>
      </c>
      <c r="M4037">
        <v>1</v>
      </c>
      <c r="N4037">
        <v>3</v>
      </c>
      <c r="O4037" t="s">
        <v>216</v>
      </c>
      <c r="P4037" s="17"/>
      <c r="Q4037" s="17" t="str">
        <f>_xlfn.XLOOKUP(Table2[[#This Row],[buyFromVendorNo]],'Next Day Scheduled'!A:A,'Pending Returns'!O:O,"NOT_FOUND")</f>
        <v>NOT_FOUND</v>
      </c>
    </row>
    <row r="4038" spans="1:17" x14ac:dyDescent="0.3">
      <c r="A4038" s="1">
        <v>46253</v>
      </c>
      <c r="B4038" t="s">
        <v>1575</v>
      </c>
      <c r="C4038" t="s">
        <v>812</v>
      </c>
      <c r="D4038" t="s">
        <v>2394</v>
      </c>
      <c r="E4038" t="s">
        <v>8</v>
      </c>
      <c r="F4038" t="s">
        <v>10</v>
      </c>
      <c r="G4038" s="16">
        <v>24</v>
      </c>
      <c r="H4038" s="16">
        <v>27.6</v>
      </c>
      <c r="J4038">
        <v>6</v>
      </c>
      <c r="K4038" t="s">
        <v>10607</v>
      </c>
      <c r="M4038">
        <v>1</v>
      </c>
      <c r="N4038">
        <v>3</v>
      </c>
      <c r="O4038" t="s">
        <v>216</v>
      </c>
      <c r="P4038" s="17"/>
      <c r="Q4038" s="17" t="str">
        <f>_xlfn.XLOOKUP(Table2[[#This Row],[buyFromVendorNo]],'Next Day Scheduled'!A:A,'Pending Returns'!O:O,"NOT_FOUND")</f>
        <v>NOT_FOUND</v>
      </c>
    </row>
    <row r="4039" spans="1:17" x14ac:dyDescent="0.3">
      <c r="A4039" s="1">
        <v>46253</v>
      </c>
      <c r="B4039" t="s">
        <v>6267</v>
      </c>
      <c r="C4039" t="s">
        <v>77</v>
      </c>
      <c r="D4039" t="s">
        <v>78</v>
      </c>
      <c r="E4039" t="s">
        <v>8</v>
      </c>
      <c r="F4039" t="s">
        <v>10</v>
      </c>
      <c r="G4039" s="16">
        <v>3567.0934999999999</v>
      </c>
      <c r="H4039" s="16">
        <v>4102.1576999999997</v>
      </c>
      <c r="I4039" s="1">
        <v>46253</v>
      </c>
      <c r="J4039">
        <v>6</v>
      </c>
      <c r="K4039" t="s">
        <v>6268</v>
      </c>
      <c r="L4039" t="s">
        <v>10569</v>
      </c>
      <c r="M4039">
        <v>0</v>
      </c>
      <c r="N4039">
        <v>7</v>
      </c>
      <c r="O4039" t="s">
        <v>223</v>
      </c>
      <c r="P4039" s="17"/>
      <c r="Q4039" s="17" t="str">
        <f>_xlfn.XLOOKUP(Table2[[#This Row],[buyFromVendorNo]],'Next Day Scheduled'!A:A,'Pending Returns'!O:O,"NOT_FOUND")</f>
        <v>NOT_FOUND</v>
      </c>
    </row>
    <row r="4040" spans="1:17" x14ac:dyDescent="0.3">
      <c r="A4040" s="1">
        <v>46253</v>
      </c>
      <c r="B4040" t="s">
        <v>2623</v>
      </c>
      <c r="C4040" t="s">
        <v>154</v>
      </c>
      <c r="D4040" t="s">
        <v>155</v>
      </c>
      <c r="E4040" t="s">
        <v>8</v>
      </c>
      <c r="F4040" t="s">
        <v>10</v>
      </c>
      <c r="G4040" s="16">
        <v>597.00867000000005</v>
      </c>
      <c r="H4040" s="16">
        <v>686.56</v>
      </c>
      <c r="J4040">
        <v>6</v>
      </c>
      <c r="K4040" t="s">
        <v>10660</v>
      </c>
      <c r="M4040">
        <v>0</v>
      </c>
      <c r="N4040">
        <v>7</v>
      </c>
      <c r="O4040" t="s">
        <v>216</v>
      </c>
      <c r="P4040" s="17"/>
      <c r="Q4040" s="17" t="str">
        <f>_xlfn.XLOOKUP(Table2[[#This Row],[buyFromVendorNo]],'Next Day Scheduled'!A:A,'Pending Returns'!O:O,"NOT_FOUND")</f>
        <v>NOT_FOUND</v>
      </c>
    </row>
    <row r="4041" spans="1:17" x14ac:dyDescent="0.3">
      <c r="A4041" s="1">
        <v>46253</v>
      </c>
      <c r="B4041" t="s">
        <v>7253</v>
      </c>
      <c r="C4041" t="s">
        <v>77</v>
      </c>
      <c r="D4041" t="s">
        <v>78</v>
      </c>
      <c r="E4041" t="s">
        <v>8</v>
      </c>
      <c r="F4041" t="s">
        <v>10</v>
      </c>
      <c r="G4041" s="16">
        <v>703.69169999999997</v>
      </c>
      <c r="H4041" s="16">
        <v>809.24549999999999</v>
      </c>
      <c r="I4041" s="1">
        <v>46253</v>
      </c>
      <c r="J4041">
        <v>6</v>
      </c>
      <c r="K4041" t="s">
        <v>7254</v>
      </c>
      <c r="L4041" t="s">
        <v>10563</v>
      </c>
      <c r="M4041">
        <v>0</v>
      </c>
      <c r="N4041">
        <v>7</v>
      </c>
      <c r="O4041" t="s">
        <v>223</v>
      </c>
      <c r="P4041" s="17"/>
      <c r="Q4041" s="17" t="str">
        <f>_xlfn.XLOOKUP(Table2[[#This Row],[buyFromVendorNo]],'Next Day Scheduled'!A:A,'Pending Returns'!O:O,"NOT_FOUND")</f>
        <v>NOT_FOUND</v>
      </c>
    </row>
    <row r="4042" spans="1:17" x14ac:dyDescent="0.3">
      <c r="A4042" s="1">
        <v>46253</v>
      </c>
      <c r="B4042" t="s">
        <v>3366</v>
      </c>
      <c r="C4042" t="s">
        <v>871</v>
      </c>
      <c r="D4042" t="s">
        <v>9202</v>
      </c>
      <c r="E4042" t="s">
        <v>8</v>
      </c>
      <c r="F4042" t="s">
        <v>10</v>
      </c>
      <c r="G4042" s="16">
        <v>31.5</v>
      </c>
      <c r="H4042" s="16">
        <v>36.225000000000001</v>
      </c>
      <c r="I4042" s="1">
        <v>46253</v>
      </c>
      <c r="J4042">
        <v>6</v>
      </c>
      <c r="K4042" t="s">
        <v>9570</v>
      </c>
      <c r="L4042" t="s">
        <v>10578</v>
      </c>
      <c r="M4042">
        <v>1</v>
      </c>
      <c r="N4042">
        <v>6</v>
      </c>
      <c r="O4042" t="s">
        <v>1036</v>
      </c>
      <c r="P4042" s="17"/>
      <c r="Q4042" s="17" t="str">
        <f>_xlfn.XLOOKUP(Table2[[#This Row],[buyFromVendorNo]],'Next Day Scheduled'!A:A,'Pending Returns'!O:O,"NOT_FOUND")</f>
        <v>Posted Credit Note</v>
      </c>
    </row>
    <row r="4043" spans="1:17" x14ac:dyDescent="0.3">
      <c r="A4043" s="1">
        <v>46253</v>
      </c>
      <c r="B4043" t="s">
        <v>9101</v>
      </c>
      <c r="C4043" t="s">
        <v>77</v>
      </c>
      <c r="D4043" t="s">
        <v>78</v>
      </c>
      <c r="E4043" t="s">
        <v>8</v>
      </c>
      <c r="F4043" t="s">
        <v>10</v>
      </c>
      <c r="G4043" s="16">
        <v>248.68</v>
      </c>
      <c r="H4043" s="16">
        <v>285.98200000000003</v>
      </c>
      <c r="I4043" s="1">
        <v>46253</v>
      </c>
      <c r="J4043">
        <v>6</v>
      </c>
      <c r="K4043" t="s">
        <v>9102</v>
      </c>
      <c r="L4043" t="s">
        <v>10564</v>
      </c>
      <c r="M4043">
        <v>0</v>
      </c>
      <c r="N4043">
        <v>7</v>
      </c>
      <c r="O4043" t="s">
        <v>223</v>
      </c>
      <c r="P4043" s="17"/>
      <c r="Q4043" s="17" t="str">
        <f>_xlfn.XLOOKUP(Table2[[#This Row],[buyFromVendorNo]],'Next Day Scheduled'!A:A,'Pending Returns'!O:O,"NOT_FOUND")</f>
        <v>NOT_FOUND</v>
      </c>
    </row>
    <row r="4044" spans="1:17" x14ac:dyDescent="0.3">
      <c r="A4044" s="1">
        <v>46253</v>
      </c>
      <c r="B4044" t="s">
        <v>8266</v>
      </c>
      <c r="C4044" t="s">
        <v>71</v>
      </c>
      <c r="D4044" t="s">
        <v>72</v>
      </c>
      <c r="E4044" t="s">
        <v>8</v>
      </c>
      <c r="F4044" t="s">
        <v>10</v>
      </c>
      <c r="G4044" s="16">
        <v>3756.9758000000002</v>
      </c>
      <c r="H4044" s="16">
        <v>4320.5225</v>
      </c>
      <c r="J4044">
        <v>6</v>
      </c>
      <c r="K4044" t="s">
        <v>10702</v>
      </c>
      <c r="M4044">
        <v>0</v>
      </c>
      <c r="N4044">
        <v>8</v>
      </c>
      <c r="O4044" t="s">
        <v>216</v>
      </c>
      <c r="P4044" s="17"/>
      <c r="Q4044" s="17" t="str">
        <f>_xlfn.XLOOKUP(Table2[[#This Row],[buyFromVendorNo]],'Next Day Scheduled'!A:A,'Pending Returns'!O:O,"NOT_FOUND")</f>
        <v>Posted Credit Note</v>
      </c>
    </row>
    <row r="4045" spans="1:17" x14ac:dyDescent="0.3">
      <c r="A4045" s="1">
        <v>46253</v>
      </c>
      <c r="B4045" t="s">
        <v>3291</v>
      </c>
      <c r="C4045" t="s">
        <v>2448</v>
      </c>
      <c r="D4045" t="s">
        <v>2449</v>
      </c>
      <c r="E4045" t="s">
        <v>8</v>
      </c>
      <c r="F4045" t="s">
        <v>10</v>
      </c>
      <c r="G4045" s="16">
        <v>21</v>
      </c>
      <c r="H4045" s="16">
        <v>24.15</v>
      </c>
      <c r="I4045" s="1">
        <v>46253</v>
      </c>
      <c r="J4045">
        <v>6</v>
      </c>
      <c r="K4045" t="s">
        <v>9506</v>
      </c>
      <c r="L4045" t="s">
        <v>10565</v>
      </c>
      <c r="M4045">
        <v>0</v>
      </c>
      <c r="N4045">
        <v>7</v>
      </c>
      <c r="O4045" t="s">
        <v>223</v>
      </c>
      <c r="P4045" s="17"/>
      <c r="Q4045" s="17" t="str">
        <f>_xlfn.XLOOKUP(Table2[[#This Row],[buyFromVendorNo]],'Next Day Scheduled'!A:A,'Pending Returns'!O:O,"NOT_FOUND")</f>
        <v>NOT_FOUND</v>
      </c>
    </row>
    <row r="4046" spans="1:17" x14ac:dyDescent="0.3">
      <c r="A4046" s="1">
        <v>46253</v>
      </c>
      <c r="B4046" t="s">
        <v>5106</v>
      </c>
      <c r="C4046" t="s">
        <v>133</v>
      </c>
      <c r="D4046" t="s">
        <v>134</v>
      </c>
      <c r="E4046" t="s">
        <v>8</v>
      </c>
      <c r="F4046" t="s">
        <v>10</v>
      </c>
      <c r="G4046" s="16">
        <v>125.1934</v>
      </c>
      <c r="H4046" s="16">
        <v>143.97241</v>
      </c>
      <c r="I4046" s="1">
        <v>46239</v>
      </c>
      <c r="J4046">
        <v>6</v>
      </c>
      <c r="K4046" t="s">
        <v>8243</v>
      </c>
      <c r="L4046" t="s">
        <v>10585</v>
      </c>
      <c r="M4046">
        <v>0</v>
      </c>
      <c r="N4046">
        <v>12</v>
      </c>
      <c r="O4046" t="s">
        <v>1036</v>
      </c>
      <c r="P4046" s="17"/>
      <c r="Q4046" s="17" t="str">
        <f>_xlfn.XLOOKUP(Table2[[#This Row],[buyFromVendorNo]],'Next Day Scheduled'!A:A,'Pending Returns'!O:O,"NOT_FOUND")</f>
        <v>NOT_FOUND</v>
      </c>
    </row>
    <row r="4047" spans="1:17" x14ac:dyDescent="0.3">
      <c r="A4047" s="1">
        <v>46253</v>
      </c>
      <c r="B4047" t="s">
        <v>642</v>
      </c>
      <c r="C4047" t="s">
        <v>651</v>
      </c>
      <c r="D4047" t="s">
        <v>652</v>
      </c>
      <c r="E4047" t="s">
        <v>8</v>
      </c>
      <c r="F4047" t="s">
        <v>38</v>
      </c>
      <c r="G4047" s="16">
        <v>304</v>
      </c>
      <c r="H4047" s="16">
        <v>349.6</v>
      </c>
      <c r="I4047" s="1">
        <v>46250</v>
      </c>
      <c r="J4047">
        <v>6</v>
      </c>
      <c r="K4047" t="s">
        <v>9734</v>
      </c>
      <c r="L4047" t="s">
        <v>10586</v>
      </c>
      <c r="M4047">
        <v>1</v>
      </c>
      <c r="N4047">
        <v>1</v>
      </c>
      <c r="O4047" t="s">
        <v>1036</v>
      </c>
      <c r="P4047" s="17"/>
      <c r="Q4047" s="17" t="str">
        <f>_xlfn.XLOOKUP(Table2[[#This Row],[buyFromVendorNo]],'Next Day Scheduled'!A:A,'Pending Returns'!O:O,"NOT_FOUND")</f>
        <v>NOT_FOUND</v>
      </c>
    </row>
    <row r="4048" spans="1:17" x14ac:dyDescent="0.3">
      <c r="A4048" s="1">
        <v>46253</v>
      </c>
      <c r="B4048" t="s">
        <v>2723</v>
      </c>
      <c r="C4048" t="s">
        <v>2775</v>
      </c>
      <c r="D4048" t="s">
        <v>2776</v>
      </c>
      <c r="E4048" t="s">
        <v>8</v>
      </c>
      <c r="F4048" t="s">
        <v>10</v>
      </c>
      <c r="G4048" s="16">
        <v>560</v>
      </c>
      <c r="H4048" s="16">
        <v>644</v>
      </c>
      <c r="I4048" s="1">
        <v>46253</v>
      </c>
      <c r="J4048">
        <v>6</v>
      </c>
      <c r="K4048" t="s">
        <v>10254</v>
      </c>
      <c r="L4048" t="s">
        <v>10587</v>
      </c>
      <c r="M4048">
        <v>1</v>
      </c>
      <c r="N4048">
        <v>6</v>
      </c>
      <c r="O4048" t="s">
        <v>1036</v>
      </c>
      <c r="P4048" s="17"/>
      <c r="Q4048" s="17" t="str">
        <f>_xlfn.XLOOKUP(Table2[[#This Row],[buyFromVendorNo]],'Next Day Scheduled'!A:A,'Pending Returns'!O:O,"NOT_FOUND")</f>
        <v>NOT_FOUND</v>
      </c>
    </row>
    <row r="4049" spans="1:17" x14ac:dyDescent="0.3">
      <c r="A4049" s="1">
        <v>46253</v>
      </c>
      <c r="B4049" t="s">
        <v>8269</v>
      </c>
      <c r="C4049" t="s">
        <v>109</v>
      </c>
      <c r="D4049" t="s">
        <v>110</v>
      </c>
      <c r="E4049" t="s">
        <v>8</v>
      </c>
      <c r="F4049" t="s">
        <v>10</v>
      </c>
      <c r="G4049" s="16">
        <v>11</v>
      </c>
      <c r="H4049" s="16">
        <v>12.65</v>
      </c>
      <c r="I4049" s="1">
        <v>46253</v>
      </c>
      <c r="J4049">
        <v>6</v>
      </c>
      <c r="K4049" t="s">
        <v>8270</v>
      </c>
      <c r="L4049" t="s">
        <v>10571</v>
      </c>
      <c r="M4049">
        <v>0</v>
      </c>
      <c r="N4049">
        <v>7</v>
      </c>
      <c r="O4049" t="s">
        <v>223</v>
      </c>
      <c r="P4049" s="17"/>
      <c r="Q4049" s="17" t="str">
        <f>_xlfn.XLOOKUP(Table2[[#This Row],[buyFromVendorNo]],'Next Day Scheduled'!A:A,'Pending Returns'!O:O,"NOT_FOUND")</f>
        <v>NOT_FOUND</v>
      </c>
    </row>
    <row r="4050" spans="1:17" x14ac:dyDescent="0.3">
      <c r="A4050" s="1">
        <v>46253</v>
      </c>
      <c r="B4050" t="s">
        <v>642</v>
      </c>
      <c r="C4050" t="s">
        <v>116</v>
      </c>
      <c r="D4050" t="s">
        <v>117</v>
      </c>
      <c r="E4050" t="s">
        <v>8</v>
      </c>
      <c r="F4050" t="s">
        <v>38</v>
      </c>
      <c r="G4050" s="16">
        <v>351.09500000000003</v>
      </c>
      <c r="H4050" s="16">
        <v>403.75925000000001</v>
      </c>
      <c r="I4050" s="1">
        <v>46253</v>
      </c>
      <c r="J4050">
        <v>6</v>
      </c>
      <c r="K4050" t="s">
        <v>10221</v>
      </c>
      <c r="L4050" t="s">
        <v>10591</v>
      </c>
      <c r="M4050">
        <v>1</v>
      </c>
      <c r="N4050">
        <v>2</v>
      </c>
      <c r="O4050" t="s">
        <v>223</v>
      </c>
      <c r="P4050" s="17"/>
      <c r="Q4050" s="17" t="str">
        <f>_xlfn.XLOOKUP(Table2[[#This Row],[buyFromVendorNo]],'Next Day Scheduled'!A:A,'Pending Returns'!O:O,"NOT_FOUND")</f>
        <v>NOT_FOUND</v>
      </c>
    </row>
    <row r="4051" spans="1:17" x14ac:dyDescent="0.3">
      <c r="A4051" s="1">
        <v>46253</v>
      </c>
      <c r="B4051" t="s">
        <v>8200</v>
      </c>
      <c r="C4051" t="s">
        <v>634</v>
      </c>
      <c r="D4051" t="s">
        <v>659</v>
      </c>
      <c r="E4051" t="s">
        <v>8</v>
      </c>
      <c r="F4051" t="s">
        <v>10</v>
      </c>
      <c r="G4051" s="16">
        <v>186.51</v>
      </c>
      <c r="H4051" s="16">
        <v>214.48650000000001</v>
      </c>
      <c r="I4051" s="1">
        <v>46253</v>
      </c>
      <c r="J4051">
        <v>6</v>
      </c>
      <c r="K4051" t="s">
        <v>10280</v>
      </c>
      <c r="L4051" t="s">
        <v>10558</v>
      </c>
      <c r="M4051">
        <v>0</v>
      </c>
      <c r="N4051">
        <v>7</v>
      </c>
      <c r="O4051" t="s">
        <v>223</v>
      </c>
      <c r="P4051" s="17"/>
      <c r="Q4051" s="17" t="str">
        <f>_xlfn.XLOOKUP(Table2[[#This Row],[buyFromVendorNo]],'Next Day Scheduled'!A:A,'Pending Returns'!O:O,"NOT_FOUND")</f>
        <v>Posted Credit Note</v>
      </c>
    </row>
    <row r="4052" spans="1:17" x14ac:dyDescent="0.3">
      <c r="A4052" s="1">
        <v>46253</v>
      </c>
      <c r="B4052" t="s">
        <v>8230</v>
      </c>
      <c r="C4052" t="s">
        <v>2448</v>
      </c>
      <c r="D4052" t="s">
        <v>2449</v>
      </c>
      <c r="E4052" t="s">
        <v>8</v>
      </c>
      <c r="F4052" t="s">
        <v>10</v>
      </c>
      <c r="G4052" s="16">
        <v>98</v>
      </c>
      <c r="H4052" s="16">
        <v>112.7</v>
      </c>
      <c r="I4052" s="1">
        <v>46253</v>
      </c>
      <c r="J4052">
        <v>6</v>
      </c>
      <c r="K4052" t="s">
        <v>8231</v>
      </c>
      <c r="L4052" t="s">
        <v>10559</v>
      </c>
      <c r="M4052">
        <v>0</v>
      </c>
      <c r="N4052">
        <v>7</v>
      </c>
      <c r="O4052" t="s">
        <v>223</v>
      </c>
      <c r="P4052" s="17"/>
      <c r="Q4052" s="17" t="str">
        <f>_xlfn.XLOOKUP(Table2[[#This Row],[buyFromVendorNo]],'Next Day Scheduled'!A:A,'Pending Returns'!O:O,"NOT_FOUND")</f>
        <v>NOT_FOUND</v>
      </c>
    </row>
    <row r="4053" spans="1:17" x14ac:dyDescent="0.3">
      <c r="A4053" s="1">
        <v>46253</v>
      </c>
      <c r="B4053" t="s">
        <v>9475</v>
      </c>
      <c r="C4053" t="s">
        <v>2317</v>
      </c>
      <c r="D4053" t="s">
        <v>2318</v>
      </c>
      <c r="E4053" t="s">
        <v>8</v>
      </c>
      <c r="F4053" t="s">
        <v>10</v>
      </c>
      <c r="G4053" s="16">
        <v>64.52</v>
      </c>
      <c r="H4053" s="16">
        <v>74.197999999999993</v>
      </c>
      <c r="I4053" s="1">
        <v>46253</v>
      </c>
      <c r="J4053">
        <v>6</v>
      </c>
      <c r="K4053" t="s">
        <v>9469</v>
      </c>
      <c r="L4053" t="s">
        <v>10620</v>
      </c>
      <c r="M4053">
        <v>0</v>
      </c>
      <c r="N4053">
        <v>7</v>
      </c>
      <c r="O4053" t="s">
        <v>1036</v>
      </c>
      <c r="P4053" s="17"/>
      <c r="Q4053" s="17" t="str">
        <f>_xlfn.XLOOKUP(Table2[[#This Row],[buyFromVendorNo]],'Next Day Scheduled'!A:A,'Pending Returns'!O:O,"NOT_FOUND")</f>
        <v>NOT_FOUND</v>
      </c>
    </row>
    <row r="4054" spans="1:17" x14ac:dyDescent="0.3">
      <c r="A4054" s="1">
        <v>46253</v>
      </c>
      <c r="B4054" t="s">
        <v>8110</v>
      </c>
      <c r="C4054" t="s">
        <v>1725</v>
      </c>
      <c r="D4054" t="s">
        <v>1726</v>
      </c>
      <c r="E4054" t="s">
        <v>8</v>
      </c>
      <c r="F4054" t="s">
        <v>10</v>
      </c>
      <c r="G4054" s="16">
        <v>197.53800000000001</v>
      </c>
      <c r="H4054" s="16">
        <v>227.1687</v>
      </c>
      <c r="J4054">
        <v>6</v>
      </c>
      <c r="K4054" t="s">
        <v>10621</v>
      </c>
      <c r="M4054">
        <v>0</v>
      </c>
      <c r="N4054">
        <v>28</v>
      </c>
      <c r="O4054" t="s">
        <v>216</v>
      </c>
      <c r="P4054" s="17"/>
      <c r="Q4054" s="17" t="str">
        <f>_xlfn.XLOOKUP(Table2[[#This Row],[buyFromVendorNo]],'Next Day Scheduled'!A:A,'Pending Returns'!O:O,"NOT_FOUND")</f>
        <v>Posted Credit Note</v>
      </c>
    </row>
    <row r="4055" spans="1:17" x14ac:dyDescent="0.3">
      <c r="A4055" s="1">
        <v>46253</v>
      </c>
      <c r="B4055" t="s">
        <v>2178</v>
      </c>
      <c r="C4055" t="s">
        <v>133</v>
      </c>
      <c r="D4055" t="s">
        <v>134</v>
      </c>
      <c r="E4055" t="s">
        <v>8</v>
      </c>
      <c r="F4055" t="s">
        <v>10</v>
      </c>
      <c r="G4055" s="16">
        <v>121.8168</v>
      </c>
      <c r="H4055" s="16">
        <v>140.08931999999999</v>
      </c>
      <c r="I4055" s="1">
        <v>46239</v>
      </c>
      <c r="J4055">
        <v>6</v>
      </c>
      <c r="K4055" t="s">
        <v>8550</v>
      </c>
      <c r="L4055" t="s">
        <v>10593</v>
      </c>
      <c r="M4055">
        <v>0</v>
      </c>
      <c r="N4055">
        <v>12</v>
      </c>
      <c r="O4055" t="s">
        <v>1036</v>
      </c>
      <c r="P4055" s="17"/>
      <c r="Q4055" s="17" t="str">
        <f>_xlfn.XLOOKUP(Table2[[#This Row],[buyFromVendorNo]],'Next Day Scheduled'!A:A,'Pending Returns'!O:O,"NOT_FOUND")</f>
        <v>NOT_FOUND</v>
      </c>
    </row>
    <row r="4056" spans="1:17" x14ac:dyDescent="0.3">
      <c r="A4056" s="1">
        <v>46253</v>
      </c>
      <c r="B4056" t="s">
        <v>2159</v>
      </c>
      <c r="C4056" t="s">
        <v>133</v>
      </c>
      <c r="D4056" t="s">
        <v>134</v>
      </c>
      <c r="E4056" t="s">
        <v>8</v>
      </c>
      <c r="F4056" t="s">
        <v>10</v>
      </c>
      <c r="G4056" s="16">
        <v>184.60267999999999</v>
      </c>
      <c r="H4056" s="16">
        <v>212.29308</v>
      </c>
      <c r="I4056" s="1">
        <v>46239</v>
      </c>
      <c r="J4056">
        <v>6</v>
      </c>
      <c r="K4056" t="s">
        <v>7252</v>
      </c>
      <c r="L4056" t="s">
        <v>10622</v>
      </c>
      <c r="M4056">
        <v>0</v>
      </c>
      <c r="N4056">
        <v>12</v>
      </c>
      <c r="O4056" t="s">
        <v>1036</v>
      </c>
      <c r="P4056" s="17"/>
      <c r="Q4056" s="17" t="str">
        <f>_xlfn.XLOOKUP(Table2[[#This Row],[buyFromVendorNo]],'Next Day Scheduled'!A:A,'Pending Returns'!O:O,"NOT_FOUND")</f>
        <v>NOT_FOUND</v>
      </c>
    </row>
    <row r="4057" spans="1:17" x14ac:dyDescent="0.3">
      <c r="A4057" s="1">
        <v>46253</v>
      </c>
      <c r="B4057" t="s">
        <v>642</v>
      </c>
      <c r="C4057" t="s">
        <v>2267</v>
      </c>
      <c r="D4057" t="s">
        <v>2268</v>
      </c>
      <c r="E4057" t="s">
        <v>8</v>
      </c>
      <c r="F4057" t="s">
        <v>38</v>
      </c>
      <c r="G4057" s="16">
        <v>7.9</v>
      </c>
      <c r="H4057" s="16">
        <v>9.0850000000000009</v>
      </c>
      <c r="I4057" s="1">
        <v>46253</v>
      </c>
      <c r="J4057">
        <v>6</v>
      </c>
      <c r="K4057" t="s">
        <v>10102</v>
      </c>
      <c r="L4057" t="s">
        <v>10596</v>
      </c>
      <c r="M4057">
        <v>0</v>
      </c>
      <c r="N4057">
        <v>143</v>
      </c>
      <c r="O4057" t="s">
        <v>1036</v>
      </c>
      <c r="P4057" s="17"/>
      <c r="Q4057" s="17" t="str">
        <f>_xlfn.XLOOKUP(Table2[[#This Row],[buyFromVendorNo]],'Next Day Scheduled'!A:A,'Pending Returns'!O:O,"NOT_FOUND")</f>
        <v>NOT_FOUND</v>
      </c>
    </row>
    <row r="4058" spans="1:17" x14ac:dyDescent="0.3">
      <c r="A4058" s="1">
        <v>46253</v>
      </c>
      <c r="B4058" t="s">
        <v>3532</v>
      </c>
      <c r="C4058" t="s">
        <v>130</v>
      </c>
      <c r="D4058" t="s">
        <v>131</v>
      </c>
      <c r="E4058" t="s">
        <v>8</v>
      </c>
      <c r="F4058" t="s">
        <v>10</v>
      </c>
      <c r="G4058" s="16">
        <v>60.05</v>
      </c>
      <c r="H4058" s="16">
        <v>69.057500000000005</v>
      </c>
      <c r="I4058" s="1">
        <v>46253</v>
      </c>
      <c r="J4058">
        <v>6</v>
      </c>
      <c r="K4058" t="s">
        <v>10033</v>
      </c>
      <c r="L4058" t="s">
        <v>10560</v>
      </c>
      <c r="M4058">
        <v>0</v>
      </c>
      <c r="N4058">
        <v>7</v>
      </c>
      <c r="O4058" t="s">
        <v>223</v>
      </c>
      <c r="P4058" s="17"/>
      <c r="Q4058" s="17" t="str">
        <f>_xlfn.XLOOKUP(Table2[[#This Row],[buyFromVendorNo]],'Next Day Scheduled'!A:A,'Pending Returns'!O:O,"NOT_FOUND")</f>
        <v>Posted Credit Note</v>
      </c>
    </row>
    <row r="4059" spans="1:17" x14ac:dyDescent="0.3">
      <c r="A4059" s="1">
        <v>46253</v>
      </c>
      <c r="B4059" t="s">
        <v>5112</v>
      </c>
      <c r="C4059" t="s">
        <v>2943</v>
      </c>
      <c r="D4059" t="s">
        <v>2944</v>
      </c>
      <c r="E4059" t="s">
        <v>8</v>
      </c>
      <c r="F4059" t="s">
        <v>10</v>
      </c>
      <c r="G4059" s="16">
        <v>662.25</v>
      </c>
      <c r="H4059" s="16">
        <v>761.58749999999998</v>
      </c>
      <c r="J4059">
        <v>6</v>
      </c>
      <c r="K4059" t="s">
        <v>10652</v>
      </c>
      <c r="M4059">
        <v>0</v>
      </c>
      <c r="N4059">
        <v>9</v>
      </c>
      <c r="O4059" t="s">
        <v>216</v>
      </c>
      <c r="P4059" s="17"/>
      <c r="Q4059" s="17" t="str">
        <f>_xlfn.XLOOKUP(Table2[[#This Row],[buyFromVendorNo]],'Next Day Scheduled'!A:A,'Pending Returns'!O:O,"NOT_FOUND")</f>
        <v>NOT_FOUND</v>
      </c>
    </row>
    <row r="4060" spans="1:17" x14ac:dyDescent="0.3">
      <c r="A4060" s="1">
        <v>46253</v>
      </c>
      <c r="B4060" t="s">
        <v>9910</v>
      </c>
      <c r="C4060" t="s">
        <v>491</v>
      </c>
      <c r="D4060" t="s">
        <v>492</v>
      </c>
      <c r="E4060" t="s">
        <v>8</v>
      </c>
      <c r="F4060" t="s">
        <v>10</v>
      </c>
      <c r="G4060" s="16">
        <v>869</v>
      </c>
      <c r="H4060" s="16">
        <v>999.35</v>
      </c>
      <c r="I4060" s="1">
        <v>46250</v>
      </c>
      <c r="J4060">
        <v>6</v>
      </c>
      <c r="K4060" t="s">
        <v>9911</v>
      </c>
      <c r="L4060" t="s">
        <v>10676</v>
      </c>
      <c r="M4060">
        <v>1</v>
      </c>
      <c r="N4060">
        <v>2</v>
      </c>
      <c r="O4060" t="s">
        <v>1036</v>
      </c>
      <c r="P4060" s="17"/>
      <c r="Q4060" s="17" t="str">
        <f>_xlfn.XLOOKUP(Table2[[#This Row],[buyFromVendorNo]],'Next Day Scheduled'!A:A,'Pending Returns'!O:O,"NOT_FOUND")</f>
        <v>NOT_FOUND</v>
      </c>
    </row>
    <row r="4061" spans="1:17" x14ac:dyDescent="0.3">
      <c r="A4061" s="1">
        <v>46253</v>
      </c>
      <c r="B4061" t="s">
        <v>8110</v>
      </c>
      <c r="C4061" t="s">
        <v>77</v>
      </c>
      <c r="D4061" t="s">
        <v>78</v>
      </c>
      <c r="E4061" t="s">
        <v>8</v>
      </c>
      <c r="F4061" t="s">
        <v>10</v>
      </c>
      <c r="G4061" s="16">
        <v>154.19962000000001</v>
      </c>
      <c r="H4061" s="16">
        <v>177.32955999999999</v>
      </c>
      <c r="I4061" s="1">
        <v>46253</v>
      </c>
      <c r="J4061">
        <v>6</v>
      </c>
      <c r="K4061" t="s">
        <v>8111</v>
      </c>
      <c r="L4061" t="s">
        <v>10572</v>
      </c>
      <c r="M4061">
        <v>0</v>
      </c>
      <c r="N4061">
        <v>7</v>
      </c>
      <c r="O4061" t="s">
        <v>223</v>
      </c>
      <c r="P4061" s="17"/>
      <c r="Q4061" s="17" t="str">
        <f>_xlfn.XLOOKUP(Table2[[#This Row],[buyFromVendorNo]],'Next Day Scheduled'!A:A,'Pending Returns'!O:O,"NOT_FOUND")</f>
        <v>NOT_FOUND</v>
      </c>
    </row>
    <row r="4062" spans="1:17" x14ac:dyDescent="0.3">
      <c r="A4062" s="1">
        <v>46253</v>
      </c>
      <c r="B4062" t="s">
        <v>10653</v>
      </c>
      <c r="C4062" t="s">
        <v>2976</v>
      </c>
      <c r="D4062" t="s">
        <v>2977</v>
      </c>
      <c r="E4062" t="s">
        <v>8</v>
      </c>
      <c r="F4062" t="s">
        <v>10</v>
      </c>
      <c r="G4062" s="16">
        <v>41</v>
      </c>
      <c r="H4062" s="16">
        <v>47.15</v>
      </c>
      <c r="J4062">
        <v>6</v>
      </c>
      <c r="K4062" t="s">
        <v>10654</v>
      </c>
      <c r="M4062">
        <v>0</v>
      </c>
      <c r="N4062">
        <v>7</v>
      </c>
      <c r="O4062" t="s">
        <v>216</v>
      </c>
      <c r="P4062" s="17"/>
      <c r="Q4062" s="17" t="str">
        <f>_xlfn.XLOOKUP(Table2[[#This Row],[buyFromVendorNo]],'Next Day Scheduled'!A:A,'Pending Returns'!O:O,"NOT_FOUND")</f>
        <v>NOT_FOUND</v>
      </c>
    </row>
    <row r="4063" spans="1:17" x14ac:dyDescent="0.3">
      <c r="A4063" s="1">
        <v>46253</v>
      </c>
      <c r="B4063" t="s">
        <v>8758</v>
      </c>
      <c r="C4063" t="s">
        <v>49</v>
      </c>
      <c r="D4063" t="s">
        <v>50</v>
      </c>
      <c r="E4063" t="s">
        <v>8</v>
      </c>
      <c r="F4063" t="s">
        <v>10</v>
      </c>
      <c r="G4063" s="16">
        <v>2634.24</v>
      </c>
      <c r="H4063" s="16">
        <v>3029.3760000000002</v>
      </c>
      <c r="J4063">
        <v>6</v>
      </c>
      <c r="K4063" t="s">
        <v>10655</v>
      </c>
      <c r="M4063">
        <v>0</v>
      </c>
      <c r="N4063">
        <v>15</v>
      </c>
      <c r="O4063" t="s">
        <v>216</v>
      </c>
      <c r="P4063" s="17"/>
      <c r="Q4063" s="17" t="str">
        <f>_xlfn.XLOOKUP(Table2[[#This Row],[buyFromVendorNo]],'Next Day Scheduled'!A:A,'Pending Returns'!O:O,"NOT_FOUND")</f>
        <v>NOT_FOUND</v>
      </c>
    </row>
    <row r="4064" spans="1:17" x14ac:dyDescent="0.3">
      <c r="A4064" s="1">
        <v>46253</v>
      </c>
      <c r="B4064" t="s">
        <v>2615</v>
      </c>
      <c r="C4064" t="s">
        <v>139</v>
      </c>
      <c r="D4064" t="s">
        <v>140</v>
      </c>
      <c r="E4064" t="s">
        <v>8</v>
      </c>
      <c r="F4064" t="s">
        <v>10</v>
      </c>
      <c r="G4064" s="16">
        <v>43.174900000000001</v>
      </c>
      <c r="H4064" s="16">
        <v>49.651139999999998</v>
      </c>
      <c r="I4064" s="1">
        <v>46253</v>
      </c>
      <c r="J4064">
        <v>6</v>
      </c>
      <c r="K4064" t="s">
        <v>9809</v>
      </c>
      <c r="L4064" t="s">
        <v>10628</v>
      </c>
      <c r="M4064">
        <v>0</v>
      </c>
      <c r="N4064">
        <v>7</v>
      </c>
      <c r="O4064" t="s">
        <v>1036</v>
      </c>
      <c r="P4064" s="17"/>
      <c r="Q4064" s="17" t="str">
        <f>_xlfn.XLOOKUP(Table2[[#This Row],[buyFromVendorNo]],'Next Day Scheduled'!A:A,'Pending Returns'!O:O,"NOT_FOUND")</f>
        <v>NOT_FOUND</v>
      </c>
    </row>
    <row r="4065" spans="1:17" x14ac:dyDescent="0.3">
      <c r="A4065" s="1">
        <v>46253</v>
      </c>
      <c r="B4065" t="s">
        <v>3246</v>
      </c>
      <c r="C4065" t="s">
        <v>931</v>
      </c>
      <c r="D4065" t="s">
        <v>1767</v>
      </c>
      <c r="E4065" t="s">
        <v>8</v>
      </c>
      <c r="F4065" t="s">
        <v>10</v>
      </c>
      <c r="G4065" s="16">
        <v>1942.15</v>
      </c>
      <c r="H4065" s="16">
        <v>2233.4724000000001</v>
      </c>
      <c r="J4065">
        <v>6</v>
      </c>
      <c r="K4065" t="s">
        <v>10629</v>
      </c>
      <c r="M4065">
        <v>1</v>
      </c>
      <c r="N4065">
        <v>3</v>
      </c>
      <c r="O4065" t="s">
        <v>216</v>
      </c>
      <c r="P4065" s="17"/>
      <c r="Q4065" s="17" t="str">
        <f>_xlfn.XLOOKUP(Table2[[#This Row],[buyFromVendorNo]],'Next Day Scheduled'!A:A,'Pending Returns'!O:O,"NOT_FOUND")</f>
        <v>NOT_FOUND</v>
      </c>
    </row>
    <row r="4066" spans="1:17" x14ac:dyDescent="0.3">
      <c r="A4066" s="1">
        <v>46253</v>
      </c>
      <c r="B4066" t="s">
        <v>8592</v>
      </c>
      <c r="C4066" t="s">
        <v>118</v>
      </c>
      <c r="D4066" t="s">
        <v>119</v>
      </c>
      <c r="E4066" t="s">
        <v>8</v>
      </c>
      <c r="F4066" t="s">
        <v>10</v>
      </c>
      <c r="G4066" s="16">
        <v>125.5</v>
      </c>
      <c r="H4066" s="16">
        <v>144.32499999999999</v>
      </c>
      <c r="I4066" s="1">
        <v>46252</v>
      </c>
      <c r="J4066">
        <v>6</v>
      </c>
      <c r="K4066" t="s">
        <v>9883</v>
      </c>
      <c r="L4066" t="s">
        <v>10599</v>
      </c>
      <c r="M4066">
        <v>2</v>
      </c>
      <c r="N4066">
        <v>5</v>
      </c>
      <c r="O4066" t="s">
        <v>1036</v>
      </c>
      <c r="P4066" s="17"/>
      <c r="Q4066" s="17" t="str">
        <f>_xlfn.XLOOKUP(Table2[[#This Row],[buyFromVendorNo]],'Next Day Scheduled'!A:A,'Pending Returns'!O:O,"NOT_FOUND")</f>
        <v>Posted Credit Note</v>
      </c>
    </row>
    <row r="4067" spans="1:17" x14ac:dyDescent="0.3">
      <c r="A4067" s="1">
        <v>46253</v>
      </c>
      <c r="B4067" t="s">
        <v>3279</v>
      </c>
      <c r="C4067" t="s">
        <v>548</v>
      </c>
      <c r="D4067" t="s">
        <v>549</v>
      </c>
      <c r="E4067" t="s">
        <v>8</v>
      </c>
      <c r="F4067" t="s">
        <v>10</v>
      </c>
      <c r="G4067" s="16">
        <v>1732.8027</v>
      </c>
      <c r="H4067" s="16">
        <v>1992.7230999999999</v>
      </c>
      <c r="I4067" s="1">
        <v>46251</v>
      </c>
      <c r="J4067">
        <v>6</v>
      </c>
      <c r="K4067" t="s">
        <v>9786</v>
      </c>
      <c r="L4067" t="s">
        <v>10657</v>
      </c>
      <c r="M4067">
        <v>1</v>
      </c>
      <c r="N4067">
        <v>3</v>
      </c>
      <c r="O4067" t="s">
        <v>1036</v>
      </c>
      <c r="P4067" s="17"/>
      <c r="Q4067" s="17" t="str">
        <f>_xlfn.XLOOKUP(Table2[[#This Row],[buyFromVendorNo]],'Next Day Scheduled'!A:A,'Pending Returns'!O:O,"NOT_FOUND")</f>
        <v>NOT_FOUND</v>
      </c>
    </row>
    <row r="4068" spans="1:17" x14ac:dyDescent="0.3">
      <c r="A4068" s="1">
        <v>46253</v>
      </c>
      <c r="B4068" t="s">
        <v>642</v>
      </c>
      <c r="C4068" t="s">
        <v>6256</v>
      </c>
      <c r="D4068" t="s">
        <v>6257</v>
      </c>
      <c r="E4068" t="s">
        <v>8</v>
      </c>
      <c r="F4068" t="s">
        <v>38</v>
      </c>
      <c r="G4068" s="16">
        <v>3880.0686000000001</v>
      </c>
      <c r="H4068" s="16">
        <v>4462.0785999999998</v>
      </c>
      <c r="I4068" s="1">
        <v>46253</v>
      </c>
      <c r="J4068">
        <v>6</v>
      </c>
      <c r="K4068" t="s">
        <v>9754</v>
      </c>
      <c r="L4068" t="s">
        <v>10577</v>
      </c>
      <c r="M4068">
        <v>0</v>
      </c>
      <c r="N4068">
        <v>8</v>
      </c>
      <c r="O4068" t="s">
        <v>1036</v>
      </c>
      <c r="P4068" s="17"/>
      <c r="Q4068" s="17" t="str">
        <f>_xlfn.XLOOKUP(Table2[[#This Row],[buyFromVendorNo]],'Next Day Scheduled'!A:A,'Pending Returns'!O:O,"NOT_FOUND")</f>
        <v>NOT_FOUND</v>
      </c>
    </row>
    <row r="4069" spans="1:17" x14ac:dyDescent="0.3">
      <c r="A4069" s="1">
        <v>46253</v>
      </c>
      <c r="B4069" t="s">
        <v>642</v>
      </c>
      <c r="C4069" t="s">
        <v>2326</v>
      </c>
      <c r="D4069" t="s">
        <v>2327</v>
      </c>
      <c r="E4069" t="s">
        <v>8</v>
      </c>
      <c r="F4069" t="s">
        <v>38</v>
      </c>
      <c r="G4069" s="16">
        <v>175.5</v>
      </c>
      <c r="H4069" s="16">
        <v>201.82499999999999</v>
      </c>
      <c r="I4069" s="1">
        <v>46253</v>
      </c>
      <c r="J4069">
        <v>6</v>
      </c>
      <c r="K4069" t="s">
        <v>10189</v>
      </c>
      <c r="L4069" t="s">
        <v>10634</v>
      </c>
      <c r="M4069">
        <v>1</v>
      </c>
      <c r="N4069">
        <v>5</v>
      </c>
      <c r="O4069" t="s">
        <v>223</v>
      </c>
      <c r="P4069" s="17"/>
      <c r="Q4069" s="17" t="str">
        <f>_xlfn.XLOOKUP(Table2[[#This Row],[buyFromVendorNo]],'Next Day Scheduled'!A:A,'Pending Returns'!O:O,"NOT_FOUND")</f>
        <v>NOT_FOUND</v>
      </c>
    </row>
    <row r="4070" spans="1:17" x14ac:dyDescent="0.3">
      <c r="A4070" s="1">
        <v>46253</v>
      </c>
      <c r="B4070" t="s">
        <v>1863</v>
      </c>
      <c r="C4070" t="s">
        <v>39</v>
      </c>
      <c r="D4070" t="s">
        <v>40</v>
      </c>
      <c r="E4070" t="s">
        <v>8</v>
      </c>
      <c r="F4070" t="s">
        <v>10</v>
      </c>
      <c r="G4070" s="16">
        <v>2785.4578000000001</v>
      </c>
      <c r="H4070" s="16">
        <v>3203.2766000000001</v>
      </c>
      <c r="J4070">
        <v>6</v>
      </c>
      <c r="K4070" t="s">
        <v>10689</v>
      </c>
      <c r="M4070">
        <v>3</v>
      </c>
      <c r="N4070">
        <v>1</v>
      </c>
      <c r="O4070" t="s">
        <v>216</v>
      </c>
      <c r="P4070" s="17"/>
      <c r="Q4070" s="17" t="str">
        <f>_xlfn.XLOOKUP(Table2[[#This Row],[buyFromVendorNo]],'Next Day Scheduled'!A:A,'Pending Returns'!O:O,"NOT_FOUND")</f>
        <v>Posted Credit Note</v>
      </c>
    </row>
    <row r="4071" spans="1:17" x14ac:dyDescent="0.3">
      <c r="A4071" s="1">
        <v>46253</v>
      </c>
      <c r="B4071" t="s">
        <v>3243</v>
      </c>
      <c r="C4071" t="s">
        <v>596</v>
      </c>
      <c r="D4071" t="s">
        <v>597</v>
      </c>
      <c r="E4071" t="s">
        <v>8</v>
      </c>
      <c r="F4071" t="s">
        <v>10</v>
      </c>
      <c r="G4071" s="16">
        <v>149.56</v>
      </c>
      <c r="H4071" s="16">
        <v>171.994</v>
      </c>
      <c r="I4071" s="1">
        <v>46239</v>
      </c>
      <c r="J4071">
        <v>6</v>
      </c>
      <c r="K4071" t="s">
        <v>8219</v>
      </c>
      <c r="L4071" t="s">
        <v>10690</v>
      </c>
      <c r="M4071">
        <v>1</v>
      </c>
      <c r="N4071">
        <v>5</v>
      </c>
      <c r="O4071" t="s">
        <v>1036</v>
      </c>
      <c r="P4071" s="17"/>
      <c r="Q4071" s="17" t="str">
        <f>_xlfn.XLOOKUP(Table2[[#This Row],[buyFromVendorNo]],'Next Day Scheduled'!A:A,'Pending Returns'!O:O,"NOT_FOUND")</f>
        <v>NOT_FOUND</v>
      </c>
    </row>
    <row r="4072" spans="1:17" x14ac:dyDescent="0.3">
      <c r="A4072" s="1">
        <v>46253</v>
      </c>
      <c r="B4072" t="s">
        <v>3385</v>
      </c>
      <c r="C4072" t="s">
        <v>90</v>
      </c>
      <c r="D4072" t="s">
        <v>91</v>
      </c>
      <c r="E4072" t="s">
        <v>8</v>
      </c>
      <c r="F4072" t="s">
        <v>10</v>
      </c>
      <c r="G4072" s="16">
        <v>38.191310000000001</v>
      </c>
      <c r="H4072" s="16">
        <v>43.92</v>
      </c>
      <c r="I4072" s="1">
        <v>46247</v>
      </c>
      <c r="J4072">
        <v>6</v>
      </c>
      <c r="K4072" t="s">
        <v>8735</v>
      </c>
      <c r="L4072" t="s">
        <v>10605</v>
      </c>
      <c r="M4072">
        <v>1</v>
      </c>
      <c r="N4072">
        <v>3</v>
      </c>
      <c r="O4072" t="s">
        <v>1036</v>
      </c>
      <c r="P4072" s="17"/>
      <c r="Q4072" s="17" t="str">
        <f>_xlfn.XLOOKUP(Table2[[#This Row],[buyFromVendorNo]],'Next Day Scheduled'!A:A,'Pending Returns'!O:O,"NOT_FOUND")</f>
        <v>NOT_FOUND</v>
      </c>
    </row>
    <row r="4073" spans="1:17" x14ac:dyDescent="0.3">
      <c r="A4073" s="1">
        <v>46253</v>
      </c>
      <c r="B4073" t="s">
        <v>7602</v>
      </c>
      <c r="C4073" t="s">
        <v>5199</v>
      </c>
      <c r="D4073" t="s">
        <v>5200</v>
      </c>
      <c r="E4073" t="s">
        <v>8</v>
      </c>
      <c r="F4073" t="s">
        <v>10</v>
      </c>
      <c r="G4073" s="16">
        <v>16.770810000000001</v>
      </c>
      <c r="H4073" s="16">
        <v>19.286429999999999</v>
      </c>
      <c r="I4073" s="1">
        <v>46244</v>
      </c>
      <c r="J4073">
        <v>6</v>
      </c>
      <c r="K4073" t="s">
        <v>7603</v>
      </c>
      <c r="L4073" t="s">
        <v>10640</v>
      </c>
      <c r="M4073">
        <v>0</v>
      </c>
      <c r="N4073">
        <v>24</v>
      </c>
      <c r="O4073" t="s">
        <v>1036</v>
      </c>
      <c r="P4073" s="17"/>
      <c r="Q4073" s="17" t="str">
        <f>_xlfn.XLOOKUP(Table2[[#This Row],[buyFromVendorNo]],'Next Day Scheduled'!A:A,'Pending Returns'!O:O,"NOT_FOUND")</f>
        <v>Posted Credit Note</v>
      </c>
    </row>
    <row r="4074" spans="1:17" x14ac:dyDescent="0.3">
      <c r="A4074" s="1">
        <v>46253</v>
      </c>
      <c r="B4074" t="s">
        <v>8147</v>
      </c>
      <c r="C4074" t="s">
        <v>1022</v>
      </c>
      <c r="D4074" t="s">
        <v>1023</v>
      </c>
      <c r="E4074" t="s">
        <v>8</v>
      </c>
      <c r="F4074" t="s">
        <v>10</v>
      </c>
      <c r="G4074" s="16">
        <v>9</v>
      </c>
      <c r="H4074" s="16">
        <v>10.35</v>
      </c>
      <c r="I4074" s="1">
        <v>46246</v>
      </c>
      <c r="J4074">
        <v>6</v>
      </c>
      <c r="K4074" t="s">
        <v>8148</v>
      </c>
      <c r="L4074" t="s">
        <v>10641</v>
      </c>
      <c r="M4074">
        <v>1</v>
      </c>
      <c r="N4074">
        <v>5</v>
      </c>
      <c r="O4074" t="s">
        <v>1036</v>
      </c>
      <c r="P4074" s="17"/>
      <c r="Q4074" s="17" t="str">
        <f>_xlfn.XLOOKUP(Table2[[#This Row],[buyFromVendorNo]],'Next Day Scheduled'!A:A,'Pending Returns'!O:O,"NOT_FOUND")</f>
        <v>Posted Credit Note</v>
      </c>
    </row>
    <row r="4075" spans="1:17" x14ac:dyDescent="0.3">
      <c r="A4075" s="1">
        <v>46253</v>
      </c>
      <c r="B4075" t="s">
        <v>8228</v>
      </c>
      <c r="C4075" t="s">
        <v>1639</v>
      </c>
      <c r="D4075" t="s">
        <v>1640</v>
      </c>
      <c r="E4075" t="s">
        <v>8</v>
      </c>
      <c r="F4075" t="s">
        <v>10</v>
      </c>
      <c r="G4075" s="16">
        <v>7.25</v>
      </c>
      <c r="H4075" s="16">
        <v>8.3375000000000004</v>
      </c>
      <c r="J4075">
        <v>6</v>
      </c>
      <c r="K4075" t="s">
        <v>10698</v>
      </c>
      <c r="M4075">
        <v>0</v>
      </c>
      <c r="N4075">
        <v>7</v>
      </c>
      <c r="O4075" t="s">
        <v>216</v>
      </c>
      <c r="P4075" s="17"/>
      <c r="Q4075" s="17" t="str">
        <f>_xlfn.XLOOKUP(Table2[[#This Row],[buyFromVendorNo]],'Next Day Scheduled'!A:A,'Pending Returns'!O:O,"NOT_FOUND")</f>
        <v>Posted Credit Note</v>
      </c>
    </row>
    <row r="4076" spans="1:17" x14ac:dyDescent="0.3">
      <c r="A4076" s="1">
        <v>46253</v>
      </c>
      <c r="B4076" t="s">
        <v>9023</v>
      </c>
      <c r="C4076" t="s">
        <v>133</v>
      </c>
      <c r="D4076" t="s">
        <v>134</v>
      </c>
      <c r="E4076" t="s">
        <v>8</v>
      </c>
      <c r="F4076" t="s">
        <v>10</v>
      </c>
      <c r="G4076" s="16">
        <v>220.16929999999999</v>
      </c>
      <c r="H4076" s="16">
        <v>253.19469000000001</v>
      </c>
      <c r="I4076" s="1">
        <v>46239</v>
      </c>
      <c r="J4076">
        <v>6</v>
      </c>
      <c r="K4076" t="s">
        <v>9024</v>
      </c>
      <c r="L4076" t="s">
        <v>10699</v>
      </c>
      <c r="M4076">
        <v>0</v>
      </c>
      <c r="N4076">
        <v>12</v>
      </c>
      <c r="O4076" t="s">
        <v>1036</v>
      </c>
      <c r="P4076" s="17"/>
      <c r="Q4076" s="17" t="str">
        <f>_xlfn.XLOOKUP(Table2[[#This Row],[buyFromVendorNo]],'Next Day Scheduled'!A:A,'Pending Returns'!O:O,"NOT_FOUND")</f>
        <v>NOT_FOUND</v>
      </c>
    </row>
    <row r="4077" spans="1:17" x14ac:dyDescent="0.3">
      <c r="A4077" s="1">
        <v>46253</v>
      </c>
      <c r="B4077" t="s">
        <v>10700</v>
      </c>
      <c r="C4077" t="s">
        <v>77</v>
      </c>
      <c r="D4077" t="s">
        <v>78</v>
      </c>
      <c r="E4077" t="s">
        <v>8</v>
      </c>
      <c r="F4077" t="s">
        <v>10</v>
      </c>
      <c r="G4077" s="16">
        <v>127.52</v>
      </c>
      <c r="H4077" s="16">
        <v>146.648</v>
      </c>
      <c r="J4077">
        <v>6</v>
      </c>
      <c r="K4077" t="s">
        <v>10701</v>
      </c>
      <c r="M4077">
        <v>0</v>
      </c>
      <c r="N4077">
        <v>7</v>
      </c>
      <c r="O4077" t="s">
        <v>216</v>
      </c>
      <c r="P4077" s="17"/>
      <c r="Q4077" s="17" t="str">
        <f>_xlfn.XLOOKUP(Table2[[#This Row],[buyFromVendorNo]],'Next Day Scheduled'!A:A,'Pending Returns'!O:O,"NOT_FOUND")</f>
        <v>NOT_FOUND</v>
      </c>
    </row>
    <row r="4078" spans="1:17" x14ac:dyDescent="0.3">
      <c r="A4078" s="1">
        <v>46253</v>
      </c>
      <c r="B4078" t="s">
        <v>2573</v>
      </c>
      <c r="C4078" t="s">
        <v>133</v>
      </c>
      <c r="D4078" t="s">
        <v>134</v>
      </c>
      <c r="E4078" t="s">
        <v>8</v>
      </c>
      <c r="F4078" t="s">
        <v>10</v>
      </c>
      <c r="G4078" s="16">
        <v>25.416699999999999</v>
      </c>
      <c r="H4078" s="16">
        <v>29.229199999999999</v>
      </c>
      <c r="I4078" s="1">
        <v>46239</v>
      </c>
      <c r="J4078">
        <v>6</v>
      </c>
      <c r="K4078" t="s">
        <v>7512</v>
      </c>
      <c r="L4078" t="s">
        <v>10583</v>
      </c>
      <c r="M4078">
        <v>0</v>
      </c>
      <c r="N4078">
        <v>12</v>
      </c>
      <c r="O4078" t="s">
        <v>1036</v>
      </c>
      <c r="P4078" s="17"/>
      <c r="Q4078" s="17" t="str">
        <f>_xlfn.XLOOKUP(Table2[[#This Row],[buyFromVendorNo]],'Next Day Scheduled'!A:A,'Pending Returns'!O:O,"NOT_FOUND")</f>
        <v>NOT_FOUND</v>
      </c>
    </row>
    <row r="4079" spans="1:17" x14ac:dyDescent="0.3">
      <c r="A4079" s="1">
        <v>46253</v>
      </c>
      <c r="B4079" t="s">
        <v>9564</v>
      </c>
      <c r="C4079" t="s">
        <v>2438</v>
      </c>
      <c r="D4079" t="s">
        <v>2439</v>
      </c>
      <c r="E4079" t="s">
        <v>8</v>
      </c>
      <c r="F4079" t="s">
        <v>10</v>
      </c>
      <c r="G4079" s="16">
        <v>312.61525999999998</v>
      </c>
      <c r="H4079" s="16">
        <v>359.50754000000001</v>
      </c>
      <c r="I4079" s="1">
        <v>46253</v>
      </c>
      <c r="J4079">
        <v>6</v>
      </c>
      <c r="K4079" t="s">
        <v>9565</v>
      </c>
      <c r="L4079" t="s">
        <v>10584</v>
      </c>
      <c r="M4079">
        <v>1</v>
      </c>
      <c r="N4079">
        <v>5</v>
      </c>
      <c r="O4079" t="s">
        <v>1036</v>
      </c>
      <c r="P4079" s="17"/>
      <c r="Q4079" s="17" t="str">
        <f>_xlfn.XLOOKUP(Table2[[#This Row],[buyFromVendorNo]],'Next Day Scheduled'!A:A,'Pending Returns'!O:O,"NOT_FOUND")</f>
        <v>NOT_FOUND</v>
      </c>
    </row>
    <row r="4080" spans="1:17" x14ac:dyDescent="0.3">
      <c r="A4080" s="1">
        <v>46253</v>
      </c>
      <c r="B4080" t="s">
        <v>834</v>
      </c>
      <c r="C4080" t="s">
        <v>69</v>
      </c>
      <c r="D4080" t="s">
        <v>70</v>
      </c>
      <c r="E4080" t="s">
        <v>8</v>
      </c>
      <c r="F4080" t="s">
        <v>10</v>
      </c>
      <c r="G4080" s="16">
        <v>2920.01</v>
      </c>
      <c r="H4080" s="16">
        <v>3358.0115000000001</v>
      </c>
      <c r="J4080">
        <v>6</v>
      </c>
      <c r="K4080" t="s">
        <v>10666</v>
      </c>
      <c r="M4080">
        <v>6</v>
      </c>
      <c r="N4080">
        <v>1</v>
      </c>
      <c r="O4080" t="s">
        <v>216</v>
      </c>
      <c r="P4080" s="17"/>
      <c r="Q4080" s="17" t="str">
        <f>_xlfn.XLOOKUP(Table2[[#This Row],[buyFromVendorNo]],'Next Day Scheduled'!A:A,'Pending Returns'!O:O,"NOT_FOUND")</f>
        <v>Posted Credit Note</v>
      </c>
    </row>
    <row r="4081" spans="1:17" x14ac:dyDescent="0.3">
      <c r="A4081" s="1">
        <v>46253</v>
      </c>
      <c r="B4081" t="s">
        <v>6651</v>
      </c>
      <c r="C4081" t="s">
        <v>2267</v>
      </c>
      <c r="D4081" t="s">
        <v>2268</v>
      </c>
      <c r="E4081" t="s">
        <v>8</v>
      </c>
      <c r="F4081" t="s">
        <v>10</v>
      </c>
      <c r="G4081" s="16">
        <v>290.5</v>
      </c>
      <c r="H4081" s="16">
        <v>334.07499999999999</v>
      </c>
      <c r="I4081" s="1">
        <v>46252</v>
      </c>
      <c r="J4081">
        <v>6</v>
      </c>
      <c r="K4081" t="s">
        <v>10264</v>
      </c>
      <c r="L4081" t="s">
        <v>10667</v>
      </c>
      <c r="M4081">
        <v>1</v>
      </c>
      <c r="N4081">
        <v>2</v>
      </c>
      <c r="O4081" t="s">
        <v>1036</v>
      </c>
      <c r="P4081" s="17"/>
      <c r="Q4081" s="17" t="str">
        <f>_xlfn.XLOOKUP(Table2[[#This Row],[buyFromVendorNo]],'Next Day Scheduled'!A:A,'Pending Returns'!O:O,"NOT_FOUND")</f>
        <v>NOT_FOUND</v>
      </c>
    </row>
    <row r="4082" spans="1:17" x14ac:dyDescent="0.3">
      <c r="A4082" s="1">
        <v>46253</v>
      </c>
      <c r="B4082" t="s">
        <v>5609</v>
      </c>
      <c r="C4082" t="s">
        <v>135</v>
      </c>
      <c r="D4082" t="s">
        <v>136</v>
      </c>
      <c r="E4082" t="s">
        <v>8</v>
      </c>
      <c r="F4082" t="s">
        <v>169</v>
      </c>
      <c r="G4082" s="16">
        <v>25.65</v>
      </c>
      <c r="H4082" s="16">
        <v>29.497499999999999</v>
      </c>
      <c r="I4082" s="1">
        <v>46253</v>
      </c>
      <c r="J4082">
        <v>6</v>
      </c>
      <c r="K4082" t="s">
        <v>10113</v>
      </c>
      <c r="L4082" t="s">
        <v>10668</v>
      </c>
      <c r="M4082">
        <v>1</v>
      </c>
      <c r="N4082">
        <v>6</v>
      </c>
      <c r="O4082" t="s">
        <v>223</v>
      </c>
      <c r="P4082" s="17"/>
      <c r="Q4082" s="17" t="str">
        <f>_xlfn.XLOOKUP(Table2[[#This Row],[buyFromVendorNo]],'Next Day Scheduled'!A:A,'Pending Returns'!O:O,"NOT_FOUND")</f>
        <v>Posted Credit Note</v>
      </c>
    </row>
    <row r="4083" spans="1:17" x14ac:dyDescent="0.3">
      <c r="A4083" s="1">
        <v>46253</v>
      </c>
      <c r="B4083" t="s">
        <v>642</v>
      </c>
      <c r="C4083" t="s">
        <v>2326</v>
      </c>
      <c r="D4083" t="s">
        <v>2327</v>
      </c>
      <c r="E4083" t="s">
        <v>8</v>
      </c>
      <c r="F4083" t="s">
        <v>38</v>
      </c>
      <c r="G4083" s="16">
        <v>742</v>
      </c>
      <c r="H4083" s="16">
        <v>853.3</v>
      </c>
      <c r="I4083" s="1">
        <v>46253</v>
      </c>
      <c r="J4083">
        <v>6</v>
      </c>
      <c r="K4083" t="s">
        <v>8864</v>
      </c>
      <c r="L4083" t="s">
        <v>10616</v>
      </c>
      <c r="M4083">
        <v>1</v>
      </c>
      <c r="N4083">
        <v>5</v>
      </c>
      <c r="O4083" t="s">
        <v>223</v>
      </c>
      <c r="P4083" s="17"/>
      <c r="Q4083" s="17" t="str">
        <f>_xlfn.XLOOKUP(Table2[[#This Row],[buyFromVendorNo]],'Next Day Scheduled'!A:A,'Pending Returns'!O:O,"NOT_FOUND")</f>
        <v>NOT_FOUND</v>
      </c>
    </row>
    <row r="4084" spans="1:17" x14ac:dyDescent="0.3">
      <c r="A4084" s="1">
        <v>46253</v>
      </c>
      <c r="B4084" t="s">
        <v>642</v>
      </c>
      <c r="C4084" t="s">
        <v>93</v>
      </c>
      <c r="D4084" t="s">
        <v>94</v>
      </c>
      <c r="E4084" t="s">
        <v>8</v>
      </c>
      <c r="F4084" t="s">
        <v>38</v>
      </c>
      <c r="G4084" s="16">
        <v>2038.376</v>
      </c>
      <c r="H4084" s="16">
        <v>2344.1323000000002</v>
      </c>
      <c r="I4084" s="1">
        <v>46253</v>
      </c>
      <c r="J4084">
        <v>6</v>
      </c>
      <c r="K4084" t="s">
        <v>10124</v>
      </c>
      <c r="L4084" t="s">
        <v>10669</v>
      </c>
      <c r="M4084">
        <v>1</v>
      </c>
      <c r="N4084">
        <v>6</v>
      </c>
      <c r="O4084" t="s">
        <v>223</v>
      </c>
      <c r="P4084" s="17"/>
      <c r="Q4084" s="17" t="str">
        <f>_xlfn.XLOOKUP(Table2[[#This Row],[buyFromVendorNo]],'Next Day Scheduled'!A:A,'Pending Returns'!O:O,"NOT_FOUND")</f>
        <v>Posted Credit Note</v>
      </c>
    </row>
    <row r="4085" spans="1:17" x14ac:dyDescent="0.3">
      <c r="A4085" s="1">
        <v>46253</v>
      </c>
      <c r="B4085" t="s">
        <v>4048</v>
      </c>
      <c r="C4085" t="s">
        <v>5437</v>
      </c>
      <c r="D4085" t="s">
        <v>5438</v>
      </c>
      <c r="E4085" t="s">
        <v>8</v>
      </c>
      <c r="F4085" t="s">
        <v>10</v>
      </c>
      <c r="G4085" s="16">
        <v>131.63524000000001</v>
      </c>
      <c r="H4085" s="16">
        <v>151.38051999999999</v>
      </c>
      <c r="J4085">
        <v>6</v>
      </c>
      <c r="K4085" t="s">
        <v>10647</v>
      </c>
      <c r="M4085">
        <v>1</v>
      </c>
      <c r="N4085">
        <v>3</v>
      </c>
      <c r="O4085" t="s">
        <v>216</v>
      </c>
      <c r="P4085" s="17"/>
      <c r="Q4085" s="17" t="str">
        <f>_xlfn.XLOOKUP(Table2[[#This Row],[buyFromVendorNo]],'Next Day Scheduled'!A:A,'Pending Returns'!O:O,"NOT_FOUND")</f>
        <v>NOT_FOUND</v>
      </c>
    </row>
    <row r="4086" spans="1:17" x14ac:dyDescent="0.3">
      <c r="A4086" s="1">
        <v>46253</v>
      </c>
      <c r="B4086" t="s">
        <v>447</v>
      </c>
      <c r="C4086" t="s">
        <v>2976</v>
      </c>
      <c r="D4086" t="s">
        <v>2977</v>
      </c>
      <c r="E4086" t="s">
        <v>8</v>
      </c>
      <c r="F4086" t="s">
        <v>10</v>
      </c>
      <c r="G4086" s="16">
        <v>82</v>
      </c>
      <c r="H4086" s="16">
        <v>94.3</v>
      </c>
      <c r="I4086" s="1">
        <v>46253</v>
      </c>
      <c r="J4086">
        <v>6</v>
      </c>
      <c r="K4086" t="s">
        <v>9573</v>
      </c>
      <c r="L4086" t="s">
        <v>10566</v>
      </c>
      <c r="M4086">
        <v>0</v>
      </c>
      <c r="N4086">
        <v>7</v>
      </c>
      <c r="O4086" t="s">
        <v>223</v>
      </c>
      <c r="P4086" s="17"/>
      <c r="Q4086" s="17" t="str">
        <f>_xlfn.XLOOKUP(Table2[[#This Row],[buyFromVendorNo]],'Next Day Scheduled'!A:A,'Pending Returns'!O:O,"NOT_FOUND")</f>
        <v>NOT_FOUND</v>
      </c>
    </row>
    <row r="4087" spans="1:17" x14ac:dyDescent="0.3">
      <c r="A4087" s="1">
        <v>46253</v>
      </c>
      <c r="B4087" t="s">
        <v>6686</v>
      </c>
      <c r="C4087" t="s">
        <v>1022</v>
      </c>
      <c r="D4087" t="s">
        <v>1023</v>
      </c>
      <c r="E4087" t="s">
        <v>8</v>
      </c>
      <c r="F4087" t="s">
        <v>10</v>
      </c>
      <c r="G4087" s="16">
        <v>191</v>
      </c>
      <c r="H4087" s="16">
        <v>219.65</v>
      </c>
      <c r="I4087" s="1">
        <v>46246</v>
      </c>
      <c r="J4087">
        <v>6</v>
      </c>
      <c r="K4087" t="s">
        <v>9131</v>
      </c>
      <c r="L4087" t="s">
        <v>10618</v>
      </c>
      <c r="M4087">
        <v>1</v>
      </c>
      <c r="N4087">
        <v>5</v>
      </c>
      <c r="O4087" t="s">
        <v>1036</v>
      </c>
      <c r="P4087" s="17"/>
      <c r="Q4087" s="17" t="str">
        <f>_xlfn.XLOOKUP(Table2[[#This Row],[buyFromVendorNo]],'Next Day Scheduled'!A:A,'Pending Returns'!O:O,"NOT_FOUND")</f>
        <v>Posted Credit Note</v>
      </c>
    </row>
    <row r="4088" spans="1:17" x14ac:dyDescent="0.3">
      <c r="A4088" s="1">
        <v>46253</v>
      </c>
      <c r="B4088" t="s">
        <v>5262</v>
      </c>
      <c r="C4088" t="s">
        <v>65</v>
      </c>
      <c r="D4088" t="s">
        <v>66</v>
      </c>
      <c r="E4088" t="s">
        <v>8</v>
      </c>
      <c r="F4088" t="s">
        <v>10</v>
      </c>
      <c r="G4088" s="16">
        <v>71.921379999999999</v>
      </c>
      <c r="H4088" s="16">
        <v>82.709590000000006</v>
      </c>
      <c r="J4088">
        <v>6</v>
      </c>
      <c r="K4088" t="s">
        <v>10594</v>
      </c>
      <c r="M4088">
        <v>2</v>
      </c>
      <c r="N4088">
        <v>5</v>
      </c>
      <c r="O4088" t="s">
        <v>216</v>
      </c>
      <c r="P4088" s="17"/>
      <c r="Q4088" s="17" t="str">
        <f>_xlfn.XLOOKUP(Table2[[#This Row],[buyFromVendorNo]],'Next Day Scheduled'!A:A,'Pending Returns'!O:O,"NOT_FOUND")</f>
        <v>Posted Credit Note</v>
      </c>
    </row>
    <row r="4089" spans="1:17" x14ac:dyDescent="0.3">
      <c r="A4089" s="1">
        <v>46253</v>
      </c>
      <c r="B4089" t="s">
        <v>451</v>
      </c>
      <c r="C4089" t="s">
        <v>882</v>
      </c>
      <c r="D4089" t="s">
        <v>883</v>
      </c>
      <c r="E4089" t="s">
        <v>8</v>
      </c>
      <c r="F4089" t="s">
        <v>10</v>
      </c>
      <c r="G4089" s="16">
        <v>763.64589999999998</v>
      </c>
      <c r="H4089" s="16">
        <v>878.19275000000005</v>
      </c>
      <c r="J4089">
        <v>6</v>
      </c>
      <c r="K4089" t="s">
        <v>10673</v>
      </c>
      <c r="M4089">
        <v>0</v>
      </c>
      <c r="N4089">
        <v>12</v>
      </c>
      <c r="O4089" t="s">
        <v>216</v>
      </c>
      <c r="P4089" s="17"/>
      <c r="Q4089" s="17" t="str">
        <f>_xlfn.XLOOKUP(Table2[[#This Row],[buyFromVendorNo]],'Next Day Scheduled'!A:A,'Pending Returns'!O:O,"NOT_FOUND")</f>
        <v>Posted Credit Note</v>
      </c>
    </row>
    <row r="4090" spans="1:17" x14ac:dyDescent="0.3">
      <c r="A4090" s="1">
        <v>46253</v>
      </c>
      <c r="B4090" t="s">
        <v>2723</v>
      </c>
      <c r="C4090" t="s">
        <v>158</v>
      </c>
      <c r="D4090" t="s">
        <v>159</v>
      </c>
      <c r="E4090" t="s">
        <v>8</v>
      </c>
      <c r="F4090" t="s">
        <v>10</v>
      </c>
      <c r="G4090" s="16">
        <v>372</v>
      </c>
      <c r="H4090" s="16">
        <v>427.8</v>
      </c>
      <c r="I4090" s="1">
        <v>46248</v>
      </c>
      <c r="J4090">
        <v>6</v>
      </c>
      <c r="K4090" t="s">
        <v>8676</v>
      </c>
      <c r="L4090" t="s">
        <v>10623</v>
      </c>
      <c r="M4090">
        <v>1</v>
      </c>
      <c r="N4090">
        <v>6</v>
      </c>
      <c r="O4090" t="s">
        <v>1036</v>
      </c>
      <c r="P4090" s="17"/>
      <c r="Q4090" s="17" t="str">
        <f>_xlfn.XLOOKUP(Table2[[#This Row],[buyFromVendorNo]],'Next Day Scheduled'!A:A,'Pending Returns'!O:O,"NOT_FOUND")</f>
        <v>Posted Credit Note</v>
      </c>
    </row>
    <row r="4091" spans="1:17" x14ac:dyDescent="0.3">
      <c r="A4091" s="1">
        <v>46253</v>
      </c>
      <c r="B4091" t="s">
        <v>2731</v>
      </c>
      <c r="C4091" t="s">
        <v>420</v>
      </c>
      <c r="D4091" t="s">
        <v>421</v>
      </c>
      <c r="E4091" t="s">
        <v>8</v>
      </c>
      <c r="F4091" t="s">
        <v>10</v>
      </c>
      <c r="G4091" s="16">
        <v>907.50540000000001</v>
      </c>
      <c r="H4091" s="16">
        <v>1043.6312</v>
      </c>
      <c r="I4091" s="1">
        <v>46246</v>
      </c>
      <c r="J4091">
        <v>6</v>
      </c>
      <c r="K4091" t="s">
        <v>9424</v>
      </c>
      <c r="L4091" t="s">
        <v>10624</v>
      </c>
      <c r="M4091">
        <v>1</v>
      </c>
      <c r="N4091">
        <v>3</v>
      </c>
      <c r="O4091" t="s">
        <v>1036</v>
      </c>
      <c r="P4091" s="17"/>
      <c r="Q4091" s="17" t="str">
        <f>_xlfn.XLOOKUP(Table2[[#This Row],[buyFromVendorNo]],'Next Day Scheduled'!A:A,'Pending Returns'!O:O,"NOT_FOUND")</f>
        <v>NOT_FOUND</v>
      </c>
    </row>
    <row r="4092" spans="1:17" x14ac:dyDescent="0.3">
      <c r="A4092" s="1">
        <v>46253</v>
      </c>
      <c r="B4092" t="s">
        <v>2972</v>
      </c>
      <c r="C4092" t="s">
        <v>109</v>
      </c>
      <c r="D4092" t="s">
        <v>110</v>
      </c>
      <c r="E4092" t="s">
        <v>8</v>
      </c>
      <c r="F4092" t="s">
        <v>10</v>
      </c>
      <c r="G4092" s="16">
        <v>20.86</v>
      </c>
      <c r="H4092" s="16">
        <v>23.989000000000001</v>
      </c>
      <c r="I4092" s="1">
        <v>46253</v>
      </c>
      <c r="J4092">
        <v>6</v>
      </c>
      <c r="K4092" t="s">
        <v>9370</v>
      </c>
      <c r="L4092" t="s">
        <v>10576</v>
      </c>
      <c r="M4092">
        <v>0</v>
      </c>
      <c r="N4092">
        <v>7</v>
      </c>
      <c r="O4092" t="s">
        <v>223</v>
      </c>
      <c r="P4092" s="17"/>
      <c r="Q4092" s="17" t="str">
        <f>_xlfn.XLOOKUP(Table2[[#This Row],[buyFromVendorNo]],'Next Day Scheduled'!A:A,'Pending Returns'!O:O,"NOT_FOUND")</f>
        <v>NOT_FOUND</v>
      </c>
    </row>
    <row r="4093" spans="1:17" x14ac:dyDescent="0.3">
      <c r="A4093" s="1">
        <v>46253</v>
      </c>
      <c r="B4093" t="s">
        <v>2173</v>
      </c>
      <c r="C4093" t="s">
        <v>118</v>
      </c>
      <c r="D4093" t="s">
        <v>119</v>
      </c>
      <c r="E4093" t="s">
        <v>8</v>
      </c>
      <c r="F4093" t="s">
        <v>10</v>
      </c>
      <c r="G4093" s="16">
        <v>83.5</v>
      </c>
      <c r="H4093" s="16">
        <v>96.025000000000006</v>
      </c>
      <c r="I4093" s="1">
        <v>46252</v>
      </c>
      <c r="J4093">
        <v>6</v>
      </c>
      <c r="K4093" t="s">
        <v>8816</v>
      </c>
      <c r="L4093" t="s">
        <v>10625</v>
      </c>
      <c r="M4093">
        <v>2</v>
      </c>
      <c r="N4093">
        <v>5</v>
      </c>
      <c r="O4093" t="s">
        <v>1036</v>
      </c>
      <c r="P4093" s="17"/>
      <c r="Q4093" s="17" t="str">
        <f>_xlfn.XLOOKUP(Table2[[#This Row],[buyFromVendorNo]],'Next Day Scheduled'!A:A,'Pending Returns'!O:O,"NOT_FOUND")</f>
        <v>Posted Credit Note</v>
      </c>
    </row>
    <row r="4094" spans="1:17" x14ac:dyDescent="0.3">
      <c r="A4094" s="1">
        <v>46253</v>
      </c>
      <c r="B4094" t="s">
        <v>6260</v>
      </c>
      <c r="C4094" t="s">
        <v>90</v>
      </c>
      <c r="D4094" t="s">
        <v>91</v>
      </c>
      <c r="E4094" t="s">
        <v>8</v>
      </c>
      <c r="F4094" t="s">
        <v>10</v>
      </c>
      <c r="G4094" s="16">
        <v>167.3826</v>
      </c>
      <c r="H4094" s="16">
        <v>192.48999000000001</v>
      </c>
      <c r="I4094" s="1">
        <v>46247</v>
      </c>
      <c r="J4094">
        <v>6</v>
      </c>
      <c r="K4094" t="s">
        <v>9835</v>
      </c>
      <c r="L4094" t="s">
        <v>10626</v>
      </c>
      <c r="M4094">
        <v>1</v>
      </c>
      <c r="N4094">
        <v>3</v>
      </c>
      <c r="O4094" t="s">
        <v>1036</v>
      </c>
      <c r="P4094" s="17"/>
      <c r="Q4094" s="17" t="str">
        <f>_xlfn.XLOOKUP(Table2[[#This Row],[buyFromVendorNo]],'Next Day Scheduled'!A:A,'Pending Returns'!O:O,"NOT_FOUND")</f>
        <v>NOT_FOUND</v>
      </c>
    </row>
    <row r="4095" spans="1:17" x14ac:dyDescent="0.3">
      <c r="A4095" s="1">
        <v>46253</v>
      </c>
      <c r="B4095" t="s">
        <v>3280</v>
      </c>
      <c r="C4095" t="s">
        <v>562</v>
      </c>
      <c r="D4095" t="s">
        <v>563</v>
      </c>
      <c r="E4095" t="s">
        <v>8</v>
      </c>
      <c r="F4095" t="s">
        <v>10</v>
      </c>
      <c r="G4095" s="16">
        <v>2932.3629999999998</v>
      </c>
      <c r="H4095" s="16">
        <v>3372.2175000000002</v>
      </c>
      <c r="J4095">
        <v>6</v>
      </c>
      <c r="K4095" t="s">
        <v>10627</v>
      </c>
      <c r="M4095">
        <v>4</v>
      </c>
      <c r="N4095">
        <v>1</v>
      </c>
      <c r="O4095" t="s">
        <v>216</v>
      </c>
      <c r="P4095" s="17"/>
      <c r="Q4095" s="17" t="str">
        <f>_xlfn.XLOOKUP(Table2[[#This Row],[buyFromVendorNo]],'Next Day Scheduled'!A:A,'Pending Returns'!O:O,"NOT_FOUND")</f>
        <v>NOT_FOUND</v>
      </c>
    </row>
    <row r="4096" spans="1:17" x14ac:dyDescent="0.3">
      <c r="A4096" s="1">
        <v>46253</v>
      </c>
      <c r="B4096" t="s">
        <v>642</v>
      </c>
      <c r="C4096" t="s">
        <v>941</v>
      </c>
      <c r="D4096" t="s">
        <v>942</v>
      </c>
      <c r="E4096" t="s">
        <v>8</v>
      </c>
      <c r="F4096" t="s">
        <v>38</v>
      </c>
      <c r="G4096" s="16">
        <v>1817.68</v>
      </c>
      <c r="H4096" s="16">
        <v>2090.3319999999999</v>
      </c>
      <c r="I4096" s="1">
        <v>46250</v>
      </c>
      <c r="J4096">
        <v>6</v>
      </c>
      <c r="K4096" t="s">
        <v>10097</v>
      </c>
      <c r="L4096" t="s">
        <v>10600</v>
      </c>
      <c r="M4096">
        <v>1</v>
      </c>
      <c r="N4096">
        <v>1</v>
      </c>
      <c r="O4096" t="s">
        <v>1036</v>
      </c>
      <c r="P4096" s="17"/>
      <c r="Q4096" s="17" t="str">
        <f>_xlfn.XLOOKUP(Table2[[#This Row],[buyFromVendorNo]],'Next Day Scheduled'!A:A,'Pending Returns'!O:O,"NOT_FOUND")</f>
        <v>NOT_FOUND</v>
      </c>
    </row>
    <row r="4097" spans="1:17" x14ac:dyDescent="0.3">
      <c r="A4097" s="1">
        <v>46253</v>
      </c>
      <c r="B4097" t="s">
        <v>10630</v>
      </c>
      <c r="C4097" t="s">
        <v>504</v>
      </c>
      <c r="D4097" t="s">
        <v>505</v>
      </c>
      <c r="E4097" t="s">
        <v>8</v>
      </c>
      <c r="F4097" t="s">
        <v>10</v>
      </c>
      <c r="G4097" s="16">
        <v>5</v>
      </c>
      <c r="H4097" s="16">
        <v>5.75</v>
      </c>
      <c r="J4097">
        <v>6</v>
      </c>
      <c r="K4097" t="s">
        <v>10631</v>
      </c>
      <c r="M4097">
        <v>0</v>
      </c>
      <c r="N4097">
        <v>13</v>
      </c>
      <c r="O4097" t="s">
        <v>216</v>
      </c>
      <c r="P4097" s="17"/>
      <c r="Q4097" s="17" t="str">
        <f>_xlfn.XLOOKUP(Table2[[#This Row],[buyFromVendorNo]],'Next Day Scheduled'!A:A,'Pending Returns'!O:O,"NOT_FOUND")</f>
        <v>NOT_FOUND</v>
      </c>
    </row>
    <row r="4098" spans="1:17" x14ac:dyDescent="0.3">
      <c r="A4098" s="1">
        <v>46253</v>
      </c>
      <c r="B4098" t="s">
        <v>642</v>
      </c>
      <c r="C4098" t="s">
        <v>93</v>
      </c>
      <c r="D4098" t="s">
        <v>94</v>
      </c>
      <c r="E4098" t="s">
        <v>8</v>
      </c>
      <c r="F4098" t="s">
        <v>38</v>
      </c>
      <c r="G4098" s="16">
        <v>84.9</v>
      </c>
      <c r="H4098" s="16">
        <v>97.635000000000005</v>
      </c>
      <c r="I4098" s="1">
        <v>46253</v>
      </c>
      <c r="J4098">
        <v>6</v>
      </c>
      <c r="K4098" t="s">
        <v>10251</v>
      </c>
      <c r="L4098" t="s">
        <v>10601</v>
      </c>
      <c r="M4098">
        <v>1</v>
      </c>
      <c r="N4098">
        <v>6</v>
      </c>
      <c r="O4098" t="s">
        <v>223</v>
      </c>
      <c r="P4098" s="17"/>
      <c r="Q4098" s="17" t="str">
        <f>_xlfn.XLOOKUP(Table2[[#This Row],[buyFromVendorNo]],'Next Day Scheduled'!A:A,'Pending Returns'!O:O,"NOT_FOUND")</f>
        <v>Posted Credit Note</v>
      </c>
    </row>
    <row r="4099" spans="1:17" x14ac:dyDescent="0.3">
      <c r="A4099" s="1">
        <v>46253</v>
      </c>
      <c r="B4099" t="s">
        <v>9561</v>
      </c>
      <c r="C4099" t="s">
        <v>919</v>
      </c>
      <c r="D4099" t="s">
        <v>920</v>
      </c>
      <c r="E4099" t="s">
        <v>8</v>
      </c>
      <c r="F4099" t="s">
        <v>10</v>
      </c>
      <c r="G4099" s="16">
        <v>24.98</v>
      </c>
      <c r="H4099" s="16">
        <v>28.727</v>
      </c>
      <c r="J4099">
        <v>6</v>
      </c>
      <c r="K4099" t="s">
        <v>10639</v>
      </c>
      <c r="M4099">
        <v>0</v>
      </c>
      <c r="N4099">
        <v>56</v>
      </c>
      <c r="O4099" t="s">
        <v>216</v>
      </c>
      <c r="P4099" s="17"/>
      <c r="Q4099" s="17" t="str">
        <f>_xlfn.XLOOKUP(Table2[[#This Row],[buyFromVendorNo]],'Next Day Scheduled'!A:A,'Pending Returns'!O:O,"NOT_FOUND")</f>
        <v>NOT_FOUND</v>
      </c>
    </row>
    <row r="4100" spans="1:17" x14ac:dyDescent="0.3">
      <c r="A4100" s="1">
        <v>46253</v>
      </c>
      <c r="B4100" t="s">
        <v>2845</v>
      </c>
      <c r="C4100" t="s">
        <v>69</v>
      </c>
      <c r="D4100" t="s">
        <v>70</v>
      </c>
      <c r="E4100" t="s">
        <v>8</v>
      </c>
      <c r="F4100" t="s">
        <v>10</v>
      </c>
      <c r="G4100" s="16">
        <v>2500.5300000000002</v>
      </c>
      <c r="H4100" s="16">
        <v>2875.6095999999998</v>
      </c>
      <c r="J4100">
        <v>6</v>
      </c>
      <c r="K4100" t="s">
        <v>10749</v>
      </c>
      <c r="M4100">
        <v>6</v>
      </c>
      <c r="N4100">
        <v>1</v>
      </c>
      <c r="O4100" t="s">
        <v>216</v>
      </c>
      <c r="P4100" s="17"/>
      <c r="Q4100" s="17" t="str">
        <f>_xlfn.XLOOKUP(Table2[[#This Row],[buyFromVendorNo]],'Next Day Scheduled'!A:A,'Pending Returns'!O:O,"NOT_FOUND")</f>
        <v>Posted Credit Note</v>
      </c>
    </row>
    <row r="4101" spans="1:17" x14ac:dyDescent="0.3">
      <c r="A4101" s="1">
        <v>46253</v>
      </c>
      <c r="B4101" t="s">
        <v>6286</v>
      </c>
      <c r="C4101" t="s">
        <v>2300</v>
      </c>
      <c r="D4101" t="s">
        <v>2301</v>
      </c>
      <c r="E4101" t="s">
        <v>8</v>
      </c>
      <c r="F4101" t="s">
        <v>38</v>
      </c>
      <c r="G4101" s="16">
        <v>1289.49</v>
      </c>
      <c r="H4101" s="16">
        <v>1482.9135000000001</v>
      </c>
      <c r="J4101">
        <v>6</v>
      </c>
      <c r="K4101" t="s">
        <v>10693</v>
      </c>
      <c r="M4101">
        <v>1</v>
      </c>
      <c r="N4101">
        <v>2</v>
      </c>
      <c r="O4101" t="s">
        <v>216</v>
      </c>
      <c r="P4101" s="17"/>
      <c r="Q4101" s="17" t="str">
        <f>_xlfn.XLOOKUP(Table2[[#This Row],[buyFromVendorNo]],'Next Day Scheduled'!A:A,'Pending Returns'!O:O,"NOT_FOUND")</f>
        <v>NOT_FOUND</v>
      </c>
    </row>
    <row r="4102" spans="1:17" x14ac:dyDescent="0.3">
      <c r="A4102" s="1">
        <v>46253</v>
      </c>
      <c r="B4102" t="s">
        <v>5062</v>
      </c>
      <c r="C4102" t="s">
        <v>929</v>
      </c>
      <c r="D4102" t="s">
        <v>930</v>
      </c>
      <c r="E4102" t="s">
        <v>8</v>
      </c>
      <c r="F4102" t="s">
        <v>10</v>
      </c>
      <c r="G4102" s="16">
        <v>134.85435000000001</v>
      </c>
      <c r="H4102" s="16">
        <v>155.08250000000001</v>
      </c>
      <c r="I4102" s="1">
        <v>46244</v>
      </c>
      <c r="J4102">
        <v>6</v>
      </c>
      <c r="K4102" t="s">
        <v>9026</v>
      </c>
      <c r="L4102" t="s">
        <v>10694</v>
      </c>
      <c r="M4102">
        <v>0</v>
      </c>
      <c r="N4102">
        <v>8</v>
      </c>
      <c r="O4102" t="s">
        <v>1036</v>
      </c>
      <c r="P4102" s="17"/>
      <c r="Q4102" s="17" t="str">
        <f>_xlfn.XLOOKUP(Table2[[#This Row],[buyFromVendorNo]],'Next Day Scheduled'!A:A,'Pending Returns'!O:O,"NOT_FOUND")</f>
        <v>NOT_FOUND</v>
      </c>
    </row>
    <row r="4103" spans="1:17" x14ac:dyDescent="0.3">
      <c r="A4103" s="1">
        <v>46253</v>
      </c>
      <c r="B4103" t="s">
        <v>2975</v>
      </c>
      <c r="C4103" t="s">
        <v>548</v>
      </c>
      <c r="D4103" t="s">
        <v>549</v>
      </c>
      <c r="E4103" t="s">
        <v>8</v>
      </c>
      <c r="F4103" t="s">
        <v>10</v>
      </c>
      <c r="G4103" s="16">
        <v>6779.36</v>
      </c>
      <c r="H4103" s="16">
        <v>7796.2640000000001</v>
      </c>
      <c r="I4103" s="1">
        <v>46251</v>
      </c>
      <c r="J4103">
        <v>6</v>
      </c>
      <c r="K4103" t="s">
        <v>9423</v>
      </c>
      <c r="L4103" t="s">
        <v>10696</v>
      </c>
      <c r="M4103">
        <v>1</v>
      </c>
      <c r="N4103">
        <v>3</v>
      </c>
      <c r="O4103" t="s">
        <v>1036</v>
      </c>
      <c r="P4103" s="17"/>
      <c r="Q4103" s="17" t="str">
        <f>_xlfn.XLOOKUP(Table2[[#This Row],[buyFromVendorNo]],'Next Day Scheduled'!A:A,'Pending Returns'!O:O,"NOT_FOUND")</f>
        <v>NOT_FOUND</v>
      </c>
    </row>
    <row r="4104" spans="1:17" x14ac:dyDescent="0.3">
      <c r="A4104" s="1">
        <v>46253</v>
      </c>
      <c r="B4104" t="s">
        <v>6651</v>
      </c>
      <c r="C4104" t="s">
        <v>2267</v>
      </c>
      <c r="D4104" t="s">
        <v>2268</v>
      </c>
      <c r="E4104" t="s">
        <v>8</v>
      </c>
      <c r="F4104" t="s">
        <v>10</v>
      </c>
      <c r="G4104" s="16">
        <v>220.5</v>
      </c>
      <c r="H4104" s="16">
        <v>253.57499999999999</v>
      </c>
      <c r="I4104" s="1">
        <v>46252</v>
      </c>
      <c r="J4104">
        <v>6</v>
      </c>
      <c r="K4104" t="s">
        <v>10281</v>
      </c>
      <c r="L4104" t="s">
        <v>10612</v>
      </c>
      <c r="M4104">
        <v>1</v>
      </c>
      <c r="N4104">
        <v>2</v>
      </c>
      <c r="O4104" t="s">
        <v>1036</v>
      </c>
      <c r="P4104" s="17"/>
      <c r="Q4104" s="17" t="str">
        <f>_xlfn.XLOOKUP(Table2[[#This Row],[buyFromVendorNo]],'Next Day Scheduled'!A:A,'Pending Returns'!O:O,"NOT_FOUND")</f>
        <v>NOT_FOUND</v>
      </c>
    </row>
    <row r="4105" spans="1:17" x14ac:dyDescent="0.3">
      <c r="A4105" s="1">
        <v>46253</v>
      </c>
      <c r="B4105" t="s">
        <v>3277</v>
      </c>
      <c r="C4105" t="s">
        <v>310</v>
      </c>
      <c r="D4105" t="s">
        <v>311</v>
      </c>
      <c r="E4105" t="s">
        <v>8</v>
      </c>
      <c r="F4105" t="s">
        <v>10</v>
      </c>
      <c r="G4105" s="16">
        <v>140</v>
      </c>
      <c r="H4105" s="16">
        <v>161</v>
      </c>
      <c r="I4105" s="1">
        <v>46251</v>
      </c>
      <c r="J4105">
        <v>6</v>
      </c>
      <c r="K4105" t="s">
        <v>9408</v>
      </c>
      <c r="L4105" t="s">
        <v>10611</v>
      </c>
      <c r="M4105">
        <v>1</v>
      </c>
      <c r="N4105">
        <v>2</v>
      </c>
      <c r="O4105" t="s">
        <v>1036</v>
      </c>
      <c r="P4105" s="17"/>
      <c r="Q4105" s="17" t="str">
        <f>_xlfn.XLOOKUP(Table2[[#This Row],[buyFromVendorNo]],'Next Day Scheduled'!A:A,'Pending Returns'!O:O,"NOT_FOUND")</f>
        <v>NOT_FOUND</v>
      </c>
    </row>
    <row r="4106" spans="1:17" x14ac:dyDescent="0.3">
      <c r="A4106" s="1">
        <v>46253</v>
      </c>
      <c r="B4106" t="s">
        <v>642</v>
      </c>
      <c r="C4106" t="s">
        <v>116</v>
      </c>
      <c r="D4106" t="s">
        <v>117</v>
      </c>
      <c r="E4106" t="s">
        <v>8</v>
      </c>
      <c r="F4106" t="s">
        <v>38</v>
      </c>
      <c r="G4106" s="16">
        <v>3647.174</v>
      </c>
      <c r="H4106" s="16">
        <v>4194.25</v>
      </c>
      <c r="I4106" s="1">
        <v>46253</v>
      </c>
      <c r="J4106">
        <v>6</v>
      </c>
      <c r="K4106" t="s">
        <v>10091</v>
      </c>
      <c r="L4106" t="s">
        <v>10613</v>
      </c>
      <c r="M4106">
        <v>1</v>
      </c>
      <c r="N4106">
        <v>2</v>
      </c>
      <c r="O4106" t="s">
        <v>223</v>
      </c>
      <c r="P4106" s="17"/>
      <c r="Q4106" s="17" t="str">
        <f>_xlfn.XLOOKUP(Table2[[#This Row],[buyFromVendorNo]],'Next Day Scheduled'!A:A,'Pending Returns'!O:O,"NOT_FOUND")</f>
        <v>NOT_FOUND</v>
      </c>
    </row>
    <row r="4107" spans="1:17" x14ac:dyDescent="0.3">
      <c r="A4107" s="1">
        <v>46253</v>
      </c>
      <c r="B4107" t="s">
        <v>3373</v>
      </c>
      <c r="C4107" t="s">
        <v>1593</v>
      </c>
      <c r="D4107" t="s">
        <v>1594</v>
      </c>
      <c r="E4107" t="s">
        <v>8</v>
      </c>
      <c r="F4107" t="s">
        <v>10</v>
      </c>
      <c r="G4107" s="16">
        <v>168.25</v>
      </c>
      <c r="H4107" s="16">
        <v>193.48750000000001</v>
      </c>
      <c r="J4107">
        <v>6</v>
      </c>
      <c r="K4107" t="s">
        <v>10663</v>
      </c>
      <c r="M4107">
        <v>1</v>
      </c>
      <c r="N4107">
        <v>2</v>
      </c>
      <c r="O4107" t="s">
        <v>216</v>
      </c>
      <c r="P4107" s="17"/>
      <c r="Q4107" s="17" t="str">
        <f>_xlfn.XLOOKUP(Table2[[#This Row],[buyFromVendorNo]],'Next Day Scheduled'!A:A,'Pending Returns'!O:O,"NOT_FOUND")</f>
        <v>NOT_FOUND</v>
      </c>
    </row>
    <row r="4108" spans="1:17" x14ac:dyDescent="0.3">
      <c r="A4108" s="1">
        <v>46253</v>
      </c>
      <c r="B4108" t="s">
        <v>2786</v>
      </c>
      <c r="C4108" t="s">
        <v>158</v>
      </c>
      <c r="D4108" t="s">
        <v>159</v>
      </c>
      <c r="E4108" t="s">
        <v>8</v>
      </c>
      <c r="F4108" t="s">
        <v>10</v>
      </c>
      <c r="G4108" s="16">
        <v>583.89499999999998</v>
      </c>
      <c r="H4108" s="16">
        <v>671.47924999999998</v>
      </c>
      <c r="I4108" s="1">
        <v>46248</v>
      </c>
      <c r="J4108">
        <v>6</v>
      </c>
      <c r="K4108" t="s">
        <v>9406</v>
      </c>
      <c r="L4108" t="s">
        <v>10664</v>
      </c>
      <c r="M4108">
        <v>1</v>
      </c>
      <c r="N4108">
        <v>6</v>
      </c>
      <c r="O4108" t="s">
        <v>1036</v>
      </c>
      <c r="P4108" s="17"/>
      <c r="Q4108" s="17" t="str">
        <f>_xlfn.XLOOKUP(Table2[[#This Row],[buyFromVendorNo]],'Next Day Scheduled'!A:A,'Pending Returns'!O:O,"NOT_FOUND")</f>
        <v>Posted Credit Note</v>
      </c>
    </row>
    <row r="4109" spans="1:17" x14ac:dyDescent="0.3">
      <c r="A4109" s="1">
        <v>46253</v>
      </c>
      <c r="B4109" t="s">
        <v>642</v>
      </c>
      <c r="C4109" t="s">
        <v>116</v>
      </c>
      <c r="D4109" t="s">
        <v>117</v>
      </c>
      <c r="E4109" t="s">
        <v>8</v>
      </c>
      <c r="F4109" t="s">
        <v>38</v>
      </c>
      <c r="G4109" s="16">
        <v>520.92999999999995</v>
      </c>
      <c r="H4109" s="16">
        <v>599.06949999999995</v>
      </c>
      <c r="I4109" s="1">
        <v>46253</v>
      </c>
      <c r="J4109">
        <v>6</v>
      </c>
      <c r="K4109" t="s">
        <v>10349</v>
      </c>
      <c r="L4109" t="s">
        <v>10665</v>
      </c>
      <c r="M4109">
        <v>1</v>
      </c>
      <c r="N4109">
        <v>2</v>
      </c>
      <c r="O4109" t="s">
        <v>223</v>
      </c>
      <c r="P4109" s="17"/>
      <c r="Q4109" s="17" t="str">
        <f>_xlfn.XLOOKUP(Table2[[#This Row],[buyFromVendorNo]],'Next Day Scheduled'!A:A,'Pending Returns'!O:O,"NOT_FOUND")</f>
        <v>NOT_FOUND</v>
      </c>
    </row>
    <row r="4110" spans="1:17" x14ac:dyDescent="0.3">
      <c r="A4110" s="1">
        <v>46253</v>
      </c>
      <c r="B4110" t="s">
        <v>6258</v>
      </c>
      <c r="C4110" t="s">
        <v>381</v>
      </c>
      <c r="D4110" t="s">
        <v>382</v>
      </c>
      <c r="E4110" t="s">
        <v>8</v>
      </c>
      <c r="F4110" t="s">
        <v>10</v>
      </c>
      <c r="G4110" s="16">
        <v>342.5</v>
      </c>
      <c r="H4110" s="16">
        <v>393.875</v>
      </c>
      <c r="I4110" s="1">
        <v>46253</v>
      </c>
      <c r="J4110">
        <v>6</v>
      </c>
      <c r="K4110" t="s">
        <v>9890</v>
      </c>
      <c r="L4110" t="s">
        <v>10570</v>
      </c>
      <c r="M4110">
        <v>1</v>
      </c>
      <c r="N4110">
        <v>3</v>
      </c>
      <c r="O4110" t="s">
        <v>223</v>
      </c>
      <c r="P4110" s="17"/>
      <c r="Q4110" s="17" t="str">
        <f>_xlfn.XLOOKUP(Table2[[#This Row],[buyFromVendorNo]],'Next Day Scheduled'!A:A,'Pending Returns'!O:O,"NOT_FOUND")</f>
        <v>NOT_FOUND</v>
      </c>
    </row>
    <row r="4111" spans="1:17" x14ac:dyDescent="0.3">
      <c r="A4111" s="1">
        <v>46253</v>
      </c>
      <c r="B4111" t="s">
        <v>8253</v>
      </c>
      <c r="C4111" t="s">
        <v>77</v>
      </c>
      <c r="D4111" t="s">
        <v>78</v>
      </c>
      <c r="E4111" t="s">
        <v>8</v>
      </c>
      <c r="F4111" t="s">
        <v>10</v>
      </c>
      <c r="G4111" s="16">
        <v>143.43</v>
      </c>
      <c r="H4111" s="16">
        <v>164.94450000000001</v>
      </c>
      <c r="I4111" s="1">
        <v>46253</v>
      </c>
      <c r="J4111">
        <v>6</v>
      </c>
      <c r="K4111" t="s">
        <v>9574</v>
      </c>
      <c r="L4111" t="s">
        <v>10555</v>
      </c>
      <c r="M4111">
        <v>0</v>
      </c>
      <c r="N4111">
        <v>7</v>
      </c>
      <c r="O4111" t="s">
        <v>223</v>
      </c>
      <c r="P4111" s="17"/>
      <c r="Q4111" s="17" t="str">
        <f>_xlfn.XLOOKUP(Table2[[#This Row],[buyFromVendorNo]],'Next Day Scheduled'!A:A,'Pending Returns'!O:O,"NOT_FOUND")</f>
        <v>NOT_FOUND</v>
      </c>
    </row>
    <row r="4112" spans="1:17" x14ac:dyDescent="0.3">
      <c r="A4112" s="1">
        <v>46253</v>
      </c>
      <c r="B4112" t="s">
        <v>3547</v>
      </c>
      <c r="C4112" t="s">
        <v>5484</v>
      </c>
      <c r="D4112" t="s">
        <v>5485</v>
      </c>
      <c r="E4112" t="s">
        <v>8</v>
      </c>
      <c r="F4112" t="s">
        <v>10</v>
      </c>
      <c r="G4112" s="16">
        <v>98</v>
      </c>
      <c r="H4112" s="16">
        <v>112.7</v>
      </c>
      <c r="I4112" s="1">
        <v>46252</v>
      </c>
      <c r="J4112">
        <v>6</v>
      </c>
      <c r="K4112" t="s">
        <v>9642</v>
      </c>
      <c r="L4112" t="s">
        <v>10589</v>
      </c>
      <c r="M4112">
        <v>0</v>
      </c>
      <c r="N4112">
        <v>258</v>
      </c>
      <c r="O4112" t="s">
        <v>1036</v>
      </c>
      <c r="P4112" s="17"/>
      <c r="Q4112" s="17" t="str">
        <f>_xlfn.XLOOKUP(Table2[[#This Row],[buyFromVendorNo]],'Next Day Scheduled'!A:A,'Pending Returns'!O:O,"NOT_FOUND")</f>
        <v>NOT_FOUND</v>
      </c>
    </row>
    <row r="4113" spans="1:17" x14ac:dyDescent="0.3">
      <c r="A4113" s="1">
        <v>46253</v>
      </c>
      <c r="B4113" t="s">
        <v>10337</v>
      </c>
      <c r="C4113" t="s">
        <v>75</v>
      </c>
      <c r="D4113" t="s">
        <v>76</v>
      </c>
      <c r="E4113" t="s">
        <v>8</v>
      </c>
      <c r="F4113" t="s">
        <v>169</v>
      </c>
      <c r="G4113" s="16">
        <v>454.5</v>
      </c>
      <c r="H4113" s="16">
        <v>522.67499999999995</v>
      </c>
      <c r="I4113" s="1">
        <v>46253</v>
      </c>
      <c r="J4113">
        <v>6</v>
      </c>
      <c r="K4113" t="s">
        <v>10331</v>
      </c>
      <c r="L4113" t="s">
        <v>10590</v>
      </c>
      <c r="M4113">
        <v>1</v>
      </c>
      <c r="N4113">
        <v>3</v>
      </c>
      <c r="O4113" t="s">
        <v>223</v>
      </c>
      <c r="P4113" s="17"/>
      <c r="Q4113" s="17" t="str">
        <f>_xlfn.XLOOKUP(Table2[[#This Row],[buyFromVendorNo]],'Next Day Scheduled'!A:A,'Pending Returns'!O:O,"NOT_FOUND")</f>
        <v>Posted Credit Note</v>
      </c>
    </row>
    <row r="4114" spans="1:17" x14ac:dyDescent="0.3">
      <c r="A4114" s="1">
        <v>46253</v>
      </c>
      <c r="B4114" t="s">
        <v>9553</v>
      </c>
      <c r="C4114" t="s">
        <v>173</v>
      </c>
      <c r="D4114" t="s">
        <v>174</v>
      </c>
      <c r="E4114" t="s">
        <v>8</v>
      </c>
      <c r="F4114" t="s">
        <v>10</v>
      </c>
      <c r="G4114" s="16">
        <v>1528.47</v>
      </c>
      <c r="H4114" s="16">
        <v>1757.7405000000001</v>
      </c>
      <c r="J4114">
        <v>6</v>
      </c>
      <c r="K4114" t="s">
        <v>10617</v>
      </c>
      <c r="M4114">
        <v>3</v>
      </c>
      <c r="N4114">
        <v>1</v>
      </c>
      <c r="O4114" t="s">
        <v>216</v>
      </c>
      <c r="P4114" s="17"/>
      <c r="Q4114" s="17" t="str">
        <f>_xlfn.XLOOKUP(Table2[[#This Row],[buyFromVendorNo]],'Next Day Scheduled'!A:A,'Pending Returns'!O:O,"NOT_FOUND")</f>
        <v>NOT_FOUND</v>
      </c>
    </row>
    <row r="4115" spans="1:17" x14ac:dyDescent="0.3">
      <c r="A4115" s="1">
        <v>46253</v>
      </c>
      <c r="B4115" t="s">
        <v>3582</v>
      </c>
      <c r="C4115" t="s">
        <v>966</v>
      </c>
      <c r="D4115" t="s">
        <v>967</v>
      </c>
      <c r="E4115" t="s">
        <v>8</v>
      </c>
      <c r="F4115" t="s">
        <v>10</v>
      </c>
      <c r="G4115" s="16">
        <v>10.74</v>
      </c>
      <c r="H4115" s="16">
        <v>12.351000000000001</v>
      </c>
      <c r="J4115">
        <v>6</v>
      </c>
      <c r="K4115" t="s">
        <v>10649</v>
      </c>
      <c r="M4115">
        <v>0</v>
      </c>
      <c r="N4115">
        <v>10</v>
      </c>
      <c r="O4115" t="s">
        <v>216</v>
      </c>
      <c r="P4115" s="17"/>
      <c r="Q4115" s="17" t="str">
        <f>_xlfn.XLOOKUP(Table2[[#This Row],[buyFromVendorNo]],'Next Day Scheduled'!A:A,'Pending Returns'!O:O,"NOT_FOUND")</f>
        <v>NOT_FOUND</v>
      </c>
    </row>
    <row r="4116" spans="1:17" x14ac:dyDescent="0.3">
      <c r="A4116" s="1">
        <v>46253</v>
      </c>
      <c r="B4116" t="s">
        <v>2386</v>
      </c>
      <c r="C4116" t="s">
        <v>144</v>
      </c>
      <c r="D4116" t="s">
        <v>145</v>
      </c>
      <c r="E4116" t="s">
        <v>8</v>
      </c>
      <c r="F4116" t="s">
        <v>10</v>
      </c>
      <c r="G4116" s="16">
        <v>65.87</v>
      </c>
      <c r="H4116" s="16">
        <v>75.750500000000002</v>
      </c>
      <c r="J4116">
        <v>6</v>
      </c>
      <c r="K4116" t="s">
        <v>10650</v>
      </c>
      <c r="M4116">
        <v>0</v>
      </c>
      <c r="N4116">
        <v>411</v>
      </c>
      <c r="O4116" t="s">
        <v>216</v>
      </c>
      <c r="P4116" s="17"/>
      <c r="Q4116" s="17" t="str">
        <f>_xlfn.XLOOKUP(Table2[[#This Row],[buyFromVendorNo]],'Next Day Scheduled'!A:A,'Pending Returns'!O:O,"NOT_FOUND")</f>
        <v>NOT_FOUND</v>
      </c>
    </row>
    <row r="4117" spans="1:17" x14ac:dyDescent="0.3">
      <c r="A4117" s="1">
        <v>46253</v>
      </c>
      <c r="B4117" t="s">
        <v>642</v>
      </c>
      <c r="C4117" t="s">
        <v>808</v>
      </c>
      <c r="D4117" t="s">
        <v>904</v>
      </c>
      <c r="E4117" t="s">
        <v>8</v>
      </c>
      <c r="F4117" t="s">
        <v>38</v>
      </c>
      <c r="G4117" s="16">
        <v>2328.0435000000002</v>
      </c>
      <c r="H4117" s="16">
        <v>2677.25</v>
      </c>
      <c r="I4117" s="1">
        <v>46251</v>
      </c>
      <c r="J4117">
        <v>6</v>
      </c>
      <c r="K4117" t="s">
        <v>9884</v>
      </c>
      <c r="L4117" t="s">
        <v>10597</v>
      </c>
      <c r="M4117">
        <v>2</v>
      </c>
      <c r="N4117">
        <v>2</v>
      </c>
      <c r="O4117" t="s">
        <v>223</v>
      </c>
      <c r="P4117" s="17"/>
      <c r="Q4117" s="17" t="str">
        <f>_xlfn.XLOOKUP(Table2[[#This Row],[buyFromVendorNo]],'Next Day Scheduled'!A:A,'Pending Returns'!O:O,"NOT_FOUND")</f>
        <v>NOT_FOUND</v>
      </c>
    </row>
    <row r="4118" spans="1:17" x14ac:dyDescent="0.3">
      <c r="A4118" s="1">
        <v>46253</v>
      </c>
      <c r="B4118" t="s">
        <v>3273</v>
      </c>
      <c r="C4118" t="s">
        <v>84</v>
      </c>
      <c r="D4118" t="s">
        <v>85</v>
      </c>
      <c r="E4118" t="s">
        <v>8</v>
      </c>
      <c r="F4118" t="s">
        <v>10</v>
      </c>
      <c r="G4118" s="16">
        <v>145.55443</v>
      </c>
      <c r="H4118" s="16">
        <v>167.38758999999999</v>
      </c>
      <c r="J4118">
        <v>6</v>
      </c>
      <c r="K4118" t="s">
        <v>10678</v>
      </c>
      <c r="M4118">
        <v>1</v>
      </c>
      <c r="N4118">
        <v>2</v>
      </c>
      <c r="O4118" t="s">
        <v>216</v>
      </c>
      <c r="P4118" s="17"/>
      <c r="Q4118" s="17" t="str">
        <f>_xlfn.XLOOKUP(Table2[[#This Row],[buyFromVendorNo]],'Next Day Scheduled'!A:A,'Pending Returns'!O:O,"NOT_FOUND")</f>
        <v>NOT_FOUND</v>
      </c>
    </row>
    <row r="4119" spans="1:17" x14ac:dyDescent="0.3">
      <c r="A4119" s="1">
        <v>46253</v>
      </c>
      <c r="B4119" t="s">
        <v>3532</v>
      </c>
      <c r="C4119" t="s">
        <v>854</v>
      </c>
      <c r="D4119" t="s">
        <v>855</v>
      </c>
      <c r="E4119" t="s">
        <v>8</v>
      </c>
      <c r="F4119" t="s">
        <v>10</v>
      </c>
      <c r="G4119" s="16">
        <v>150.67760000000001</v>
      </c>
      <c r="H4119" s="16">
        <v>173.27923999999999</v>
      </c>
      <c r="J4119">
        <v>6</v>
      </c>
      <c r="K4119" t="s">
        <v>10679</v>
      </c>
      <c r="M4119">
        <v>1</v>
      </c>
      <c r="N4119">
        <v>6</v>
      </c>
      <c r="O4119" t="s">
        <v>216</v>
      </c>
      <c r="P4119" s="17"/>
      <c r="Q4119" s="17" t="str">
        <f>_xlfn.XLOOKUP(Table2[[#This Row],[buyFromVendorNo]],'Next Day Scheduled'!A:A,'Pending Returns'!O:O,"NOT_FOUND")</f>
        <v>Posted Credit Note</v>
      </c>
    </row>
    <row r="4120" spans="1:17" x14ac:dyDescent="0.3">
      <c r="A4120" s="1">
        <v>46253</v>
      </c>
      <c r="B4120" t="s">
        <v>2520</v>
      </c>
      <c r="C4120" t="s">
        <v>133</v>
      </c>
      <c r="D4120" t="s">
        <v>134</v>
      </c>
      <c r="E4120" t="s">
        <v>8</v>
      </c>
      <c r="F4120" t="s">
        <v>10</v>
      </c>
      <c r="G4120" s="16">
        <v>175.6737</v>
      </c>
      <c r="H4120" s="16">
        <v>202.02475000000001</v>
      </c>
      <c r="J4120">
        <v>6</v>
      </c>
      <c r="K4120" t="s">
        <v>10680</v>
      </c>
      <c r="M4120">
        <v>0</v>
      </c>
      <c r="N4120">
        <v>12</v>
      </c>
      <c r="O4120" t="s">
        <v>216</v>
      </c>
      <c r="P4120" s="17"/>
      <c r="Q4120" s="17" t="str">
        <f>_xlfn.XLOOKUP(Table2[[#This Row],[buyFromVendorNo]],'Next Day Scheduled'!A:A,'Pending Returns'!O:O,"NOT_FOUND")</f>
        <v>NOT_FOUND</v>
      </c>
    </row>
    <row r="4121" spans="1:17" x14ac:dyDescent="0.3">
      <c r="A4121" s="1">
        <v>46253</v>
      </c>
      <c r="B4121" t="s">
        <v>2857</v>
      </c>
      <c r="C4121" t="s">
        <v>7713</v>
      </c>
      <c r="D4121" t="s">
        <v>7714</v>
      </c>
      <c r="E4121" t="s">
        <v>8</v>
      </c>
      <c r="F4121" t="s">
        <v>10</v>
      </c>
      <c r="G4121" s="16">
        <v>552.44799999999998</v>
      </c>
      <c r="H4121" s="16">
        <v>635.3152</v>
      </c>
      <c r="I4121" s="1">
        <v>46253</v>
      </c>
      <c r="J4121">
        <v>6</v>
      </c>
      <c r="K4121" t="s">
        <v>8678</v>
      </c>
      <c r="L4121" t="s">
        <v>10561</v>
      </c>
      <c r="M4121">
        <v>0</v>
      </c>
      <c r="N4121">
        <v>231</v>
      </c>
      <c r="O4121" t="s">
        <v>223</v>
      </c>
      <c r="P4121" s="17"/>
      <c r="Q4121" s="17" t="str">
        <f>_xlfn.XLOOKUP(Table2[[#This Row],[buyFromVendorNo]],'Next Day Scheduled'!A:A,'Pending Returns'!O:O,"NOT_FOUND")</f>
        <v>NOT_FOUND</v>
      </c>
    </row>
    <row r="4122" spans="1:17" x14ac:dyDescent="0.3">
      <c r="A4122" s="1">
        <v>46253</v>
      </c>
      <c r="B4122" t="s">
        <v>3542</v>
      </c>
      <c r="C4122" t="s">
        <v>5199</v>
      </c>
      <c r="D4122" t="s">
        <v>5200</v>
      </c>
      <c r="E4122" t="s">
        <v>8</v>
      </c>
      <c r="F4122" t="s">
        <v>10</v>
      </c>
      <c r="G4122" s="16">
        <v>646.8741</v>
      </c>
      <c r="H4122" s="16">
        <v>743.90520000000004</v>
      </c>
      <c r="J4122">
        <v>6</v>
      </c>
      <c r="K4122" t="s">
        <v>10682</v>
      </c>
      <c r="M4122">
        <v>0</v>
      </c>
      <c r="N4122">
        <v>24</v>
      </c>
      <c r="O4122" t="s">
        <v>216</v>
      </c>
      <c r="P4122" s="17"/>
      <c r="Q4122" s="17" t="str">
        <f>_xlfn.XLOOKUP(Table2[[#This Row],[buyFromVendorNo]],'Next Day Scheduled'!A:A,'Pending Returns'!O:O,"NOT_FOUND")</f>
        <v>Posted Credit Note</v>
      </c>
    </row>
    <row r="4123" spans="1:17" x14ac:dyDescent="0.3">
      <c r="A4123" s="1">
        <v>46253</v>
      </c>
      <c r="B4123" t="s">
        <v>5072</v>
      </c>
      <c r="C4123" t="s">
        <v>3946</v>
      </c>
      <c r="D4123" t="s">
        <v>4628</v>
      </c>
      <c r="E4123" t="s">
        <v>8</v>
      </c>
      <c r="F4123" t="s">
        <v>10</v>
      </c>
      <c r="G4123" s="16">
        <v>10.43478</v>
      </c>
      <c r="H4123" s="16">
        <v>12</v>
      </c>
      <c r="I4123" s="1">
        <v>46253</v>
      </c>
      <c r="J4123">
        <v>6</v>
      </c>
      <c r="K4123" t="s">
        <v>10220</v>
      </c>
      <c r="L4123" t="s">
        <v>10567</v>
      </c>
      <c r="M4123">
        <v>1</v>
      </c>
      <c r="N4123">
        <v>1</v>
      </c>
      <c r="O4123" t="s">
        <v>223</v>
      </c>
      <c r="P4123" s="17"/>
      <c r="Q4123" s="17" t="str">
        <f>_xlfn.XLOOKUP(Table2[[#This Row],[buyFromVendorNo]],'Next Day Scheduled'!A:A,'Pending Returns'!O:O,"NOT_FOUND")</f>
        <v>NOT_FOUND</v>
      </c>
    </row>
    <row r="4124" spans="1:17" x14ac:dyDescent="0.3">
      <c r="A4124" s="1">
        <v>46253</v>
      </c>
      <c r="B4124" t="s">
        <v>6286</v>
      </c>
      <c r="C4124" t="s">
        <v>377</v>
      </c>
      <c r="D4124" t="s">
        <v>378</v>
      </c>
      <c r="E4124" t="s">
        <v>8</v>
      </c>
      <c r="F4124" t="s">
        <v>38</v>
      </c>
      <c r="G4124" s="16">
        <v>427.80007999999998</v>
      </c>
      <c r="H4124" s="16">
        <v>491.9701</v>
      </c>
      <c r="J4124">
        <v>6</v>
      </c>
      <c r="K4124" t="s">
        <v>10681</v>
      </c>
      <c r="M4124">
        <v>1</v>
      </c>
      <c r="N4124">
        <v>3</v>
      </c>
      <c r="O4124" t="s">
        <v>216</v>
      </c>
      <c r="P4124" s="17"/>
      <c r="Q4124" s="17" t="str">
        <f>_xlfn.XLOOKUP(Table2[[#This Row],[buyFromVendorNo]],'Next Day Scheduled'!A:A,'Pending Returns'!O:O,"NOT_FOUND")</f>
        <v>NOT_FOUND</v>
      </c>
    </row>
    <row r="4125" spans="1:17" x14ac:dyDescent="0.3">
      <c r="A4125" s="1">
        <v>46253</v>
      </c>
      <c r="B4125" t="s">
        <v>642</v>
      </c>
      <c r="C4125" t="s">
        <v>776</v>
      </c>
      <c r="D4125" t="s">
        <v>777</v>
      </c>
      <c r="E4125" t="s">
        <v>8</v>
      </c>
      <c r="F4125" t="s">
        <v>38</v>
      </c>
      <c r="G4125" s="16">
        <v>3437.07</v>
      </c>
      <c r="H4125" s="16">
        <v>3952.6306</v>
      </c>
      <c r="I4125" s="1">
        <v>46251</v>
      </c>
      <c r="J4125">
        <v>6</v>
      </c>
      <c r="K4125" t="s">
        <v>10112</v>
      </c>
      <c r="L4125" t="s">
        <v>10658</v>
      </c>
      <c r="M4125">
        <v>1</v>
      </c>
      <c r="N4125">
        <v>2</v>
      </c>
      <c r="O4125" t="s">
        <v>1036</v>
      </c>
      <c r="P4125" s="17"/>
      <c r="Q4125" s="17" t="str">
        <f>_xlfn.XLOOKUP(Table2[[#This Row],[buyFromVendorNo]],'Next Day Scheduled'!A:A,'Pending Returns'!O:O,"NOT_FOUND")</f>
        <v>Posted Credit Note</v>
      </c>
    </row>
    <row r="4126" spans="1:17" x14ac:dyDescent="0.3">
      <c r="A4126" s="1">
        <v>46253</v>
      </c>
      <c r="B4126" t="s">
        <v>3557</v>
      </c>
      <c r="C4126" t="s">
        <v>8372</v>
      </c>
      <c r="D4126" t="s">
        <v>8373</v>
      </c>
      <c r="E4126" t="s">
        <v>8</v>
      </c>
      <c r="F4126" t="s">
        <v>10</v>
      </c>
      <c r="G4126" s="16">
        <v>620</v>
      </c>
      <c r="H4126" s="16">
        <v>713</v>
      </c>
      <c r="J4126">
        <v>6</v>
      </c>
      <c r="K4126" t="s">
        <v>10603</v>
      </c>
      <c r="M4126">
        <v>0</v>
      </c>
      <c r="N4126">
        <v>30</v>
      </c>
      <c r="O4126" t="s">
        <v>216</v>
      </c>
      <c r="P4126" s="17"/>
      <c r="Q4126" s="17" t="str">
        <f>_xlfn.XLOOKUP(Table2[[#This Row],[buyFromVendorNo]],'Next Day Scheduled'!A:A,'Pending Returns'!O:O,"NOT_FOUND")</f>
        <v>NOT_FOUND</v>
      </c>
    </row>
    <row r="4127" spans="1:17" x14ac:dyDescent="0.3">
      <c r="A4127" s="1">
        <v>46253</v>
      </c>
      <c r="B4127" t="s">
        <v>5233</v>
      </c>
      <c r="C4127" t="s">
        <v>109</v>
      </c>
      <c r="D4127" t="s">
        <v>110</v>
      </c>
      <c r="E4127" t="s">
        <v>8</v>
      </c>
      <c r="F4127" t="s">
        <v>10</v>
      </c>
      <c r="G4127" s="16">
        <v>333.76</v>
      </c>
      <c r="H4127" s="16">
        <v>383.82400000000001</v>
      </c>
      <c r="I4127" s="1">
        <v>46253</v>
      </c>
      <c r="J4127">
        <v>6</v>
      </c>
      <c r="K4127" t="s">
        <v>9297</v>
      </c>
      <c r="L4127" t="s">
        <v>10562</v>
      </c>
      <c r="M4127">
        <v>0</v>
      </c>
      <c r="N4127">
        <v>7</v>
      </c>
      <c r="O4127" t="s">
        <v>223</v>
      </c>
      <c r="P4127" s="17"/>
      <c r="Q4127" s="17" t="str">
        <f>_xlfn.XLOOKUP(Table2[[#This Row],[buyFromVendorNo]],'Next Day Scheduled'!A:A,'Pending Returns'!O:O,"NOT_FOUND")</f>
        <v>NOT_FOUND</v>
      </c>
    </row>
    <row r="4128" spans="1:17" x14ac:dyDescent="0.3">
      <c r="A4128" s="1">
        <v>46253</v>
      </c>
      <c r="B4128" t="s">
        <v>642</v>
      </c>
      <c r="C4128" t="s">
        <v>75</v>
      </c>
      <c r="D4128" t="s">
        <v>76</v>
      </c>
      <c r="E4128" t="s">
        <v>8</v>
      </c>
      <c r="F4128" t="s">
        <v>38</v>
      </c>
      <c r="G4128" s="16">
        <v>636.41345000000001</v>
      </c>
      <c r="H4128" s="16">
        <v>731.87549999999999</v>
      </c>
      <c r="I4128" s="1">
        <v>46253</v>
      </c>
      <c r="J4128">
        <v>6</v>
      </c>
      <c r="K4128" t="s">
        <v>8902</v>
      </c>
      <c r="L4128" t="s">
        <v>10608</v>
      </c>
      <c r="M4128">
        <v>1</v>
      </c>
      <c r="N4128">
        <v>5</v>
      </c>
      <c r="O4128" t="s">
        <v>223</v>
      </c>
      <c r="P4128" s="17"/>
      <c r="Q4128" s="17" t="str">
        <f>_xlfn.XLOOKUP(Table2[[#This Row],[buyFromVendorNo]],'Next Day Scheduled'!A:A,'Pending Returns'!O:O,"NOT_FOUND")</f>
        <v>Posted Credit Note</v>
      </c>
    </row>
    <row r="4129" spans="1:17" x14ac:dyDescent="0.3">
      <c r="A4129" s="1">
        <v>46253</v>
      </c>
      <c r="B4129" t="s">
        <v>451</v>
      </c>
      <c r="C4129" t="s">
        <v>2267</v>
      </c>
      <c r="D4129" t="s">
        <v>2268</v>
      </c>
      <c r="E4129" t="s">
        <v>8</v>
      </c>
      <c r="F4129" t="s">
        <v>10</v>
      </c>
      <c r="G4129" s="16">
        <v>220.5</v>
      </c>
      <c r="H4129" s="16">
        <v>253.57499999999999</v>
      </c>
      <c r="I4129" s="1">
        <v>46252</v>
      </c>
      <c r="J4129">
        <v>6</v>
      </c>
      <c r="K4129" t="s">
        <v>9583</v>
      </c>
      <c r="L4129" t="s">
        <v>10609</v>
      </c>
      <c r="M4129">
        <v>1</v>
      </c>
      <c r="N4129">
        <v>2</v>
      </c>
      <c r="O4129" t="s">
        <v>1036</v>
      </c>
      <c r="P4129" s="17"/>
      <c r="Q4129" s="17" t="str">
        <f>_xlfn.XLOOKUP(Table2[[#This Row],[buyFromVendorNo]],'Next Day Scheduled'!A:A,'Pending Returns'!O:O,"NOT_FOUND")</f>
        <v>NOT_FOUND</v>
      </c>
    </row>
    <row r="4130" spans="1:17" x14ac:dyDescent="0.3">
      <c r="A4130" s="1">
        <v>46253</v>
      </c>
      <c r="B4130" t="s">
        <v>3715</v>
      </c>
      <c r="C4130" t="s">
        <v>7133</v>
      </c>
      <c r="D4130" t="s">
        <v>7134</v>
      </c>
      <c r="E4130" t="s">
        <v>8</v>
      </c>
      <c r="F4130" t="s">
        <v>169</v>
      </c>
      <c r="G4130" s="16">
        <v>57.07</v>
      </c>
      <c r="H4130" s="16">
        <v>65.630499999999998</v>
      </c>
      <c r="I4130" s="1">
        <v>46223</v>
      </c>
      <c r="J4130">
        <v>6</v>
      </c>
      <c r="K4130" t="s">
        <v>7229</v>
      </c>
      <c r="L4130" t="s">
        <v>10661</v>
      </c>
      <c r="M4130">
        <v>0</v>
      </c>
      <c r="N4130">
        <v>7</v>
      </c>
      <c r="O4130" t="s">
        <v>1036</v>
      </c>
      <c r="P4130" s="17"/>
      <c r="Q4130" s="17" t="str">
        <f>_xlfn.XLOOKUP(Table2[[#This Row],[buyFromVendorNo]],'Next Day Scheduled'!A:A,'Pending Returns'!O:O,"NOT_FOUND")</f>
        <v>Posted Credit Note</v>
      </c>
    </row>
    <row r="4131" spans="1:17" x14ac:dyDescent="0.3">
      <c r="A4131" s="1">
        <v>46253</v>
      </c>
      <c r="B4131" t="s">
        <v>642</v>
      </c>
      <c r="C4131" t="s">
        <v>2326</v>
      </c>
      <c r="D4131" t="s">
        <v>2327</v>
      </c>
      <c r="E4131" t="s">
        <v>8</v>
      </c>
      <c r="F4131" t="s">
        <v>38</v>
      </c>
      <c r="G4131" s="16">
        <v>743.5</v>
      </c>
      <c r="H4131" s="16">
        <v>855.02499999999998</v>
      </c>
      <c r="I4131" s="1">
        <v>46253</v>
      </c>
      <c r="J4131">
        <v>6</v>
      </c>
      <c r="K4131" t="s">
        <v>9712</v>
      </c>
      <c r="L4131" t="s">
        <v>10610</v>
      </c>
      <c r="M4131">
        <v>1</v>
      </c>
      <c r="N4131">
        <v>5</v>
      </c>
      <c r="O4131" t="s">
        <v>223</v>
      </c>
      <c r="P4131" s="17"/>
      <c r="Q4131" s="17" t="str">
        <f>_xlfn.XLOOKUP(Table2[[#This Row],[buyFromVendorNo]],'Next Day Scheduled'!A:A,'Pending Returns'!O:O,"NOT_FOUND")</f>
        <v>NOT_FOUND</v>
      </c>
    </row>
    <row r="4132" spans="1:17" x14ac:dyDescent="0.3">
      <c r="A4132" s="1">
        <v>46253</v>
      </c>
      <c r="B4132" t="s">
        <v>642</v>
      </c>
      <c r="C4132" t="s">
        <v>75</v>
      </c>
      <c r="D4132" t="s">
        <v>76</v>
      </c>
      <c r="E4132" t="s">
        <v>8</v>
      </c>
      <c r="F4132" t="s">
        <v>38</v>
      </c>
      <c r="G4132" s="16">
        <v>232.70832999999999</v>
      </c>
      <c r="H4132" s="16">
        <v>267.6146</v>
      </c>
      <c r="I4132" s="1">
        <v>46253</v>
      </c>
      <c r="J4132">
        <v>6</v>
      </c>
      <c r="K4132" t="s">
        <v>10291</v>
      </c>
      <c r="L4132" t="s">
        <v>10642</v>
      </c>
      <c r="M4132">
        <v>1</v>
      </c>
      <c r="N4132">
        <v>5</v>
      </c>
      <c r="O4132" t="s">
        <v>223</v>
      </c>
      <c r="P4132" s="17"/>
      <c r="Q4132" s="17" t="str">
        <f>_xlfn.XLOOKUP(Table2[[#This Row],[buyFromVendorNo]],'Next Day Scheduled'!A:A,'Pending Returns'!O:O,"NOT_FOUND")</f>
        <v>Posted Credit Note</v>
      </c>
    </row>
    <row r="4133" spans="1:17" x14ac:dyDescent="0.3">
      <c r="A4133" s="1">
        <v>46253</v>
      </c>
      <c r="B4133" t="s">
        <v>3313</v>
      </c>
      <c r="C4133" t="s">
        <v>491</v>
      </c>
      <c r="D4133" t="s">
        <v>492</v>
      </c>
      <c r="E4133" t="s">
        <v>8</v>
      </c>
      <c r="F4133" t="s">
        <v>10</v>
      </c>
      <c r="G4133" s="16">
        <v>2435.75</v>
      </c>
      <c r="H4133" s="16">
        <v>2801.1125000000002</v>
      </c>
      <c r="I4133" s="1">
        <v>46250</v>
      </c>
      <c r="J4133">
        <v>6</v>
      </c>
      <c r="K4133" t="s">
        <v>9555</v>
      </c>
      <c r="L4133" t="s">
        <v>10643</v>
      </c>
      <c r="M4133">
        <v>1</v>
      </c>
      <c r="N4133">
        <v>2</v>
      </c>
      <c r="O4133" t="s">
        <v>1036</v>
      </c>
      <c r="P4133" s="17"/>
      <c r="Q4133" s="17" t="str">
        <f>_xlfn.XLOOKUP(Table2[[#This Row],[buyFromVendorNo]],'Next Day Scheduled'!A:A,'Pending Returns'!O:O,"NOT_FOUND")</f>
        <v>NOT_FOUND</v>
      </c>
    </row>
    <row r="4134" spans="1:17" x14ac:dyDescent="0.3">
      <c r="A4134" s="1">
        <v>46253</v>
      </c>
      <c r="B4134" t="s">
        <v>642</v>
      </c>
      <c r="C4134" t="s">
        <v>116</v>
      </c>
      <c r="D4134" t="s">
        <v>117</v>
      </c>
      <c r="E4134" t="s">
        <v>8</v>
      </c>
      <c r="F4134" t="s">
        <v>38</v>
      </c>
      <c r="G4134" s="16">
        <v>1827.0139999999999</v>
      </c>
      <c r="H4134" s="16">
        <v>2101.0662000000002</v>
      </c>
      <c r="I4134" s="1">
        <v>46253</v>
      </c>
      <c r="J4134">
        <v>6</v>
      </c>
      <c r="K4134" t="s">
        <v>8726</v>
      </c>
      <c r="L4134" t="s">
        <v>10662</v>
      </c>
      <c r="M4134">
        <v>1</v>
      </c>
      <c r="N4134">
        <v>2</v>
      </c>
      <c r="O4134" t="s">
        <v>223</v>
      </c>
      <c r="P4134" s="17"/>
      <c r="Q4134" s="17" t="str">
        <f>_xlfn.XLOOKUP(Table2[[#This Row],[buyFromVendorNo]],'Next Day Scheduled'!A:A,'Pending Returns'!O:O,"NOT_FOUND")</f>
        <v>NOT_FOUND</v>
      </c>
    </row>
    <row r="4135" spans="1:17" x14ac:dyDescent="0.3">
      <c r="A4135" s="1">
        <v>46253</v>
      </c>
      <c r="B4135" t="s">
        <v>2583</v>
      </c>
      <c r="C4135" t="s">
        <v>3773</v>
      </c>
      <c r="D4135" t="s">
        <v>3774</v>
      </c>
      <c r="E4135" t="s">
        <v>8</v>
      </c>
      <c r="F4135" t="s">
        <v>10</v>
      </c>
      <c r="G4135" s="16">
        <v>6621.6415999999999</v>
      </c>
      <c r="H4135" s="16">
        <v>7614.8879999999999</v>
      </c>
      <c r="J4135">
        <v>6</v>
      </c>
      <c r="K4135" t="s">
        <v>10695</v>
      </c>
      <c r="M4135">
        <v>1</v>
      </c>
      <c r="N4135">
        <v>2</v>
      </c>
      <c r="O4135" t="s">
        <v>216</v>
      </c>
      <c r="P4135" s="17"/>
      <c r="Q4135" s="17" t="str">
        <f>_xlfn.XLOOKUP(Table2[[#This Row],[buyFromVendorNo]],'Next Day Scheduled'!A:A,'Pending Returns'!O:O,"NOT_FOUND")</f>
        <v>NOT_FOUND</v>
      </c>
    </row>
    <row r="4136" spans="1:17" x14ac:dyDescent="0.3">
      <c r="A4136" s="1">
        <v>46253</v>
      </c>
      <c r="B4136" t="s">
        <v>9847</v>
      </c>
      <c r="C4136" t="s">
        <v>173</v>
      </c>
      <c r="D4136" t="s">
        <v>174</v>
      </c>
      <c r="E4136" t="s">
        <v>8</v>
      </c>
      <c r="F4136" t="s">
        <v>10</v>
      </c>
      <c r="G4136" s="16">
        <v>2229.58</v>
      </c>
      <c r="H4136" s="16">
        <v>2564.0169999999998</v>
      </c>
      <c r="J4136">
        <v>6</v>
      </c>
      <c r="K4136" t="s">
        <v>10748</v>
      </c>
      <c r="M4136">
        <v>3</v>
      </c>
      <c r="N4136">
        <v>1</v>
      </c>
      <c r="O4136" t="s">
        <v>216</v>
      </c>
      <c r="P4136" s="17"/>
      <c r="Q4136" s="17" t="str">
        <f>_xlfn.XLOOKUP(Table2[[#This Row],[buyFromVendorNo]],'Next Day Scheduled'!A:A,'Pending Returns'!O:O,"NOT_FOUND")</f>
        <v>NOT_FOUND</v>
      </c>
    </row>
    <row r="4137" spans="1:17" x14ac:dyDescent="0.3">
      <c r="A4137" s="1">
        <v>46253</v>
      </c>
      <c r="B4137" t="s">
        <v>642</v>
      </c>
      <c r="C4137" t="s">
        <v>4144</v>
      </c>
      <c r="D4137" t="s">
        <v>4145</v>
      </c>
      <c r="E4137" t="s">
        <v>8</v>
      </c>
      <c r="F4137" t="s">
        <v>38</v>
      </c>
      <c r="G4137" s="16">
        <v>274</v>
      </c>
      <c r="H4137" s="16">
        <v>315.10000000000002</v>
      </c>
      <c r="I4137" s="1">
        <v>46250</v>
      </c>
      <c r="J4137">
        <v>6</v>
      </c>
      <c r="K4137" t="s">
        <v>9982</v>
      </c>
      <c r="L4137" t="s">
        <v>10644</v>
      </c>
      <c r="M4137">
        <v>0</v>
      </c>
      <c r="N4137">
        <v>9</v>
      </c>
      <c r="O4137" t="s">
        <v>223</v>
      </c>
      <c r="P4137" s="17"/>
      <c r="Q4137" s="17" t="str">
        <f>_xlfn.XLOOKUP(Table2[[#This Row],[buyFromVendorNo]],'Next Day Scheduled'!A:A,'Pending Returns'!O:O,"NOT_FOUND")</f>
        <v>NOT_FOUND</v>
      </c>
    </row>
    <row r="4138" spans="1:17" x14ac:dyDescent="0.3">
      <c r="A4138" s="1">
        <v>46253</v>
      </c>
      <c r="B4138" t="s">
        <v>642</v>
      </c>
      <c r="C4138" t="s">
        <v>618</v>
      </c>
      <c r="D4138" t="s">
        <v>6379</v>
      </c>
      <c r="E4138" t="s">
        <v>8</v>
      </c>
      <c r="F4138" t="s">
        <v>38</v>
      </c>
      <c r="G4138" s="16">
        <v>320.59960000000001</v>
      </c>
      <c r="H4138" s="16">
        <v>320.59960000000001</v>
      </c>
      <c r="I4138" s="1">
        <v>46251</v>
      </c>
      <c r="J4138">
        <v>6</v>
      </c>
      <c r="K4138" t="s">
        <v>10392</v>
      </c>
      <c r="L4138" t="s">
        <v>10645</v>
      </c>
      <c r="M4138">
        <v>7</v>
      </c>
      <c r="N4138">
        <v>0</v>
      </c>
      <c r="O4138" t="s">
        <v>1036</v>
      </c>
      <c r="P4138" s="17"/>
      <c r="Q4138" s="17" t="str">
        <f>_xlfn.XLOOKUP(Table2[[#This Row],[buyFromVendorNo]],'Next Day Scheduled'!A:A,'Pending Returns'!O:O,"NOT_FOUND")</f>
        <v>NOT_FOUND</v>
      </c>
    </row>
    <row r="4139" spans="1:17" x14ac:dyDescent="0.3">
      <c r="A4139" s="1">
        <v>46253</v>
      </c>
      <c r="B4139" t="s">
        <v>1774</v>
      </c>
      <c r="C4139" t="s">
        <v>73</v>
      </c>
      <c r="D4139" t="s">
        <v>74</v>
      </c>
      <c r="E4139" t="s">
        <v>8</v>
      </c>
      <c r="F4139" t="s">
        <v>10</v>
      </c>
      <c r="G4139" s="16">
        <v>457.31299999999999</v>
      </c>
      <c r="H4139" s="16">
        <v>525.91</v>
      </c>
      <c r="J4139">
        <v>6</v>
      </c>
      <c r="K4139" t="s">
        <v>10697</v>
      </c>
      <c r="M4139">
        <v>4</v>
      </c>
      <c r="N4139">
        <v>1</v>
      </c>
      <c r="O4139" t="s">
        <v>216</v>
      </c>
      <c r="P4139" s="17"/>
      <c r="Q4139" s="17" t="str">
        <f>_xlfn.XLOOKUP(Table2[[#This Row],[buyFromVendorNo]],'Next Day Scheduled'!A:A,'Pending Returns'!O:O,"NOT_FOUND")</f>
        <v>NOT_FOUND</v>
      </c>
    </row>
    <row r="4140" spans="1:17" x14ac:dyDescent="0.3">
      <c r="A4140" s="1">
        <v>46254</v>
      </c>
      <c r="B4140" t="s">
        <v>2716</v>
      </c>
      <c r="C4140" t="s">
        <v>837</v>
      </c>
      <c r="D4140" t="s">
        <v>838</v>
      </c>
      <c r="E4140" t="s">
        <v>8</v>
      </c>
      <c r="F4140" t="s">
        <v>10</v>
      </c>
      <c r="G4140" s="16">
        <v>1849.8425</v>
      </c>
      <c r="H4140" s="16">
        <v>2127.319</v>
      </c>
      <c r="I4140" s="1">
        <v>46247</v>
      </c>
      <c r="J4140">
        <v>5</v>
      </c>
      <c r="K4140" t="s">
        <v>9517</v>
      </c>
      <c r="L4140" t="s">
        <v>10797</v>
      </c>
      <c r="M4140">
        <v>1</v>
      </c>
      <c r="N4140">
        <v>2</v>
      </c>
      <c r="O4140" t="s">
        <v>1036</v>
      </c>
      <c r="P4140" s="17"/>
      <c r="Q4140" s="17" t="str">
        <f>_xlfn.XLOOKUP(Table2[[#This Row],[buyFromVendorNo]],'Next Day Scheduled'!A:A,'Pending Returns'!O:O,"NOT_FOUND")</f>
        <v>NOT_FOUND</v>
      </c>
    </row>
    <row r="4141" spans="1:17" x14ac:dyDescent="0.3">
      <c r="A4141" s="1">
        <v>46254</v>
      </c>
      <c r="B4141" t="s">
        <v>266</v>
      </c>
      <c r="C4141" t="s">
        <v>2311</v>
      </c>
      <c r="D4141" t="s">
        <v>2312</v>
      </c>
      <c r="E4141" t="s">
        <v>8</v>
      </c>
      <c r="F4141" t="s">
        <v>10</v>
      </c>
      <c r="G4141" s="16">
        <v>1413.7491</v>
      </c>
      <c r="H4141" s="16">
        <v>1625.8115</v>
      </c>
      <c r="I4141" s="1">
        <v>46254</v>
      </c>
      <c r="J4141">
        <v>5</v>
      </c>
      <c r="K4141" t="s">
        <v>5513</v>
      </c>
      <c r="L4141" t="s">
        <v>10781</v>
      </c>
      <c r="M4141">
        <v>0</v>
      </c>
      <c r="N4141">
        <v>22</v>
      </c>
      <c r="O4141" t="s">
        <v>1036</v>
      </c>
      <c r="P4141" s="17"/>
      <c r="Q4141" s="17" t="str">
        <f>_xlfn.XLOOKUP(Table2[[#This Row],[buyFromVendorNo]],'Next Day Scheduled'!A:A,'Pending Returns'!O:O,"NOT_FOUND")</f>
        <v>NOT_FOUND</v>
      </c>
    </row>
    <row r="4142" spans="1:17" x14ac:dyDescent="0.3">
      <c r="A4142" s="1">
        <v>46254</v>
      </c>
      <c r="B4142" t="s">
        <v>642</v>
      </c>
      <c r="C4142" t="s">
        <v>204</v>
      </c>
      <c r="D4142" t="s">
        <v>205</v>
      </c>
      <c r="E4142" t="s">
        <v>8</v>
      </c>
      <c r="F4142" t="s">
        <v>38</v>
      </c>
      <c r="G4142" s="16">
        <v>1585.5652</v>
      </c>
      <c r="H4142" s="16">
        <v>1823.4</v>
      </c>
      <c r="I4142" s="1">
        <v>46254</v>
      </c>
      <c r="J4142">
        <v>5</v>
      </c>
      <c r="K4142" t="s">
        <v>10148</v>
      </c>
      <c r="L4142" t="s">
        <v>10817</v>
      </c>
      <c r="M4142">
        <v>1</v>
      </c>
      <c r="N4142">
        <v>5</v>
      </c>
      <c r="O4142" t="s">
        <v>223</v>
      </c>
      <c r="P4142" s="17"/>
      <c r="Q4142" s="17" t="str">
        <f>_xlfn.XLOOKUP(Table2[[#This Row],[buyFromVendorNo]],'Next Day Scheduled'!A:A,'Pending Returns'!O:O,"NOT_FOUND")</f>
        <v>NOT_FOUND</v>
      </c>
    </row>
    <row r="4143" spans="1:17" x14ac:dyDescent="0.3">
      <c r="A4143" s="1">
        <v>46254</v>
      </c>
      <c r="B4143" t="s">
        <v>1854</v>
      </c>
      <c r="C4143" t="s">
        <v>1593</v>
      </c>
      <c r="D4143" t="s">
        <v>1594</v>
      </c>
      <c r="E4143" t="s">
        <v>8</v>
      </c>
      <c r="F4143" t="s">
        <v>10</v>
      </c>
      <c r="G4143" s="16">
        <v>22</v>
      </c>
      <c r="H4143" s="16">
        <v>25.3</v>
      </c>
      <c r="I4143" s="1">
        <v>46253</v>
      </c>
      <c r="J4143">
        <v>5</v>
      </c>
      <c r="K4143" t="s">
        <v>10043</v>
      </c>
      <c r="L4143" t="s">
        <v>10800</v>
      </c>
      <c r="M4143">
        <v>1</v>
      </c>
      <c r="N4143">
        <v>2</v>
      </c>
      <c r="O4143" t="s">
        <v>1036</v>
      </c>
      <c r="P4143" s="17"/>
      <c r="Q4143" s="17" t="str">
        <f>_xlfn.XLOOKUP(Table2[[#This Row],[buyFromVendorNo]],'Next Day Scheduled'!A:A,'Pending Returns'!O:O,"NOT_FOUND")</f>
        <v>NOT_FOUND</v>
      </c>
    </row>
    <row r="4144" spans="1:17" x14ac:dyDescent="0.3">
      <c r="A4144" s="1">
        <v>46254</v>
      </c>
      <c r="B4144" t="s">
        <v>2170</v>
      </c>
      <c r="C4144" t="s">
        <v>69</v>
      </c>
      <c r="D4144" t="s">
        <v>70</v>
      </c>
      <c r="E4144" t="s">
        <v>8</v>
      </c>
      <c r="F4144" t="s">
        <v>10</v>
      </c>
      <c r="G4144" s="16">
        <v>3193.92</v>
      </c>
      <c r="H4144" s="16">
        <v>3673.0079999999998</v>
      </c>
      <c r="J4144">
        <v>5</v>
      </c>
      <c r="K4144" t="s">
        <v>10783</v>
      </c>
      <c r="M4144">
        <v>5</v>
      </c>
      <c r="N4144">
        <v>1</v>
      </c>
      <c r="O4144" t="s">
        <v>216</v>
      </c>
      <c r="P4144" s="17"/>
      <c r="Q4144" s="17" t="str">
        <f>_xlfn.XLOOKUP(Table2[[#This Row],[buyFromVendorNo]],'Next Day Scheduled'!A:A,'Pending Returns'!O:O,"NOT_FOUND")</f>
        <v>Posted Credit Note</v>
      </c>
    </row>
    <row r="4145" spans="1:17" x14ac:dyDescent="0.3">
      <c r="A4145" s="1">
        <v>46254</v>
      </c>
      <c r="B4145" t="s">
        <v>2159</v>
      </c>
      <c r="C4145" t="s">
        <v>420</v>
      </c>
      <c r="D4145" t="s">
        <v>421</v>
      </c>
      <c r="E4145" t="s">
        <v>8</v>
      </c>
      <c r="F4145" t="s">
        <v>10</v>
      </c>
      <c r="G4145" s="16">
        <v>79.916659999999993</v>
      </c>
      <c r="H4145" s="16">
        <v>91.904160000000005</v>
      </c>
      <c r="I4145" s="1">
        <v>46254</v>
      </c>
      <c r="J4145">
        <v>5</v>
      </c>
      <c r="K4145" t="s">
        <v>9984</v>
      </c>
      <c r="L4145" t="s">
        <v>10715</v>
      </c>
      <c r="M4145">
        <v>1</v>
      </c>
      <c r="N4145">
        <v>3</v>
      </c>
      <c r="O4145" t="s">
        <v>223</v>
      </c>
      <c r="P4145" s="17"/>
      <c r="Q4145" s="17" t="str">
        <f>_xlfn.XLOOKUP(Table2[[#This Row],[buyFromVendorNo]],'Next Day Scheduled'!A:A,'Pending Returns'!O:O,"NOT_FOUND")</f>
        <v>NOT_FOUND</v>
      </c>
    </row>
    <row r="4146" spans="1:17" x14ac:dyDescent="0.3">
      <c r="A4146" s="1">
        <v>46254</v>
      </c>
      <c r="B4146" t="s">
        <v>642</v>
      </c>
      <c r="C4146" t="s">
        <v>582</v>
      </c>
      <c r="D4146" t="s">
        <v>583</v>
      </c>
      <c r="E4146" t="s">
        <v>8</v>
      </c>
      <c r="F4146" t="s">
        <v>38</v>
      </c>
      <c r="G4146" s="16">
        <v>744.8</v>
      </c>
      <c r="H4146" s="16">
        <v>856.52</v>
      </c>
      <c r="I4146" s="1">
        <v>46231</v>
      </c>
      <c r="J4146">
        <v>5</v>
      </c>
      <c r="K4146" t="s">
        <v>8436</v>
      </c>
      <c r="L4146" t="s">
        <v>10765</v>
      </c>
      <c r="M4146">
        <v>0</v>
      </c>
      <c r="N4146">
        <v>6</v>
      </c>
      <c r="O4146" t="s">
        <v>1036</v>
      </c>
      <c r="P4146" s="17"/>
      <c r="Q4146" s="17" t="str">
        <f>_xlfn.XLOOKUP(Table2[[#This Row],[buyFromVendorNo]],'Next Day Scheduled'!A:A,'Pending Returns'!O:O,"NOT_FOUND")</f>
        <v>NOT_FOUND</v>
      </c>
    </row>
    <row r="4147" spans="1:17" x14ac:dyDescent="0.3">
      <c r="A4147" s="1">
        <v>46254</v>
      </c>
      <c r="B4147" t="s">
        <v>2984</v>
      </c>
      <c r="C4147" t="s">
        <v>141</v>
      </c>
      <c r="D4147" t="s">
        <v>142</v>
      </c>
      <c r="E4147" t="s">
        <v>8</v>
      </c>
      <c r="F4147" t="s">
        <v>10</v>
      </c>
      <c r="G4147" s="16">
        <v>54.05</v>
      </c>
      <c r="H4147" s="16">
        <v>62.157499999999999</v>
      </c>
      <c r="J4147">
        <v>5</v>
      </c>
      <c r="K4147" t="s">
        <v>10820</v>
      </c>
      <c r="M4147">
        <v>0</v>
      </c>
      <c r="N4147">
        <v>6</v>
      </c>
      <c r="O4147" t="s">
        <v>216</v>
      </c>
      <c r="P4147" s="17"/>
      <c r="Q4147" s="17" t="str">
        <f>_xlfn.XLOOKUP(Table2[[#This Row],[buyFromVendorNo]],'Next Day Scheduled'!A:A,'Pending Returns'!O:O,"NOT_FOUND")</f>
        <v>NOT_FOUND</v>
      </c>
    </row>
    <row r="4148" spans="1:17" x14ac:dyDescent="0.3">
      <c r="A4148" s="1">
        <v>46254</v>
      </c>
      <c r="B4148" t="s">
        <v>2649</v>
      </c>
      <c r="C4148" t="s">
        <v>420</v>
      </c>
      <c r="D4148" t="s">
        <v>421</v>
      </c>
      <c r="E4148" t="s">
        <v>8</v>
      </c>
      <c r="F4148" t="s">
        <v>10</v>
      </c>
      <c r="G4148" s="16">
        <v>228.97583</v>
      </c>
      <c r="H4148" s="16">
        <v>263.32220000000001</v>
      </c>
      <c r="I4148" s="1">
        <v>46254</v>
      </c>
      <c r="J4148">
        <v>5</v>
      </c>
      <c r="K4148" t="s">
        <v>10548</v>
      </c>
      <c r="L4148" t="s">
        <v>10717</v>
      </c>
      <c r="M4148">
        <v>1</v>
      </c>
      <c r="N4148">
        <v>3</v>
      </c>
      <c r="O4148" t="s">
        <v>223</v>
      </c>
      <c r="P4148" s="17"/>
      <c r="Q4148" s="17" t="str">
        <f>_xlfn.XLOOKUP(Table2[[#This Row],[buyFromVendorNo]],'Next Day Scheduled'!A:A,'Pending Returns'!O:O,"NOT_FOUND")</f>
        <v>NOT_FOUND</v>
      </c>
    </row>
    <row r="4149" spans="1:17" x14ac:dyDescent="0.3">
      <c r="A4149" s="1">
        <v>46254</v>
      </c>
      <c r="B4149" t="s">
        <v>2903</v>
      </c>
      <c r="C4149" t="s">
        <v>141</v>
      </c>
      <c r="D4149" t="s">
        <v>142</v>
      </c>
      <c r="E4149" t="s">
        <v>8</v>
      </c>
      <c r="F4149" t="s">
        <v>10</v>
      </c>
      <c r="G4149" s="16">
        <v>197.28</v>
      </c>
      <c r="H4149" s="16">
        <v>226.87200000000001</v>
      </c>
      <c r="I4149" s="1">
        <v>46254</v>
      </c>
      <c r="J4149">
        <v>5</v>
      </c>
      <c r="K4149" t="s">
        <v>10718</v>
      </c>
      <c r="L4149" t="s">
        <v>10719</v>
      </c>
      <c r="M4149">
        <v>0</v>
      </c>
      <c r="N4149">
        <v>6</v>
      </c>
      <c r="O4149" t="s">
        <v>223</v>
      </c>
      <c r="P4149" s="17"/>
      <c r="Q4149" s="17" t="str">
        <f>_xlfn.XLOOKUP(Table2[[#This Row],[buyFromVendorNo]],'Next Day Scheduled'!A:A,'Pending Returns'!O:O,"NOT_FOUND")</f>
        <v>NOT_FOUND</v>
      </c>
    </row>
    <row r="4150" spans="1:17" x14ac:dyDescent="0.3">
      <c r="A4150" s="1">
        <v>46254</v>
      </c>
      <c r="B4150" t="s">
        <v>642</v>
      </c>
      <c r="C4150" t="s">
        <v>75</v>
      </c>
      <c r="D4150" t="s">
        <v>76</v>
      </c>
      <c r="E4150" t="s">
        <v>8</v>
      </c>
      <c r="F4150" t="s">
        <v>38</v>
      </c>
      <c r="G4150" s="16">
        <v>1604.1668999999999</v>
      </c>
      <c r="H4150" s="16">
        <v>1844.7919999999999</v>
      </c>
      <c r="I4150" s="1">
        <v>46244</v>
      </c>
      <c r="J4150">
        <v>5</v>
      </c>
      <c r="K4150" t="s">
        <v>9614</v>
      </c>
      <c r="L4150" t="s">
        <v>10704</v>
      </c>
      <c r="M4150">
        <v>1</v>
      </c>
      <c r="N4150">
        <v>5</v>
      </c>
      <c r="O4150" t="s">
        <v>1036</v>
      </c>
      <c r="P4150" s="17"/>
      <c r="Q4150" s="17" t="str">
        <f>_xlfn.XLOOKUP(Table2[[#This Row],[buyFromVendorNo]],'Next Day Scheduled'!A:A,'Pending Returns'!O:O,"NOT_FOUND")</f>
        <v>Posted Credit Note</v>
      </c>
    </row>
    <row r="4151" spans="1:17" x14ac:dyDescent="0.3">
      <c r="A4151" s="1">
        <v>46254</v>
      </c>
      <c r="B4151" t="s">
        <v>642</v>
      </c>
      <c r="C4151" t="s">
        <v>204</v>
      </c>
      <c r="D4151" t="s">
        <v>205</v>
      </c>
      <c r="E4151" t="s">
        <v>8</v>
      </c>
      <c r="F4151" t="s">
        <v>38</v>
      </c>
      <c r="G4151" s="16">
        <v>657.70780000000002</v>
      </c>
      <c r="H4151" s="16">
        <v>756.36400000000003</v>
      </c>
      <c r="I4151" s="1">
        <v>46254</v>
      </c>
      <c r="J4151">
        <v>5</v>
      </c>
      <c r="K4151" t="s">
        <v>10805</v>
      </c>
      <c r="L4151" t="s">
        <v>10806</v>
      </c>
      <c r="M4151">
        <v>1</v>
      </c>
      <c r="N4151">
        <v>5</v>
      </c>
      <c r="O4151" t="s">
        <v>223</v>
      </c>
      <c r="P4151" s="17"/>
      <c r="Q4151" s="17" t="str">
        <f>_xlfn.XLOOKUP(Table2[[#This Row],[buyFromVendorNo]],'Next Day Scheduled'!A:A,'Pending Returns'!O:O,"NOT_FOUND")</f>
        <v>NOT_FOUND</v>
      </c>
    </row>
    <row r="4152" spans="1:17" x14ac:dyDescent="0.3">
      <c r="A4152" s="1">
        <v>46254</v>
      </c>
      <c r="B4152" t="s">
        <v>3418</v>
      </c>
      <c r="C4152" t="s">
        <v>173</v>
      </c>
      <c r="D4152" t="s">
        <v>174</v>
      </c>
      <c r="E4152" t="s">
        <v>8</v>
      </c>
      <c r="F4152" t="s">
        <v>10</v>
      </c>
      <c r="G4152" s="16">
        <v>1655.9</v>
      </c>
      <c r="H4152" s="16">
        <v>1904.2850000000001</v>
      </c>
      <c r="J4152">
        <v>5</v>
      </c>
      <c r="K4152" t="s">
        <v>10769</v>
      </c>
      <c r="M4152">
        <v>2</v>
      </c>
      <c r="N4152">
        <v>1</v>
      </c>
      <c r="O4152" t="s">
        <v>216</v>
      </c>
      <c r="P4152" s="17"/>
      <c r="Q4152" s="17" t="str">
        <f>_xlfn.XLOOKUP(Table2[[#This Row],[buyFromVendorNo]],'Next Day Scheduled'!A:A,'Pending Returns'!O:O,"NOT_FOUND")</f>
        <v>NOT_FOUND</v>
      </c>
    </row>
    <row r="4153" spans="1:17" x14ac:dyDescent="0.3">
      <c r="A4153" s="1">
        <v>46254</v>
      </c>
      <c r="B4153" t="s">
        <v>642</v>
      </c>
      <c r="C4153" t="s">
        <v>10114</v>
      </c>
      <c r="D4153" t="s">
        <v>10115</v>
      </c>
      <c r="E4153" t="s">
        <v>8</v>
      </c>
      <c r="F4153" t="s">
        <v>38</v>
      </c>
      <c r="G4153" s="16">
        <v>28.56522</v>
      </c>
      <c r="H4153" s="16">
        <v>32.85</v>
      </c>
      <c r="J4153">
        <v>5</v>
      </c>
      <c r="K4153" t="s">
        <v>10772</v>
      </c>
      <c r="M4153">
        <v>0</v>
      </c>
      <c r="N4153">
        <v>80</v>
      </c>
      <c r="O4153" t="s">
        <v>216</v>
      </c>
      <c r="P4153" s="17"/>
      <c r="Q4153" s="17" t="str">
        <f>_xlfn.XLOOKUP(Table2[[#This Row],[buyFromVendorNo]],'Next Day Scheduled'!A:A,'Pending Returns'!O:O,"NOT_FOUND")</f>
        <v>NOT_FOUND</v>
      </c>
    </row>
    <row r="4154" spans="1:17" x14ac:dyDescent="0.3">
      <c r="A4154" s="1">
        <v>46254</v>
      </c>
      <c r="B4154" t="s">
        <v>642</v>
      </c>
      <c r="C4154" t="s">
        <v>126</v>
      </c>
      <c r="D4154" t="s">
        <v>127</v>
      </c>
      <c r="E4154" t="s">
        <v>8</v>
      </c>
      <c r="F4154" t="s">
        <v>38</v>
      </c>
      <c r="G4154" s="16">
        <v>101.67</v>
      </c>
      <c r="H4154" s="16">
        <v>116.9205</v>
      </c>
      <c r="J4154">
        <v>5</v>
      </c>
      <c r="K4154" t="s">
        <v>10809</v>
      </c>
      <c r="M4154">
        <v>0</v>
      </c>
      <c r="N4154">
        <v>12</v>
      </c>
      <c r="O4154" t="s">
        <v>216</v>
      </c>
      <c r="P4154" s="17"/>
      <c r="Q4154" s="17" t="str">
        <f>_xlfn.XLOOKUP(Table2[[#This Row],[buyFromVendorNo]],'Next Day Scheduled'!A:A,'Pending Returns'!O:O,"NOT_FOUND")</f>
        <v>NOT_FOUND</v>
      </c>
    </row>
    <row r="4155" spans="1:17" x14ac:dyDescent="0.3">
      <c r="A4155" s="1">
        <v>46254</v>
      </c>
      <c r="B4155" t="s">
        <v>4454</v>
      </c>
      <c r="C4155" t="s">
        <v>880</v>
      </c>
      <c r="D4155" t="s">
        <v>881</v>
      </c>
      <c r="E4155" t="s">
        <v>8</v>
      </c>
      <c r="F4155" t="s">
        <v>10</v>
      </c>
      <c r="G4155" s="16">
        <v>79.099999999999994</v>
      </c>
      <c r="H4155" s="16">
        <v>90.965000000000003</v>
      </c>
      <c r="I4155" s="1">
        <v>46254</v>
      </c>
      <c r="J4155">
        <v>5</v>
      </c>
      <c r="K4155" t="s">
        <v>10532</v>
      </c>
      <c r="L4155" t="s">
        <v>10710</v>
      </c>
      <c r="M4155">
        <v>0</v>
      </c>
      <c r="N4155">
        <v>13</v>
      </c>
      <c r="O4155" t="s">
        <v>1036</v>
      </c>
      <c r="P4155" s="17"/>
      <c r="Q4155" s="17" t="str">
        <f>_xlfn.XLOOKUP(Table2[[#This Row],[buyFromVendorNo]],'Next Day Scheduled'!A:A,'Pending Returns'!O:O,"NOT_FOUND")</f>
        <v>NOT_FOUND</v>
      </c>
    </row>
    <row r="4156" spans="1:17" x14ac:dyDescent="0.3">
      <c r="A4156" s="1">
        <v>46254</v>
      </c>
      <c r="B4156" t="s">
        <v>642</v>
      </c>
      <c r="C4156" t="s">
        <v>75</v>
      </c>
      <c r="D4156" t="s">
        <v>76</v>
      </c>
      <c r="E4156" t="s">
        <v>8</v>
      </c>
      <c r="F4156" t="s">
        <v>38</v>
      </c>
      <c r="G4156" s="16">
        <v>1298.6113</v>
      </c>
      <c r="H4156" s="16">
        <v>1493.403</v>
      </c>
      <c r="I4156" s="1">
        <v>46244</v>
      </c>
      <c r="J4156">
        <v>5</v>
      </c>
      <c r="K4156" t="s">
        <v>9652</v>
      </c>
      <c r="L4156" t="s">
        <v>10711</v>
      </c>
      <c r="M4156">
        <v>1</v>
      </c>
      <c r="N4156">
        <v>5</v>
      </c>
      <c r="O4156" t="s">
        <v>1036</v>
      </c>
      <c r="P4156" s="17"/>
      <c r="Q4156" s="17" t="str">
        <f>_xlfn.XLOOKUP(Table2[[#This Row],[buyFromVendorNo]],'Next Day Scheduled'!A:A,'Pending Returns'!O:O,"NOT_FOUND")</f>
        <v>Posted Credit Note</v>
      </c>
    </row>
    <row r="4157" spans="1:17" x14ac:dyDescent="0.3">
      <c r="A4157" s="1">
        <v>46254</v>
      </c>
      <c r="B4157" t="s">
        <v>1442</v>
      </c>
      <c r="C4157" t="s">
        <v>53</v>
      </c>
      <c r="D4157" t="s">
        <v>54</v>
      </c>
      <c r="E4157" t="s">
        <v>8</v>
      </c>
      <c r="F4157" t="s">
        <v>10</v>
      </c>
      <c r="G4157" s="16">
        <v>116.75</v>
      </c>
      <c r="H4157" s="16">
        <v>134.26249999999999</v>
      </c>
      <c r="J4157">
        <v>5</v>
      </c>
      <c r="K4157" t="s">
        <v>10775</v>
      </c>
      <c r="M4157">
        <v>4</v>
      </c>
      <c r="N4157">
        <v>1</v>
      </c>
      <c r="O4157" t="s">
        <v>216</v>
      </c>
      <c r="P4157" s="17"/>
      <c r="Q4157" s="17" t="str">
        <f>_xlfn.XLOOKUP(Table2[[#This Row],[buyFromVendorNo]],'Next Day Scheduled'!A:A,'Pending Returns'!O:O,"NOT_FOUND")</f>
        <v>Posted Credit Note</v>
      </c>
    </row>
    <row r="4158" spans="1:17" x14ac:dyDescent="0.3">
      <c r="A4158" s="1">
        <v>46254</v>
      </c>
      <c r="B4158" t="s">
        <v>3060</v>
      </c>
      <c r="C4158" t="s">
        <v>156</v>
      </c>
      <c r="D4158" t="s">
        <v>157</v>
      </c>
      <c r="E4158" t="s">
        <v>8</v>
      </c>
      <c r="F4158" t="s">
        <v>10</v>
      </c>
      <c r="G4158" s="16">
        <v>864.94500000000005</v>
      </c>
      <c r="H4158" s="16">
        <v>994.68677000000002</v>
      </c>
      <c r="J4158">
        <v>5</v>
      </c>
      <c r="K4158" t="s">
        <v>10776</v>
      </c>
      <c r="M4158">
        <v>0</v>
      </c>
      <c r="N4158">
        <v>12</v>
      </c>
      <c r="O4158" t="s">
        <v>216</v>
      </c>
      <c r="P4158" s="17"/>
      <c r="Q4158" s="17" t="str">
        <f>_xlfn.XLOOKUP(Table2[[#This Row],[buyFromVendorNo]],'Next Day Scheduled'!A:A,'Pending Returns'!O:O,"NOT_FOUND")</f>
        <v>NOT_FOUND</v>
      </c>
    </row>
    <row r="4159" spans="1:17" x14ac:dyDescent="0.3">
      <c r="A4159" s="1">
        <v>46254</v>
      </c>
      <c r="B4159" t="s">
        <v>642</v>
      </c>
      <c r="C4159" t="s">
        <v>63</v>
      </c>
      <c r="D4159" t="s">
        <v>64</v>
      </c>
      <c r="E4159" t="s">
        <v>8</v>
      </c>
      <c r="F4159" t="s">
        <v>38</v>
      </c>
      <c r="G4159" s="16">
        <v>223.51300000000001</v>
      </c>
      <c r="H4159" s="16">
        <v>257.03994999999998</v>
      </c>
      <c r="J4159">
        <v>5</v>
      </c>
      <c r="K4159" t="s">
        <v>10777</v>
      </c>
      <c r="M4159">
        <v>1</v>
      </c>
      <c r="N4159">
        <v>3</v>
      </c>
      <c r="O4159" t="s">
        <v>216</v>
      </c>
      <c r="P4159" s="17"/>
      <c r="Q4159" s="17" t="str">
        <f>_xlfn.XLOOKUP(Table2[[#This Row],[buyFromVendorNo]],'Next Day Scheduled'!A:A,'Pending Returns'!O:O,"NOT_FOUND")</f>
        <v>NOT_FOUND</v>
      </c>
    </row>
    <row r="4160" spans="1:17" x14ac:dyDescent="0.3">
      <c r="A4160" s="1">
        <v>46254</v>
      </c>
      <c r="B4160" t="s">
        <v>642</v>
      </c>
      <c r="C4160" t="s">
        <v>8711</v>
      </c>
      <c r="D4160" t="s">
        <v>8712</v>
      </c>
      <c r="E4160" t="s">
        <v>8</v>
      </c>
      <c r="F4160" t="s">
        <v>38</v>
      </c>
      <c r="G4160" s="16">
        <v>165</v>
      </c>
      <c r="H4160" s="16">
        <v>189.75</v>
      </c>
      <c r="I4160" s="1">
        <v>46254</v>
      </c>
      <c r="J4160">
        <v>5</v>
      </c>
      <c r="K4160" t="s">
        <v>9702</v>
      </c>
      <c r="L4160" t="s">
        <v>10778</v>
      </c>
      <c r="M4160">
        <v>1</v>
      </c>
      <c r="N4160">
        <v>5</v>
      </c>
      <c r="O4160" t="s">
        <v>223</v>
      </c>
      <c r="P4160" s="17"/>
      <c r="Q4160" s="17" t="str">
        <f>_xlfn.XLOOKUP(Table2[[#This Row],[buyFromVendorNo]],'Next Day Scheduled'!A:A,'Pending Returns'!O:O,"NOT_FOUND")</f>
        <v>NOT_FOUND</v>
      </c>
    </row>
    <row r="4161" spans="1:17" x14ac:dyDescent="0.3">
      <c r="A4161" s="1">
        <v>46254</v>
      </c>
      <c r="B4161" t="s">
        <v>2085</v>
      </c>
      <c r="C4161" t="s">
        <v>837</v>
      </c>
      <c r="D4161" t="s">
        <v>838</v>
      </c>
      <c r="E4161" t="s">
        <v>8</v>
      </c>
      <c r="F4161" t="s">
        <v>10</v>
      </c>
      <c r="G4161" s="16">
        <v>28.33334</v>
      </c>
      <c r="H4161" s="16">
        <v>32.58334</v>
      </c>
      <c r="I4161" s="1">
        <v>46254</v>
      </c>
      <c r="J4161">
        <v>5</v>
      </c>
      <c r="K4161" t="s">
        <v>9646</v>
      </c>
      <c r="L4161" t="s">
        <v>10814</v>
      </c>
      <c r="M4161">
        <v>1</v>
      </c>
      <c r="N4161">
        <v>2</v>
      </c>
      <c r="O4161" t="s">
        <v>1036</v>
      </c>
      <c r="P4161" s="17"/>
      <c r="Q4161" s="17" t="str">
        <f>_xlfn.XLOOKUP(Table2[[#This Row],[buyFromVendorNo]],'Next Day Scheduled'!A:A,'Pending Returns'!O:O,"NOT_FOUND")</f>
        <v>NOT_FOUND</v>
      </c>
    </row>
    <row r="4162" spans="1:17" x14ac:dyDescent="0.3">
      <c r="A4162" s="1">
        <v>46254</v>
      </c>
      <c r="B4162" t="s">
        <v>642</v>
      </c>
      <c r="C4162" t="s">
        <v>60</v>
      </c>
      <c r="D4162" t="s">
        <v>61</v>
      </c>
      <c r="E4162" t="s">
        <v>8</v>
      </c>
      <c r="F4162" t="s">
        <v>38</v>
      </c>
      <c r="G4162" s="16">
        <v>220.09</v>
      </c>
      <c r="H4162" s="16">
        <v>253.1035</v>
      </c>
      <c r="J4162">
        <v>5</v>
      </c>
      <c r="K4162" t="s">
        <v>10779</v>
      </c>
      <c r="M4162">
        <v>0</v>
      </c>
      <c r="N4162">
        <v>7</v>
      </c>
      <c r="O4162" t="s">
        <v>216</v>
      </c>
      <c r="P4162" s="17"/>
      <c r="Q4162" s="17" t="str">
        <f>_xlfn.XLOOKUP(Table2[[#This Row],[buyFromVendorNo]],'Next Day Scheduled'!A:A,'Pending Returns'!O:O,"NOT_FOUND")</f>
        <v>NOT_FOUND</v>
      </c>
    </row>
    <row r="4163" spans="1:17" x14ac:dyDescent="0.3">
      <c r="A4163" s="1">
        <v>46254</v>
      </c>
      <c r="B4163" t="s">
        <v>5474</v>
      </c>
      <c r="C4163" t="s">
        <v>116</v>
      </c>
      <c r="D4163" t="s">
        <v>117</v>
      </c>
      <c r="E4163" t="s">
        <v>8</v>
      </c>
      <c r="F4163" t="s">
        <v>10</v>
      </c>
      <c r="G4163" s="16">
        <v>236.541</v>
      </c>
      <c r="H4163" s="16">
        <v>272.02215999999999</v>
      </c>
      <c r="I4163" s="1">
        <v>46254</v>
      </c>
      <c r="J4163">
        <v>5</v>
      </c>
      <c r="K4163" t="s">
        <v>10522</v>
      </c>
      <c r="L4163" t="s">
        <v>10706</v>
      </c>
      <c r="M4163">
        <v>1</v>
      </c>
      <c r="N4163">
        <v>2</v>
      </c>
      <c r="O4163" t="s">
        <v>223</v>
      </c>
      <c r="P4163" s="17"/>
      <c r="Q4163" s="17" t="str">
        <f>_xlfn.XLOOKUP(Table2[[#This Row],[buyFromVendorNo]],'Next Day Scheduled'!A:A,'Pending Returns'!O:O,"NOT_FOUND")</f>
        <v>NOT_FOUND</v>
      </c>
    </row>
    <row r="4164" spans="1:17" x14ac:dyDescent="0.3">
      <c r="A4164" s="1">
        <v>46254</v>
      </c>
      <c r="B4164" t="s">
        <v>1686</v>
      </c>
      <c r="C4164" t="s">
        <v>531</v>
      </c>
      <c r="D4164" t="s">
        <v>532</v>
      </c>
      <c r="E4164" t="s">
        <v>8</v>
      </c>
      <c r="F4164" t="s">
        <v>10</v>
      </c>
      <c r="G4164" s="16">
        <v>10</v>
      </c>
      <c r="H4164" s="16">
        <v>11.5</v>
      </c>
      <c r="J4164">
        <v>5</v>
      </c>
      <c r="K4164" t="s">
        <v>10755</v>
      </c>
      <c r="M4164">
        <v>0</v>
      </c>
      <c r="N4164">
        <v>15</v>
      </c>
      <c r="O4164" t="s">
        <v>216</v>
      </c>
      <c r="P4164" s="17"/>
      <c r="Q4164" s="17" t="str">
        <f>_xlfn.XLOOKUP(Table2[[#This Row],[buyFromVendorNo]],'Next Day Scheduled'!A:A,'Pending Returns'!O:O,"NOT_FOUND")</f>
        <v>NOT_FOUND</v>
      </c>
    </row>
    <row r="4165" spans="1:17" x14ac:dyDescent="0.3">
      <c r="A4165" s="1">
        <v>46254</v>
      </c>
      <c r="B4165" t="s">
        <v>488</v>
      </c>
      <c r="C4165" t="s">
        <v>39</v>
      </c>
      <c r="D4165" t="s">
        <v>40</v>
      </c>
      <c r="E4165" t="s">
        <v>8</v>
      </c>
      <c r="F4165" t="s">
        <v>10</v>
      </c>
      <c r="G4165" s="16">
        <v>1951.3378</v>
      </c>
      <c r="H4165" s="16">
        <v>2244.0383000000002</v>
      </c>
      <c r="J4165">
        <v>5</v>
      </c>
      <c r="K4165" t="s">
        <v>10819</v>
      </c>
      <c r="M4165">
        <v>2</v>
      </c>
      <c r="N4165">
        <v>1</v>
      </c>
      <c r="O4165" t="s">
        <v>216</v>
      </c>
      <c r="P4165" s="17"/>
      <c r="Q4165" s="17" t="str">
        <f>_xlfn.XLOOKUP(Table2[[#This Row],[buyFromVendorNo]],'Next Day Scheduled'!A:A,'Pending Returns'!O:O,"NOT_FOUND")</f>
        <v>Posted Credit Note</v>
      </c>
    </row>
    <row r="4166" spans="1:17" x14ac:dyDescent="0.3">
      <c r="A4166" s="1">
        <v>46254</v>
      </c>
      <c r="B4166" t="s">
        <v>3253</v>
      </c>
      <c r="C4166" t="s">
        <v>635</v>
      </c>
      <c r="D4166" t="s">
        <v>636</v>
      </c>
      <c r="E4166" t="s">
        <v>8</v>
      </c>
      <c r="F4166" t="s">
        <v>10</v>
      </c>
      <c r="G4166" s="16">
        <v>1.5</v>
      </c>
      <c r="H4166" s="16">
        <v>1.7250000000000001</v>
      </c>
      <c r="J4166">
        <v>5</v>
      </c>
      <c r="K4166" t="s">
        <v>10757</v>
      </c>
      <c r="M4166">
        <v>1</v>
      </c>
      <c r="N4166">
        <v>2</v>
      </c>
      <c r="O4166" t="s">
        <v>216</v>
      </c>
      <c r="P4166" s="17"/>
      <c r="Q4166" s="17" t="str">
        <f>_xlfn.XLOOKUP(Table2[[#This Row],[buyFromVendorNo]],'Next Day Scheduled'!A:A,'Pending Returns'!O:O,"NOT_FOUND")</f>
        <v>NOT_FOUND</v>
      </c>
    </row>
    <row r="4167" spans="1:17" x14ac:dyDescent="0.3">
      <c r="A4167" s="1">
        <v>46254</v>
      </c>
      <c r="B4167" t="s">
        <v>2211</v>
      </c>
      <c r="C4167" t="s">
        <v>116</v>
      </c>
      <c r="D4167" t="s">
        <v>117</v>
      </c>
      <c r="E4167" t="s">
        <v>8</v>
      </c>
      <c r="F4167" t="s">
        <v>10</v>
      </c>
      <c r="G4167" s="16">
        <v>2287.2979999999998</v>
      </c>
      <c r="H4167" s="16">
        <v>2630.3926000000001</v>
      </c>
      <c r="I4167" s="1">
        <v>46254</v>
      </c>
      <c r="J4167">
        <v>5</v>
      </c>
      <c r="K4167" t="s">
        <v>8668</v>
      </c>
      <c r="L4167" t="s">
        <v>10707</v>
      </c>
      <c r="M4167">
        <v>1</v>
      </c>
      <c r="N4167">
        <v>2</v>
      </c>
      <c r="O4167" t="s">
        <v>223</v>
      </c>
      <c r="P4167" s="17"/>
      <c r="Q4167" s="17" t="str">
        <f>_xlfn.XLOOKUP(Table2[[#This Row],[buyFromVendorNo]],'Next Day Scheduled'!A:A,'Pending Returns'!O:O,"NOT_FOUND")</f>
        <v>NOT_FOUND</v>
      </c>
    </row>
    <row r="4168" spans="1:17" x14ac:dyDescent="0.3">
      <c r="A4168" s="1">
        <v>46254</v>
      </c>
      <c r="B4168" t="s">
        <v>8230</v>
      </c>
      <c r="C4168" t="s">
        <v>1407</v>
      </c>
      <c r="D4168" t="s">
        <v>2306</v>
      </c>
      <c r="E4168" t="s">
        <v>8</v>
      </c>
      <c r="F4168" t="s">
        <v>10</v>
      </c>
      <c r="G4168" s="16">
        <v>60</v>
      </c>
      <c r="H4168" s="16">
        <v>69</v>
      </c>
      <c r="I4168" s="1">
        <v>46254</v>
      </c>
      <c r="J4168">
        <v>5</v>
      </c>
      <c r="K4168" t="s">
        <v>10598</v>
      </c>
      <c r="L4168" t="s">
        <v>10782</v>
      </c>
      <c r="M4168">
        <v>0</v>
      </c>
      <c r="N4168">
        <v>16</v>
      </c>
      <c r="O4168" t="s">
        <v>1036</v>
      </c>
      <c r="P4168" s="17"/>
      <c r="Q4168" s="17" t="str">
        <f>_xlfn.XLOOKUP(Table2[[#This Row],[buyFromVendorNo]],'Next Day Scheduled'!A:A,'Pending Returns'!O:O,"NOT_FOUND")</f>
        <v>NOT_FOUND</v>
      </c>
    </row>
    <row r="4169" spans="1:17" x14ac:dyDescent="0.3">
      <c r="A4169" s="1">
        <v>46254</v>
      </c>
      <c r="B4169" t="s">
        <v>3559</v>
      </c>
      <c r="C4169" t="s">
        <v>943</v>
      </c>
      <c r="D4169" t="s">
        <v>944</v>
      </c>
      <c r="E4169" t="s">
        <v>8</v>
      </c>
      <c r="F4169" t="s">
        <v>10</v>
      </c>
      <c r="G4169" s="16">
        <v>64.778599999999997</v>
      </c>
      <c r="H4169" s="16">
        <v>74.49539</v>
      </c>
      <c r="I4169" s="1">
        <v>46254</v>
      </c>
      <c r="J4169">
        <v>5</v>
      </c>
      <c r="K4169" t="s">
        <v>9997</v>
      </c>
      <c r="L4169" t="s">
        <v>10714</v>
      </c>
      <c r="M4169">
        <v>0</v>
      </c>
      <c r="N4169">
        <v>23</v>
      </c>
      <c r="O4169" t="s">
        <v>223</v>
      </c>
      <c r="P4169" s="17"/>
      <c r="Q4169" s="17" t="str">
        <f>_xlfn.XLOOKUP(Table2[[#This Row],[buyFromVendorNo]],'Next Day Scheduled'!A:A,'Pending Returns'!O:O,"NOT_FOUND")</f>
        <v>NOT_FOUND</v>
      </c>
    </row>
    <row r="4170" spans="1:17" x14ac:dyDescent="0.3">
      <c r="A4170" s="1">
        <v>46254</v>
      </c>
      <c r="B4170" t="s">
        <v>7236</v>
      </c>
      <c r="C4170" t="s">
        <v>2390</v>
      </c>
      <c r="D4170" t="s">
        <v>2391</v>
      </c>
      <c r="E4170" t="s">
        <v>8</v>
      </c>
      <c r="F4170" t="s">
        <v>10</v>
      </c>
      <c r="G4170" s="16">
        <v>39.119999999999997</v>
      </c>
      <c r="H4170" s="16">
        <v>44.988</v>
      </c>
      <c r="I4170" s="1">
        <v>46238</v>
      </c>
      <c r="J4170">
        <v>5</v>
      </c>
      <c r="K4170" t="s">
        <v>8387</v>
      </c>
      <c r="L4170" t="s">
        <v>10818</v>
      </c>
      <c r="M4170">
        <v>1</v>
      </c>
      <c r="N4170">
        <v>1</v>
      </c>
      <c r="O4170" t="s">
        <v>1036</v>
      </c>
      <c r="P4170" s="17"/>
      <c r="Q4170" s="17" t="str">
        <f>_xlfn.XLOOKUP(Table2[[#This Row],[buyFromVendorNo]],'Next Day Scheduled'!A:A,'Pending Returns'!O:O,"NOT_FOUND")</f>
        <v>NOT_FOUND</v>
      </c>
    </row>
    <row r="4171" spans="1:17" x14ac:dyDescent="0.3">
      <c r="A4171" s="1">
        <v>46254</v>
      </c>
      <c r="B4171" t="s">
        <v>2102</v>
      </c>
      <c r="C4171" t="s">
        <v>7645</v>
      </c>
      <c r="D4171" t="s">
        <v>7646</v>
      </c>
      <c r="E4171" t="s">
        <v>8</v>
      </c>
      <c r="F4171" t="s">
        <v>10</v>
      </c>
      <c r="G4171" s="16">
        <v>3258.7624999999998</v>
      </c>
      <c r="H4171" s="16">
        <v>3747.5770000000002</v>
      </c>
      <c r="J4171">
        <v>5</v>
      </c>
      <c r="K4171" t="s">
        <v>10802</v>
      </c>
      <c r="M4171">
        <v>1</v>
      </c>
      <c r="N4171">
        <v>3</v>
      </c>
      <c r="O4171" t="s">
        <v>216</v>
      </c>
      <c r="P4171" s="17"/>
      <c r="Q4171" s="17" t="str">
        <f>_xlfn.XLOOKUP(Table2[[#This Row],[buyFromVendorNo]],'Next Day Scheduled'!A:A,'Pending Returns'!O:O,"NOT_FOUND")</f>
        <v>NOT_FOUND</v>
      </c>
    </row>
    <row r="4172" spans="1:17" x14ac:dyDescent="0.3">
      <c r="A4172" s="1">
        <v>46254</v>
      </c>
      <c r="B4172" t="s">
        <v>2580</v>
      </c>
      <c r="C4172" t="s">
        <v>69</v>
      </c>
      <c r="D4172" t="s">
        <v>70</v>
      </c>
      <c r="E4172" t="s">
        <v>8</v>
      </c>
      <c r="F4172" t="s">
        <v>10</v>
      </c>
      <c r="G4172" s="16">
        <v>3184.69</v>
      </c>
      <c r="H4172" s="16">
        <v>3662.3935999999999</v>
      </c>
      <c r="J4172">
        <v>5</v>
      </c>
      <c r="K4172" t="s">
        <v>10763</v>
      </c>
      <c r="M4172">
        <v>5</v>
      </c>
      <c r="N4172">
        <v>1</v>
      </c>
      <c r="O4172" t="s">
        <v>216</v>
      </c>
      <c r="P4172" s="17"/>
      <c r="Q4172" s="17" t="str">
        <f>_xlfn.XLOOKUP(Table2[[#This Row],[buyFromVendorNo]],'Next Day Scheduled'!A:A,'Pending Returns'!O:O,"NOT_FOUND")</f>
        <v>Posted Credit Note</v>
      </c>
    </row>
    <row r="4173" spans="1:17" x14ac:dyDescent="0.3">
      <c r="A4173" s="1">
        <v>46254</v>
      </c>
      <c r="B4173" t="s">
        <v>2623</v>
      </c>
      <c r="C4173" t="s">
        <v>116</v>
      </c>
      <c r="D4173" t="s">
        <v>117</v>
      </c>
      <c r="E4173" t="s">
        <v>8</v>
      </c>
      <c r="F4173" t="s">
        <v>10</v>
      </c>
      <c r="G4173" s="16">
        <v>897.44399999999996</v>
      </c>
      <c r="H4173" s="16">
        <v>1032.0605</v>
      </c>
      <c r="I4173" s="1">
        <v>46254</v>
      </c>
      <c r="J4173">
        <v>5</v>
      </c>
      <c r="K4173" t="s">
        <v>9119</v>
      </c>
      <c r="L4173" t="s">
        <v>10716</v>
      </c>
      <c r="M4173">
        <v>1</v>
      </c>
      <c r="N4173">
        <v>2</v>
      </c>
      <c r="O4173" t="s">
        <v>223</v>
      </c>
      <c r="P4173" s="17"/>
      <c r="Q4173" s="17" t="str">
        <f>_xlfn.XLOOKUP(Table2[[#This Row],[buyFromVendorNo]],'Next Day Scheduled'!A:A,'Pending Returns'!O:O,"NOT_FOUND")</f>
        <v>NOT_FOUND</v>
      </c>
    </row>
    <row r="4174" spans="1:17" x14ac:dyDescent="0.3">
      <c r="A4174" s="1">
        <v>46254</v>
      </c>
      <c r="B4174" t="s">
        <v>9553</v>
      </c>
      <c r="C4174" t="s">
        <v>1593</v>
      </c>
      <c r="D4174" t="s">
        <v>1594</v>
      </c>
      <c r="E4174" t="s">
        <v>8</v>
      </c>
      <c r="F4174" t="s">
        <v>10</v>
      </c>
      <c r="G4174" s="16">
        <v>143</v>
      </c>
      <c r="H4174" s="16">
        <v>164.45</v>
      </c>
      <c r="I4174" s="1">
        <v>46253</v>
      </c>
      <c r="J4174">
        <v>5</v>
      </c>
      <c r="K4174" t="s">
        <v>9909</v>
      </c>
      <c r="L4174" t="s">
        <v>10803</v>
      </c>
      <c r="M4174">
        <v>1</v>
      </c>
      <c r="N4174">
        <v>2</v>
      </c>
      <c r="O4174" t="s">
        <v>1036</v>
      </c>
      <c r="P4174" s="17"/>
      <c r="Q4174" s="17" t="str">
        <f>_xlfn.XLOOKUP(Table2[[#This Row],[buyFromVendorNo]],'Next Day Scheduled'!A:A,'Pending Returns'!O:O,"NOT_FOUND")</f>
        <v>NOT_FOUND</v>
      </c>
    </row>
    <row r="4175" spans="1:17" x14ac:dyDescent="0.3">
      <c r="A4175" s="1">
        <v>46254</v>
      </c>
      <c r="B4175" t="s">
        <v>2556</v>
      </c>
      <c r="C4175" t="s">
        <v>128</v>
      </c>
      <c r="D4175" t="s">
        <v>129</v>
      </c>
      <c r="E4175" t="s">
        <v>8</v>
      </c>
      <c r="F4175" t="s">
        <v>10</v>
      </c>
      <c r="G4175" s="16">
        <v>337.315</v>
      </c>
      <c r="H4175" s="16">
        <v>387.91226</v>
      </c>
      <c r="J4175">
        <v>5</v>
      </c>
      <c r="K4175" t="s">
        <v>10787</v>
      </c>
      <c r="M4175">
        <v>4</v>
      </c>
      <c r="N4175">
        <v>1</v>
      </c>
      <c r="O4175" t="s">
        <v>216</v>
      </c>
      <c r="P4175" s="17"/>
      <c r="Q4175" s="17" t="str">
        <f>_xlfn.XLOOKUP(Table2[[#This Row],[buyFromVendorNo]],'Next Day Scheduled'!A:A,'Pending Returns'!O:O,"NOT_FOUND")</f>
        <v>Posted Credit Note</v>
      </c>
    </row>
    <row r="4176" spans="1:17" x14ac:dyDescent="0.3">
      <c r="A4176" s="1">
        <v>46254</v>
      </c>
      <c r="B4176" t="s">
        <v>642</v>
      </c>
      <c r="C4176" t="s">
        <v>75</v>
      </c>
      <c r="D4176" t="s">
        <v>76</v>
      </c>
      <c r="E4176" t="s">
        <v>8</v>
      </c>
      <c r="F4176" t="s">
        <v>38</v>
      </c>
      <c r="G4176" s="16">
        <v>1375.0001999999999</v>
      </c>
      <c r="H4176" s="16">
        <v>1581.2501999999999</v>
      </c>
      <c r="I4176" s="1">
        <v>46244</v>
      </c>
      <c r="J4176">
        <v>5</v>
      </c>
      <c r="K4176" t="s">
        <v>9621</v>
      </c>
      <c r="L4176" t="s">
        <v>10709</v>
      </c>
      <c r="M4176">
        <v>1</v>
      </c>
      <c r="N4176">
        <v>5</v>
      </c>
      <c r="O4176" t="s">
        <v>1036</v>
      </c>
      <c r="P4176" s="17"/>
      <c r="Q4176" s="17" t="str">
        <f>_xlfn.XLOOKUP(Table2[[#This Row],[buyFromVendorNo]],'Next Day Scheduled'!A:A,'Pending Returns'!O:O,"NOT_FOUND")</f>
        <v>Posted Credit Note</v>
      </c>
    </row>
    <row r="4177" spans="1:17" x14ac:dyDescent="0.3">
      <c r="A4177" s="1">
        <v>46254</v>
      </c>
      <c r="B4177" t="s">
        <v>6286</v>
      </c>
      <c r="C4177" t="s">
        <v>43</v>
      </c>
      <c r="D4177" t="s">
        <v>44</v>
      </c>
      <c r="E4177" t="s">
        <v>8</v>
      </c>
      <c r="F4177" t="s">
        <v>38</v>
      </c>
      <c r="G4177" s="16">
        <v>4648.26</v>
      </c>
      <c r="H4177" s="16">
        <v>5345.4989999999998</v>
      </c>
      <c r="I4177" s="1">
        <v>46254</v>
      </c>
      <c r="J4177">
        <v>5</v>
      </c>
      <c r="K4177" t="s">
        <v>10472</v>
      </c>
      <c r="L4177" t="s">
        <v>10768</v>
      </c>
      <c r="M4177">
        <v>4</v>
      </c>
      <c r="N4177">
        <v>1</v>
      </c>
      <c r="O4177" t="s">
        <v>223</v>
      </c>
      <c r="P4177" s="17"/>
      <c r="Q4177" s="17" t="str">
        <f>_xlfn.XLOOKUP(Table2[[#This Row],[buyFromVendorNo]],'Next Day Scheduled'!A:A,'Pending Returns'!O:O,"NOT_FOUND")</f>
        <v>Posted Credit Note</v>
      </c>
    </row>
    <row r="4178" spans="1:17" x14ac:dyDescent="0.3">
      <c r="A4178" s="1">
        <v>46254</v>
      </c>
      <c r="B4178" t="s">
        <v>6933</v>
      </c>
      <c r="C4178" t="s">
        <v>302</v>
      </c>
      <c r="D4178" t="s">
        <v>303</v>
      </c>
      <c r="E4178" t="s">
        <v>8</v>
      </c>
      <c r="F4178" t="s">
        <v>10</v>
      </c>
      <c r="G4178" s="16">
        <v>40.462499999999999</v>
      </c>
      <c r="H4178" s="16">
        <v>46.531880000000001</v>
      </c>
      <c r="I4178" s="1">
        <v>46245</v>
      </c>
      <c r="J4178">
        <v>5</v>
      </c>
      <c r="K4178" t="s">
        <v>9137</v>
      </c>
      <c r="L4178" t="s">
        <v>10705</v>
      </c>
      <c r="M4178">
        <v>1</v>
      </c>
      <c r="N4178">
        <v>1</v>
      </c>
      <c r="O4178" t="s">
        <v>1036</v>
      </c>
      <c r="P4178" s="17"/>
      <c r="Q4178" s="17" t="str">
        <f>_xlfn.XLOOKUP(Table2[[#This Row],[buyFromVendorNo]],'Next Day Scheduled'!A:A,'Pending Returns'!O:O,"NOT_FOUND")</f>
        <v>NOT_FOUND</v>
      </c>
    </row>
    <row r="4179" spans="1:17" x14ac:dyDescent="0.3">
      <c r="A4179" s="1">
        <v>46254</v>
      </c>
      <c r="B4179" t="s">
        <v>642</v>
      </c>
      <c r="C4179" t="s">
        <v>116</v>
      </c>
      <c r="D4179" t="s">
        <v>117</v>
      </c>
      <c r="E4179" t="s">
        <v>8</v>
      </c>
      <c r="F4179" t="s">
        <v>38</v>
      </c>
      <c r="G4179" s="16">
        <v>627.41</v>
      </c>
      <c r="H4179" s="16">
        <v>721.52149999999995</v>
      </c>
      <c r="J4179">
        <v>5</v>
      </c>
      <c r="K4179" t="s">
        <v>10789</v>
      </c>
      <c r="M4179">
        <v>1</v>
      </c>
      <c r="N4179">
        <v>2</v>
      </c>
      <c r="O4179" t="s">
        <v>216</v>
      </c>
      <c r="P4179" s="17"/>
      <c r="Q4179" s="17" t="str">
        <f>_xlfn.XLOOKUP(Table2[[#This Row],[buyFromVendorNo]],'Next Day Scheduled'!A:A,'Pending Returns'!O:O,"NOT_FOUND")</f>
        <v>NOT_FOUND</v>
      </c>
    </row>
    <row r="4180" spans="1:17" x14ac:dyDescent="0.3">
      <c r="A4180" s="1">
        <v>46254</v>
      </c>
      <c r="B4180" t="s">
        <v>5106</v>
      </c>
      <c r="C4180" t="s">
        <v>116</v>
      </c>
      <c r="D4180" t="s">
        <v>117</v>
      </c>
      <c r="E4180" t="s">
        <v>8</v>
      </c>
      <c r="F4180" t="s">
        <v>10</v>
      </c>
      <c r="G4180" s="16">
        <v>2214.4839999999999</v>
      </c>
      <c r="H4180" s="16">
        <v>2546.6565000000001</v>
      </c>
      <c r="I4180" s="1">
        <v>46254</v>
      </c>
      <c r="J4180">
        <v>5</v>
      </c>
      <c r="K4180" t="s">
        <v>9503</v>
      </c>
      <c r="L4180" t="s">
        <v>10708</v>
      </c>
      <c r="M4180">
        <v>1</v>
      </c>
      <c r="N4180">
        <v>2</v>
      </c>
      <c r="O4180" t="s">
        <v>223</v>
      </c>
      <c r="P4180" s="17"/>
      <c r="Q4180" s="17" t="str">
        <f>_xlfn.XLOOKUP(Table2[[#This Row],[buyFromVendorNo]],'Next Day Scheduled'!A:A,'Pending Returns'!O:O,"NOT_FOUND")</f>
        <v>NOT_FOUND</v>
      </c>
    </row>
    <row r="4181" spans="1:17" x14ac:dyDescent="0.3">
      <c r="A4181" s="1">
        <v>46254</v>
      </c>
      <c r="B4181" t="s">
        <v>7773</v>
      </c>
      <c r="C4181" t="s">
        <v>173</v>
      </c>
      <c r="D4181" t="s">
        <v>174</v>
      </c>
      <c r="E4181" t="s">
        <v>8</v>
      </c>
      <c r="F4181" t="s">
        <v>10</v>
      </c>
      <c r="G4181" s="16">
        <v>1789.64</v>
      </c>
      <c r="H4181" s="16">
        <v>2058.0859999999998</v>
      </c>
      <c r="J4181">
        <v>5</v>
      </c>
      <c r="K4181" t="s">
        <v>10770</v>
      </c>
      <c r="M4181">
        <v>2</v>
      </c>
      <c r="N4181">
        <v>1</v>
      </c>
      <c r="O4181" t="s">
        <v>216</v>
      </c>
      <c r="P4181" s="17"/>
      <c r="Q4181" s="17" t="str">
        <f>_xlfn.XLOOKUP(Table2[[#This Row],[buyFromVendorNo]],'Next Day Scheduled'!A:A,'Pending Returns'!O:O,"NOT_FOUND")</f>
        <v>NOT_FOUND</v>
      </c>
    </row>
    <row r="4182" spans="1:17" x14ac:dyDescent="0.3">
      <c r="A4182" s="1">
        <v>46254</v>
      </c>
      <c r="B4182" t="s">
        <v>5396</v>
      </c>
      <c r="C4182" t="s">
        <v>69</v>
      </c>
      <c r="D4182" t="s">
        <v>70</v>
      </c>
      <c r="E4182" t="s">
        <v>8</v>
      </c>
      <c r="F4182" t="s">
        <v>10</v>
      </c>
      <c r="G4182" s="16">
        <v>2529.7399999999998</v>
      </c>
      <c r="H4182" s="16">
        <v>2909.201</v>
      </c>
      <c r="J4182">
        <v>5</v>
      </c>
      <c r="K4182" t="s">
        <v>10771</v>
      </c>
      <c r="M4182">
        <v>5</v>
      </c>
      <c r="N4182">
        <v>1</v>
      </c>
      <c r="O4182" t="s">
        <v>216</v>
      </c>
      <c r="P4182" s="17"/>
      <c r="Q4182" s="17" t="str">
        <f>_xlfn.XLOOKUP(Table2[[#This Row],[buyFromVendorNo]],'Next Day Scheduled'!A:A,'Pending Returns'!O:O,"NOT_FOUND")</f>
        <v>Posted Credit Note</v>
      </c>
    </row>
    <row r="4183" spans="1:17" x14ac:dyDescent="0.3">
      <c r="A4183" s="1">
        <v>46254</v>
      </c>
      <c r="B4183" t="s">
        <v>2911</v>
      </c>
      <c r="C4183" t="s">
        <v>9689</v>
      </c>
      <c r="D4183" t="s">
        <v>9690</v>
      </c>
      <c r="E4183" t="s">
        <v>8</v>
      </c>
      <c r="F4183" t="s">
        <v>10</v>
      </c>
      <c r="G4183" s="16">
        <v>246.58</v>
      </c>
      <c r="H4183" s="16">
        <v>283.56700000000001</v>
      </c>
      <c r="J4183">
        <v>5</v>
      </c>
      <c r="K4183" t="s">
        <v>10807</v>
      </c>
      <c r="M4183">
        <v>0</v>
      </c>
      <c r="N4183">
        <v>34</v>
      </c>
      <c r="O4183" t="s">
        <v>216</v>
      </c>
      <c r="P4183" s="17"/>
      <c r="Q4183" s="17" t="str">
        <f>_xlfn.XLOOKUP(Table2[[#This Row],[buyFromVendorNo]],'Next Day Scheduled'!A:A,'Pending Returns'!O:O,"NOT_FOUND")</f>
        <v>NOT_FOUND</v>
      </c>
    </row>
    <row r="4184" spans="1:17" x14ac:dyDescent="0.3">
      <c r="A4184" s="1">
        <v>46254</v>
      </c>
      <c r="B4184" t="s">
        <v>642</v>
      </c>
      <c r="C4184" t="s">
        <v>941</v>
      </c>
      <c r="D4184" t="s">
        <v>942</v>
      </c>
      <c r="E4184" t="s">
        <v>8</v>
      </c>
      <c r="F4184" t="s">
        <v>38</v>
      </c>
      <c r="G4184" s="16">
        <v>625.39</v>
      </c>
      <c r="H4184" s="16">
        <v>719.19849999999997</v>
      </c>
      <c r="J4184">
        <v>5</v>
      </c>
      <c r="K4184" t="s">
        <v>10810</v>
      </c>
      <c r="M4184">
        <v>1</v>
      </c>
      <c r="N4184">
        <v>1</v>
      </c>
      <c r="O4184" t="s">
        <v>216</v>
      </c>
      <c r="P4184" s="17"/>
      <c r="Q4184" s="17" t="str">
        <f>_xlfn.XLOOKUP(Table2[[#This Row],[buyFromVendorNo]],'Next Day Scheduled'!A:A,'Pending Returns'!O:O,"NOT_FOUND")</f>
        <v>NOT_FOUND</v>
      </c>
    </row>
    <row r="4185" spans="1:17" x14ac:dyDescent="0.3">
      <c r="A4185" s="1">
        <v>46254</v>
      </c>
      <c r="B4185" t="s">
        <v>2208</v>
      </c>
      <c r="C4185" t="s">
        <v>837</v>
      </c>
      <c r="D4185" t="s">
        <v>838</v>
      </c>
      <c r="E4185" t="s">
        <v>8</v>
      </c>
      <c r="F4185" t="s">
        <v>10</v>
      </c>
      <c r="G4185" s="16">
        <v>124.75002000000001</v>
      </c>
      <c r="H4185" s="16">
        <v>143.46252000000001</v>
      </c>
      <c r="I4185" s="1">
        <v>46247</v>
      </c>
      <c r="J4185">
        <v>5</v>
      </c>
      <c r="K4185" t="s">
        <v>9170</v>
      </c>
      <c r="L4185" t="s">
        <v>10811</v>
      </c>
      <c r="M4185">
        <v>1</v>
      </c>
      <c r="N4185">
        <v>2</v>
      </c>
      <c r="O4185" t="s">
        <v>1036</v>
      </c>
      <c r="P4185" s="17"/>
      <c r="Q4185" s="17" t="str">
        <f>_xlfn.XLOOKUP(Table2[[#This Row],[buyFromVendorNo]],'Next Day Scheduled'!A:A,'Pending Returns'!O:O,"NOT_FOUND")</f>
        <v>NOT_FOUND</v>
      </c>
    </row>
    <row r="4186" spans="1:17" x14ac:dyDescent="0.3">
      <c r="A4186" s="1">
        <v>46254</v>
      </c>
      <c r="B4186" t="s">
        <v>1575</v>
      </c>
      <c r="C4186" t="s">
        <v>302</v>
      </c>
      <c r="D4186" t="s">
        <v>303</v>
      </c>
      <c r="E4186" t="s">
        <v>8</v>
      </c>
      <c r="F4186" t="s">
        <v>10</v>
      </c>
      <c r="G4186" s="16">
        <v>392.25119999999998</v>
      </c>
      <c r="H4186" s="16">
        <v>451.08886999999999</v>
      </c>
      <c r="I4186" s="1">
        <v>46252</v>
      </c>
      <c r="J4186">
        <v>5</v>
      </c>
      <c r="K4186" t="s">
        <v>9620</v>
      </c>
      <c r="L4186" t="s">
        <v>10712</v>
      </c>
      <c r="M4186">
        <v>1</v>
      </c>
      <c r="N4186">
        <v>1</v>
      </c>
      <c r="O4186" t="s">
        <v>1036</v>
      </c>
      <c r="P4186" s="17"/>
      <c r="Q4186" s="17" t="str">
        <f>_xlfn.XLOOKUP(Table2[[#This Row],[buyFromVendorNo]],'Next Day Scheduled'!A:A,'Pending Returns'!O:O,"NOT_FOUND")</f>
        <v>NOT_FOUND</v>
      </c>
    </row>
    <row r="4187" spans="1:17" x14ac:dyDescent="0.3">
      <c r="A4187" s="1">
        <v>46254</v>
      </c>
      <c r="B4187" t="s">
        <v>6286</v>
      </c>
      <c r="C4187" t="s">
        <v>582</v>
      </c>
      <c r="D4187" t="s">
        <v>583</v>
      </c>
      <c r="E4187" t="s">
        <v>8</v>
      </c>
      <c r="F4187" t="s">
        <v>38</v>
      </c>
      <c r="G4187" s="16">
        <v>7932.87</v>
      </c>
      <c r="H4187" s="16">
        <v>9122.8009999999995</v>
      </c>
      <c r="J4187">
        <v>5</v>
      </c>
      <c r="K4187" t="s">
        <v>10793</v>
      </c>
      <c r="M4187">
        <v>0</v>
      </c>
      <c r="N4187">
        <v>6</v>
      </c>
      <c r="O4187" t="s">
        <v>216</v>
      </c>
      <c r="P4187" s="17"/>
      <c r="Q4187" s="17" t="str">
        <f>_xlfn.XLOOKUP(Table2[[#This Row],[buyFromVendorNo]],'Next Day Scheduled'!A:A,'Pending Returns'!O:O,"NOT_FOUND")</f>
        <v>NOT_FOUND</v>
      </c>
    </row>
    <row r="4188" spans="1:17" x14ac:dyDescent="0.3">
      <c r="A4188" s="1">
        <v>46254</v>
      </c>
      <c r="B4188" t="s">
        <v>642</v>
      </c>
      <c r="C4188" t="s">
        <v>598</v>
      </c>
      <c r="D4188" t="s">
        <v>9088</v>
      </c>
      <c r="E4188" t="s">
        <v>8</v>
      </c>
      <c r="F4188" t="s">
        <v>38</v>
      </c>
      <c r="G4188" s="16">
        <v>1675.17</v>
      </c>
      <c r="H4188" s="16">
        <v>1926.4456</v>
      </c>
      <c r="J4188">
        <v>5</v>
      </c>
      <c r="K4188" t="s">
        <v>10815</v>
      </c>
      <c r="M4188">
        <v>0</v>
      </c>
      <c r="N4188">
        <v>6</v>
      </c>
      <c r="O4188" t="s">
        <v>216</v>
      </c>
      <c r="P4188" s="17"/>
      <c r="Q4188" s="17" t="str">
        <f>_xlfn.XLOOKUP(Table2[[#This Row],[buyFromVendorNo]],'Next Day Scheduled'!A:A,'Pending Returns'!O:O,"NOT_FOUND")</f>
        <v>NOT_FOUND</v>
      </c>
    </row>
    <row r="4189" spans="1:17" x14ac:dyDescent="0.3">
      <c r="A4189" s="1">
        <v>46254</v>
      </c>
      <c r="B4189" t="s">
        <v>10794</v>
      </c>
      <c r="C4189" t="s">
        <v>118</v>
      </c>
      <c r="D4189" t="s">
        <v>119</v>
      </c>
      <c r="E4189" t="s">
        <v>8</v>
      </c>
      <c r="F4189" t="s">
        <v>10</v>
      </c>
      <c r="G4189" s="16">
        <v>193.7</v>
      </c>
      <c r="H4189" s="16">
        <v>222.755</v>
      </c>
      <c r="J4189">
        <v>5</v>
      </c>
      <c r="K4189" t="s">
        <v>10795</v>
      </c>
      <c r="M4189">
        <v>1</v>
      </c>
      <c r="N4189">
        <v>5</v>
      </c>
      <c r="O4189" t="s">
        <v>216</v>
      </c>
      <c r="P4189" s="17"/>
      <c r="Q4189" s="17" t="str">
        <f>_xlfn.XLOOKUP(Table2[[#This Row],[buyFromVendorNo]],'Next Day Scheduled'!A:A,'Pending Returns'!O:O,"NOT_FOUND")</f>
        <v>Posted Credit Note</v>
      </c>
    </row>
    <row r="4190" spans="1:17" x14ac:dyDescent="0.3">
      <c r="A4190" s="1">
        <v>46254</v>
      </c>
      <c r="B4190" t="s">
        <v>8722</v>
      </c>
      <c r="C4190" t="s">
        <v>2390</v>
      </c>
      <c r="D4190" t="s">
        <v>2391</v>
      </c>
      <c r="E4190" t="s">
        <v>8</v>
      </c>
      <c r="F4190" t="s">
        <v>10</v>
      </c>
      <c r="G4190" s="16">
        <v>45.64</v>
      </c>
      <c r="H4190" s="16">
        <v>52.485999999999997</v>
      </c>
      <c r="I4190" s="1">
        <v>46238</v>
      </c>
      <c r="J4190">
        <v>5</v>
      </c>
      <c r="K4190" t="s">
        <v>8706</v>
      </c>
      <c r="L4190" t="s">
        <v>10796</v>
      </c>
      <c r="M4190">
        <v>1</v>
      </c>
      <c r="N4190">
        <v>1</v>
      </c>
      <c r="O4190" t="s">
        <v>1036</v>
      </c>
      <c r="P4190" s="17"/>
      <c r="Q4190" s="17" t="str">
        <f>_xlfn.XLOOKUP(Table2[[#This Row],[buyFromVendorNo]],'Next Day Scheduled'!A:A,'Pending Returns'!O:O,"NOT_FOUND")</f>
        <v>NOT_FOUND</v>
      </c>
    </row>
    <row r="4191" spans="1:17" x14ac:dyDescent="0.3">
      <c r="A4191" s="1">
        <v>46254</v>
      </c>
      <c r="B4191" t="s">
        <v>391</v>
      </c>
      <c r="C4191" t="s">
        <v>173</v>
      </c>
      <c r="D4191" t="s">
        <v>174</v>
      </c>
      <c r="E4191" t="s">
        <v>8</v>
      </c>
      <c r="F4191" t="s">
        <v>10</v>
      </c>
      <c r="G4191" s="16">
        <v>1421.3</v>
      </c>
      <c r="H4191" s="16">
        <v>1634.4949999999999</v>
      </c>
      <c r="J4191">
        <v>5</v>
      </c>
      <c r="K4191" t="s">
        <v>10780</v>
      </c>
      <c r="M4191">
        <v>2</v>
      </c>
      <c r="N4191">
        <v>1</v>
      </c>
      <c r="O4191" t="s">
        <v>216</v>
      </c>
      <c r="P4191" s="17"/>
      <c r="Q4191" s="17" t="str">
        <f>_xlfn.XLOOKUP(Table2[[#This Row],[buyFromVendorNo]],'Next Day Scheduled'!A:A,'Pending Returns'!O:O,"NOT_FOUND")</f>
        <v>NOT_FOUND</v>
      </c>
    </row>
    <row r="4192" spans="1:17" x14ac:dyDescent="0.3">
      <c r="A4192" s="1">
        <v>46254</v>
      </c>
      <c r="B4192" t="s">
        <v>4883</v>
      </c>
      <c r="C4192" t="s">
        <v>69</v>
      </c>
      <c r="D4192" t="s">
        <v>70</v>
      </c>
      <c r="E4192" t="s">
        <v>8</v>
      </c>
      <c r="F4192" t="s">
        <v>10</v>
      </c>
      <c r="G4192" s="16">
        <v>4290.1899999999996</v>
      </c>
      <c r="H4192" s="16">
        <v>4933.7183000000005</v>
      </c>
      <c r="J4192">
        <v>5</v>
      </c>
      <c r="K4192" t="s">
        <v>10750</v>
      </c>
      <c r="M4192">
        <v>5</v>
      </c>
      <c r="N4192">
        <v>1</v>
      </c>
      <c r="O4192" t="s">
        <v>216</v>
      </c>
      <c r="P4192" s="17"/>
      <c r="Q4192" s="17" t="str">
        <f>_xlfn.XLOOKUP(Table2[[#This Row],[buyFromVendorNo]],'Next Day Scheduled'!A:A,'Pending Returns'!O:O,"NOT_FOUND")</f>
        <v>Posted Credit Note</v>
      </c>
    </row>
    <row r="4193" spans="1:17" x14ac:dyDescent="0.3">
      <c r="A4193" s="1">
        <v>46254</v>
      </c>
      <c r="B4193" t="s">
        <v>6286</v>
      </c>
      <c r="C4193" t="s">
        <v>886</v>
      </c>
      <c r="D4193" t="s">
        <v>887</v>
      </c>
      <c r="E4193" t="s">
        <v>8</v>
      </c>
      <c r="F4193" t="s">
        <v>38</v>
      </c>
      <c r="G4193" s="16">
        <v>7037.9</v>
      </c>
      <c r="H4193" s="16">
        <v>8093.585</v>
      </c>
      <c r="J4193">
        <v>5</v>
      </c>
      <c r="K4193" t="s">
        <v>10758</v>
      </c>
      <c r="M4193">
        <v>0</v>
      </c>
      <c r="N4193">
        <v>6</v>
      </c>
      <c r="O4193" t="s">
        <v>216</v>
      </c>
      <c r="P4193" s="17"/>
      <c r="Q4193" s="17" t="str">
        <f>_xlfn.XLOOKUP(Table2[[#This Row],[buyFromVendorNo]],'Next Day Scheduled'!A:A,'Pending Returns'!O:O,"NOT_FOUND")</f>
        <v>NOT_FOUND</v>
      </c>
    </row>
    <row r="4194" spans="1:17" x14ac:dyDescent="0.3">
      <c r="A4194" s="1">
        <v>46254</v>
      </c>
      <c r="B4194" t="s">
        <v>2573</v>
      </c>
      <c r="C4194" t="s">
        <v>116</v>
      </c>
      <c r="D4194" t="s">
        <v>117</v>
      </c>
      <c r="E4194" t="s">
        <v>8</v>
      </c>
      <c r="F4194" t="s">
        <v>10</v>
      </c>
      <c r="G4194" s="16">
        <v>1113.9649999999999</v>
      </c>
      <c r="H4194" s="16">
        <v>1281.0597</v>
      </c>
      <c r="I4194" s="1">
        <v>46254</v>
      </c>
      <c r="J4194">
        <v>5</v>
      </c>
      <c r="K4194" t="s">
        <v>10038</v>
      </c>
      <c r="L4194" t="s">
        <v>10713</v>
      </c>
      <c r="M4194">
        <v>1</v>
      </c>
      <c r="N4194">
        <v>2</v>
      </c>
      <c r="O4194" t="s">
        <v>223</v>
      </c>
      <c r="P4194" s="17"/>
      <c r="Q4194" s="17" t="str">
        <f>_xlfn.XLOOKUP(Table2[[#This Row],[buyFromVendorNo]],'Next Day Scheduled'!A:A,'Pending Returns'!O:O,"NOT_FOUND")</f>
        <v>NOT_FOUND</v>
      </c>
    </row>
    <row r="4195" spans="1:17" x14ac:dyDescent="0.3">
      <c r="A4195" s="1">
        <v>46254</v>
      </c>
      <c r="B4195" t="s">
        <v>3316</v>
      </c>
      <c r="C4195" t="s">
        <v>5495</v>
      </c>
      <c r="D4195" t="s">
        <v>5496</v>
      </c>
      <c r="E4195" t="s">
        <v>8</v>
      </c>
      <c r="F4195" t="s">
        <v>10</v>
      </c>
      <c r="G4195" s="16">
        <v>38.25</v>
      </c>
      <c r="H4195" s="16">
        <v>43.987499999999997</v>
      </c>
      <c r="J4195">
        <v>5</v>
      </c>
      <c r="K4195" t="s">
        <v>10752</v>
      </c>
      <c r="M4195">
        <v>1</v>
      </c>
      <c r="N4195">
        <v>3</v>
      </c>
      <c r="O4195" t="s">
        <v>216</v>
      </c>
      <c r="P4195" s="17"/>
      <c r="Q4195" s="17" t="str">
        <f>_xlfn.XLOOKUP(Table2[[#This Row],[buyFromVendorNo]],'Next Day Scheduled'!A:A,'Pending Returns'!O:O,"NOT_FOUND")</f>
        <v>NOT_FOUND</v>
      </c>
    </row>
    <row r="4196" spans="1:17" x14ac:dyDescent="0.3">
      <c r="A4196" s="1">
        <v>46254</v>
      </c>
      <c r="B4196" t="s">
        <v>642</v>
      </c>
      <c r="C4196" t="s">
        <v>154</v>
      </c>
      <c r="D4196" t="s">
        <v>155</v>
      </c>
      <c r="E4196" t="s">
        <v>8</v>
      </c>
      <c r="F4196" t="s">
        <v>38</v>
      </c>
      <c r="G4196" s="16">
        <v>3675.8256999999999</v>
      </c>
      <c r="H4196" s="16">
        <v>4227.1997000000001</v>
      </c>
      <c r="J4196">
        <v>5</v>
      </c>
      <c r="K4196" t="s">
        <v>10753</v>
      </c>
      <c r="M4196">
        <v>0</v>
      </c>
      <c r="N4196">
        <v>7</v>
      </c>
      <c r="O4196" t="s">
        <v>216</v>
      </c>
      <c r="P4196" s="17"/>
      <c r="Q4196" s="17" t="str">
        <f>_xlfn.XLOOKUP(Table2[[#This Row],[buyFromVendorNo]],'Next Day Scheduled'!A:A,'Pending Returns'!O:O,"NOT_FOUND")</f>
        <v>NOT_FOUND</v>
      </c>
    </row>
    <row r="4197" spans="1:17" x14ac:dyDescent="0.3">
      <c r="A4197" s="1">
        <v>46254</v>
      </c>
      <c r="B4197" t="s">
        <v>642</v>
      </c>
      <c r="C4197" t="s">
        <v>401</v>
      </c>
      <c r="D4197" t="s">
        <v>402</v>
      </c>
      <c r="E4197" t="s">
        <v>8</v>
      </c>
      <c r="F4197" t="s">
        <v>38</v>
      </c>
      <c r="G4197" s="16">
        <v>17.5</v>
      </c>
      <c r="H4197" s="16">
        <v>20.125</v>
      </c>
      <c r="J4197">
        <v>5</v>
      </c>
      <c r="K4197" t="s">
        <v>10756</v>
      </c>
      <c r="M4197">
        <v>2</v>
      </c>
      <c r="N4197">
        <v>3</v>
      </c>
      <c r="O4197" t="s">
        <v>216</v>
      </c>
      <c r="P4197" s="17"/>
      <c r="Q4197" s="17" t="str">
        <f>_xlfn.XLOOKUP(Table2[[#This Row],[buyFromVendorNo]],'Next Day Scheduled'!A:A,'Pending Returns'!O:O,"NOT_FOUND")</f>
        <v>Posted Credit Note</v>
      </c>
    </row>
    <row r="4198" spans="1:17" x14ac:dyDescent="0.3">
      <c r="A4198" s="1">
        <v>46254</v>
      </c>
      <c r="B4198" t="s">
        <v>6686</v>
      </c>
      <c r="C4198" t="s">
        <v>1346</v>
      </c>
      <c r="D4198" t="s">
        <v>1347</v>
      </c>
      <c r="E4198" t="s">
        <v>8</v>
      </c>
      <c r="F4198" t="s">
        <v>10</v>
      </c>
      <c r="G4198" s="16">
        <v>63.52</v>
      </c>
      <c r="H4198" s="16">
        <v>73.048000000000002</v>
      </c>
      <c r="J4198">
        <v>5</v>
      </c>
      <c r="K4198" t="s">
        <v>10799</v>
      </c>
      <c r="M4198">
        <v>0</v>
      </c>
      <c r="N4198">
        <v>9</v>
      </c>
      <c r="O4198" t="s">
        <v>216</v>
      </c>
      <c r="P4198" s="17"/>
      <c r="Q4198" s="17" t="str">
        <f>_xlfn.XLOOKUP(Table2[[#This Row],[buyFromVendorNo]],'Next Day Scheduled'!A:A,'Pending Returns'!O:O,"NOT_FOUND")</f>
        <v>NOT_FOUND</v>
      </c>
    </row>
    <row r="4199" spans="1:17" x14ac:dyDescent="0.3">
      <c r="A4199" s="1">
        <v>46254</v>
      </c>
      <c r="B4199" t="s">
        <v>642</v>
      </c>
      <c r="C4199" t="s">
        <v>204</v>
      </c>
      <c r="D4199" t="s">
        <v>205</v>
      </c>
      <c r="E4199" t="s">
        <v>8</v>
      </c>
      <c r="F4199" t="s">
        <v>38</v>
      </c>
      <c r="G4199" s="16">
        <v>317.57260000000002</v>
      </c>
      <c r="H4199" s="16">
        <v>365.20850000000002</v>
      </c>
      <c r="I4199" s="1">
        <v>46254</v>
      </c>
      <c r="J4199">
        <v>5</v>
      </c>
      <c r="K4199" t="s">
        <v>10185</v>
      </c>
      <c r="L4199" t="s">
        <v>10761</v>
      </c>
      <c r="M4199">
        <v>1</v>
      </c>
      <c r="N4199">
        <v>5</v>
      </c>
      <c r="O4199" t="s">
        <v>223</v>
      </c>
      <c r="P4199" s="17"/>
      <c r="Q4199" s="17" t="str">
        <f>_xlfn.XLOOKUP(Table2[[#This Row],[buyFromVendorNo]],'Next Day Scheduled'!A:A,'Pending Returns'!O:O,"NOT_FOUND")</f>
        <v>NOT_FOUND</v>
      </c>
    </row>
    <row r="4200" spans="1:17" x14ac:dyDescent="0.3">
      <c r="A4200" s="1">
        <v>46254</v>
      </c>
      <c r="B4200" t="s">
        <v>1490</v>
      </c>
      <c r="C4200" t="s">
        <v>423</v>
      </c>
      <c r="D4200" t="s">
        <v>424</v>
      </c>
      <c r="E4200" t="s">
        <v>8</v>
      </c>
      <c r="F4200" t="s">
        <v>10</v>
      </c>
      <c r="G4200" s="16">
        <v>256</v>
      </c>
      <c r="H4200" s="16">
        <v>294.39999999999998</v>
      </c>
      <c r="I4200" s="1">
        <v>46250</v>
      </c>
      <c r="J4200">
        <v>5</v>
      </c>
      <c r="K4200" t="s">
        <v>9983</v>
      </c>
      <c r="L4200" t="s">
        <v>10762</v>
      </c>
      <c r="M4200">
        <v>1</v>
      </c>
      <c r="N4200">
        <v>3</v>
      </c>
      <c r="O4200" t="s">
        <v>1036</v>
      </c>
      <c r="P4200" s="17"/>
      <c r="Q4200" s="17" t="str">
        <f>_xlfn.XLOOKUP(Table2[[#This Row],[buyFromVendorNo]],'Next Day Scheduled'!A:A,'Pending Returns'!O:O,"NOT_FOUND")</f>
        <v>NOT_FOUND</v>
      </c>
    </row>
    <row r="4201" spans="1:17" x14ac:dyDescent="0.3">
      <c r="A4201" s="1">
        <v>46254</v>
      </c>
      <c r="B4201" t="s">
        <v>756</v>
      </c>
      <c r="C4201" t="s">
        <v>373</v>
      </c>
      <c r="D4201" t="s">
        <v>374</v>
      </c>
      <c r="E4201" t="s">
        <v>8</v>
      </c>
      <c r="F4201" t="s">
        <v>10</v>
      </c>
      <c r="G4201" s="16">
        <v>471.95834000000002</v>
      </c>
      <c r="H4201" s="16">
        <v>542.75210000000004</v>
      </c>
      <c r="J4201">
        <v>5</v>
      </c>
      <c r="K4201" t="s">
        <v>10766</v>
      </c>
      <c r="M4201">
        <v>0</v>
      </c>
      <c r="N4201">
        <v>12</v>
      </c>
      <c r="O4201" t="s">
        <v>216</v>
      </c>
      <c r="P4201" s="17"/>
      <c r="Q4201" s="17" t="str">
        <f>_xlfn.XLOOKUP(Table2[[#This Row],[buyFromVendorNo]],'Next Day Scheduled'!A:A,'Pending Returns'!O:O,"NOT_FOUND")</f>
        <v>NOT_FOUND</v>
      </c>
    </row>
    <row r="4202" spans="1:17" x14ac:dyDescent="0.3">
      <c r="A4202" s="1">
        <v>46254</v>
      </c>
      <c r="B4202" t="s">
        <v>8076</v>
      </c>
      <c r="C4202" t="s">
        <v>2311</v>
      </c>
      <c r="D4202" t="s">
        <v>2312</v>
      </c>
      <c r="E4202" t="s">
        <v>8</v>
      </c>
      <c r="F4202" t="s">
        <v>10</v>
      </c>
      <c r="G4202" s="16">
        <v>63.26</v>
      </c>
      <c r="H4202" s="16">
        <v>72.748999999999995</v>
      </c>
      <c r="I4202" s="1">
        <v>46254</v>
      </c>
      <c r="J4202">
        <v>5</v>
      </c>
      <c r="K4202" t="s">
        <v>8077</v>
      </c>
      <c r="L4202" t="s">
        <v>10785</v>
      </c>
      <c r="M4202">
        <v>0</v>
      </c>
      <c r="N4202">
        <v>22</v>
      </c>
      <c r="O4202" t="s">
        <v>1036</v>
      </c>
      <c r="P4202" s="17"/>
      <c r="Q4202" s="17" t="str">
        <f>_xlfn.XLOOKUP(Table2[[#This Row],[buyFromVendorNo]],'Next Day Scheduled'!A:A,'Pending Returns'!O:O,"NOT_FOUND")</f>
        <v>NOT_FOUND</v>
      </c>
    </row>
    <row r="4203" spans="1:17" x14ac:dyDescent="0.3">
      <c r="A4203" s="1">
        <v>46254</v>
      </c>
      <c r="B4203" t="s">
        <v>642</v>
      </c>
      <c r="C4203" t="s">
        <v>873</v>
      </c>
      <c r="D4203" t="s">
        <v>874</v>
      </c>
      <c r="E4203" t="s">
        <v>8</v>
      </c>
      <c r="F4203" t="s">
        <v>38</v>
      </c>
      <c r="G4203" s="16">
        <v>166.54</v>
      </c>
      <c r="H4203" s="16">
        <v>191.52099999999999</v>
      </c>
      <c r="J4203">
        <v>5</v>
      </c>
      <c r="K4203" t="s">
        <v>10786</v>
      </c>
      <c r="M4203">
        <v>0</v>
      </c>
      <c r="N4203">
        <v>6</v>
      </c>
      <c r="O4203" t="s">
        <v>216</v>
      </c>
      <c r="P4203" s="17"/>
      <c r="Q4203" s="17" t="str">
        <f>_xlfn.XLOOKUP(Table2[[#This Row],[buyFromVendorNo]],'Next Day Scheduled'!A:A,'Pending Returns'!O:O,"NOT_FOUND")</f>
        <v>Posted Credit Note</v>
      </c>
    </row>
    <row r="4204" spans="1:17" x14ac:dyDescent="0.3">
      <c r="A4204" s="1">
        <v>46254</v>
      </c>
      <c r="B4204" t="s">
        <v>642</v>
      </c>
      <c r="C4204" t="s">
        <v>8711</v>
      </c>
      <c r="D4204" t="s">
        <v>8712</v>
      </c>
      <c r="E4204" t="s">
        <v>8</v>
      </c>
      <c r="F4204" t="s">
        <v>38</v>
      </c>
      <c r="G4204" s="16">
        <v>66</v>
      </c>
      <c r="H4204" s="16">
        <v>75.900000000000006</v>
      </c>
      <c r="I4204" s="1">
        <v>46254</v>
      </c>
      <c r="J4204">
        <v>5</v>
      </c>
      <c r="K4204" t="s">
        <v>8802</v>
      </c>
      <c r="L4204" t="s">
        <v>10788</v>
      </c>
      <c r="M4204">
        <v>1</v>
      </c>
      <c r="N4204">
        <v>5</v>
      </c>
      <c r="O4204" t="s">
        <v>223</v>
      </c>
      <c r="P4204" s="17"/>
      <c r="Q4204" s="17" t="str">
        <f>_xlfn.XLOOKUP(Table2[[#This Row],[buyFromVendorNo]],'Next Day Scheduled'!A:A,'Pending Returns'!O:O,"NOT_FOUND")</f>
        <v>NOT_FOUND</v>
      </c>
    </row>
    <row r="4205" spans="1:17" x14ac:dyDescent="0.3">
      <c r="A4205" s="1">
        <v>46254</v>
      </c>
      <c r="B4205" t="s">
        <v>642</v>
      </c>
      <c r="C4205" t="s">
        <v>832</v>
      </c>
      <c r="D4205" t="s">
        <v>833</v>
      </c>
      <c r="E4205" t="s">
        <v>8</v>
      </c>
      <c r="F4205" t="s">
        <v>38</v>
      </c>
      <c r="G4205" s="16">
        <v>43.8</v>
      </c>
      <c r="H4205" s="16">
        <v>50.37</v>
      </c>
      <c r="J4205">
        <v>5</v>
      </c>
      <c r="K4205" t="s">
        <v>10821</v>
      </c>
      <c r="M4205">
        <v>0</v>
      </c>
      <c r="N4205">
        <v>76</v>
      </c>
      <c r="O4205" t="s">
        <v>216</v>
      </c>
      <c r="P4205" s="17"/>
      <c r="Q4205" s="17" t="str">
        <f>_xlfn.XLOOKUP(Table2[[#This Row],[buyFromVendorNo]],'Next Day Scheduled'!A:A,'Pending Returns'!O:O,"NOT_FOUND")</f>
        <v>NOT_FOUND</v>
      </c>
    </row>
    <row r="4206" spans="1:17" x14ac:dyDescent="0.3">
      <c r="A4206" s="1">
        <v>46254</v>
      </c>
      <c r="B4206" t="s">
        <v>7219</v>
      </c>
      <c r="C4206" t="s">
        <v>16</v>
      </c>
      <c r="D4206" t="s">
        <v>17</v>
      </c>
      <c r="E4206" t="s">
        <v>8</v>
      </c>
      <c r="F4206" t="s">
        <v>10</v>
      </c>
      <c r="G4206" s="16">
        <v>106.7</v>
      </c>
      <c r="H4206" s="16">
        <v>122.705</v>
      </c>
      <c r="I4206" s="1">
        <v>46245</v>
      </c>
      <c r="J4206">
        <v>5</v>
      </c>
      <c r="K4206" t="s">
        <v>9397</v>
      </c>
      <c r="L4206" t="s">
        <v>10791</v>
      </c>
      <c r="M4206">
        <v>1</v>
      </c>
      <c r="N4206">
        <v>3</v>
      </c>
      <c r="O4206" t="s">
        <v>1036</v>
      </c>
      <c r="P4206" s="17"/>
      <c r="Q4206" s="17" t="str">
        <f>_xlfn.XLOOKUP(Table2[[#This Row],[buyFromVendorNo]],'Next Day Scheduled'!A:A,'Pending Returns'!O:O,"NOT_FOUND")</f>
        <v>Posted Credit Note</v>
      </c>
    </row>
    <row r="4207" spans="1:17" x14ac:dyDescent="0.3">
      <c r="A4207" s="1">
        <v>46254</v>
      </c>
      <c r="B4207" t="s">
        <v>1783</v>
      </c>
      <c r="C4207" t="s">
        <v>1593</v>
      </c>
      <c r="D4207" t="s">
        <v>1594</v>
      </c>
      <c r="E4207" t="s">
        <v>8</v>
      </c>
      <c r="F4207" t="s">
        <v>10</v>
      </c>
      <c r="G4207" s="16">
        <v>193</v>
      </c>
      <c r="H4207" s="16">
        <v>221.95</v>
      </c>
      <c r="I4207" s="1">
        <v>46253</v>
      </c>
      <c r="J4207">
        <v>5</v>
      </c>
      <c r="K4207" t="s">
        <v>9520</v>
      </c>
      <c r="L4207" t="s">
        <v>10825</v>
      </c>
      <c r="M4207">
        <v>1</v>
      </c>
      <c r="N4207">
        <v>2</v>
      </c>
      <c r="O4207" t="s">
        <v>1036</v>
      </c>
      <c r="P4207" s="17"/>
      <c r="Q4207" s="17" t="str">
        <f>_xlfn.XLOOKUP(Table2[[#This Row],[buyFromVendorNo]],'Next Day Scheduled'!A:A,'Pending Returns'!O:O,"NOT_FOUND")</f>
        <v>NOT_FOUND</v>
      </c>
    </row>
    <row r="4208" spans="1:17" x14ac:dyDescent="0.3">
      <c r="A4208" s="1">
        <v>46254</v>
      </c>
      <c r="B4208" t="s">
        <v>3394</v>
      </c>
      <c r="C4208" t="s">
        <v>2311</v>
      </c>
      <c r="D4208" t="s">
        <v>2312</v>
      </c>
      <c r="E4208" t="s">
        <v>8</v>
      </c>
      <c r="F4208" t="s">
        <v>10</v>
      </c>
      <c r="G4208" s="16">
        <v>131.08000000000001</v>
      </c>
      <c r="H4208" s="16">
        <v>150.74199999999999</v>
      </c>
      <c r="I4208" s="1">
        <v>46254</v>
      </c>
      <c r="J4208">
        <v>5</v>
      </c>
      <c r="K4208" t="s">
        <v>9896</v>
      </c>
      <c r="L4208" t="s">
        <v>10812</v>
      </c>
      <c r="M4208">
        <v>0</v>
      </c>
      <c r="N4208">
        <v>22</v>
      </c>
      <c r="O4208" t="s">
        <v>1036</v>
      </c>
      <c r="P4208" s="17"/>
      <c r="Q4208" s="17" t="str">
        <f>_xlfn.XLOOKUP(Table2[[#This Row],[buyFromVendorNo]],'Next Day Scheduled'!A:A,'Pending Returns'!O:O,"NOT_FOUND")</f>
        <v>NOT_FOUND</v>
      </c>
    </row>
    <row r="4209" spans="1:17" x14ac:dyDescent="0.3">
      <c r="A4209" s="1">
        <v>46254</v>
      </c>
      <c r="B4209" t="s">
        <v>2630</v>
      </c>
      <c r="C4209" t="s">
        <v>16</v>
      </c>
      <c r="D4209" t="s">
        <v>17</v>
      </c>
      <c r="E4209" t="s">
        <v>8</v>
      </c>
      <c r="F4209" t="s">
        <v>10</v>
      </c>
      <c r="G4209" s="16">
        <v>138.52000000000001</v>
      </c>
      <c r="H4209" s="16">
        <v>159.298</v>
      </c>
      <c r="I4209" s="1">
        <v>46254</v>
      </c>
      <c r="J4209">
        <v>5</v>
      </c>
      <c r="K4209" t="s">
        <v>10044</v>
      </c>
      <c r="L4209" t="s">
        <v>10828</v>
      </c>
      <c r="M4209">
        <v>1</v>
      </c>
      <c r="N4209">
        <v>3</v>
      </c>
      <c r="O4209" t="s">
        <v>1036</v>
      </c>
      <c r="P4209" s="17"/>
      <c r="Q4209" s="17" t="str">
        <f>_xlfn.XLOOKUP(Table2[[#This Row],[buyFromVendorNo]],'Next Day Scheduled'!A:A,'Pending Returns'!O:O,"NOT_FOUND")</f>
        <v>Posted Credit Note</v>
      </c>
    </row>
    <row r="4210" spans="1:17" x14ac:dyDescent="0.3">
      <c r="A4210" s="1">
        <v>46254</v>
      </c>
      <c r="B4210" t="s">
        <v>642</v>
      </c>
      <c r="C4210" t="s">
        <v>444</v>
      </c>
      <c r="D4210" t="s">
        <v>445</v>
      </c>
      <c r="E4210" t="s">
        <v>8</v>
      </c>
      <c r="F4210" t="s">
        <v>38</v>
      </c>
      <c r="G4210" s="16">
        <v>89.44</v>
      </c>
      <c r="H4210" s="16">
        <v>102.85599999999999</v>
      </c>
      <c r="J4210">
        <v>5</v>
      </c>
      <c r="K4210" t="s">
        <v>10751</v>
      </c>
      <c r="M4210">
        <v>0</v>
      </c>
      <c r="N4210">
        <v>9</v>
      </c>
      <c r="O4210" t="s">
        <v>216</v>
      </c>
      <c r="P4210" s="17"/>
      <c r="Q4210" s="17" t="str">
        <f>_xlfn.XLOOKUP(Table2[[#This Row],[buyFromVendorNo]],'Next Day Scheduled'!A:A,'Pending Returns'!O:O,"NOT_FOUND")</f>
        <v>NOT_FOUND</v>
      </c>
    </row>
    <row r="4211" spans="1:17" x14ac:dyDescent="0.3">
      <c r="A4211" s="1">
        <v>46254</v>
      </c>
      <c r="B4211" t="s">
        <v>642</v>
      </c>
      <c r="C4211" t="s">
        <v>8711</v>
      </c>
      <c r="D4211" t="s">
        <v>8712</v>
      </c>
      <c r="E4211" t="s">
        <v>8</v>
      </c>
      <c r="F4211" t="s">
        <v>38</v>
      </c>
      <c r="G4211" s="16">
        <v>22</v>
      </c>
      <c r="H4211" s="16">
        <v>25.3</v>
      </c>
      <c r="I4211" s="1">
        <v>46254</v>
      </c>
      <c r="J4211">
        <v>5</v>
      </c>
      <c r="K4211" t="s">
        <v>10239</v>
      </c>
      <c r="L4211" t="s">
        <v>10754</v>
      </c>
      <c r="M4211">
        <v>1</v>
      </c>
      <c r="N4211">
        <v>5</v>
      </c>
      <c r="O4211" t="s">
        <v>223</v>
      </c>
      <c r="P4211" s="17"/>
      <c r="Q4211" s="17" t="str">
        <f>_xlfn.XLOOKUP(Table2[[#This Row],[buyFromVendorNo]],'Next Day Scheduled'!A:A,'Pending Returns'!O:O,"NOT_FOUND")</f>
        <v>NOT_FOUND</v>
      </c>
    </row>
    <row r="4212" spans="1:17" x14ac:dyDescent="0.3">
      <c r="A4212" s="1">
        <v>46254</v>
      </c>
      <c r="B4212" t="s">
        <v>2583</v>
      </c>
      <c r="C4212" t="s">
        <v>3773</v>
      </c>
      <c r="D4212" t="s">
        <v>3774</v>
      </c>
      <c r="E4212" t="s">
        <v>8</v>
      </c>
      <c r="F4212" t="s">
        <v>10</v>
      </c>
      <c r="G4212" s="16">
        <v>2945.4470000000001</v>
      </c>
      <c r="H4212" s="16">
        <v>3387.2640000000001</v>
      </c>
      <c r="J4212">
        <v>5</v>
      </c>
      <c r="K4212" t="s">
        <v>10798</v>
      </c>
      <c r="M4212">
        <v>1</v>
      </c>
      <c r="N4212">
        <v>2</v>
      </c>
      <c r="O4212" t="s">
        <v>216</v>
      </c>
      <c r="P4212" s="17"/>
      <c r="Q4212" s="17" t="str">
        <f>_xlfn.XLOOKUP(Table2[[#This Row],[buyFromVendorNo]],'Next Day Scheduled'!A:A,'Pending Returns'!O:O,"NOT_FOUND")</f>
        <v>NOT_FOUND</v>
      </c>
    </row>
    <row r="4213" spans="1:17" x14ac:dyDescent="0.3">
      <c r="A4213" s="1">
        <v>46254</v>
      </c>
      <c r="B4213" t="s">
        <v>10759</v>
      </c>
      <c r="C4213" t="s">
        <v>69</v>
      </c>
      <c r="D4213" t="s">
        <v>70</v>
      </c>
      <c r="E4213" t="s">
        <v>8</v>
      </c>
      <c r="F4213" t="s">
        <v>10</v>
      </c>
      <c r="G4213" s="16">
        <v>1543.63</v>
      </c>
      <c r="H4213" s="16">
        <v>1775.1746000000001</v>
      </c>
      <c r="J4213">
        <v>5</v>
      </c>
      <c r="K4213" t="s">
        <v>10760</v>
      </c>
      <c r="M4213">
        <v>5</v>
      </c>
      <c r="N4213">
        <v>1</v>
      </c>
      <c r="O4213" t="s">
        <v>216</v>
      </c>
      <c r="P4213" s="17"/>
      <c r="Q4213" s="17" t="str">
        <f>_xlfn.XLOOKUP(Table2[[#This Row],[buyFromVendorNo]],'Next Day Scheduled'!A:A,'Pending Returns'!O:O,"NOT_FOUND")</f>
        <v>Posted Credit Note</v>
      </c>
    </row>
    <row r="4214" spans="1:17" x14ac:dyDescent="0.3">
      <c r="A4214" s="1">
        <v>46254</v>
      </c>
      <c r="B4214" t="s">
        <v>642</v>
      </c>
      <c r="C4214" t="s">
        <v>93</v>
      </c>
      <c r="D4214" t="s">
        <v>94</v>
      </c>
      <c r="E4214" t="s">
        <v>8</v>
      </c>
      <c r="F4214" t="s">
        <v>38</v>
      </c>
      <c r="G4214" s="16">
        <v>275.94</v>
      </c>
      <c r="H4214" s="16">
        <v>317.33100000000002</v>
      </c>
      <c r="J4214">
        <v>5</v>
      </c>
      <c r="K4214" t="s">
        <v>10784</v>
      </c>
      <c r="M4214">
        <v>0</v>
      </c>
      <c r="N4214">
        <v>6</v>
      </c>
      <c r="O4214" t="s">
        <v>216</v>
      </c>
      <c r="P4214" s="17"/>
      <c r="Q4214" s="17" t="str">
        <f>_xlfn.XLOOKUP(Table2[[#This Row],[buyFromVendorNo]],'Next Day Scheduled'!A:A,'Pending Returns'!O:O,"NOT_FOUND")</f>
        <v>Posted Credit Note</v>
      </c>
    </row>
    <row r="4215" spans="1:17" x14ac:dyDescent="0.3">
      <c r="A4215" s="1">
        <v>46254</v>
      </c>
      <c r="B4215" t="s">
        <v>642</v>
      </c>
      <c r="C4215" t="s">
        <v>75</v>
      </c>
      <c r="D4215" t="s">
        <v>76</v>
      </c>
      <c r="E4215" t="s">
        <v>8</v>
      </c>
      <c r="F4215" t="s">
        <v>38</v>
      </c>
      <c r="G4215" s="16">
        <v>1604.1668999999999</v>
      </c>
      <c r="H4215" s="16">
        <v>1844.7919999999999</v>
      </c>
      <c r="I4215" s="1">
        <v>46244</v>
      </c>
      <c r="J4215">
        <v>5</v>
      </c>
      <c r="K4215" t="s">
        <v>9665</v>
      </c>
      <c r="L4215" t="s">
        <v>10703</v>
      </c>
      <c r="M4215">
        <v>1</v>
      </c>
      <c r="N4215">
        <v>5</v>
      </c>
      <c r="O4215" t="s">
        <v>1036</v>
      </c>
      <c r="P4215" s="17"/>
      <c r="Q4215" s="17" t="str">
        <f>_xlfn.XLOOKUP(Table2[[#This Row],[buyFromVendorNo]],'Next Day Scheduled'!A:A,'Pending Returns'!O:O,"NOT_FOUND")</f>
        <v>Posted Credit Note</v>
      </c>
    </row>
    <row r="4216" spans="1:17" x14ac:dyDescent="0.3">
      <c r="A4216" s="1">
        <v>46254</v>
      </c>
      <c r="B4216" t="s">
        <v>642</v>
      </c>
      <c r="C4216" t="s">
        <v>88</v>
      </c>
      <c r="D4216" t="s">
        <v>89</v>
      </c>
      <c r="E4216" t="s">
        <v>8</v>
      </c>
      <c r="F4216" t="s">
        <v>38</v>
      </c>
      <c r="G4216" s="16">
        <v>369.15</v>
      </c>
      <c r="H4216" s="16">
        <v>424.52249999999998</v>
      </c>
      <c r="J4216">
        <v>5</v>
      </c>
      <c r="K4216" t="s">
        <v>10790</v>
      </c>
      <c r="M4216">
        <v>0</v>
      </c>
      <c r="N4216">
        <v>12</v>
      </c>
      <c r="O4216" t="s">
        <v>216</v>
      </c>
      <c r="P4216" s="17"/>
      <c r="Q4216" s="17" t="str">
        <f>_xlfn.XLOOKUP(Table2[[#This Row],[buyFromVendorNo]],'Next Day Scheduled'!A:A,'Pending Returns'!O:O,"NOT_FOUND")</f>
        <v>NOT_FOUND</v>
      </c>
    </row>
    <row r="4217" spans="1:17" x14ac:dyDescent="0.3">
      <c r="A4217" s="1">
        <v>46254</v>
      </c>
      <c r="B4217" t="s">
        <v>8727</v>
      </c>
      <c r="C4217" t="s">
        <v>302</v>
      </c>
      <c r="D4217" t="s">
        <v>303</v>
      </c>
      <c r="E4217" t="s">
        <v>8</v>
      </c>
      <c r="F4217" t="s">
        <v>10</v>
      </c>
      <c r="G4217" s="16">
        <v>196.12559999999999</v>
      </c>
      <c r="H4217" s="16">
        <v>225.54443000000001</v>
      </c>
      <c r="I4217" s="1">
        <v>46245</v>
      </c>
      <c r="J4217">
        <v>5</v>
      </c>
      <c r="K4217" t="s">
        <v>8702</v>
      </c>
      <c r="L4217" t="s">
        <v>10720</v>
      </c>
      <c r="M4217">
        <v>1</v>
      </c>
      <c r="N4217">
        <v>1</v>
      </c>
      <c r="O4217" t="s">
        <v>1036</v>
      </c>
      <c r="P4217" s="17"/>
      <c r="Q4217" s="17" t="str">
        <f>_xlfn.XLOOKUP(Table2[[#This Row],[buyFromVendorNo]],'Next Day Scheduled'!A:A,'Pending Returns'!O:O,"NOT_FOUND")</f>
        <v>NOT_FOUND</v>
      </c>
    </row>
    <row r="4218" spans="1:17" x14ac:dyDescent="0.3">
      <c r="A4218" s="1">
        <v>46254</v>
      </c>
      <c r="B4218" t="s">
        <v>6286</v>
      </c>
      <c r="C4218" t="s">
        <v>808</v>
      </c>
      <c r="D4218" t="s">
        <v>904</v>
      </c>
      <c r="E4218" t="s">
        <v>8</v>
      </c>
      <c r="F4218" t="s">
        <v>38</v>
      </c>
      <c r="G4218" s="16">
        <v>1754.799</v>
      </c>
      <c r="H4218" s="16">
        <v>2018.0188000000001</v>
      </c>
      <c r="J4218">
        <v>5</v>
      </c>
      <c r="K4218" t="s">
        <v>10792</v>
      </c>
      <c r="M4218">
        <v>2</v>
      </c>
      <c r="N4218">
        <v>2</v>
      </c>
      <c r="O4218" t="s">
        <v>216</v>
      </c>
      <c r="P4218" s="17"/>
      <c r="Q4218" s="17" t="str">
        <f>_xlfn.XLOOKUP(Table2[[#This Row],[buyFromVendorNo]],'Next Day Scheduled'!A:A,'Pending Returns'!O:O,"NOT_FOUND")</f>
        <v>NOT_FOUND</v>
      </c>
    </row>
    <row r="4219" spans="1:17" x14ac:dyDescent="0.3">
      <c r="A4219" s="1">
        <v>46254</v>
      </c>
      <c r="B4219" t="s">
        <v>3372</v>
      </c>
      <c r="C4219" t="s">
        <v>613</v>
      </c>
      <c r="D4219" t="s">
        <v>614</v>
      </c>
      <c r="E4219" t="s">
        <v>8</v>
      </c>
      <c r="F4219" t="s">
        <v>10</v>
      </c>
      <c r="G4219" s="16">
        <v>207.02</v>
      </c>
      <c r="H4219" s="16">
        <v>238.07300000000001</v>
      </c>
      <c r="J4219">
        <v>5</v>
      </c>
      <c r="K4219" t="s">
        <v>10808</v>
      </c>
      <c r="M4219">
        <v>1</v>
      </c>
      <c r="N4219">
        <v>2</v>
      </c>
      <c r="O4219" t="s">
        <v>216</v>
      </c>
      <c r="P4219" s="17"/>
      <c r="Q4219" s="17" t="str">
        <f>_xlfn.XLOOKUP(Table2[[#This Row],[buyFromVendorNo]],'Next Day Scheduled'!A:A,'Pending Returns'!O:O,"NOT_FOUND")</f>
        <v>NOT_FOUND</v>
      </c>
    </row>
    <row r="4220" spans="1:17" x14ac:dyDescent="0.3">
      <c r="A4220" s="1">
        <v>46254</v>
      </c>
      <c r="B4220" t="s">
        <v>10823</v>
      </c>
      <c r="C4220" t="s">
        <v>102</v>
      </c>
      <c r="D4220" t="s">
        <v>103</v>
      </c>
      <c r="E4220" t="s">
        <v>8</v>
      </c>
      <c r="F4220" t="s">
        <v>10</v>
      </c>
      <c r="G4220" s="16">
        <v>134.55000000000001</v>
      </c>
      <c r="H4220" s="16">
        <v>154.73249999999999</v>
      </c>
      <c r="J4220">
        <v>5</v>
      </c>
      <c r="K4220" t="s">
        <v>10824</v>
      </c>
      <c r="M4220">
        <v>0</v>
      </c>
      <c r="N4220">
        <v>330</v>
      </c>
      <c r="O4220" t="s">
        <v>216</v>
      </c>
      <c r="P4220" s="17"/>
      <c r="Q4220" s="17" t="str">
        <f>_xlfn.XLOOKUP(Table2[[#This Row],[buyFromVendorNo]],'Next Day Scheduled'!A:A,'Pending Returns'!O:O,"NOT_FOUND")</f>
        <v>NOT_FOUND</v>
      </c>
    </row>
    <row r="4221" spans="1:17" x14ac:dyDescent="0.3">
      <c r="A4221" s="1">
        <v>46254</v>
      </c>
      <c r="B4221" t="s">
        <v>5299</v>
      </c>
      <c r="C4221" t="s">
        <v>173</v>
      </c>
      <c r="D4221" t="s">
        <v>174</v>
      </c>
      <c r="E4221" t="s">
        <v>8</v>
      </c>
      <c r="F4221" t="s">
        <v>10</v>
      </c>
      <c r="G4221" s="16">
        <v>1605.17</v>
      </c>
      <c r="H4221" s="16">
        <v>1845.9456</v>
      </c>
      <c r="J4221">
        <v>5</v>
      </c>
      <c r="K4221" t="s">
        <v>10826</v>
      </c>
      <c r="M4221">
        <v>2</v>
      </c>
      <c r="N4221">
        <v>1</v>
      </c>
      <c r="O4221" t="s">
        <v>216</v>
      </c>
      <c r="P4221" s="17"/>
      <c r="Q4221" s="17" t="str">
        <f>_xlfn.XLOOKUP(Table2[[#This Row],[buyFromVendorNo]],'Next Day Scheduled'!A:A,'Pending Returns'!O:O,"NOT_FOUND")</f>
        <v>NOT_FOUND</v>
      </c>
    </row>
    <row r="4222" spans="1:17" x14ac:dyDescent="0.3">
      <c r="A4222" s="1">
        <v>46254</v>
      </c>
      <c r="B4222" t="s">
        <v>642</v>
      </c>
      <c r="C4222" t="s">
        <v>329</v>
      </c>
      <c r="D4222" t="s">
        <v>10773</v>
      </c>
      <c r="E4222" t="s">
        <v>8</v>
      </c>
      <c r="F4222" t="s">
        <v>38</v>
      </c>
      <c r="G4222" s="16">
        <v>153</v>
      </c>
      <c r="H4222" s="16">
        <v>175.95</v>
      </c>
      <c r="J4222">
        <v>5</v>
      </c>
      <c r="K4222" t="s">
        <v>10774</v>
      </c>
      <c r="M4222">
        <v>1</v>
      </c>
      <c r="N4222">
        <v>2</v>
      </c>
      <c r="O4222" t="s">
        <v>216</v>
      </c>
      <c r="P4222" s="17"/>
      <c r="Q4222" s="17" t="str">
        <f>_xlfn.XLOOKUP(Table2[[#This Row],[buyFromVendorNo]],'Next Day Scheduled'!A:A,'Pending Returns'!O:O,"NOT_FOUND")</f>
        <v>NOT_FOUND</v>
      </c>
    </row>
    <row r="4223" spans="1:17" x14ac:dyDescent="0.3">
      <c r="A4223" s="1">
        <v>46254</v>
      </c>
      <c r="B4223" t="s">
        <v>642</v>
      </c>
      <c r="C4223" t="s">
        <v>204</v>
      </c>
      <c r="D4223" t="s">
        <v>205</v>
      </c>
      <c r="E4223" t="s">
        <v>8</v>
      </c>
      <c r="F4223" t="s">
        <v>38</v>
      </c>
      <c r="G4223" s="16">
        <v>38.479999999999997</v>
      </c>
      <c r="H4223" s="16">
        <v>44.252000000000002</v>
      </c>
      <c r="I4223" s="1">
        <v>46254</v>
      </c>
      <c r="J4223">
        <v>5</v>
      </c>
      <c r="K4223" t="s">
        <v>10353</v>
      </c>
      <c r="L4223" t="s">
        <v>10827</v>
      </c>
      <c r="M4223">
        <v>1</v>
      </c>
      <c r="N4223">
        <v>5</v>
      </c>
      <c r="O4223" t="s">
        <v>223</v>
      </c>
      <c r="P4223" s="17"/>
      <c r="Q4223" s="17" t="str">
        <f>_xlfn.XLOOKUP(Table2[[#This Row],[buyFromVendorNo]],'Next Day Scheduled'!A:A,'Pending Returns'!O:O,"NOT_FOUND")</f>
        <v>NOT_FOUND</v>
      </c>
    </row>
    <row r="4224" spans="1:17" x14ac:dyDescent="0.3">
      <c r="A4224" s="1">
        <v>46255</v>
      </c>
      <c r="B4224" t="s">
        <v>8053</v>
      </c>
      <c r="C4224" t="s">
        <v>321</v>
      </c>
      <c r="D4224" t="s">
        <v>322</v>
      </c>
      <c r="E4224" t="s">
        <v>8</v>
      </c>
      <c r="F4224" t="s">
        <v>10</v>
      </c>
      <c r="G4224" s="16">
        <v>734.64795000000004</v>
      </c>
      <c r="H4224" s="16">
        <v>844.84514999999999</v>
      </c>
      <c r="I4224" s="1">
        <v>46255</v>
      </c>
      <c r="J4224">
        <v>4</v>
      </c>
      <c r="K4224" t="s">
        <v>10299</v>
      </c>
      <c r="L4224" t="s">
        <v>10850</v>
      </c>
      <c r="M4224">
        <v>0</v>
      </c>
      <c r="N4224">
        <v>5</v>
      </c>
      <c r="O4224" t="s">
        <v>223</v>
      </c>
      <c r="P4224" s="17"/>
      <c r="Q4224" s="17" t="str">
        <f>_xlfn.XLOOKUP(Table2[[#This Row],[buyFromVendorNo]],'Next Day Scheduled'!A:A,'Pending Returns'!O:O,"NOT_FOUND")</f>
        <v>NOT_FOUND</v>
      </c>
    </row>
    <row r="4225" spans="1:17" x14ac:dyDescent="0.3">
      <c r="A4225" s="1">
        <v>46255</v>
      </c>
      <c r="B4225" t="s">
        <v>1567</v>
      </c>
      <c r="C4225" t="s">
        <v>2373</v>
      </c>
      <c r="D4225" t="s">
        <v>2374</v>
      </c>
      <c r="E4225" t="s">
        <v>8</v>
      </c>
      <c r="F4225" t="s">
        <v>10</v>
      </c>
      <c r="G4225" s="16">
        <v>1394</v>
      </c>
      <c r="H4225" s="16">
        <v>1603.1</v>
      </c>
      <c r="I4225" s="1">
        <v>46255</v>
      </c>
      <c r="J4225">
        <v>4</v>
      </c>
      <c r="K4225" t="s">
        <v>10851</v>
      </c>
      <c r="L4225" t="s">
        <v>10852</v>
      </c>
      <c r="M4225">
        <v>0</v>
      </c>
      <c r="N4225">
        <v>5</v>
      </c>
      <c r="O4225" t="s">
        <v>223</v>
      </c>
      <c r="P4225" s="17"/>
      <c r="Q4225" s="17" t="str">
        <f>_xlfn.XLOOKUP(Table2[[#This Row],[buyFromVendorNo]],'Next Day Scheduled'!A:A,'Pending Returns'!O:O,"NOT_FOUND")</f>
        <v>NOT_FOUND</v>
      </c>
    </row>
    <row r="4226" spans="1:17" x14ac:dyDescent="0.3">
      <c r="A4226" s="1">
        <v>46255</v>
      </c>
      <c r="B4226" t="s">
        <v>2649</v>
      </c>
      <c r="C4226" t="s">
        <v>34</v>
      </c>
      <c r="D4226" t="s">
        <v>35</v>
      </c>
      <c r="E4226" t="s">
        <v>8</v>
      </c>
      <c r="F4226" t="s">
        <v>10</v>
      </c>
      <c r="G4226" s="16">
        <v>5595.2809999999999</v>
      </c>
      <c r="H4226" s="16">
        <v>6434.5727999999999</v>
      </c>
      <c r="J4226">
        <v>4</v>
      </c>
      <c r="K4226" t="s">
        <v>10830</v>
      </c>
      <c r="M4226">
        <v>0</v>
      </c>
      <c r="N4226">
        <v>8</v>
      </c>
      <c r="O4226" t="s">
        <v>216</v>
      </c>
      <c r="P4226" s="17"/>
      <c r="Q4226" s="17" t="str">
        <f>_xlfn.XLOOKUP(Table2[[#This Row],[buyFromVendorNo]],'Next Day Scheduled'!A:A,'Pending Returns'!O:O,"NOT_FOUND")</f>
        <v>Posted Credit Note</v>
      </c>
    </row>
    <row r="4227" spans="1:17" x14ac:dyDescent="0.3">
      <c r="A4227" s="1">
        <v>46255</v>
      </c>
      <c r="B4227" t="s">
        <v>3356</v>
      </c>
      <c r="C4227" t="s">
        <v>173</v>
      </c>
      <c r="D4227" t="s">
        <v>174</v>
      </c>
      <c r="E4227" t="s">
        <v>8</v>
      </c>
      <c r="F4227" t="s">
        <v>10</v>
      </c>
      <c r="G4227" s="16">
        <v>2686.96</v>
      </c>
      <c r="H4227" s="16">
        <v>3090.0039999999999</v>
      </c>
      <c r="J4227">
        <v>4</v>
      </c>
      <c r="K4227" t="s">
        <v>10853</v>
      </c>
      <c r="M4227">
        <v>2</v>
      </c>
      <c r="N4227">
        <v>1</v>
      </c>
      <c r="O4227" t="s">
        <v>216</v>
      </c>
      <c r="P4227" s="17"/>
      <c r="Q4227" s="17" t="str">
        <f>_xlfn.XLOOKUP(Table2[[#This Row],[buyFromVendorNo]],'Next Day Scheduled'!A:A,'Pending Returns'!O:O,"NOT_FOUND")</f>
        <v>NOT_FOUND</v>
      </c>
    </row>
    <row r="4228" spans="1:17" x14ac:dyDescent="0.3">
      <c r="A4228" s="1">
        <v>46255</v>
      </c>
      <c r="B4228" t="s">
        <v>3258</v>
      </c>
      <c r="C4228" t="s">
        <v>107</v>
      </c>
      <c r="D4228" t="s">
        <v>3864</v>
      </c>
      <c r="E4228" t="s">
        <v>8</v>
      </c>
      <c r="F4228" t="s">
        <v>10</v>
      </c>
      <c r="G4228" s="16">
        <v>316.1533</v>
      </c>
      <c r="H4228" s="16">
        <v>363.5763</v>
      </c>
      <c r="I4228" s="1">
        <v>46255</v>
      </c>
      <c r="J4228">
        <v>4</v>
      </c>
      <c r="K4228" t="s">
        <v>9430</v>
      </c>
      <c r="L4228" t="s">
        <v>10845</v>
      </c>
      <c r="M4228">
        <v>0</v>
      </c>
      <c r="N4228">
        <v>5</v>
      </c>
      <c r="O4228" t="s">
        <v>223</v>
      </c>
      <c r="P4228" s="17"/>
      <c r="Q4228" s="17" t="str">
        <f>_xlfn.XLOOKUP(Table2[[#This Row],[buyFromVendorNo]],'Next Day Scheduled'!A:A,'Pending Returns'!O:O,"NOT_FOUND")</f>
        <v>NOT_FOUND</v>
      </c>
    </row>
    <row r="4229" spans="1:17" x14ac:dyDescent="0.3">
      <c r="A4229" s="1">
        <v>46255</v>
      </c>
      <c r="B4229" t="s">
        <v>9847</v>
      </c>
      <c r="C4229" t="s">
        <v>1022</v>
      </c>
      <c r="D4229" t="s">
        <v>1023</v>
      </c>
      <c r="E4229" t="s">
        <v>8</v>
      </c>
      <c r="F4229" t="s">
        <v>10</v>
      </c>
      <c r="G4229" s="16">
        <v>241</v>
      </c>
      <c r="H4229" s="16">
        <v>277.14999999999998</v>
      </c>
      <c r="I4229" s="1">
        <v>46255</v>
      </c>
      <c r="J4229">
        <v>4</v>
      </c>
      <c r="K4229" t="s">
        <v>9848</v>
      </c>
      <c r="L4229" t="s">
        <v>10841</v>
      </c>
      <c r="M4229">
        <v>0</v>
      </c>
      <c r="N4229">
        <v>5</v>
      </c>
      <c r="O4229" t="s">
        <v>223</v>
      </c>
      <c r="P4229" s="17"/>
      <c r="Q4229" s="17" t="str">
        <f>_xlfn.XLOOKUP(Table2[[#This Row],[buyFromVendorNo]],'Next Day Scheduled'!A:A,'Pending Returns'!O:O,"NOT_FOUND")</f>
        <v>Posted Credit Note</v>
      </c>
    </row>
    <row r="4230" spans="1:17" x14ac:dyDescent="0.3">
      <c r="A4230" s="1">
        <v>46255</v>
      </c>
      <c r="B4230" t="s">
        <v>3461</v>
      </c>
      <c r="C4230" t="s">
        <v>3103</v>
      </c>
      <c r="D4230" t="s">
        <v>3104</v>
      </c>
      <c r="E4230" t="s">
        <v>8</v>
      </c>
      <c r="F4230" t="s">
        <v>10</v>
      </c>
      <c r="G4230" s="16">
        <v>25.2</v>
      </c>
      <c r="H4230" s="16">
        <v>28.98</v>
      </c>
      <c r="I4230" s="1">
        <v>46255</v>
      </c>
      <c r="J4230">
        <v>4</v>
      </c>
      <c r="K4230" t="s">
        <v>8100</v>
      </c>
      <c r="L4230" t="s">
        <v>10829</v>
      </c>
      <c r="M4230">
        <v>0</v>
      </c>
      <c r="N4230">
        <v>216</v>
      </c>
      <c r="O4230" t="s">
        <v>223</v>
      </c>
      <c r="P4230" s="17"/>
      <c r="Q4230" s="17" t="str">
        <f>_xlfn.XLOOKUP(Table2[[#This Row],[buyFromVendorNo]],'Next Day Scheduled'!A:A,'Pending Returns'!O:O,"NOT_FOUND")</f>
        <v>NOT_FOUND</v>
      </c>
    </row>
    <row r="4231" spans="1:17" x14ac:dyDescent="0.3">
      <c r="A4231" s="1">
        <v>46255</v>
      </c>
      <c r="B4231" t="s">
        <v>2723</v>
      </c>
      <c r="C4231" t="s">
        <v>69</v>
      </c>
      <c r="D4231" t="s">
        <v>70</v>
      </c>
      <c r="E4231" t="s">
        <v>8</v>
      </c>
      <c r="F4231" t="s">
        <v>10</v>
      </c>
      <c r="G4231" s="16">
        <v>3388.83</v>
      </c>
      <c r="H4231" s="16">
        <v>3897.1545000000001</v>
      </c>
      <c r="J4231">
        <v>4</v>
      </c>
      <c r="K4231" t="s">
        <v>10836</v>
      </c>
      <c r="M4231">
        <v>4</v>
      </c>
      <c r="N4231">
        <v>1</v>
      </c>
      <c r="O4231" t="s">
        <v>216</v>
      </c>
      <c r="P4231" s="17"/>
      <c r="Q4231" s="17" t="str">
        <f>_xlfn.XLOOKUP(Table2[[#This Row],[buyFromVendorNo]],'Next Day Scheduled'!A:A,'Pending Returns'!O:O,"NOT_FOUND")</f>
        <v>Posted Credit Note</v>
      </c>
    </row>
    <row r="4232" spans="1:17" x14ac:dyDescent="0.3">
      <c r="A4232" s="1">
        <v>46255</v>
      </c>
      <c r="B4232" t="s">
        <v>1599</v>
      </c>
      <c r="C4232" t="s">
        <v>1022</v>
      </c>
      <c r="D4232" t="s">
        <v>1023</v>
      </c>
      <c r="E4232" t="s">
        <v>8</v>
      </c>
      <c r="F4232" t="s">
        <v>10</v>
      </c>
      <c r="G4232" s="16">
        <v>9</v>
      </c>
      <c r="H4232" s="16">
        <v>10.35</v>
      </c>
      <c r="I4232" s="1">
        <v>46255</v>
      </c>
      <c r="J4232">
        <v>4</v>
      </c>
      <c r="K4232" t="s">
        <v>10671</v>
      </c>
      <c r="L4232" t="s">
        <v>10837</v>
      </c>
      <c r="M4232">
        <v>0</v>
      </c>
      <c r="N4232">
        <v>5</v>
      </c>
      <c r="O4232" t="s">
        <v>223</v>
      </c>
      <c r="P4232" s="17"/>
      <c r="Q4232" s="17" t="str">
        <f>_xlfn.XLOOKUP(Table2[[#This Row],[buyFromVendorNo]],'Next Day Scheduled'!A:A,'Pending Returns'!O:O,"NOT_FOUND")</f>
        <v>Posted Credit Note</v>
      </c>
    </row>
    <row r="4233" spans="1:17" x14ac:dyDescent="0.3">
      <c r="A4233" s="1">
        <v>46255</v>
      </c>
      <c r="B4233" t="s">
        <v>2573</v>
      </c>
      <c r="C4233" t="s">
        <v>69</v>
      </c>
      <c r="D4233" t="s">
        <v>70</v>
      </c>
      <c r="E4233" t="s">
        <v>8</v>
      </c>
      <c r="F4233" t="s">
        <v>10</v>
      </c>
      <c r="G4233" s="16">
        <v>3264.13</v>
      </c>
      <c r="H4233" s="16">
        <v>3753.7494999999999</v>
      </c>
      <c r="J4233">
        <v>4</v>
      </c>
      <c r="K4233" t="s">
        <v>10844</v>
      </c>
      <c r="M4233">
        <v>4</v>
      </c>
      <c r="N4233">
        <v>1</v>
      </c>
      <c r="O4233" t="s">
        <v>216</v>
      </c>
      <c r="P4233" s="17"/>
      <c r="Q4233" s="17" t="str">
        <f>_xlfn.XLOOKUP(Table2[[#This Row],[buyFromVendorNo]],'Next Day Scheduled'!A:A,'Pending Returns'!O:O,"NOT_FOUND")</f>
        <v>Posted Credit Note</v>
      </c>
    </row>
    <row r="4234" spans="1:17" x14ac:dyDescent="0.3">
      <c r="A4234" s="1">
        <v>46255</v>
      </c>
      <c r="B4234" t="s">
        <v>1567</v>
      </c>
      <c r="C4234" t="s">
        <v>2373</v>
      </c>
      <c r="D4234" t="s">
        <v>2374</v>
      </c>
      <c r="E4234" t="s">
        <v>8</v>
      </c>
      <c r="F4234" t="s">
        <v>10</v>
      </c>
      <c r="G4234" s="16">
        <v>2205.2800000000002</v>
      </c>
      <c r="H4234" s="16">
        <v>2536.0720000000001</v>
      </c>
      <c r="I4234" s="1">
        <v>46255</v>
      </c>
      <c r="J4234">
        <v>4</v>
      </c>
      <c r="K4234" t="s">
        <v>10838</v>
      </c>
      <c r="L4234" t="s">
        <v>10839</v>
      </c>
      <c r="M4234">
        <v>0</v>
      </c>
      <c r="N4234">
        <v>5</v>
      </c>
      <c r="O4234" t="s">
        <v>223</v>
      </c>
      <c r="P4234" s="17"/>
      <c r="Q4234" s="17" t="str">
        <f>_xlfn.XLOOKUP(Table2[[#This Row],[buyFromVendorNo]],'Next Day Scheduled'!A:A,'Pending Returns'!O:O,"NOT_FOUND")</f>
        <v>NOT_FOUND</v>
      </c>
    </row>
    <row r="4235" spans="1:17" x14ac:dyDescent="0.3">
      <c r="A4235" s="1">
        <v>46255</v>
      </c>
      <c r="B4235" t="s">
        <v>3292</v>
      </c>
      <c r="C4235" t="s">
        <v>562</v>
      </c>
      <c r="D4235" t="s">
        <v>563</v>
      </c>
      <c r="E4235" t="s">
        <v>8</v>
      </c>
      <c r="F4235" t="s">
        <v>10</v>
      </c>
      <c r="G4235" s="16">
        <v>2265.8791999999999</v>
      </c>
      <c r="H4235" s="16">
        <v>2605.761</v>
      </c>
      <c r="J4235">
        <v>4</v>
      </c>
      <c r="K4235" t="s">
        <v>10854</v>
      </c>
      <c r="M4235">
        <v>3</v>
      </c>
      <c r="N4235">
        <v>1</v>
      </c>
      <c r="O4235" t="s">
        <v>216</v>
      </c>
      <c r="P4235" s="17"/>
      <c r="Q4235" s="17" t="str">
        <f>_xlfn.XLOOKUP(Table2[[#This Row],[buyFromVendorNo]],'Next Day Scheduled'!A:A,'Pending Returns'!O:O,"NOT_FOUND")</f>
        <v>NOT_FOUND</v>
      </c>
    </row>
    <row r="4236" spans="1:17" x14ac:dyDescent="0.3">
      <c r="A4236" s="1">
        <v>46255</v>
      </c>
      <c r="B4236" t="s">
        <v>5911</v>
      </c>
      <c r="C4236" t="s">
        <v>107</v>
      </c>
      <c r="D4236" t="s">
        <v>3864</v>
      </c>
      <c r="E4236" t="s">
        <v>8</v>
      </c>
      <c r="F4236" t="s">
        <v>10</v>
      </c>
      <c r="G4236" s="16">
        <v>122.86</v>
      </c>
      <c r="H4236" s="16">
        <v>141.28899999999999</v>
      </c>
      <c r="I4236" s="1">
        <v>46255</v>
      </c>
      <c r="J4236">
        <v>4</v>
      </c>
      <c r="K4236" t="s">
        <v>10015</v>
      </c>
      <c r="L4236" t="s">
        <v>10840</v>
      </c>
      <c r="M4236">
        <v>0</v>
      </c>
      <c r="N4236">
        <v>5</v>
      </c>
      <c r="O4236" t="s">
        <v>223</v>
      </c>
      <c r="P4236" s="17"/>
      <c r="Q4236" s="17" t="str">
        <f>_xlfn.XLOOKUP(Table2[[#This Row],[buyFromVendorNo]],'Next Day Scheduled'!A:A,'Pending Returns'!O:O,"NOT_FOUND")</f>
        <v>NOT_FOUND</v>
      </c>
    </row>
    <row r="4237" spans="1:17" x14ac:dyDescent="0.3">
      <c r="A4237" s="1">
        <v>46255</v>
      </c>
      <c r="B4237" t="s">
        <v>8230</v>
      </c>
      <c r="C4237" t="s">
        <v>137</v>
      </c>
      <c r="D4237" t="s">
        <v>138</v>
      </c>
      <c r="E4237" t="s">
        <v>8</v>
      </c>
      <c r="F4237" t="s">
        <v>10</v>
      </c>
      <c r="G4237" s="16">
        <v>14094.35</v>
      </c>
      <c r="H4237" s="16">
        <v>16208.503000000001</v>
      </c>
      <c r="J4237">
        <v>4</v>
      </c>
      <c r="K4237" t="s">
        <v>10848</v>
      </c>
      <c r="M4237">
        <v>0</v>
      </c>
      <c r="N4237">
        <v>5</v>
      </c>
      <c r="O4237" t="s">
        <v>216</v>
      </c>
      <c r="P4237" s="17"/>
      <c r="Q4237" s="17" t="str">
        <f>_xlfn.XLOOKUP(Table2[[#This Row],[buyFromVendorNo]],'Next Day Scheduled'!A:A,'Pending Returns'!O:O,"NOT_FOUND")</f>
        <v>NOT_FOUND</v>
      </c>
    </row>
    <row r="4238" spans="1:17" x14ac:dyDescent="0.3">
      <c r="A4238" s="1">
        <v>46255</v>
      </c>
      <c r="B4238" t="s">
        <v>8942</v>
      </c>
      <c r="C4238" t="s">
        <v>1615</v>
      </c>
      <c r="D4238" t="s">
        <v>1616</v>
      </c>
      <c r="E4238" t="s">
        <v>8</v>
      </c>
      <c r="F4238" t="s">
        <v>10</v>
      </c>
      <c r="G4238" s="16">
        <v>33.6</v>
      </c>
      <c r="H4238" s="16">
        <v>38.64</v>
      </c>
      <c r="I4238" s="1">
        <v>46255</v>
      </c>
      <c r="J4238">
        <v>4</v>
      </c>
      <c r="K4238" t="s">
        <v>9849</v>
      </c>
      <c r="L4238" t="s">
        <v>10835</v>
      </c>
      <c r="M4238">
        <v>0</v>
      </c>
      <c r="N4238">
        <v>5</v>
      </c>
      <c r="O4238" t="s">
        <v>223</v>
      </c>
      <c r="P4238" s="17"/>
      <c r="Q4238" s="17" t="str">
        <f>_xlfn.XLOOKUP(Table2[[#This Row],[buyFromVendorNo]],'Next Day Scheduled'!A:A,'Pending Returns'!O:O,"NOT_FOUND")</f>
        <v>NOT_FOUND</v>
      </c>
    </row>
    <row r="4239" spans="1:17" x14ac:dyDescent="0.3">
      <c r="A4239" s="1">
        <v>46255</v>
      </c>
      <c r="B4239" t="s">
        <v>2159</v>
      </c>
      <c r="C4239" t="s">
        <v>1161</v>
      </c>
      <c r="D4239" t="s">
        <v>1162</v>
      </c>
      <c r="E4239" t="s">
        <v>8</v>
      </c>
      <c r="F4239" t="s">
        <v>10</v>
      </c>
      <c r="G4239" s="16">
        <v>2093.16</v>
      </c>
      <c r="H4239" s="16">
        <v>2407.134</v>
      </c>
      <c r="J4239">
        <v>4</v>
      </c>
      <c r="K4239" t="s">
        <v>10831</v>
      </c>
      <c r="M4239">
        <v>0</v>
      </c>
      <c r="N4239">
        <v>6</v>
      </c>
      <c r="O4239" t="s">
        <v>216</v>
      </c>
      <c r="P4239" s="17"/>
      <c r="Q4239" s="17" t="str">
        <f>_xlfn.XLOOKUP(Table2[[#This Row],[buyFromVendorNo]],'Next Day Scheduled'!A:A,'Pending Returns'!O:O,"NOT_FOUND")</f>
        <v>NOT_FOUND</v>
      </c>
    </row>
    <row r="4240" spans="1:17" x14ac:dyDescent="0.3">
      <c r="A4240" s="1">
        <v>46255</v>
      </c>
      <c r="B4240" t="s">
        <v>1686</v>
      </c>
      <c r="C4240" t="s">
        <v>8432</v>
      </c>
      <c r="D4240" t="s">
        <v>8433</v>
      </c>
      <c r="E4240" t="s">
        <v>8</v>
      </c>
      <c r="F4240" t="s">
        <v>10</v>
      </c>
      <c r="G4240" s="16">
        <v>1584.6</v>
      </c>
      <c r="H4240" s="16">
        <v>1822.29</v>
      </c>
      <c r="I4240" s="1">
        <v>46255</v>
      </c>
      <c r="J4240">
        <v>4</v>
      </c>
      <c r="K4240" t="s">
        <v>8431</v>
      </c>
      <c r="L4240" t="s">
        <v>10843</v>
      </c>
      <c r="M4240">
        <v>0</v>
      </c>
      <c r="N4240">
        <v>163</v>
      </c>
      <c r="O4240" t="s">
        <v>223</v>
      </c>
      <c r="P4240" s="17"/>
      <c r="Q4240" s="17" t="str">
        <f>_xlfn.XLOOKUP(Table2[[#This Row],[buyFromVendorNo]],'Next Day Scheduled'!A:A,'Pending Returns'!O:O,"NOT_FOUND")</f>
        <v>NOT_FOUND</v>
      </c>
    </row>
    <row r="4241" spans="1:17" x14ac:dyDescent="0.3">
      <c r="A4241" s="1">
        <v>46255</v>
      </c>
      <c r="B4241" t="s">
        <v>1442</v>
      </c>
      <c r="C4241" t="s">
        <v>88</v>
      </c>
      <c r="D4241" t="s">
        <v>89</v>
      </c>
      <c r="E4241" t="s">
        <v>8</v>
      </c>
      <c r="F4241" t="s">
        <v>38</v>
      </c>
      <c r="G4241" s="16">
        <v>1704.04</v>
      </c>
      <c r="H4241" s="16">
        <v>1959.646</v>
      </c>
      <c r="I4241" s="1">
        <v>46240</v>
      </c>
      <c r="J4241">
        <v>4</v>
      </c>
      <c r="K4241" t="s">
        <v>8352</v>
      </c>
      <c r="L4241" t="s">
        <v>10832</v>
      </c>
      <c r="M4241">
        <v>0</v>
      </c>
      <c r="N4241">
        <v>12</v>
      </c>
      <c r="O4241" t="s">
        <v>1036</v>
      </c>
      <c r="P4241" s="17"/>
      <c r="Q4241" s="17" t="str">
        <f>_xlfn.XLOOKUP(Table2[[#This Row],[buyFromVendorNo]],'Next Day Scheduled'!A:A,'Pending Returns'!O:O,"NOT_FOUND")</f>
        <v>NOT_FOUND</v>
      </c>
    </row>
    <row r="4242" spans="1:17" x14ac:dyDescent="0.3">
      <c r="A4242" s="1">
        <v>46255</v>
      </c>
      <c r="B4242" t="s">
        <v>1599</v>
      </c>
      <c r="C4242" t="s">
        <v>173</v>
      </c>
      <c r="D4242" t="s">
        <v>174</v>
      </c>
      <c r="E4242" t="s">
        <v>8</v>
      </c>
      <c r="F4242" t="s">
        <v>10</v>
      </c>
      <c r="G4242" s="16">
        <v>2088.62</v>
      </c>
      <c r="H4242" s="16">
        <v>2401.913</v>
      </c>
      <c r="J4242">
        <v>4</v>
      </c>
      <c r="K4242" t="s">
        <v>10900</v>
      </c>
      <c r="M4242">
        <v>2</v>
      </c>
      <c r="N4242">
        <v>1</v>
      </c>
      <c r="O4242" t="s">
        <v>216</v>
      </c>
      <c r="P4242" s="17"/>
      <c r="Q4242" s="17" t="str">
        <f>_xlfn.XLOOKUP(Table2[[#This Row],[buyFromVendorNo]],'Next Day Scheduled'!A:A,'Pending Returns'!O:O,"NOT_FOUND")</f>
        <v>NOT_FOUND</v>
      </c>
    </row>
    <row r="4243" spans="1:17" x14ac:dyDescent="0.3">
      <c r="A4243" s="1">
        <v>46255</v>
      </c>
      <c r="B4243" t="s">
        <v>3337</v>
      </c>
      <c r="C4243" t="s">
        <v>120</v>
      </c>
      <c r="D4243" t="s">
        <v>121</v>
      </c>
      <c r="E4243" t="s">
        <v>8</v>
      </c>
      <c r="F4243" t="s">
        <v>10</v>
      </c>
      <c r="G4243" s="16">
        <v>631.75</v>
      </c>
      <c r="H4243" s="16">
        <v>726.51250000000005</v>
      </c>
      <c r="J4243">
        <v>4</v>
      </c>
      <c r="K4243" t="s">
        <v>10849</v>
      </c>
      <c r="M4243">
        <v>1</v>
      </c>
      <c r="N4243">
        <v>1</v>
      </c>
      <c r="O4243" t="s">
        <v>216</v>
      </c>
      <c r="P4243" s="17"/>
      <c r="Q4243" s="17" t="str">
        <f>_xlfn.XLOOKUP(Table2[[#This Row],[buyFromVendorNo]],'Next Day Scheduled'!A:A,'Pending Returns'!O:O,"NOT_FOUND")</f>
        <v>NOT_FOUND</v>
      </c>
    </row>
    <row r="4244" spans="1:17" x14ac:dyDescent="0.3">
      <c r="A4244" s="1">
        <v>46255</v>
      </c>
      <c r="B4244" t="s">
        <v>447</v>
      </c>
      <c r="C4244" t="s">
        <v>1022</v>
      </c>
      <c r="D4244" t="s">
        <v>1023</v>
      </c>
      <c r="E4244" t="s">
        <v>8</v>
      </c>
      <c r="F4244" t="s">
        <v>10</v>
      </c>
      <c r="G4244" s="16">
        <v>10</v>
      </c>
      <c r="H4244" s="16">
        <v>11.5</v>
      </c>
      <c r="I4244" s="1">
        <v>46255</v>
      </c>
      <c r="J4244">
        <v>4</v>
      </c>
      <c r="K4244" t="s">
        <v>10672</v>
      </c>
      <c r="L4244" t="s">
        <v>10842</v>
      </c>
      <c r="M4244">
        <v>0</v>
      </c>
      <c r="N4244">
        <v>5</v>
      </c>
      <c r="O4244" t="s">
        <v>223</v>
      </c>
      <c r="P4244" s="17"/>
      <c r="Q4244" s="17" t="str">
        <f>_xlfn.XLOOKUP(Table2[[#This Row],[buyFromVendorNo]],'Next Day Scheduled'!A:A,'Pending Returns'!O:O,"NOT_FOUND")</f>
        <v>Posted Credit Note</v>
      </c>
    </row>
    <row r="4245" spans="1:17" x14ac:dyDescent="0.3">
      <c r="A4245" s="1">
        <v>46255</v>
      </c>
      <c r="B4245" t="s">
        <v>8191</v>
      </c>
      <c r="C4245" t="s">
        <v>3103</v>
      </c>
      <c r="D4245" t="s">
        <v>3104</v>
      </c>
      <c r="E4245" t="s">
        <v>8</v>
      </c>
      <c r="F4245" t="s">
        <v>10</v>
      </c>
      <c r="G4245" s="16">
        <v>14</v>
      </c>
      <c r="H4245" s="16">
        <v>16.100000000000001</v>
      </c>
      <c r="I4245" s="1">
        <v>46255</v>
      </c>
      <c r="J4245">
        <v>4</v>
      </c>
      <c r="K4245" t="s">
        <v>8885</v>
      </c>
      <c r="L4245" t="s">
        <v>10833</v>
      </c>
      <c r="M4245">
        <v>0</v>
      </c>
      <c r="N4245">
        <v>216</v>
      </c>
      <c r="O4245" t="s">
        <v>223</v>
      </c>
      <c r="P4245" s="17"/>
      <c r="Q4245" s="17" t="str">
        <f>_xlfn.XLOOKUP(Table2[[#This Row],[buyFromVendorNo]],'Next Day Scheduled'!A:A,'Pending Returns'!O:O,"NOT_FOUND")</f>
        <v>NOT_FOUND</v>
      </c>
    </row>
    <row r="4246" spans="1:17" x14ac:dyDescent="0.3">
      <c r="A4246" s="1">
        <v>46255</v>
      </c>
      <c r="B4246" t="s">
        <v>3304</v>
      </c>
      <c r="C4246" t="s">
        <v>49</v>
      </c>
      <c r="D4246" t="s">
        <v>50</v>
      </c>
      <c r="E4246" t="s">
        <v>8</v>
      </c>
      <c r="F4246" t="s">
        <v>10</v>
      </c>
      <c r="G4246" s="16">
        <v>1866.16</v>
      </c>
      <c r="H4246" s="16">
        <v>2146.0839999999998</v>
      </c>
      <c r="J4246">
        <v>4</v>
      </c>
      <c r="K4246" t="s">
        <v>10846</v>
      </c>
      <c r="M4246">
        <v>0</v>
      </c>
      <c r="N4246">
        <v>15</v>
      </c>
      <c r="O4246" t="s">
        <v>216</v>
      </c>
      <c r="P4246" s="17"/>
      <c r="Q4246" s="17" t="str">
        <f>_xlfn.XLOOKUP(Table2[[#This Row],[buyFromVendorNo]],'Next Day Scheduled'!A:A,'Pending Returns'!O:O,"NOT_FOUND")</f>
        <v>NOT_FOUND</v>
      </c>
    </row>
    <row r="4247" spans="1:17" x14ac:dyDescent="0.3">
      <c r="A4247" s="1">
        <v>46255</v>
      </c>
      <c r="B4247" t="s">
        <v>3304</v>
      </c>
      <c r="C4247" t="s">
        <v>2373</v>
      </c>
      <c r="D4247" t="s">
        <v>2374</v>
      </c>
      <c r="E4247" t="s">
        <v>8</v>
      </c>
      <c r="F4247" t="s">
        <v>10</v>
      </c>
      <c r="G4247" s="16">
        <v>2652</v>
      </c>
      <c r="H4247" s="16">
        <v>3049.8</v>
      </c>
      <c r="I4247" s="1">
        <v>46255</v>
      </c>
      <c r="J4247">
        <v>4</v>
      </c>
      <c r="K4247" t="s">
        <v>9496</v>
      </c>
      <c r="L4247" t="s">
        <v>10847</v>
      </c>
      <c r="M4247">
        <v>0</v>
      </c>
      <c r="N4247">
        <v>5</v>
      </c>
      <c r="O4247" t="s">
        <v>223</v>
      </c>
      <c r="P4247" s="17"/>
      <c r="Q4247" s="17" t="str">
        <f>_xlfn.XLOOKUP(Table2[[#This Row],[buyFromVendorNo]],'Next Day Scheduled'!A:A,'Pending Returns'!O:O,"NOT_FOUND")</f>
        <v>NOT_FOUND</v>
      </c>
    </row>
    <row r="4248" spans="1:17" x14ac:dyDescent="0.3">
      <c r="A4248" s="1">
        <v>46255</v>
      </c>
      <c r="B4248" t="s">
        <v>8744</v>
      </c>
      <c r="C4248" t="s">
        <v>2373</v>
      </c>
      <c r="D4248" t="s">
        <v>2374</v>
      </c>
      <c r="E4248" t="s">
        <v>8</v>
      </c>
      <c r="F4248" t="s">
        <v>10</v>
      </c>
      <c r="G4248" s="16">
        <v>3373.32</v>
      </c>
      <c r="H4248" s="16">
        <v>3879.3180000000002</v>
      </c>
      <c r="I4248" s="1">
        <v>46255</v>
      </c>
      <c r="J4248">
        <v>4</v>
      </c>
      <c r="K4248" t="s">
        <v>10651</v>
      </c>
      <c r="L4248" t="s">
        <v>10834</v>
      </c>
      <c r="M4248">
        <v>0</v>
      </c>
      <c r="N4248">
        <v>5</v>
      </c>
      <c r="O4248" t="s">
        <v>223</v>
      </c>
      <c r="P4248" s="17"/>
      <c r="Q4248" s="17" t="str">
        <f>_xlfn.XLOOKUP(Table2[[#This Row],[buyFromVendorNo]],'Next Day Scheduled'!A:A,'Pending Returns'!O:O,"NOT_FOUND")</f>
        <v>NOT_FOUND</v>
      </c>
    </row>
    <row r="4249" spans="1:17" x14ac:dyDescent="0.3">
      <c r="A4249" s="1">
        <v>46256</v>
      </c>
      <c r="B4249" t="s">
        <v>10021</v>
      </c>
      <c r="C4249" t="s">
        <v>5199</v>
      </c>
      <c r="D4249" t="s">
        <v>5200</v>
      </c>
      <c r="E4249" t="s">
        <v>8</v>
      </c>
      <c r="F4249" t="s">
        <v>10</v>
      </c>
      <c r="G4249" s="16">
        <v>107.81235</v>
      </c>
      <c r="H4249" s="16">
        <v>123.9842</v>
      </c>
      <c r="J4249">
        <v>3</v>
      </c>
      <c r="K4249" t="s">
        <v>10901</v>
      </c>
      <c r="M4249">
        <v>0</v>
      </c>
      <c r="N4249">
        <v>24</v>
      </c>
      <c r="O4249" t="s">
        <v>216</v>
      </c>
      <c r="P4249" s="17"/>
      <c r="Q4249" s="17" t="str">
        <f>_xlfn.XLOOKUP(Table2[[#This Row],[buyFromVendorNo]],'Next Day Scheduled'!A:A,'Pending Returns'!O:O,"NOT_FOUND")</f>
        <v>Posted Credit Note</v>
      </c>
    </row>
    <row r="4250" spans="1:17" x14ac:dyDescent="0.3">
      <c r="A4250" s="1">
        <v>46256</v>
      </c>
      <c r="B4250" t="s">
        <v>642</v>
      </c>
      <c r="C4250" t="s">
        <v>873</v>
      </c>
      <c r="D4250" t="s">
        <v>874</v>
      </c>
      <c r="E4250" t="s">
        <v>8</v>
      </c>
      <c r="F4250" t="s">
        <v>38</v>
      </c>
      <c r="G4250" s="16">
        <v>2992.16</v>
      </c>
      <c r="H4250" s="16">
        <v>3440.9839999999999</v>
      </c>
      <c r="I4250" s="1">
        <v>46253</v>
      </c>
      <c r="J4250">
        <v>3</v>
      </c>
      <c r="K4250" t="s">
        <v>8721</v>
      </c>
      <c r="L4250" t="s">
        <v>10904</v>
      </c>
      <c r="M4250">
        <v>0</v>
      </c>
      <c r="N4250">
        <v>6</v>
      </c>
      <c r="O4250" t="s">
        <v>1036</v>
      </c>
      <c r="P4250" s="17"/>
      <c r="Q4250" s="17" t="str">
        <f>_xlfn.XLOOKUP(Table2[[#This Row],[buyFromVendorNo]],'Next Day Scheduled'!A:A,'Pending Returns'!O:O,"NOT_FOUND")</f>
        <v>Posted Credit Note</v>
      </c>
    </row>
    <row r="4251" spans="1:17" x14ac:dyDescent="0.3">
      <c r="A4251" s="1">
        <v>46256</v>
      </c>
      <c r="B4251" t="s">
        <v>3461</v>
      </c>
      <c r="C4251" t="s">
        <v>5437</v>
      </c>
      <c r="D4251" t="s">
        <v>5438</v>
      </c>
      <c r="E4251" t="s">
        <v>8</v>
      </c>
      <c r="F4251" t="s">
        <v>10</v>
      </c>
      <c r="G4251" s="16">
        <v>15.218</v>
      </c>
      <c r="H4251" s="16">
        <v>17.500699999999998</v>
      </c>
      <c r="J4251">
        <v>3</v>
      </c>
      <c r="K4251" t="s">
        <v>10905</v>
      </c>
      <c r="M4251">
        <v>1</v>
      </c>
      <c r="N4251">
        <v>3</v>
      </c>
      <c r="O4251" t="s">
        <v>216</v>
      </c>
      <c r="P4251" s="17"/>
      <c r="Q4251" s="17" t="str">
        <f>_xlfn.XLOOKUP(Table2[[#This Row],[buyFromVendorNo]],'Next Day Scheduled'!A:A,'Pending Returns'!O:O,"NOT_FOUND")</f>
        <v>NOT_FOUND</v>
      </c>
    </row>
    <row r="4252" spans="1:17" x14ac:dyDescent="0.3">
      <c r="A4252" s="1">
        <v>46256</v>
      </c>
      <c r="B4252" t="s">
        <v>317</v>
      </c>
      <c r="C4252" t="s">
        <v>873</v>
      </c>
      <c r="D4252" t="s">
        <v>874</v>
      </c>
      <c r="E4252" t="s">
        <v>8</v>
      </c>
      <c r="F4252" t="s">
        <v>38</v>
      </c>
      <c r="G4252" s="16">
        <v>1688.51</v>
      </c>
      <c r="H4252" s="16">
        <v>1941.7864999999999</v>
      </c>
      <c r="I4252" s="1">
        <v>46254</v>
      </c>
      <c r="J4252">
        <v>3</v>
      </c>
      <c r="K4252" t="s">
        <v>7446</v>
      </c>
      <c r="L4252" t="s">
        <v>10941</v>
      </c>
      <c r="M4252">
        <v>0</v>
      </c>
      <c r="N4252">
        <v>6</v>
      </c>
      <c r="O4252" t="s">
        <v>1036</v>
      </c>
      <c r="P4252" s="17"/>
      <c r="Q4252" s="17" t="str">
        <f>_xlfn.XLOOKUP(Table2[[#This Row],[buyFromVendorNo]],'Next Day Scheduled'!A:A,'Pending Returns'!O:O,"NOT_FOUND")</f>
        <v>Posted Credit Note</v>
      </c>
    </row>
    <row r="4253" spans="1:17" x14ac:dyDescent="0.3">
      <c r="A4253" s="1">
        <v>46256</v>
      </c>
      <c r="B4253" t="s">
        <v>3457</v>
      </c>
      <c r="C4253" t="s">
        <v>804</v>
      </c>
      <c r="D4253" t="s">
        <v>805</v>
      </c>
      <c r="E4253" t="s">
        <v>8</v>
      </c>
      <c r="F4253" t="s">
        <v>10</v>
      </c>
      <c r="G4253" s="16">
        <v>342.26</v>
      </c>
      <c r="H4253" s="16">
        <v>393.59899999999999</v>
      </c>
      <c r="J4253">
        <v>3</v>
      </c>
      <c r="K4253" t="s">
        <v>10942</v>
      </c>
      <c r="M4253">
        <v>0</v>
      </c>
      <c r="N4253">
        <v>206</v>
      </c>
      <c r="O4253" t="s">
        <v>216</v>
      </c>
      <c r="P4253" s="17"/>
      <c r="Q4253" s="17" t="str">
        <f>_xlfn.XLOOKUP(Table2[[#This Row],[buyFromVendorNo]],'Next Day Scheduled'!A:A,'Pending Returns'!O:O,"NOT_FOUND")</f>
        <v>NOT_FOUND</v>
      </c>
    </row>
    <row r="4254" spans="1:17" x14ac:dyDescent="0.3">
      <c r="A4254" s="1">
        <v>46256</v>
      </c>
      <c r="B4254" t="s">
        <v>642</v>
      </c>
      <c r="C4254" t="s">
        <v>873</v>
      </c>
      <c r="D4254" t="s">
        <v>874</v>
      </c>
      <c r="E4254" t="s">
        <v>8</v>
      </c>
      <c r="F4254" t="s">
        <v>38</v>
      </c>
      <c r="G4254" s="16">
        <v>5689.16</v>
      </c>
      <c r="H4254" s="16">
        <v>6542.5339999999997</v>
      </c>
      <c r="I4254" s="1">
        <v>46253</v>
      </c>
      <c r="J4254">
        <v>3</v>
      </c>
      <c r="K4254" t="s">
        <v>10137</v>
      </c>
      <c r="L4254" t="s">
        <v>11009</v>
      </c>
      <c r="M4254">
        <v>0</v>
      </c>
      <c r="N4254">
        <v>6</v>
      </c>
      <c r="O4254" t="s">
        <v>1036</v>
      </c>
      <c r="P4254" s="17"/>
      <c r="Q4254" s="17" t="str">
        <f>_xlfn.XLOOKUP(Table2[[#This Row],[buyFromVendorNo]],'Next Day Scheduled'!A:A,'Pending Returns'!O:O,"NOT_FOUND")</f>
        <v>Posted Credit Note</v>
      </c>
    </row>
    <row r="4255" spans="1:17" x14ac:dyDescent="0.3">
      <c r="A4255" s="1">
        <v>46256</v>
      </c>
      <c r="B4255" t="s">
        <v>9626</v>
      </c>
      <c r="C4255" t="s">
        <v>84</v>
      </c>
      <c r="D4255" t="s">
        <v>85</v>
      </c>
      <c r="E4255" t="s">
        <v>8</v>
      </c>
      <c r="F4255" t="s">
        <v>10</v>
      </c>
      <c r="G4255" s="16">
        <v>217.12047000000001</v>
      </c>
      <c r="H4255" s="16">
        <v>249.68853999999999</v>
      </c>
      <c r="J4255">
        <v>3</v>
      </c>
      <c r="K4255" t="s">
        <v>11010</v>
      </c>
      <c r="M4255">
        <v>1</v>
      </c>
      <c r="N4255">
        <v>2</v>
      </c>
      <c r="O4255" t="s">
        <v>216</v>
      </c>
      <c r="P4255" s="17"/>
      <c r="Q4255" s="17" t="str">
        <f>_xlfn.XLOOKUP(Table2[[#This Row],[buyFromVendorNo]],'Next Day Scheduled'!A:A,'Pending Returns'!O:O,"NOT_FOUND")</f>
        <v>NOT_FOUND</v>
      </c>
    </row>
    <row r="4256" spans="1:17" x14ac:dyDescent="0.3">
      <c r="A4256" s="1">
        <v>46256</v>
      </c>
      <c r="B4256" t="s">
        <v>3592</v>
      </c>
      <c r="C4256" t="s">
        <v>321</v>
      </c>
      <c r="D4256" t="s">
        <v>322</v>
      </c>
      <c r="E4256" t="s">
        <v>8</v>
      </c>
      <c r="F4256" t="s">
        <v>10</v>
      </c>
      <c r="G4256" s="16">
        <v>69.100070000000002</v>
      </c>
      <c r="H4256" s="16">
        <v>79.46508</v>
      </c>
      <c r="I4256" s="1">
        <v>46255</v>
      </c>
      <c r="J4256">
        <v>3</v>
      </c>
      <c r="K4256" t="s">
        <v>9195</v>
      </c>
      <c r="L4256" t="s">
        <v>11011</v>
      </c>
      <c r="M4256">
        <v>0</v>
      </c>
      <c r="N4256">
        <v>5</v>
      </c>
      <c r="O4256" t="s">
        <v>1036</v>
      </c>
      <c r="P4256" s="17"/>
      <c r="Q4256" s="17" t="str">
        <f>_xlfn.XLOOKUP(Table2[[#This Row],[buyFromVendorNo]],'Next Day Scheduled'!A:A,'Pending Returns'!O:O,"NOT_FOUND")</f>
        <v>NOT_FOUND</v>
      </c>
    </row>
    <row r="4257" spans="1:17" x14ac:dyDescent="0.3">
      <c r="A4257" s="1">
        <v>46256</v>
      </c>
      <c r="B4257" t="s">
        <v>2659</v>
      </c>
      <c r="C4257" t="s">
        <v>34</v>
      </c>
      <c r="D4257" t="s">
        <v>35</v>
      </c>
      <c r="E4257" t="s">
        <v>8</v>
      </c>
      <c r="F4257" t="s">
        <v>10</v>
      </c>
      <c r="G4257" s="16">
        <v>247.2</v>
      </c>
      <c r="H4257" s="16">
        <v>284.27999999999997</v>
      </c>
      <c r="J4257">
        <v>3</v>
      </c>
      <c r="K4257" t="s">
        <v>10973</v>
      </c>
      <c r="M4257">
        <v>0</v>
      </c>
      <c r="N4257">
        <v>8</v>
      </c>
      <c r="O4257" t="s">
        <v>216</v>
      </c>
      <c r="P4257" s="17"/>
      <c r="Q4257" s="17" t="str">
        <f>_xlfn.XLOOKUP(Table2[[#This Row],[buyFromVendorNo]],'Next Day Scheduled'!A:A,'Pending Returns'!O:O,"NOT_FOUND")</f>
        <v>Posted Credit Note</v>
      </c>
    </row>
    <row r="4258" spans="1:17" x14ac:dyDescent="0.3">
      <c r="A4258" s="1">
        <v>46256</v>
      </c>
      <c r="B4258" t="s">
        <v>10971</v>
      </c>
      <c r="C4258" t="s">
        <v>877</v>
      </c>
      <c r="D4258" t="s">
        <v>2343</v>
      </c>
      <c r="E4258" t="s">
        <v>8</v>
      </c>
      <c r="F4258" t="s">
        <v>10</v>
      </c>
      <c r="G4258" s="16">
        <v>13.6</v>
      </c>
      <c r="H4258" s="16">
        <v>15.64</v>
      </c>
      <c r="J4258">
        <v>3</v>
      </c>
      <c r="K4258" t="s">
        <v>10972</v>
      </c>
      <c r="M4258">
        <v>1</v>
      </c>
      <c r="N4258">
        <v>2</v>
      </c>
      <c r="O4258" t="s">
        <v>216</v>
      </c>
      <c r="P4258" s="17"/>
      <c r="Q4258" s="17" t="str">
        <f>_xlfn.XLOOKUP(Table2[[#This Row],[buyFromVendorNo]],'Next Day Scheduled'!A:A,'Pending Returns'!O:O,"NOT_FOUND")</f>
        <v>NOT_FOUND</v>
      </c>
    </row>
    <row r="4259" spans="1:17" x14ac:dyDescent="0.3">
      <c r="A4259" s="1">
        <v>46256</v>
      </c>
      <c r="B4259" t="s">
        <v>6263</v>
      </c>
      <c r="C4259" t="s">
        <v>2963</v>
      </c>
      <c r="D4259" t="s">
        <v>2964</v>
      </c>
      <c r="E4259" t="s">
        <v>8</v>
      </c>
      <c r="F4259" t="s">
        <v>10</v>
      </c>
      <c r="G4259" s="16">
        <v>66.666629999999998</v>
      </c>
      <c r="H4259" s="16">
        <v>76.666629999999998</v>
      </c>
      <c r="J4259">
        <v>3</v>
      </c>
      <c r="K4259" t="s">
        <v>10944</v>
      </c>
      <c r="M4259">
        <v>0</v>
      </c>
      <c r="N4259">
        <v>184</v>
      </c>
      <c r="O4259" t="s">
        <v>216</v>
      </c>
      <c r="P4259" s="17"/>
      <c r="Q4259" s="17" t="str">
        <f>_xlfn.XLOOKUP(Table2[[#This Row],[buyFromVendorNo]],'Next Day Scheduled'!A:A,'Pending Returns'!O:O,"NOT_FOUND")</f>
        <v>NOT_FOUND</v>
      </c>
    </row>
    <row r="4260" spans="1:17" x14ac:dyDescent="0.3">
      <c r="A4260" s="1">
        <v>46256</v>
      </c>
      <c r="B4260" t="s">
        <v>1797</v>
      </c>
      <c r="C4260" t="s">
        <v>863</v>
      </c>
      <c r="D4260" t="s">
        <v>864</v>
      </c>
      <c r="E4260" t="s">
        <v>8</v>
      </c>
      <c r="F4260" t="s">
        <v>10</v>
      </c>
      <c r="G4260" s="16">
        <v>1499.0853</v>
      </c>
      <c r="H4260" s="16">
        <v>1723.9481000000001</v>
      </c>
      <c r="J4260">
        <v>3</v>
      </c>
      <c r="K4260" t="s">
        <v>10910</v>
      </c>
      <c r="M4260">
        <v>0</v>
      </c>
      <c r="N4260">
        <v>7</v>
      </c>
      <c r="O4260" t="s">
        <v>216</v>
      </c>
      <c r="P4260" s="17"/>
      <c r="Q4260" s="17" t="str">
        <f>_xlfn.XLOOKUP(Table2[[#This Row],[buyFromVendorNo]],'Next Day Scheduled'!A:A,'Pending Returns'!O:O,"NOT_FOUND")</f>
        <v>NOT_FOUND</v>
      </c>
    </row>
    <row r="4261" spans="1:17" x14ac:dyDescent="0.3">
      <c r="A4261" s="1">
        <v>46256</v>
      </c>
      <c r="B4261" t="s">
        <v>2706</v>
      </c>
      <c r="C4261" t="s">
        <v>7131</v>
      </c>
      <c r="D4261" t="s">
        <v>7132</v>
      </c>
      <c r="E4261" t="s">
        <v>8</v>
      </c>
      <c r="F4261" t="s">
        <v>10</v>
      </c>
      <c r="G4261" s="16">
        <v>5073.8999999999996</v>
      </c>
      <c r="H4261" s="16">
        <v>5834.9849999999997</v>
      </c>
      <c r="J4261">
        <v>3</v>
      </c>
      <c r="K4261" t="s">
        <v>10981</v>
      </c>
      <c r="M4261">
        <v>0</v>
      </c>
      <c r="N4261">
        <v>50</v>
      </c>
      <c r="O4261" t="s">
        <v>216</v>
      </c>
      <c r="P4261" s="17"/>
      <c r="Q4261" s="17" t="str">
        <f>_xlfn.XLOOKUP(Table2[[#This Row],[buyFromVendorNo]],'Next Day Scheduled'!A:A,'Pending Returns'!O:O,"NOT_FOUND")</f>
        <v>NOT_FOUND</v>
      </c>
    </row>
    <row r="4262" spans="1:17" x14ac:dyDescent="0.3">
      <c r="A4262" s="1">
        <v>46256</v>
      </c>
      <c r="B4262" t="s">
        <v>7520</v>
      </c>
      <c r="C4262" t="s">
        <v>173</v>
      </c>
      <c r="D4262" t="s">
        <v>174</v>
      </c>
      <c r="E4262" t="s">
        <v>8</v>
      </c>
      <c r="F4262" t="s">
        <v>10</v>
      </c>
      <c r="G4262" s="16">
        <v>1758.15</v>
      </c>
      <c r="H4262" s="16">
        <v>2021.8725999999999</v>
      </c>
      <c r="J4262">
        <v>3</v>
      </c>
      <c r="K4262" t="s">
        <v>10984</v>
      </c>
      <c r="M4262">
        <v>2</v>
      </c>
      <c r="N4262">
        <v>1</v>
      </c>
      <c r="O4262" t="s">
        <v>216</v>
      </c>
      <c r="P4262" s="17"/>
      <c r="Q4262" s="17" t="str">
        <f>_xlfn.XLOOKUP(Table2[[#This Row],[buyFromVendorNo]],'Next Day Scheduled'!A:A,'Pending Returns'!O:O,"NOT_FOUND")</f>
        <v>NOT_FOUND</v>
      </c>
    </row>
    <row r="4263" spans="1:17" x14ac:dyDescent="0.3">
      <c r="A4263" s="1">
        <v>46256</v>
      </c>
      <c r="B4263" t="s">
        <v>5278</v>
      </c>
      <c r="C4263" t="s">
        <v>2647</v>
      </c>
      <c r="D4263" t="s">
        <v>2648</v>
      </c>
      <c r="E4263" t="s">
        <v>8</v>
      </c>
      <c r="F4263" t="s">
        <v>10</v>
      </c>
      <c r="G4263" s="16">
        <v>35.22</v>
      </c>
      <c r="H4263" s="16">
        <v>40.503</v>
      </c>
      <c r="J4263">
        <v>3</v>
      </c>
      <c r="K4263" t="s">
        <v>11015</v>
      </c>
      <c r="M4263">
        <v>1</v>
      </c>
      <c r="N4263">
        <v>3</v>
      </c>
      <c r="O4263" t="s">
        <v>216</v>
      </c>
      <c r="P4263" s="17"/>
      <c r="Q4263" s="17" t="str">
        <f>_xlfn.XLOOKUP(Table2[[#This Row],[buyFromVendorNo]],'Next Day Scheduled'!A:A,'Pending Returns'!O:O,"NOT_FOUND")</f>
        <v>NOT_FOUND</v>
      </c>
    </row>
    <row r="4264" spans="1:17" x14ac:dyDescent="0.3">
      <c r="A4264" s="1">
        <v>46256</v>
      </c>
      <c r="B4264" t="s">
        <v>10915</v>
      </c>
      <c r="C4264" t="s">
        <v>7245</v>
      </c>
      <c r="D4264" t="s">
        <v>7246</v>
      </c>
      <c r="E4264" t="s">
        <v>8</v>
      </c>
      <c r="F4264" t="s">
        <v>10</v>
      </c>
      <c r="G4264" s="16">
        <v>975.72</v>
      </c>
      <c r="H4264" s="16">
        <v>1122.078</v>
      </c>
      <c r="J4264">
        <v>3</v>
      </c>
      <c r="K4264" t="s">
        <v>10916</v>
      </c>
      <c r="M4264">
        <v>0</v>
      </c>
      <c r="N4264">
        <v>164</v>
      </c>
      <c r="O4264" t="s">
        <v>216</v>
      </c>
      <c r="P4264" s="17"/>
      <c r="Q4264" s="17" t="str">
        <f>_xlfn.XLOOKUP(Table2[[#This Row],[buyFromVendorNo]],'Next Day Scheduled'!A:A,'Pending Returns'!O:O,"NOT_FOUND")</f>
        <v>NOT_FOUND</v>
      </c>
    </row>
    <row r="4265" spans="1:17" x14ac:dyDescent="0.3">
      <c r="A4265" s="1">
        <v>46256</v>
      </c>
      <c r="B4265" t="s">
        <v>3366</v>
      </c>
      <c r="C4265" t="s">
        <v>295</v>
      </c>
      <c r="D4265" t="s">
        <v>345</v>
      </c>
      <c r="E4265" t="s">
        <v>8</v>
      </c>
      <c r="F4265" t="s">
        <v>10</v>
      </c>
      <c r="G4265" s="16">
        <v>47.75</v>
      </c>
      <c r="H4265" s="16">
        <v>54.912500000000001</v>
      </c>
      <c r="J4265">
        <v>3</v>
      </c>
      <c r="K4265" t="s">
        <v>10990</v>
      </c>
      <c r="M4265">
        <v>2</v>
      </c>
      <c r="N4265">
        <v>1</v>
      </c>
      <c r="O4265" t="s">
        <v>216</v>
      </c>
      <c r="P4265" s="17"/>
      <c r="Q4265" s="17" t="str">
        <f>_xlfn.XLOOKUP(Table2[[#This Row],[buyFromVendorNo]],'Next Day Scheduled'!A:A,'Pending Returns'!O:O,"NOT_FOUND")</f>
        <v>NOT_FOUND</v>
      </c>
    </row>
    <row r="4266" spans="1:17" x14ac:dyDescent="0.3">
      <c r="A4266" s="1">
        <v>46256</v>
      </c>
      <c r="B4266" t="s">
        <v>3063</v>
      </c>
      <c r="C4266" t="s">
        <v>633</v>
      </c>
      <c r="D4266" t="s">
        <v>690</v>
      </c>
      <c r="E4266" t="s">
        <v>8</v>
      </c>
      <c r="F4266" t="s">
        <v>10</v>
      </c>
      <c r="G4266" s="16">
        <v>410.59</v>
      </c>
      <c r="H4266" s="16">
        <v>472.17849999999999</v>
      </c>
      <c r="J4266">
        <v>3</v>
      </c>
      <c r="K4266" t="s">
        <v>10958</v>
      </c>
      <c r="M4266">
        <v>0</v>
      </c>
      <c r="N4266">
        <v>6</v>
      </c>
      <c r="O4266" t="s">
        <v>216</v>
      </c>
      <c r="P4266" s="17"/>
      <c r="Q4266" s="17" t="str">
        <f>_xlfn.XLOOKUP(Table2[[#This Row],[buyFromVendorNo]],'Next Day Scheduled'!A:A,'Pending Returns'!O:O,"NOT_FOUND")</f>
        <v>NOT_FOUND</v>
      </c>
    </row>
    <row r="4267" spans="1:17" x14ac:dyDescent="0.3">
      <c r="A4267" s="1">
        <v>46256</v>
      </c>
      <c r="B4267" t="s">
        <v>3249</v>
      </c>
      <c r="C4267" t="s">
        <v>2290</v>
      </c>
      <c r="D4267" t="s">
        <v>2291</v>
      </c>
      <c r="E4267" t="s">
        <v>8</v>
      </c>
      <c r="F4267" t="s">
        <v>10</v>
      </c>
      <c r="G4267" s="16">
        <v>1.4</v>
      </c>
      <c r="H4267" s="16">
        <v>1.61</v>
      </c>
      <c r="J4267">
        <v>3</v>
      </c>
      <c r="K4267" t="s">
        <v>10923</v>
      </c>
      <c r="M4267">
        <v>0</v>
      </c>
      <c r="N4267">
        <v>7</v>
      </c>
      <c r="O4267" t="s">
        <v>216</v>
      </c>
      <c r="P4267" s="17"/>
      <c r="Q4267" s="17" t="str">
        <f>_xlfn.XLOOKUP(Table2[[#This Row],[buyFromVendorNo]],'Next Day Scheduled'!A:A,'Pending Returns'!O:O,"NOT_FOUND")</f>
        <v>Posted Credit Note</v>
      </c>
    </row>
    <row r="4268" spans="1:17" x14ac:dyDescent="0.3">
      <c r="A4268" s="1">
        <v>46256</v>
      </c>
      <c r="B4268" t="s">
        <v>5432</v>
      </c>
      <c r="C4268" t="s">
        <v>43</v>
      </c>
      <c r="D4268" t="s">
        <v>44</v>
      </c>
      <c r="E4268" t="s">
        <v>8</v>
      </c>
      <c r="F4268" t="s">
        <v>10</v>
      </c>
      <c r="G4268" s="16">
        <v>4.8</v>
      </c>
      <c r="H4268" s="16">
        <v>5.52</v>
      </c>
      <c r="J4268">
        <v>3</v>
      </c>
      <c r="K4268" t="s">
        <v>10925</v>
      </c>
      <c r="M4268">
        <v>1</v>
      </c>
      <c r="N4268">
        <v>2</v>
      </c>
      <c r="O4268" t="s">
        <v>216</v>
      </c>
      <c r="P4268" s="17"/>
      <c r="Q4268" s="17" t="str">
        <f>_xlfn.XLOOKUP(Table2[[#This Row],[buyFromVendorNo]],'Next Day Scheduled'!A:A,'Pending Returns'!O:O,"NOT_FOUND")</f>
        <v>Posted Credit Note</v>
      </c>
    </row>
    <row r="4269" spans="1:17" x14ac:dyDescent="0.3">
      <c r="A4269" s="1">
        <v>46256</v>
      </c>
      <c r="B4269" t="s">
        <v>642</v>
      </c>
      <c r="C4269" t="s">
        <v>7388</v>
      </c>
      <c r="D4269" t="s">
        <v>7389</v>
      </c>
      <c r="E4269" t="s">
        <v>8</v>
      </c>
      <c r="F4269" t="s">
        <v>38</v>
      </c>
      <c r="G4269" s="16">
        <v>303.8</v>
      </c>
      <c r="H4269" s="16">
        <v>349.37</v>
      </c>
      <c r="I4269" s="1">
        <v>46256</v>
      </c>
      <c r="J4269">
        <v>3</v>
      </c>
      <c r="K4269" t="s">
        <v>10274</v>
      </c>
      <c r="L4269" t="s">
        <v>10860</v>
      </c>
      <c r="M4269">
        <v>1</v>
      </c>
      <c r="N4269">
        <v>2</v>
      </c>
      <c r="O4269" t="s">
        <v>1036</v>
      </c>
      <c r="P4269" s="17"/>
      <c r="Q4269" s="17" t="str">
        <f>_xlfn.XLOOKUP(Table2[[#This Row],[buyFromVendorNo]],'Next Day Scheduled'!A:A,'Pending Returns'!O:O,"NOT_FOUND")</f>
        <v>NOT_FOUND</v>
      </c>
    </row>
    <row r="4270" spans="1:17" x14ac:dyDescent="0.3">
      <c r="A4270" s="1">
        <v>46256</v>
      </c>
      <c r="B4270" t="s">
        <v>2733</v>
      </c>
      <c r="C4270" t="s">
        <v>863</v>
      </c>
      <c r="D4270" t="s">
        <v>864</v>
      </c>
      <c r="E4270" t="s">
        <v>8</v>
      </c>
      <c r="F4270" t="s">
        <v>10</v>
      </c>
      <c r="G4270" s="16">
        <v>43142.707000000002</v>
      </c>
      <c r="H4270" s="16">
        <v>49614.112999999998</v>
      </c>
      <c r="J4270">
        <v>3</v>
      </c>
      <c r="K4270" t="s">
        <v>10959</v>
      </c>
      <c r="M4270">
        <v>0</v>
      </c>
      <c r="N4270">
        <v>7</v>
      </c>
      <c r="O4270" t="s">
        <v>216</v>
      </c>
      <c r="P4270" s="17"/>
      <c r="Q4270" s="17" t="str">
        <f>_xlfn.XLOOKUP(Table2[[#This Row],[buyFromVendorNo]],'Next Day Scheduled'!A:A,'Pending Returns'!O:O,"NOT_FOUND")</f>
        <v>NOT_FOUND</v>
      </c>
    </row>
    <row r="4271" spans="1:17" x14ac:dyDescent="0.3">
      <c r="A4271" s="1">
        <v>46256</v>
      </c>
      <c r="B4271" t="s">
        <v>3460</v>
      </c>
      <c r="C4271" t="s">
        <v>508</v>
      </c>
      <c r="D4271" t="s">
        <v>509</v>
      </c>
      <c r="E4271" t="s">
        <v>8</v>
      </c>
      <c r="F4271" t="s">
        <v>10</v>
      </c>
      <c r="G4271" s="16">
        <v>100.83337</v>
      </c>
      <c r="H4271" s="16">
        <v>115.95838000000001</v>
      </c>
      <c r="J4271">
        <v>3</v>
      </c>
      <c r="K4271" t="s">
        <v>11024</v>
      </c>
      <c r="M4271">
        <v>0</v>
      </c>
      <c r="N4271">
        <v>9</v>
      </c>
      <c r="O4271" t="s">
        <v>216</v>
      </c>
      <c r="P4271" s="17"/>
      <c r="Q4271" s="17" t="str">
        <f>_xlfn.XLOOKUP(Table2[[#This Row],[buyFromVendorNo]],'Next Day Scheduled'!A:A,'Pending Returns'!O:O,"NOT_FOUND")</f>
        <v>Posted Credit Note</v>
      </c>
    </row>
    <row r="4272" spans="1:17" x14ac:dyDescent="0.3">
      <c r="A4272" s="1">
        <v>46256</v>
      </c>
      <c r="B4272" t="s">
        <v>5906</v>
      </c>
      <c r="C4272" t="s">
        <v>197</v>
      </c>
      <c r="D4272" t="s">
        <v>198</v>
      </c>
      <c r="E4272" t="s">
        <v>8</v>
      </c>
      <c r="F4272" t="s">
        <v>10</v>
      </c>
      <c r="G4272" s="16">
        <v>49.166600000000003</v>
      </c>
      <c r="H4272" s="16">
        <v>56.541589999999999</v>
      </c>
      <c r="J4272">
        <v>3</v>
      </c>
      <c r="K4272" t="s">
        <v>10996</v>
      </c>
      <c r="M4272">
        <v>0</v>
      </c>
      <c r="N4272">
        <v>5</v>
      </c>
      <c r="O4272" t="s">
        <v>216</v>
      </c>
      <c r="P4272" s="17"/>
      <c r="Q4272" s="17" t="str">
        <f>_xlfn.XLOOKUP(Table2[[#This Row],[buyFromVendorNo]],'Next Day Scheduled'!A:A,'Pending Returns'!O:O,"NOT_FOUND")</f>
        <v>NOT_FOUND</v>
      </c>
    </row>
    <row r="4273" spans="1:17" x14ac:dyDescent="0.3">
      <c r="A4273" s="1">
        <v>46256</v>
      </c>
      <c r="B4273" t="s">
        <v>2593</v>
      </c>
      <c r="C4273" t="s">
        <v>158</v>
      </c>
      <c r="D4273" t="s">
        <v>159</v>
      </c>
      <c r="E4273" t="s">
        <v>8</v>
      </c>
      <c r="F4273" t="s">
        <v>10</v>
      </c>
      <c r="G4273" s="16">
        <v>240.60499999999999</v>
      </c>
      <c r="H4273" s="16">
        <v>276.69574</v>
      </c>
      <c r="J4273">
        <v>3</v>
      </c>
      <c r="K4273" t="s">
        <v>11001</v>
      </c>
      <c r="M4273">
        <v>0</v>
      </c>
      <c r="N4273">
        <v>6</v>
      </c>
      <c r="O4273" t="s">
        <v>216</v>
      </c>
      <c r="P4273" s="17"/>
      <c r="Q4273" s="17" t="str">
        <f>_xlfn.XLOOKUP(Table2[[#This Row],[buyFromVendorNo]],'Next Day Scheduled'!A:A,'Pending Returns'!O:O,"NOT_FOUND")</f>
        <v>Posted Credit Note</v>
      </c>
    </row>
    <row r="4274" spans="1:17" x14ac:dyDescent="0.3">
      <c r="A4274" s="1">
        <v>46256</v>
      </c>
      <c r="B4274" t="s">
        <v>642</v>
      </c>
      <c r="C4274" t="s">
        <v>88</v>
      </c>
      <c r="D4274" t="s">
        <v>89</v>
      </c>
      <c r="E4274" t="s">
        <v>8</v>
      </c>
      <c r="F4274" t="s">
        <v>38</v>
      </c>
      <c r="G4274" s="16">
        <v>2007.3</v>
      </c>
      <c r="H4274" s="16">
        <v>2308.395</v>
      </c>
      <c r="I4274" s="1">
        <v>46240</v>
      </c>
      <c r="J4274">
        <v>3</v>
      </c>
      <c r="K4274" t="s">
        <v>8720</v>
      </c>
      <c r="L4274" t="s">
        <v>10857</v>
      </c>
      <c r="M4274">
        <v>0</v>
      </c>
      <c r="N4274">
        <v>12</v>
      </c>
      <c r="O4274" t="s">
        <v>1036</v>
      </c>
      <c r="P4274" s="17"/>
      <c r="Q4274" s="17" t="str">
        <f>_xlfn.XLOOKUP(Table2[[#This Row],[buyFromVendorNo]],'Next Day Scheduled'!A:A,'Pending Returns'!O:O,"NOT_FOUND")</f>
        <v>NOT_FOUND</v>
      </c>
    </row>
    <row r="4275" spans="1:17" x14ac:dyDescent="0.3">
      <c r="A4275" s="1">
        <v>46256</v>
      </c>
      <c r="B4275" t="s">
        <v>2585</v>
      </c>
      <c r="C4275" t="s">
        <v>69</v>
      </c>
      <c r="D4275" t="s">
        <v>70</v>
      </c>
      <c r="E4275" t="s">
        <v>8</v>
      </c>
      <c r="F4275" t="s">
        <v>10</v>
      </c>
      <c r="G4275" s="16">
        <v>3703.58</v>
      </c>
      <c r="H4275" s="16">
        <v>4259.1170000000002</v>
      </c>
      <c r="J4275">
        <v>3</v>
      </c>
      <c r="K4275" t="s">
        <v>11031</v>
      </c>
      <c r="M4275">
        <v>3</v>
      </c>
      <c r="N4275">
        <v>1</v>
      </c>
      <c r="O4275" t="s">
        <v>216</v>
      </c>
      <c r="P4275" s="17"/>
      <c r="Q4275" s="17" t="str">
        <f>_xlfn.XLOOKUP(Table2[[#This Row],[buyFromVendorNo]],'Next Day Scheduled'!A:A,'Pending Returns'!O:O,"NOT_FOUND")</f>
        <v>Posted Credit Note</v>
      </c>
    </row>
    <row r="4276" spans="1:17" x14ac:dyDescent="0.3">
      <c r="A4276" s="1">
        <v>46256</v>
      </c>
      <c r="B4276" t="s">
        <v>2807</v>
      </c>
      <c r="C4276" t="s">
        <v>2267</v>
      </c>
      <c r="D4276" t="s">
        <v>2268</v>
      </c>
      <c r="E4276" t="s">
        <v>8</v>
      </c>
      <c r="F4276" t="s">
        <v>10</v>
      </c>
      <c r="G4276" s="16">
        <v>129.5</v>
      </c>
      <c r="H4276" s="16">
        <v>148.92500000000001</v>
      </c>
      <c r="J4276">
        <v>3</v>
      </c>
      <c r="K4276" t="s">
        <v>11033</v>
      </c>
      <c r="M4276">
        <v>1</v>
      </c>
      <c r="N4276">
        <v>2</v>
      </c>
      <c r="O4276" t="s">
        <v>216</v>
      </c>
      <c r="P4276" s="17"/>
      <c r="Q4276" s="17" t="str">
        <f>_xlfn.XLOOKUP(Table2[[#This Row],[buyFromVendorNo]],'Next Day Scheduled'!A:A,'Pending Returns'!O:O,"NOT_FOUND")</f>
        <v>NOT_FOUND</v>
      </c>
    </row>
    <row r="4277" spans="1:17" x14ac:dyDescent="0.3">
      <c r="A4277" s="1">
        <v>46256</v>
      </c>
      <c r="B4277" t="s">
        <v>2585</v>
      </c>
      <c r="C4277" t="s">
        <v>65</v>
      </c>
      <c r="D4277" t="s">
        <v>66</v>
      </c>
      <c r="E4277" t="s">
        <v>8</v>
      </c>
      <c r="F4277" t="s">
        <v>10</v>
      </c>
      <c r="G4277" s="16">
        <v>3478.1995000000002</v>
      </c>
      <c r="H4277" s="16">
        <v>3999.9292</v>
      </c>
      <c r="I4277" s="1">
        <v>46254</v>
      </c>
      <c r="J4277">
        <v>3</v>
      </c>
      <c r="K4277" t="s">
        <v>6523</v>
      </c>
      <c r="L4277" t="s">
        <v>10858</v>
      </c>
      <c r="M4277">
        <v>0</v>
      </c>
      <c r="N4277">
        <v>5</v>
      </c>
      <c r="O4277" t="s">
        <v>1036</v>
      </c>
      <c r="P4277" s="17"/>
      <c r="Q4277" s="17" t="str">
        <f>_xlfn.XLOOKUP(Table2[[#This Row],[buyFromVendorNo]],'Next Day Scheduled'!A:A,'Pending Returns'!O:O,"NOT_FOUND")</f>
        <v>Posted Credit Note</v>
      </c>
    </row>
    <row r="4278" spans="1:17" x14ac:dyDescent="0.3">
      <c r="A4278" s="1">
        <v>46256</v>
      </c>
      <c r="B4278" t="s">
        <v>2909</v>
      </c>
      <c r="C4278" t="s">
        <v>987</v>
      </c>
      <c r="D4278" t="s">
        <v>988</v>
      </c>
      <c r="E4278" t="s">
        <v>8</v>
      </c>
      <c r="F4278" t="s">
        <v>10</v>
      </c>
      <c r="G4278" s="16">
        <v>60</v>
      </c>
      <c r="H4278" s="16">
        <v>69</v>
      </c>
      <c r="J4278">
        <v>3</v>
      </c>
      <c r="K4278" t="s">
        <v>10967</v>
      </c>
      <c r="M4278">
        <v>0</v>
      </c>
      <c r="N4278">
        <v>240</v>
      </c>
      <c r="O4278" t="s">
        <v>216</v>
      </c>
      <c r="P4278" s="17"/>
      <c r="Q4278" s="17" t="str">
        <f>_xlfn.XLOOKUP(Table2[[#This Row],[buyFromVendorNo]],'Next Day Scheduled'!A:A,'Pending Returns'!O:O,"NOT_FOUND")</f>
        <v>NOT_FOUND</v>
      </c>
    </row>
    <row r="4279" spans="1:17" x14ac:dyDescent="0.3">
      <c r="A4279" s="1">
        <v>46256</v>
      </c>
      <c r="B4279" t="s">
        <v>642</v>
      </c>
      <c r="C4279" t="s">
        <v>60</v>
      </c>
      <c r="D4279" t="s">
        <v>61</v>
      </c>
      <c r="E4279" t="s">
        <v>8</v>
      </c>
      <c r="F4279" t="s">
        <v>38</v>
      </c>
      <c r="G4279" s="16">
        <v>574.95000000000005</v>
      </c>
      <c r="H4279" s="16">
        <v>661.1925</v>
      </c>
      <c r="J4279">
        <v>3</v>
      </c>
      <c r="K4279" t="s">
        <v>10940</v>
      </c>
      <c r="M4279">
        <v>0</v>
      </c>
      <c r="N4279">
        <v>7</v>
      </c>
      <c r="O4279" t="s">
        <v>216</v>
      </c>
      <c r="P4279" s="17"/>
      <c r="Q4279" s="17" t="str">
        <f>_xlfn.XLOOKUP(Table2[[#This Row],[buyFromVendorNo]],'Next Day Scheduled'!A:A,'Pending Returns'!O:O,"NOT_FOUND")</f>
        <v>NOT_FOUND</v>
      </c>
    </row>
    <row r="4280" spans="1:17" x14ac:dyDescent="0.3">
      <c r="A4280" s="1">
        <v>46256</v>
      </c>
      <c r="B4280" t="s">
        <v>5911</v>
      </c>
      <c r="C4280" t="s">
        <v>512</v>
      </c>
      <c r="D4280" t="s">
        <v>513</v>
      </c>
      <c r="E4280" t="s">
        <v>8</v>
      </c>
      <c r="F4280" t="s">
        <v>10</v>
      </c>
      <c r="G4280" s="16">
        <v>151.68</v>
      </c>
      <c r="H4280" s="16">
        <v>174.43199999999999</v>
      </c>
      <c r="J4280">
        <v>3</v>
      </c>
      <c r="K4280" t="s">
        <v>10909</v>
      </c>
      <c r="M4280">
        <v>1</v>
      </c>
      <c r="N4280">
        <v>3</v>
      </c>
      <c r="O4280" t="s">
        <v>216</v>
      </c>
      <c r="P4280" s="17"/>
      <c r="Q4280" s="17" t="str">
        <f>_xlfn.XLOOKUP(Table2[[#This Row],[buyFromVendorNo]],'Next Day Scheduled'!A:A,'Pending Returns'!O:O,"NOT_FOUND")</f>
        <v>NOT_FOUND</v>
      </c>
    </row>
    <row r="4281" spans="1:17" x14ac:dyDescent="0.3">
      <c r="A4281" s="1">
        <v>46256</v>
      </c>
      <c r="B4281" t="s">
        <v>1527</v>
      </c>
      <c r="C4281" t="s">
        <v>873</v>
      </c>
      <c r="D4281" t="s">
        <v>874</v>
      </c>
      <c r="E4281" t="s">
        <v>8</v>
      </c>
      <c r="F4281" t="s">
        <v>38</v>
      </c>
      <c r="G4281" s="16">
        <v>820.5</v>
      </c>
      <c r="H4281" s="16">
        <v>943.57500000000005</v>
      </c>
      <c r="I4281" s="1">
        <v>46254</v>
      </c>
      <c r="J4281">
        <v>3</v>
      </c>
      <c r="K4281" t="s">
        <v>8318</v>
      </c>
      <c r="L4281" t="s">
        <v>10974</v>
      </c>
      <c r="M4281">
        <v>0</v>
      </c>
      <c r="N4281">
        <v>6</v>
      </c>
      <c r="O4281" t="s">
        <v>1036</v>
      </c>
      <c r="P4281" s="17"/>
      <c r="Q4281" s="17" t="str">
        <f>_xlfn.XLOOKUP(Table2[[#This Row],[buyFromVendorNo]],'Next Day Scheduled'!A:A,'Pending Returns'!O:O,"NOT_FOUND")</f>
        <v>Posted Credit Note</v>
      </c>
    </row>
    <row r="4282" spans="1:17" x14ac:dyDescent="0.3">
      <c r="A4282" s="1">
        <v>46256</v>
      </c>
      <c r="B4282" t="s">
        <v>2661</v>
      </c>
      <c r="C4282" t="s">
        <v>181</v>
      </c>
      <c r="D4282" t="s">
        <v>182</v>
      </c>
      <c r="E4282" t="s">
        <v>8</v>
      </c>
      <c r="F4282" t="s">
        <v>10</v>
      </c>
      <c r="G4282" s="16">
        <v>46.666699999999999</v>
      </c>
      <c r="H4282" s="16">
        <v>53.666699999999999</v>
      </c>
      <c r="J4282">
        <v>3</v>
      </c>
      <c r="K4282" t="s">
        <v>10975</v>
      </c>
      <c r="M4282">
        <v>2</v>
      </c>
      <c r="N4282">
        <v>2</v>
      </c>
      <c r="O4282" t="s">
        <v>216</v>
      </c>
      <c r="P4282" s="17"/>
      <c r="Q4282" s="17" t="str">
        <f>_xlfn.XLOOKUP(Table2[[#This Row],[buyFromVendorNo]],'Next Day Scheduled'!A:A,'Pending Returns'!O:O,"NOT_FOUND")</f>
        <v>NOT_FOUND</v>
      </c>
    </row>
    <row r="4283" spans="1:17" x14ac:dyDescent="0.3">
      <c r="A4283" s="1">
        <v>46256</v>
      </c>
      <c r="B4283" t="s">
        <v>2859</v>
      </c>
      <c r="C4283" t="s">
        <v>137</v>
      </c>
      <c r="D4283" t="s">
        <v>138</v>
      </c>
      <c r="E4283" t="s">
        <v>8</v>
      </c>
      <c r="F4283" t="s">
        <v>10</v>
      </c>
      <c r="G4283" s="16">
        <v>2843.45</v>
      </c>
      <c r="H4283" s="16">
        <v>3269.9675000000002</v>
      </c>
      <c r="J4283">
        <v>3</v>
      </c>
      <c r="K4283" t="s">
        <v>10950</v>
      </c>
      <c r="M4283">
        <v>0</v>
      </c>
      <c r="N4283">
        <v>5</v>
      </c>
      <c r="O4283" t="s">
        <v>216</v>
      </c>
      <c r="P4283" s="17"/>
      <c r="Q4283" s="17" t="str">
        <f>_xlfn.XLOOKUP(Table2[[#This Row],[buyFromVendorNo]],'Next Day Scheduled'!A:A,'Pending Returns'!O:O,"NOT_FOUND")</f>
        <v>NOT_FOUND</v>
      </c>
    </row>
    <row r="4284" spans="1:17" x14ac:dyDescent="0.3">
      <c r="A4284" s="1">
        <v>46256</v>
      </c>
      <c r="B4284" t="s">
        <v>8744</v>
      </c>
      <c r="C4284" t="s">
        <v>534</v>
      </c>
      <c r="D4284" t="s">
        <v>535</v>
      </c>
      <c r="E4284" t="s">
        <v>8</v>
      </c>
      <c r="F4284" t="s">
        <v>10</v>
      </c>
      <c r="G4284" s="16">
        <v>72.331500000000005</v>
      </c>
      <c r="H4284" s="16">
        <v>83.181229999999999</v>
      </c>
      <c r="J4284">
        <v>3</v>
      </c>
      <c r="K4284" t="s">
        <v>10951</v>
      </c>
      <c r="M4284">
        <v>1</v>
      </c>
      <c r="N4284">
        <v>2</v>
      </c>
      <c r="O4284" t="s">
        <v>216</v>
      </c>
      <c r="P4284" s="17"/>
      <c r="Q4284" s="17" t="str">
        <f>_xlfn.XLOOKUP(Table2[[#This Row],[buyFromVendorNo]],'Next Day Scheduled'!A:A,'Pending Returns'!O:O,"NOT_FOUND")</f>
        <v>NOT_FOUND</v>
      </c>
    </row>
    <row r="4285" spans="1:17" x14ac:dyDescent="0.3">
      <c r="A4285" s="1">
        <v>46256</v>
      </c>
      <c r="B4285" t="s">
        <v>3702</v>
      </c>
      <c r="C4285" t="s">
        <v>102</v>
      </c>
      <c r="D4285" t="s">
        <v>103</v>
      </c>
      <c r="E4285" t="s">
        <v>8</v>
      </c>
      <c r="F4285" t="s">
        <v>10</v>
      </c>
      <c r="G4285" s="16">
        <v>82.8</v>
      </c>
      <c r="H4285" s="16">
        <v>95.22</v>
      </c>
      <c r="J4285">
        <v>3</v>
      </c>
      <c r="K4285" t="s">
        <v>10952</v>
      </c>
      <c r="M4285">
        <v>0</v>
      </c>
      <c r="N4285">
        <v>330</v>
      </c>
      <c r="O4285" t="s">
        <v>216</v>
      </c>
      <c r="P4285" s="17"/>
      <c r="Q4285" s="17" t="str">
        <f>_xlfn.XLOOKUP(Table2[[#This Row],[buyFromVendorNo]],'Next Day Scheduled'!A:A,'Pending Returns'!O:O,"NOT_FOUND")</f>
        <v>NOT_FOUND</v>
      </c>
    </row>
    <row r="4286" spans="1:17" x14ac:dyDescent="0.3">
      <c r="A4286" s="1">
        <v>46256</v>
      </c>
      <c r="B4286" t="s">
        <v>1527</v>
      </c>
      <c r="C4286" t="s">
        <v>5157</v>
      </c>
      <c r="D4286" t="s">
        <v>5158</v>
      </c>
      <c r="E4286" t="s">
        <v>8</v>
      </c>
      <c r="F4286" t="s">
        <v>10</v>
      </c>
      <c r="G4286" s="16">
        <v>304</v>
      </c>
      <c r="H4286" s="16">
        <v>349.6</v>
      </c>
      <c r="J4286">
        <v>3</v>
      </c>
      <c r="K4286" t="s">
        <v>10953</v>
      </c>
      <c r="M4286">
        <v>0</v>
      </c>
      <c r="N4286">
        <v>376</v>
      </c>
      <c r="O4286" t="s">
        <v>216</v>
      </c>
      <c r="P4286" s="17"/>
      <c r="Q4286" s="17" t="str">
        <f>_xlfn.XLOOKUP(Table2[[#This Row],[buyFromVendorNo]],'Next Day Scheduled'!A:A,'Pending Returns'!O:O,"NOT_FOUND")</f>
        <v>NOT_FOUND</v>
      </c>
    </row>
    <row r="4287" spans="1:17" x14ac:dyDescent="0.3">
      <c r="A4287" s="1">
        <v>46256</v>
      </c>
      <c r="B4287" t="s">
        <v>642</v>
      </c>
      <c r="C4287" t="s">
        <v>1099</v>
      </c>
      <c r="D4287" t="s">
        <v>1100</v>
      </c>
      <c r="E4287" t="s">
        <v>8</v>
      </c>
      <c r="F4287" t="s">
        <v>38</v>
      </c>
      <c r="G4287" s="16">
        <v>127.83</v>
      </c>
      <c r="H4287" s="16">
        <v>147.00450000000001</v>
      </c>
      <c r="I4287" s="1">
        <v>46256</v>
      </c>
      <c r="J4287">
        <v>3</v>
      </c>
      <c r="K4287" t="s">
        <v>10822</v>
      </c>
      <c r="L4287" t="s">
        <v>11014</v>
      </c>
      <c r="M4287">
        <v>0</v>
      </c>
      <c r="N4287">
        <v>5</v>
      </c>
      <c r="O4287" t="s">
        <v>1036</v>
      </c>
      <c r="P4287" s="17"/>
      <c r="Q4287" s="17" t="str">
        <f>_xlfn.XLOOKUP(Table2[[#This Row],[buyFromVendorNo]],'Next Day Scheduled'!A:A,'Pending Returns'!O:O,"NOT_FOUND")</f>
        <v>NOT_FOUND</v>
      </c>
    </row>
    <row r="4288" spans="1:17" x14ac:dyDescent="0.3">
      <c r="A4288" s="1">
        <v>46256</v>
      </c>
      <c r="B4288" t="s">
        <v>1558</v>
      </c>
      <c r="C4288" t="s">
        <v>39</v>
      </c>
      <c r="D4288" t="s">
        <v>40</v>
      </c>
      <c r="E4288" t="s">
        <v>8</v>
      </c>
      <c r="F4288" t="s">
        <v>10</v>
      </c>
      <c r="G4288" s="16">
        <v>2927.5227</v>
      </c>
      <c r="H4288" s="16">
        <v>3366.6511</v>
      </c>
      <c r="J4288">
        <v>3</v>
      </c>
      <c r="K4288" t="s">
        <v>10957</v>
      </c>
      <c r="M4288">
        <v>1</v>
      </c>
      <c r="N4288">
        <v>1</v>
      </c>
      <c r="O4288" t="s">
        <v>216</v>
      </c>
      <c r="P4288" s="17"/>
      <c r="Q4288" s="17" t="str">
        <f>_xlfn.XLOOKUP(Table2[[#This Row],[buyFromVendorNo]],'Next Day Scheduled'!A:A,'Pending Returns'!O:O,"NOT_FOUND")</f>
        <v>Posted Credit Note</v>
      </c>
    </row>
    <row r="4289" spans="1:17" x14ac:dyDescent="0.3">
      <c r="A4289" s="1">
        <v>46256</v>
      </c>
      <c r="B4289" t="s">
        <v>10979</v>
      </c>
      <c r="C4289" t="s">
        <v>107</v>
      </c>
      <c r="D4289" t="s">
        <v>3864</v>
      </c>
      <c r="E4289" t="s">
        <v>8</v>
      </c>
      <c r="F4289" t="s">
        <v>10</v>
      </c>
      <c r="G4289" s="16">
        <v>16.45</v>
      </c>
      <c r="H4289" s="16">
        <v>18.9175</v>
      </c>
      <c r="J4289">
        <v>3</v>
      </c>
      <c r="K4289" t="s">
        <v>10980</v>
      </c>
      <c r="M4289">
        <v>0</v>
      </c>
      <c r="N4289">
        <v>5</v>
      </c>
      <c r="O4289" t="s">
        <v>216</v>
      </c>
      <c r="P4289" s="17"/>
      <c r="Q4289" s="17" t="str">
        <f>_xlfn.XLOOKUP(Table2[[#This Row],[buyFromVendorNo]],'Next Day Scheduled'!A:A,'Pending Returns'!O:O,"NOT_FOUND")</f>
        <v>NOT_FOUND</v>
      </c>
    </row>
    <row r="4290" spans="1:17" x14ac:dyDescent="0.3">
      <c r="A4290" s="1">
        <v>46256</v>
      </c>
      <c r="B4290" t="s">
        <v>5110</v>
      </c>
      <c r="C4290" t="s">
        <v>73</v>
      </c>
      <c r="D4290" t="s">
        <v>74</v>
      </c>
      <c r="E4290" t="s">
        <v>8</v>
      </c>
      <c r="F4290" t="s">
        <v>10</v>
      </c>
      <c r="G4290" s="16">
        <v>278.55329999999998</v>
      </c>
      <c r="H4290" s="16">
        <v>320.33629999999999</v>
      </c>
      <c r="J4290">
        <v>3</v>
      </c>
      <c r="K4290" t="s">
        <v>10954</v>
      </c>
      <c r="M4290">
        <v>3</v>
      </c>
      <c r="N4290">
        <v>1</v>
      </c>
      <c r="O4290" t="s">
        <v>216</v>
      </c>
      <c r="P4290" s="17"/>
      <c r="Q4290" s="17" t="str">
        <f>_xlfn.XLOOKUP(Table2[[#This Row],[buyFromVendorNo]],'Next Day Scheduled'!A:A,'Pending Returns'!O:O,"NOT_FOUND")</f>
        <v>NOT_FOUND</v>
      </c>
    </row>
    <row r="4291" spans="1:17" x14ac:dyDescent="0.3">
      <c r="A4291" s="1">
        <v>46256</v>
      </c>
      <c r="B4291" t="s">
        <v>2558</v>
      </c>
      <c r="C4291" t="s">
        <v>873</v>
      </c>
      <c r="D4291" t="s">
        <v>874</v>
      </c>
      <c r="E4291" t="s">
        <v>8</v>
      </c>
      <c r="F4291" t="s">
        <v>38</v>
      </c>
      <c r="G4291" s="16">
        <v>754.46</v>
      </c>
      <c r="H4291" s="16">
        <v>867.62900000000002</v>
      </c>
      <c r="I4291" s="1">
        <v>46254</v>
      </c>
      <c r="J4291">
        <v>3</v>
      </c>
      <c r="K4291" t="s">
        <v>6975</v>
      </c>
      <c r="L4291" t="s">
        <v>10983</v>
      </c>
      <c r="M4291">
        <v>0</v>
      </c>
      <c r="N4291">
        <v>6</v>
      </c>
      <c r="O4291" t="s">
        <v>1036</v>
      </c>
      <c r="P4291" s="17"/>
      <c r="Q4291" s="17" t="str">
        <f>_xlfn.XLOOKUP(Table2[[#This Row],[buyFromVendorNo]],'Next Day Scheduled'!A:A,'Pending Returns'!O:O,"NOT_FOUND")</f>
        <v>Posted Credit Note</v>
      </c>
    </row>
    <row r="4292" spans="1:17" x14ac:dyDescent="0.3">
      <c r="A4292" s="1">
        <v>46256</v>
      </c>
      <c r="B4292" t="s">
        <v>2211</v>
      </c>
      <c r="C4292" t="s">
        <v>151</v>
      </c>
      <c r="D4292" t="s">
        <v>152</v>
      </c>
      <c r="E4292" t="s">
        <v>8</v>
      </c>
      <c r="F4292" t="s">
        <v>10</v>
      </c>
      <c r="G4292" s="16">
        <v>2292.9423999999999</v>
      </c>
      <c r="H4292" s="16">
        <v>2636.8838000000001</v>
      </c>
      <c r="J4292">
        <v>3</v>
      </c>
      <c r="K4292" t="s">
        <v>10913</v>
      </c>
      <c r="M4292">
        <v>1</v>
      </c>
      <c r="N4292">
        <v>2</v>
      </c>
      <c r="O4292" t="s">
        <v>216</v>
      </c>
      <c r="P4292" s="17"/>
      <c r="Q4292" s="17" t="str">
        <f>_xlfn.XLOOKUP(Table2[[#This Row],[buyFromVendorNo]],'Next Day Scheduled'!A:A,'Pending Returns'!O:O,"NOT_FOUND")</f>
        <v>NOT_FOUND</v>
      </c>
    </row>
    <row r="4293" spans="1:17" x14ac:dyDescent="0.3">
      <c r="A4293" s="1">
        <v>46256</v>
      </c>
      <c r="B4293" t="s">
        <v>2630</v>
      </c>
      <c r="C4293" t="s">
        <v>1161</v>
      </c>
      <c r="D4293" t="s">
        <v>1162</v>
      </c>
      <c r="E4293" t="s">
        <v>8</v>
      </c>
      <c r="F4293" t="s">
        <v>10</v>
      </c>
      <c r="G4293" s="16">
        <v>494</v>
      </c>
      <c r="H4293" s="16">
        <v>568.1</v>
      </c>
      <c r="J4293">
        <v>3</v>
      </c>
      <c r="K4293" t="s">
        <v>11016</v>
      </c>
      <c r="M4293">
        <v>0</v>
      </c>
      <c r="N4293">
        <v>6</v>
      </c>
      <c r="O4293" t="s">
        <v>216</v>
      </c>
      <c r="P4293" s="17"/>
      <c r="Q4293" s="17" t="str">
        <f>_xlfn.XLOOKUP(Table2[[#This Row],[buyFromVendorNo]],'Next Day Scheduled'!A:A,'Pending Returns'!O:O,"NOT_FOUND")</f>
        <v>NOT_FOUND</v>
      </c>
    </row>
    <row r="4294" spans="1:17" x14ac:dyDescent="0.3">
      <c r="A4294" s="1">
        <v>46256</v>
      </c>
      <c r="B4294" t="s">
        <v>2735</v>
      </c>
      <c r="C4294" t="s">
        <v>1161</v>
      </c>
      <c r="D4294" t="s">
        <v>1162</v>
      </c>
      <c r="E4294" t="s">
        <v>8</v>
      </c>
      <c r="F4294" t="s">
        <v>10</v>
      </c>
      <c r="G4294" s="16">
        <v>7548.58</v>
      </c>
      <c r="H4294" s="16">
        <v>8680.8670000000002</v>
      </c>
      <c r="I4294" s="1">
        <v>46254</v>
      </c>
      <c r="J4294">
        <v>3</v>
      </c>
      <c r="K4294" t="s">
        <v>10344</v>
      </c>
      <c r="L4294" t="s">
        <v>10859</v>
      </c>
      <c r="M4294">
        <v>0</v>
      </c>
      <c r="N4294">
        <v>6</v>
      </c>
      <c r="O4294" t="s">
        <v>1036</v>
      </c>
      <c r="P4294" s="17"/>
      <c r="Q4294" s="17" t="str">
        <f>_xlfn.XLOOKUP(Table2[[#This Row],[buyFromVendorNo]],'Next Day Scheduled'!A:A,'Pending Returns'!O:O,"NOT_FOUND")</f>
        <v>NOT_FOUND</v>
      </c>
    </row>
    <row r="4295" spans="1:17" x14ac:dyDescent="0.3">
      <c r="A4295" s="1">
        <v>46256</v>
      </c>
      <c r="B4295" t="s">
        <v>10921</v>
      </c>
      <c r="C4295" t="s">
        <v>5159</v>
      </c>
      <c r="D4295" t="s">
        <v>5160</v>
      </c>
      <c r="E4295" t="s">
        <v>8</v>
      </c>
      <c r="F4295" t="s">
        <v>10</v>
      </c>
      <c r="G4295" s="16">
        <v>565.08000000000004</v>
      </c>
      <c r="H4295" s="16">
        <v>649.84199999999998</v>
      </c>
      <c r="J4295">
        <v>3</v>
      </c>
      <c r="K4295" t="s">
        <v>10922</v>
      </c>
      <c r="M4295">
        <v>0</v>
      </c>
      <c r="N4295">
        <v>7</v>
      </c>
      <c r="O4295" t="s">
        <v>216</v>
      </c>
      <c r="P4295" s="17"/>
      <c r="Q4295" s="17" t="str">
        <f>_xlfn.XLOOKUP(Table2[[#This Row],[buyFromVendorNo]],'Next Day Scheduled'!A:A,'Pending Returns'!O:O,"NOT_FOUND")</f>
        <v>Posted Credit Note</v>
      </c>
    </row>
    <row r="4296" spans="1:17" x14ac:dyDescent="0.3">
      <c r="A4296" s="1">
        <v>46256</v>
      </c>
      <c r="B4296" t="s">
        <v>642</v>
      </c>
      <c r="C4296" t="s">
        <v>598</v>
      </c>
      <c r="D4296" t="s">
        <v>9088</v>
      </c>
      <c r="E4296" t="s">
        <v>8</v>
      </c>
      <c r="F4296" t="s">
        <v>38</v>
      </c>
      <c r="G4296" s="16">
        <v>1243.5899999999999</v>
      </c>
      <c r="H4296" s="16">
        <v>1430.1285</v>
      </c>
      <c r="J4296">
        <v>3</v>
      </c>
      <c r="K4296" t="s">
        <v>10924</v>
      </c>
      <c r="M4296">
        <v>0</v>
      </c>
      <c r="N4296">
        <v>6</v>
      </c>
      <c r="O4296" t="s">
        <v>216</v>
      </c>
      <c r="P4296" s="17"/>
      <c r="Q4296" s="17" t="str">
        <f>_xlfn.XLOOKUP(Table2[[#This Row],[buyFromVendorNo]],'Next Day Scheduled'!A:A,'Pending Returns'!O:O,"NOT_FOUND")</f>
        <v>NOT_FOUND</v>
      </c>
    </row>
    <row r="4297" spans="1:17" x14ac:dyDescent="0.3">
      <c r="A4297" s="1">
        <v>46256</v>
      </c>
      <c r="B4297" t="s">
        <v>3344</v>
      </c>
      <c r="C4297" t="s">
        <v>809</v>
      </c>
      <c r="D4297" t="s">
        <v>360</v>
      </c>
      <c r="E4297" t="s">
        <v>8</v>
      </c>
      <c r="F4297" t="s">
        <v>10</v>
      </c>
      <c r="G4297" s="16">
        <v>40.770000000000003</v>
      </c>
      <c r="H4297" s="16">
        <v>46.8855</v>
      </c>
      <c r="J4297">
        <v>3</v>
      </c>
      <c r="K4297" t="s">
        <v>11020</v>
      </c>
      <c r="M4297">
        <v>0</v>
      </c>
      <c r="N4297">
        <v>6</v>
      </c>
      <c r="O4297" t="s">
        <v>216</v>
      </c>
      <c r="P4297" s="17"/>
      <c r="Q4297" s="17" t="str">
        <f>_xlfn.XLOOKUP(Table2[[#This Row],[buyFromVendorNo]],'Next Day Scheduled'!A:A,'Pending Returns'!O:O,"NOT_FOUND")</f>
        <v>Posted Credit Note</v>
      </c>
    </row>
    <row r="4298" spans="1:17" x14ac:dyDescent="0.3">
      <c r="A4298" s="1">
        <v>46256</v>
      </c>
      <c r="B4298" t="s">
        <v>8053</v>
      </c>
      <c r="C4298" t="s">
        <v>2269</v>
      </c>
      <c r="D4298" t="s">
        <v>2270</v>
      </c>
      <c r="E4298" t="s">
        <v>8</v>
      </c>
      <c r="F4298" t="s">
        <v>10</v>
      </c>
      <c r="G4298" s="16">
        <v>487.22341999999998</v>
      </c>
      <c r="H4298" s="16">
        <v>560.30695000000003</v>
      </c>
      <c r="J4298">
        <v>3</v>
      </c>
      <c r="K4298" t="s">
        <v>11021</v>
      </c>
      <c r="M4298">
        <v>0</v>
      </c>
      <c r="N4298">
        <v>64</v>
      </c>
      <c r="O4298" t="s">
        <v>216</v>
      </c>
      <c r="P4298" s="17"/>
      <c r="Q4298" s="17" t="str">
        <f>_xlfn.XLOOKUP(Table2[[#This Row],[buyFromVendorNo]],'Next Day Scheduled'!A:A,'Pending Returns'!O:O,"NOT_FOUND")</f>
        <v>NOT_FOUND</v>
      </c>
    </row>
    <row r="4299" spans="1:17" x14ac:dyDescent="0.3">
      <c r="A4299" s="1">
        <v>46256</v>
      </c>
      <c r="B4299" t="s">
        <v>2520</v>
      </c>
      <c r="C4299" t="s">
        <v>158</v>
      </c>
      <c r="D4299" t="s">
        <v>159</v>
      </c>
      <c r="E4299" t="s">
        <v>8</v>
      </c>
      <c r="F4299" t="s">
        <v>10</v>
      </c>
      <c r="G4299" s="16">
        <v>222.94</v>
      </c>
      <c r="H4299" s="16">
        <v>256.38099999999997</v>
      </c>
      <c r="I4299" s="1">
        <v>46254</v>
      </c>
      <c r="J4299">
        <v>3</v>
      </c>
      <c r="K4299" t="s">
        <v>10000</v>
      </c>
      <c r="L4299" t="s">
        <v>11026</v>
      </c>
      <c r="M4299">
        <v>0</v>
      </c>
      <c r="N4299">
        <v>6</v>
      </c>
      <c r="O4299" t="s">
        <v>1036</v>
      </c>
      <c r="P4299" s="17"/>
      <c r="Q4299" s="17" t="str">
        <f>_xlfn.XLOOKUP(Table2[[#This Row],[buyFromVendorNo]],'Next Day Scheduled'!A:A,'Pending Returns'!O:O,"NOT_FOUND")</f>
        <v>Posted Credit Note</v>
      </c>
    </row>
    <row r="4300" spans="1:17" x14ac:dyDescent="0.3">
      <c r="A4300" s="1">
        <v>46256</v>
      </c>
      <c r="B4300" t="s">
        <v>8200</v>
      </c>
      <c r="C4300" t="s">
        <v>531</v>
      </c>
      <c r="D4300" t="s">
        <v>532</v>
      </c>
      <c r="E4300" t="s">
        <v>8</v>
      </c>
      <c r="F4300" t="s">
        <v>10</v>
      </c>
      <c r="G4300" s="16">
        <v>100</v>
      </c>
      <c r="H4300" s="16">
        <v>115</v>
      </c>
      <c r="J4300">
        <v>3</v>
      </c>
      <c r="K4300" t="s">
        <v>11027</v>
      </c>
      <c r="M4300">
        <v>0</v>
      </c>
      <c r="N4300">
        <v>15</v>
      </c>
      <c r="O4300" t="s">
        <v>216</v>
      </c>
      <c r="P4300" s="17"/>
      <c r="Q4300" s="17" t="str">
        <f>_xlfn.XLOOKUP(Table2[[#This Row],[buyFromVendorNo]],'Next Day Scheduled'!A:A,'Pending Returns'!O:O,"NOT_FOUND")</f>
        <v>NOT_FOUND</v>
      </c>
    </row>
    <row r="4301" spans="1:17" x14ac:dyDescent="0.3">
      <c r="A4301" s="1">
        <v>46256</v>
      </c>
      <c r="B4301" t="s">
        <v>3523</v>
      </c>
      <c r="C4301" t="s">
        <v>2943</v>
      </c>
      <c r="D4301" t="s">
        <v>2944</v>
      </c>
      <c r="E4301" t="s">
        <v>8</v>
      </c>
      <c r="F4301" t="s">
        <v>10</v>
      </c>
      <c r="G4301" s="16">
        <v>650.30999999999995</v>
      </c>
      <c r="H4301" s="16">
        <v>747.85649999999998</v>
      </c>
      <c r="J4301">
        <v>3</v>
      </c>
      <c r="K4301" t="s">
        <v>11029</v>
      </c>
      <c r="M4301">
        <v>0</v>
      </c>
      <c r="N4301">
        <v>9</v>
      </c>
      <c r="O4301" t="s">
        <v>216</v>
      </c>
      <c r="P4301" s="17"/>
      <c r="Q4301" s="17" t="str">
        <f>_xlfn.XLOOKUP(Table2[[#This Row],[buyFromVendorNo]],'Next Day Scheduled'!A:A,'Pending Returns'!O:O,"NOT_FOUND")</f>
        <v>NOT_FOUND</v>
      </c>
    </row>
    <row r="4302" spans="1:17" x14ac:dyDescent="0.3">
      <c r="A4302" s="1">
        <v>46256</v>
      </c>
      <c r="B4302" t="s">
        <v>1822</v>
      </c>
      <c r="C4302" t="s">
        <v>57</v>
      </c>
      <c r="D4302" t="s">
        <v>58</v>
      </c>
      <c r="E4302" t="s">
        <v>8</v>
      </c>
      <c r="F4302" t="s">
        <v>10</v>
      </c>
      <c r="G4302" s="16">
        <v>818</v>
      </c>
      <c r="H4302" s="16">
        <v>940.7</v>
      </c>
      <c r="J4302">
        <v>3</v>
      </c>
      <c r="K4302" t="s">
        <v>10935</v>
      </c>
      <c r="M4302">
        <v>0</v>
      </c>
      <c r="N4302">
        <v>8</v>
      </c>
      <c r="O4302" t="s">
        <v>216</v>
      </c>
      <c r="P4302" s="17"/>
      <c r="Q4302" s="17" t="str">
        <f>_xlfn.XLOOKUP(Table2[[#This Row],[buyFromVendorNo]],'Next Day Scheduled'!A:A,'Pending Returns'!O:O,"NOT_FOUND")</f>
        <v>Posted Credit Note</v>
      </c>
    </row>
    <row r="4303" spans="1:17" x14ac:dyDescent="0.3">
      <c r="A4303" s="1">
        <v>46256</v>
      </c>
      <c r="B4303" t="s">
        <v>9101</v>
      </c>
      <c r="C4303" t="s">
        <v>2166</v>
      </c>
      <c r="D4303" t="s">
        <v>2167</v>
      </c>
      <c r="E4303" t="s">
        <v>8</v>
      </c>
      <c r="F4303" t="s">
        <v>10</v>
      </c>
      <c r="G4303" s="16">
        <v>1428.84</v>
      </c>
      <c r="H4303" s="16">
        <v>1643.1659999999999</v>
      </c>
      <c r="J4303">
        <v>3</v>
      </c>
      <c r="K4303" t="s">
        <v>10936</v>
      </c>
      <c r="M4303">
        <v>0</v>
      </c>
      <c r="N4303">
        <v>8</v>
      </c>
      <c r="O4303" t="s">
        <v>216</v>
      </c>
      <c r="P4303" s="17"/>
      <c r="Q4303" s="17" t="str">
        <f>_xlfn.XLOOKUP(Table2[[#This Row],[buyFromVendorNo]],'Next Day Scheduled'!A:A,'Pending Returns'!O:O,"NOT_FOUND")</f>
        <v>NOT_FOUND</v>
      </c>
    </row>
    <row r="4304" spans="1:17" x14ac:dyDescent="0.3">
      <c r="A4304" s="1">
        <v>46256</v>
      </c>
      <c r="B4304" t="s">
        <v>317</v>
      </c>
      <c r="C4304" t="s">
        <v>873</v>
      </c>
      <c r="D4304" t="s">
        <v>874</v>
      </c>
      <c r="E4304" t="s">
        <v>8</v>
      </c>
      <c r="F4304" t="s">
        <v>38</v>
      </c>
      <c r="G4304" s="16">
        <v>105.18</v>
      </c>
      <c r="H4304" s="16">
        <v>120.95699999999999</v>
      </c>
      <c r="I4304" s="1">
        <v>46254</v>
      </c>
      <c r="J4304">
        <v>3</v>
      </c>
      <c r="K4304" t="s">
        <v>6747</v>
      </c>
      <c r="L4304" t="s">
        <v>11030</v>
      </c>
      <c r="M4304">
        <v>0</v>
      </c>
      <c r="N4304">
        <v>6</v>
      </c>
      <c r="O4304" t="s">
        <v>1036</v>
      </c>
      <c r="P4304" s="17"/>
      <c r="Q4304" s="17" t="str">
        <f>_xlfn.XLOOKUP(Table2[[#This Row],[buyFromVendorNo]],'Next Day Scheduled'!A:A,'Pending Returns'!O:O,"NOT_FOUND")</f>
        <v>Posted Credit Note</v>
      </c>
    </row>
    <row r="4305" spans="1:17" x14ac:dyDescent="0.3">
      <c r="A4305" s="1">
        <v>46256</v>
      </c>
      <c r="B4305" t="s">
        <v>10902</v>
      </c>
      <c r="C4305" t="s">
        <v>598</v>
      </c>
      <c r="D4305" t="s">
        <v>9088</v>
      </c>
      <c r="E4305" t="s">
        <v>8</v>
      </c>
      <c r="F4305" t="s">
        <v>10</v>
      </c>
      <c r="G4305" s="16">
        <v>774.3</v>
      </c>
      <c r="H4305" s="16">
        <v>890.44500000000005</v>
      </c>
      <c r="J4305">
        <v>3</v>
      </c>
      <c r="K4305" t="s">
        <v>10903</v>
      </c>
      <c r="M4305">
        <v>0</v>
      </c>
      <c r="N4305">
        <v>6</v>
      </c>
      <c r="O4305" t="s">
        <v>216</v>
      </c>
      <c r="P4305" s="17"/>
      <c r="Q4305" s="17" t="str">
        <f>_xlfn.XLOOKUP(Table2[[#This Row],[buyFromVendorNo]],'Next Day Scheduled'!A:A,'Pending Returns'!O:O,"NOT_FOUND")</f>
        <v>NOT_FOUND</v>
      </c>
    </row>
    <row r="4306" spans="1:17" x14ac:dyDescent="0.3">
      <c r="A4306" s="1">
        <v>46256</v>
      </c>
      <c r="B4306" t="s">
        <v>9626</v>
      </c>
      <c r="C4306" t="s">
        <v>321</v>
      </c>
      <c r="D4306" t="s">
        <v>322</v>
      </c>
      <c r="E4306" t="s">
        <v>8</v>
      </c>
      <c r="F4306" t="s">
        <v>10</v>
      </c>
      <c r="G4306" s="16">
        <v>1453.5388</v>
      </c>
      <c r="H4306" s="16">
        <v>1671.5696</v>
      </c>
      <c r="I4306" s="1">
        <v>46255</v>
      </c>
      <c r="J4306">
        <v>3</v>
      </c>
      <c r="K4306" t="s">
        <v>9627</v>
      </c>
      <c r="L4306" t="s">
        <v>10970</v>
      </c>
      <c r="M4306">
        <v>0</v>
      </c>
      <c r="N4306">
        <v>5</v>
      </c>
      <c r="O4306" t="s">
        <v>1036</v>
      </c>
      <c r="P4306" s="17"/>
      <c r="Q4306" s="17" t="str">
        <f>_xlfn.XLOOKUP(Table2[[#This Row],[buyFromVendorNo]],'Next Day Scheduled'!A:A,'Pending Returns'!O:O,"NOT_FOUND")</f>
        <v>NOT_FOUND</v>
      </c>
    </row>
    <row r="4307" spans="1:17" x14ac:dyDescent="0.3">
      <c r="A4307" s="1">
        <v>46256</v>
      </c>
      <c r="B4307" t="s">
        <v>642</v>
      </c>
      <c r="C4307" t="s">
        <v>358</v>
      </c>
      <c r="D4307" t="s">
        <v>359</v>
      </c>
      <c r="E4307" t="s">
        <v>8</v>
      </c>
      <c r="F4307" t="s">
        <v>38</v>
      </c>
      <c r="G4307" s="16">
        <v>273.75</v>
      </c>
      <c r="H4307" s="16">
        <v>314.8125</v>
      </c>
      <c r="J4307">
        <v>3</v>
      </c>
      <c r="K4307" t="s">
        <v>10906</v>
      </c>
      <c r="M4307">
        <v>1</v>
      </c>
      <c r="N4307">
        <v>1</v>
      </c>
      <c r="O4307" t="s">
        <v>216</v>
      </c>
      <c r="P4307" s="17"/>
      <c r="Q4307" s="17" t="str">
        <f>_xlfn.XLOOKUP(Table2[[#This Row],[buyFromVendorNo]],'Next Day Scheduled'!A:A,'Pending Returns'!O:O,"NOT_FOUND")</f>
        <v>NOT_FOUND</v>
      </c>
    </row>
    <row r="4308" spans="1:17" x14ac:dyDescent="0.3">
      <c r="A4308" s="1">
        <v>46256</v>
      </c>
      <c r="B4308" t="s">
        <v>7253</v>
      </c>
      <c r="C4308" t="s">
        <v>621</v>
      </c>
      <c r="D4308" t="s">
        <v>11012</v>
      </c>
      <c r="E4308" t="s">
        <v>8</v>
      </c>
      <c r="F4308" t="s">
        <v>10</v>
      </c>
      <c r="G4308" s="16">
        <v>1430.94</v>
      </c>
      <c r="H4308" s="16">
        <v>1645.5809999999999</v>
      </c>
      <c r="J4308">
        <v>3</v>
      </c>
      <c r="K4308" t="s">
        <v>11013</v>
      </c>
      <c r="M4308">
        <v>1</v>
      </c>
      <c r="N4308">
        <v>3</v>
      </c>
      <c r="O4308" t="s">
        <v>216</v>
      </c>
      <c r="P4308" s="17"/>
      <c r="Q4308" s="17" t="str">
        <f>_xlfn.XLOOKUP(Table2[[#This Row],[buyFromVendorNo]],'Next Day Scheduled'!A:A,'Pending Returns'!O:O,"NOT_FOUND")</f>
        <v>NOT_FOUND</v>
      </c>
    </row>
    <row r="4309" spans="1:17" x14ac:dyDescent="0.3">
      <c r="A4309" s="1">
        <v>46256</v>
      </c>
      <c r="B4309" t="s">
        <v>3486</v>
      </c>
      <c r="C4309" t="s">
        <v>817</v>
      </c>
      <c r="D4309" t="s">
        <v>818</v>
      </c>
      <c r="E4309" t="s">
        <v>8</v>
      </c>
      <c r="F4309" t="s">
        <v>10</v>
      </c>
      <c r="G4309" s="16">
        <v>66.999960000000002</v>
      </c>
      <c r="H4309" s="16">
        <v>77.049949999999995</v>
      </c>
      <c r="J4309">
        <v>3</v>
      </c>
      <c r="K4309" t="s">
        <v>10946</v>
      </c>
      <c r="M4309">
        <v>0</v>
      </c>
      <c r="N4309">
        <v>5</v>
      </c>
      <c r="O4309" t="s">
        <v>216</v>
      </c>
      <c r="P4309" s="17"/>
      <c r="Q4309" s="17" t="str">
        <f>_xlfn.XLOOKUP(Table2[[#This Row],[buyFromVendorNo]],'Next Day Scheduled'!A:A,'Pending Returns'!O:O,"NOT_FOUND")</f>
        <v>NOT_FOUND</v>
      </c>
    </row>
    <row r="4310" spans="1:17" x14ac:dyDescent="0.3">
      <c r="A4310" s="1">
        <v>46256</v>
      </c>
      <c r="B4310" t="s">
        <v>3009</v>
      </c>
      <c r="C4310" t="s">
        <v>39</v>
      </c>
      <c r="D4310" t="s">
        <v>40</v>
      </c>
      <c r="E4310" t="s">
        <v>8</v>
      </c>
      <c r="F4310" t="s">
        <v>10</v>
      </c>
      <c r="G4310" s="16">
        <v>198.6422</v>
      </c>
      <c r="H4310" s="16">
        <v>228.43853999999999</v>
      </c>
      <c r="J4310">
        <v>3</v>
      </c>
      <c r="K4310" t="s">
        <v>10947</v>
      </c>
      <c r="M4310">
        <v>1</v>
      </c>
      <c r="N4310">
        <v>1</v>
      </c>
      <c r="O4310" t="s">
        <v>216</v>
      </c>
      <c r="P4310" s="17"/>
      <c r="Q4310" s="17" t="str">
        <f>_xlfn.XLOOKUP(Table2[[#This Row],[buyFromVendorNo]],'Next Day Scheduled'!A:A,'Pending Returns'!O:O,"NOT_FOUND")</f>
        <v>Posted Credit Note</v>
      </c>
    </row>
    <row r="4311" spans="1:17" x14ac:dyDescent="0.3">
      <c r="A4311" s="1">
        <v>46256</v>
      </c>
      <c r="B4311" t="s">
        <v>5900</v>
      </c>
      <c r="C4311" t="s">
        <v>2252</v>
      </c>
      <c r="D4311" t="s">
        <v>2253</v>
      </c>
      <c r="E4311" t="s">
        <v>8</v>
      </c>
      <c r="F4311" t="s">
        <v>10</v>
      </c>
      <c r="G4311" s="16">
        <v>115</v>
      </c>
      <c r="H4311" s="16">
        <v>132.25</v>
      </c>
      <c r="J4311">
        <v>3</v>
      </c>
      <c r="K4311" t="s">
        <v>10948</v>
      </c>
      <c r="M4311">
        <v>1</v>
      </c>
      <c r="N4311">
        <v>2</v>
      </c>
      <c r="O4311" t="s">
        <v>216</v>
      </c>
      <c r="P4311" s="17"/>
      <c r="Q4311" s="17" t="str">
        <f>_xlfn.XLOOKUP(Table2[[#This Row],[buyFromVendorNo]],'Next Day Scheduled'!A:A,'Pending Returns'!O:O,"NOT_FOUND")</f>
        <v>NOT_FOUND</v>
      </c>
    </row>
    <row r="4312" spans="1:17" x14ac:dyDescent="0.3">
      <c r="A4312" s="1">
        <v>46256</v>
      </c>
      <c r="B4312" t="s">
        <v>8486</v>
      </c>
      <c r="C4312" t="s">
        <v>873</v>
      </c>
      <c r="D4312" t="s">
        <v>874</v>
      </c>
      <c r="E4312" t="s">
        <v>8</v>
      </c>
      <c r="F4312" t="s">
        <v>38</v>
      </c>
      <c r="G4312" s="16">
        <v>1938.54</v>
      </c>
      <c r="H4312" s="16">
        <v>2229.3209999999999</v>
      </c>
      <c r="I4312" s="1">
        <v>46254</v>
      </c>
      <c r="J4312">
        <v>3</v>
      </c>
      <c r="K4312" t="s">
        <v>7872</v>
      </c>
      <c r="L4312" t="s">
        <v>10949</v>
      </c>
      <c r="M4312">
        <v>0</v>
      </c>
      <c r="N4312">
        <v>6</v>
      </c>
      <c r="O4312" t="s">
        <v>1036</v>
      </c>
      <c r="P4312" s="17"/>
      <c r="Q4312" s="17" t="str">
        <f>_xlfn.XLOOKUP(Table2[[#This Row],[buyFromVendorNo]],'Next Day Scheduled'!A:A,'Pending Returns'!O:O,"NOT_FOUND")</f>
        <v>Posted Credit Note</v>
      </c>
    </row>
    <row r="4313" spans="1:17" x14ac:dyDescent="0.3">
      <c r="A4313" s="1">
        <v>46256</v>
      </c>
      <c r="B4313" t="s">
        <v>2674</v>
      </c>
      <c r="C4313" t="s">
        <v>422</v>
      </c>
      <c r="D4313" t="s">
        <v>490</v>
      </c>
      <c r="E4313" t="s">
        <v>8</v>
      </c>
      <c r="F4313" t="s">
        <v>10</v>
      </c>
      <c r="G4313" s="16">
        <v>338.20605</v>
      </c>
      <c r="H4313" s="16">
        <v>388.93698000000001</v>
      </c>
      <c r="J4313">
        <v>3</v>
      </c>
      <c r="K4313" t="s">
        <v>10976</v>
      </c>
      <c r="M4313">
        <v>1</v>
      </c>
      <c r="N4313">
        <v>3</v>
      </c>
      <c r="O4313" t="s">
        <v>216</v>
      </c>
      <c r="P4313" s="17"/>
      <c r="Q4313" s="17" t="str">
        <f>_xlfn.XLOOKUP(Table2[[#This Row],[buyFromVendorNo]],'Next Day Scheduled'!A:A,'Pending Returns'!O:O,"NOT_FOUND")</f>
        <v>NOT_FOUND</v>
      </c>
    </row>
    <row r="4314" spans="1:17" x14ac:dyDescent="0.3">
      <c r="A4314" s="1">
        <v>46256</v>
      </c>
      <c r="B4314" t="s">
        <v>9564</v>
      </c>
      <c r="C4314" t="s">
        <v>2263</v>
      </c>
      <c r="D4314" t="s">
        <v>2350</v>
      </c>
      <c r="E4314" t="s">
        <v>8</v>
      </c>
      <c r="F4314" t="s">
        <v>10</v>
      </c>
      <c r="G4314" s="16">
        <v>62.5</v>
      </c>
      <c r="H4314" s="16">
        <v>71.875</v>
      </c>
      <c r="J4314">
        <v>3</v>
      </c>
      <c r="K4314" t="s">
        <v>10911</v>
      </c>
      <c r="M4314">
        <v>1</v>
      </c>
      <c r="N4314">
        <v>3</v>
      </c>
      <c r="O4314" t="s">
        <v>216</v>
      </c>
      <c r="P4314" s="17"/>
      <c r="Q4314" s="17" t="str">
        <f>_xlfn.XLOOKUP(Table2[[#This Row],[buyFromVendorNo]],'Next Day Scheduled'!A:A,'Pending Returns'!O:O,"NOT_FOUND")</f>
        <v>Posted Credit Note</v>
      </c>
    </row>
    <row r="4315" spans="1:17" x14ac:dyDescent="0.3">
      <c r="A4315" s="1">
        <v>46256</v>
      </c>
      <c r="B4315" t="s">
        <v>642</v>
      </c>
      <c r="C4315" t="s">
        <v>873</v>
      </c>
      <c r="D4315" t="s">
        <v>874</v>
      </c>
      <c r="E4315" t="s">
        <v>8</v>
      </c>
      <c r="F4315" t="s">
        <v>38</v>
      </c>
      <c r="G4315" s="16">
        <v>88.46</v>
      </c>
      <c r="H4315" s="16">
        <v>101.729</v>
      </c>
      <c r="I4315" s="1">
        <v>46253</v>
      </c>
      <c r="J4315">
        <v>3</v>
      </c>
      <c r="K4315" t="s">
        <v>10372</v>
      </c>
      <c r="L4315" t="s">
        <v>10955</v>
      </c>
      <c r="M4315">
        <v>0</v>
      </c>
      <c r="N4315">
        <v>6</v>
      </c>
      <c r="O4315" t="s">
        <v>1036</v>
      </c>
      <c r="P4315" s="17"/>
      <c r="Q4315" s="17" t="str">
        <f>_xlfn.XLOOKUP(Table2[[#This Row],[buyFromVendorNo]],'Next Day Scheduled'!A:A,'Pending Returns'!O:O,"NOT_FOUND")</f>
        <v>Posted Credit Note</v>
      </c>
    </row>
    <row r="4316" spans="1:17" x14ac:dyDescent="0.3">
      <c r="A4316" s="1">
        <v>46256</v>
      </c>
      <c r="B4316" t="s">
        <v>642</v>
      </c>
      <c r="C4316" t="s">
        <v>1031</v>
      </c>
      <c r="D4316" t="s">
        <v>1032</v>
      </c>
      <c r="E4316" t="s">
        <v>8</v>
      </c>
      <c r="F4316" t="s">
        <v>38</v>
      </c>
      <c r="G4316" s="16">
        <v>102.6</v>
      </c>
      <c r="H4316" s="16">
        <v>117.99</v>
      </c>
      <c r="I4316" s="1">
        <v>46256</v>
      </c>
      <c r="J4316">
        <v>3</v>
      </c>
      <c r="K4316" t="s">
        <v>10816</v>
      </c>
      <c r="L4316" t="s">
        <v>10956</v>
      </c>
      <c r="M4316">
        <v>0</v>
      </c>
      <c r="N4316">
        <v>7</v>
      </c>
      <c r="O4316" t="s">
        <v>1036</v>
      </c>
      <c r="P4316" s="17"/>
      <c r="Q4316" s="17" t="str">
        <f>_xlfn.XLOOKUP(Table2[[#This Row],[buyFromVendorNo]],'Next Day Scheduled'!A:A,'Pending Returns'!O:O,"NOT_FOUND")</f>
        <v>Pending for Collection</v>
      </c>
    </row>
    <row r="4317" spans="1:17" x14ac:dyDescent="0.3">
      <c r="A4317" s="1">
        <v>46256</v>
      </c>
      <c r="B4317" t="s">
        <v>642</v>
      </c>
      <c r="C4317" t="s">
        <v>7388</v>
      </c>
      <c r="D4317" t="s">
        <v>7389</v>
      </c>
      <c r="E4317" t="s">
        <v>8</v>
      </c>
      <c r="F4317" t="s">
        <v>38</v>
      </c>
      <c r="G4317" s="16">
        <v>174.2</v>
      </c>
      <c r="H4317" s="16">
        <v>200.33</v>
      </c>
      <c r="J4317">
        <v>3</v>
      </c>
      <c r="K4317" t="s">
        <v>10912</v>
      </c>
      <c r="M4317">
        <v>1</v>
      </c>
      <c r="N4317">
        <v>2</v>
      </c>
      <c r="O4317" t="s">
        <v>216</v>
      </c>
      <c r="P4317" s="17"/>
      <c r="Q4317" s="17" t="str">
        <f>_xlfn.XLOOKUP(Table2[[#This Row],[buyFromVendorNo]],'Next Day Scheduled'!A:A,'Pending Returns'!O:O,"NOT_FOUND")</f>
        <v>NOT_FOUND</v>
      </c>
    </row>
    <row r="4318" spans="1:17" x14ac:dyDescent="0.3">
      <c r="A4318" s="1">
        <v>46256</v>
      </c>
      <c r="B4318" t="s">
        <v>7355</v>
      </c>
      <c r="C4318" t="s">
        <v>596</v>
      </c>
      <c r="D4318" t="s">
        <v>597</v>
      </c>
      <c r="E4318" t="s">
        <v>8</v>
      </c>
      <c r="F4318" t="s">
        <v>10</v>
      </c>
      <c r="G4318" s="16">
        <v>160.69</v>
      </c>
      <c r="H4318" s="16">
        <v>184.79349999999999</v>
      </c>
      <c r="J4318">
        <v>3</v>
      </c>
      <c r="K4318" t="s">
        <v>10914</v>
      </c>
      <c r="M4318">
        <v>0</v>
      </c>
      <c r="N4318">
        <v>5</v>
      </c>
      <c r="O4318" t="s">
        <v>216</v>
      </c>
      <c r="P4318" s="17"/>
      <c r="Q4318" s="17" t="str">
        <f>_xlfn.XLOOKUP(Table2[[#This Row],[buyFromVendorNo]],'Next Day Scheduled'!A:A,'Pending Returns'!O:O,"NOT_FOUND")</f>
        <v>NOT_FOUND</v>
      </c>
    </row>
    <row r="4319" spans="1:17" x14ac:dyDescent="0.3">
      <c r="A4319" s="1">
        <v>46256</v>
      </c>
      <c r="B4319" t="s">
        <v>2210</v>
      </c>
      <c r="C4319" t="s">
        <v>65</v>
      </c>
      <c r="D4319" t="s">
        <v>66</v>
      </c>
      <c r="E4319" t="s">
        <v>8</v>
      </c>
      <c r="F4319" t="s">
        <v>10</v>
      </c>
      <c r="G4319" s="16">
        <v>3478.1995000000002</v>
      </c>
      <c r="H4319" s="16">
        <v>3999.9292</v>
      </c>
      <c r="I4319" s="1">
        <v>46254</v>
      </c>
      <c r="J4319">
        <v>3</v>
      </c>
      <c r="K4319" t="s">
        <v>6517</v>
      </c>
      <c r="L4319" t="s">
        <v>10985</v>
      </c>
      <c r="M4319">
        <v>0</v>
      </c>
      <c r="N4319">
        <v>5</v>
      </c>
      <c r="O4319" t="s">
        <v>1036</v>
      </c>
      <c r="P4319" s="17"/>
      <c r="Q4319" s="17" t="str">
        <f>_xlfn.XLOOKUP(Table2[[#This Row],[buyFromVendorNo]],'Next Day Scheduled'!A:A,'Pending Returns'!O:O,"NOT_FOUND")</f>
        <v>Posted Credit Note</v>
      </c>
    </row>
    <row r="4320" spans="1:17" x14ac:dyDescent="0.3">
      <c r="A4320" s="1">
        <v>46256</v>
      </c>
      <c r="B4320" t="s">
        <v>2837</v>
      </c>
      <c r="C4320" t="s">
        <v>98</v>
      </c>
      <c r="D4320" t="s">
        <v>99</v>
      </c>
      <c r="E4320" t="s">
        <v>8</v>
      </c>
      <c r="F4320" t="s">
        <v>10</v>
      </c>
      <c r="G4320" s="16">
        <v>36</v>
      </c>
      <c r="H4320" s="16">
        <v>41.4</v>
      </c>
      <c r="J4320">
        <v>3</v>
      </c>
      <c r="K4320" t="s">
        <v>10986</v>
      </c>
      <c r="M4320">
        <v>0</v>
      </c>
      <c r="N4320">
        <v>6</v>
      </c>
      <c r="O4320" t="s">
        <v>216</v>
      </c>
      <c r="P4320" s="17"/>
      <c r="Q4320" s="17" t="str">
        <f>_xlfn.XLOOKUP(Table2[[#This Row],[buyFromVendorNo]],'Next Day Scheduled'!A:A,'Pending Returns'!O:O,"NOT_FOUND")</f>
        <v>NOT_FOUND</v>
      </c>
    </row>
    <row r="4321" spans="1:17" x14ac:dyDescent="0.3">
      <c r="A4321" s="1">
        <v>46256</v>
      </c>
      <c r="B4321" t="s">
        <v>5222</v>
      </c>
      <c r="C4321" t="s">
        <v>173</v>
      </c>
      <c r="D4321" t="s">
        <v>174</v>
      </c>
      <c r="E4321" t="s">
        <v>8</v>
      </c>
      <c r="F4321" t="s">
        <v>10</v>
      </c>
      <c r="G4321" s="16">
        <v>1591.93</v>
      </c>
      <c r="H4321" s="16">
        <v>1830.7194999999999</v>
      </c>
      <c r="J4321">
        <v>3</v>
      </c>
      <c r="K4321" t="s">
        <v>11017</v>
      </c>
      <c r="M4321">
        <v>2</v>
      </c>
      <c r="N4321">
        <v>1</v>
      </c>
      <c r="O4321" t="s">
        <v>216</v>
      </c>
      <c r="P4321" s="17"/>
      <c r="Q4321" s="17" t="str">
        <f>_xlfn.XLOOKUP(Table2[[#This Row],[buyFromVendorNo]],'Next Day Scheduled'!A:A,'Pending Returns'!O:O,"NOT_FOUND")</f>
        <v>NOT_FOUND</v>
      </c>
    </row>
    <row r="4322" spans="1:17" x14ac:dyDescent="0.3">
      <c r="A4322" s="1">
        <v>46256</v>
      </c>
      <c r="B4322" t="s">
        <v>3559</v>
      </c>
      <c r="C4322" t="s">
        <v>931</v>
      </c>
      <c r="D4322" t="s">
        <v>1767</v>
      </c>
      <c r="E4322" t="s">
        <v>8</v>
      </c>
      <c r="F4322" t="s">
        <v>10</v>
      </c>
      <c r="G4322" s="16">
        <v>1294</v>
      </c>
      <c r="H4322" s="16">
        <v>1488.1</v>
      </c>
      <c r="J4322">
        <v>3</v>
      </c>
      <c r="K4322" t="s">
        <v>10989</v>
      </c>
      <c r="M4322">
        <v>1</v>
      </c>
      <c r="N4322">
        <v>3</v>
      </c>
      <c r="O4322" t="s">
        <v>216</v>
      </c>
      <c r="P4322" s="17"/>
      <c r="Q4322" s="17" t="str">
        <f>_xlfn.XLOOKUP(Table2[[#This Row],[buyFromVendorNo]],'Next Day Scheduled'!A:A,'Pending Returns'!O:O,"NOT_FOUND")</f>
        <v>NOT_FOUND</v>
      </c>
    </row>
    <row r="4323" spans="1:17" x14ac:dyDescent="0.3">
      <c r="A4323" s="1">
        <v>46256</v>
      </c>
      <c r="B4323" t="s">
        <v>9474</v>
      </c>
      <c r="C4323" t="s">
        <v>839</v>
      </c>
      <c r="D4323" t="s">
        <v>840</v>
      </c>
      <c r="E4323" t="s">
        <v>8</v>
      </c>
      <c r="F4323" t="s">
        <v>10</v>
      </c>
      <c r="G4323" s="16">
        <v>558</v>
      </c>
      <c r="H4323" s="16">
        <v>641.70000000000005</v>
      </c>
      <c r="I4323" s="1">
        <v>46251</v>
      </c>
      <c r="J4323">
        <v>3</v>
      </c>
      <c r="K4323" t="s">
        <v>9466</v>
      </c>
      <c r="L4323" t="s">
        <v>10992</v>
      </c>
      <c r="M4323">
        <v>1</v>
      </c>
      <c r="N4323">
        <v>2</v>
      </c>
      <c r="O4323" t="s">
        <v>1036</v>
      </c>
      <c r="P4323" s="17"/>
      <c r="Q4323" s="17" t="str">
        <f>_xlfn.XLOOKUP(Table2[[#This Row],[buyFromVendorNo]],'Next Day Scheduled'!A:A,'Pending Returns'!O:O,"NOT_FOUND")</f>
        <v>NOT_FOUND</v>
      </c>
    </row>
    <row r="4324" spans="1:17" x14ac:dyDescent="0.3">
      <c r="A4324" s="1">
        <v>46256</v>
      </c>
      <c r="B4324" t="s">
        <v>642</v>
      </c>
      <c r="C4324" t="s">
        <v>1099</v>
      </c>
      <c r="D4324" t="s">
        <v>1100</v>
      </c>
      <c r="E4324" t="s">
        <v>8</v>
      </c>
      <c r="F4324" t="s">
        <v>38</v>
      </c>
      <c r="G4324" s="16">
        <v>75</v>
      </c>
      <c r="H4324" s="16">
        <v>86.25</v>
      </c>
      <c r="I4324" s="1">
        <v>46256</v>
      </c>
      <c r="J4324">
        <v>3</v>
      </c>
      <c r="K4324" t="s">
        <v>10374</v>
      </c>
      <c r="L4324" t="s">
        <v>10918</v>
      </c>
      <c r="M4324">
        <v>0</v>
      </c>
      <c r="N4324">
        <v>5</v>
      </c>
      <c r="O4324" t="s">
        <v>1036</v>
      </c>
      <c r="P4324" s="17"/>
      <c r="Q4324" s="17" t="str">
        <f>_xlfn.XLOOKUP(Table2[[#This Row],[buyFromVendorNo]],'Next Day Scheduled'!A:A,'Pending Returns'!O:O,"NOT_FOUND")</f>
        <v>NOT_FOUND</v>
      </c>
    </row>
    <row r="4325" spans="1:17" x14ac:dyDescent="0.3">
      <c r="A4325" s="1">
        <v>46256</v>
      </c>
      <c r="B4325" t="s">
        <v>6286</v>
      </c>
      <c r="C4325" t="s">
        <v>6256</v>
      </c>
      <c r="D4325" t="s">
        <v>6257</v>
      </c>
      <c r="E4325" t="s">
        <v>8</v>
      </c>
      <c r="F4325" t="s">
        <v>38</v>
      </c>
      <c r="G4325" s="16">
        <v>3739.6273999999999</v>
      </c>
      <c r="H4325" s="16">
        <v>4300.5712999999996</v>
      </c>
      <c r="I4325" s="1">
        <v>46242</v>
      </c>
      <c r="J4325">
        <v>3</v>
      </c>
      <c r="K4325" t="s">
        <v>9433</v>
      </c>
      <c r="L4325" t="s">
        <v>10920</v>
      </c>
      <c r="M4325">
        <v>0</v>
      </c>
      <c r="N4325">
        <v>8</v>
      </c>
      <c r="O4325" t="s">
        <v>1036</v>
      </c>
      <c r="P4325" s="17"/>
      <c r="Q4325" s="17" t="str">
        <f>_xlfn.XLOOKUP(Table2[[#This Row],[buyFromVendorNo]],'Next Day Scheduled'!A:A,'Pending Returns'!O:O,"NOT_FOUND")</f>
        <v>NOT_FOUND</v>
      </c>
    </row>
    <row r="4326" spans="1:17" x14ac:dyDescent="0.3">
      <c r="A4326" s="1">
        <v>46256</v>
      </c>
      <c r="B4326" t="s">
        <v>447</v>
      </c>
      <c r="C4326" t="s">
        <v>613</v>
      </c>
      <c r="D4326" t="s">
        <v>614</v>
      </c>
      <c r="E4326" t="s">
        <v>8</v>
      </c>
      <c r="F4326" t="s">
        <v>10</v>
      </c>
      <c r="G4326" s="16">
        <v>137.80000000000001</v>
      </c>
      <c r="H4326" s="16">
        <v>158.47</v>
      </c>
      <c r="J4326">
        <v>3</v>
      </c>
      <c r="K4326" t="s">
        <v>10995</v>
      </c>
      <c r="M4326">
        <v>1</v>
      </c>
      <c r="N4326">
        <v>2</v>
      </c>
      <c r="O4326" t="s">
        <v>216</v>
      </c>
      <c r="P4326" s="17"/>
      <c r="Q4326" s="17" t="str">
        <f>_xlfn.XLOOKUP(Table2[[#This Row],[buyFromVendorNo]],'Next Day Scheduled'!A:A,'Pending Returns'!O:O,"NOT_FOUND")</f>
        <v>NOT_FOUND</v>
      </c>
    </row>
    <row r="4327" spans="1:17" x14ac:dyDescent="0.3">
      <c r="A4327" s="1">
        <v>46256</v>
      </c>
      <c r="B4327" t="s">
        <v>3435</v>
      </c>
      <c r="C4327" t="s">
        <v>69</v>
      </c>
      <c r="D4327" t="s">
        <v>70</v>
      </c>
      <c r="E4327" t="s">
        <v>8</v>
      </c>
      <c r="F4327" t="s">
        <v>10</v>
      </c>
      <c r="G4327" s="16">
        <v>3586.85</v>
      </c>
      <c r="H4327" s="16">
        <v>4124.8774000000003</v>
      </c>
      <c r="J4327">
        <v>3</v>
      </c>
      <c r="K4327" t="s">
        <v>10960</v>
      </c>
      <c r="M4327">
        <v>3</v>
      </c>
      <c r="N4327">
        <v>1</v>
      </c>
      <c r="O4327" t="s">
        <v>216</v>
      </c>
      <c r="P4327" s="17"/>
      <c r="Q4327" s="17" t="str">
        <f>_xlfn.XLOOKUP(Table2[[#This Row],[buyFromVendorNo]],'Next Day Scheduled'!A:A,'Pending Returns'!O:O,"NOT_FOUND")</f>
        <v>Posted Credit Note</v>
      </c>
    </row>
    <row r="4328" spans="1:17" x14ac:dyDescent="0.3">
      <c r="A4328" s="1">
        <v>46256</v>
      </c>
      <c r="B4328" t="s">
        <v>7307</v>
      </c>
      <c r="C4328" t="s">
        <v>111</v>
      </c>
      <c r="D4328" t="s">
        <v>112</v>
      </c>
      <c r="E4328" t="s">
        <v>8</v>
      </c>
      <c r="F4328" t="s">
        <v>10</v>
      </c>
      <c r="G4328" s="16">
        <v>267.81670000000003</v>
      </c>
      <c r="H4328" s="16">
        <v>307.98923000000002</v>
      </c>
      <c r="J4328">
        <v>3</v>
      </c>
      <c r="K4328" t="s">
        <v>10961</v>
      </c>
      <c r="M4328">
        <v>0</v>
      </c>
      <c r="N4328">
        <v>15</v>
      </c>
      <c r="O4328" t="s">
        <v>216</v>
      </c>
      <c r="P4328" s="17"/>
      <c r="Q4328" s="17" t="str">
        <f>_xlfn.XLOOKUP(Table2[[#This Row],[buyFromVendorNo]],'Next Day Scheduled'!A:A,'Pending Returns'!O:O,"NOT_FOUND")</f>
        <v>Posted Credit Note</v>
      </c>
    </row>
    <row r="4329" spans="1:17" x14ac:dyDescent="0.3">
      <c r="A4329" s="1">
        <v>46256</v>
      </c>
      <c r="B4329" t="s">
        <v>10997</v>
      </c>
      <c r="C4329" t="s">
        <v>177</v>
      </c>
      <c r="D4329" t="s">
        <v>178</v>
      </c>
      <c r="E4329" t="s">
        <v>8</v>
      </c>
      <c r="F4329" t="s">
        <v>10</v>
      </c>
      <c r="G4329" s="16">
        <v>335.66</v>
      </c>
      <c r="H4329" s="16">
        <v>386.00900000000001</v>
      </c>
      <c r="J4329">
        <v>3</v>
      </c>
      <c r="K4329" t="s">
        <v>10998</v>
      </c>
      <c r="M4329">
        <v>2</v>
      </c>
      <c r="N4329">
        <v>2</v>
      </c>
      <c r="O4329" t="s">
        <v>216</v>
      </c>
      <c r="P4329" s="17"/>
      <c r="Q4329" s="17" t="str">
        <f>_xlfn.XLOOKUP(Table2[[#This Row],[buyFromVendorNo]],'Next Day Scheduled'!A:A,'Pending Returns'!O:O,"NOT_FOUND")</f>
        <v>Posted Credit Note</v>
      </c>
    </row>
    <row r="4330" spans="1:17" x14ac:dyDescent="0.3">
      <c r="A4330" s="1">
        <v>46256</v>
      </c>
      <c r="B4330" t="s">
        <v>2556</v>
      </c>
      <c r="C4330" t="s">
        <v>873</v>
      </c>
      <c r="D4330" t="s">
        <v>874</v>
      </c>
      <c r="E4330" t="s">
        <v>8</v>
      </c>
      <c r="F4330" t="s">
        <v>38</v>
      </c>
      <c r="G4330" s="16">
        <v>2934.77</v>
      </c>
      <c r="H4330" s="16">
        <v>3374.9856</v>
      </c>
      <c r="I4330" s="1">
        <v>46254</v>
      </c>
      <c r="J4330">
        <v>3</v>
      </c>
      <c r="K4330" t="s">
        <v>5547</v>
      </c>
      <c r="L4330" t="s">
        <v>10999</v>
      </c>
      <c r="M4330">
        <v>0</v>
      </c>
      <c r="N4330">
        <v>6</v>
      </c>
      <c r="O4330" t="s">
        <v>1036</v>
      </c>
      <c r="P4330" s="17"/>
      <c r="Q4330" s="17" t="str">
        <f>_xlfn.XLOOKUP(Table2[[#This Row],[buyFromVendorNo]],'Next Day Scheduled'!A:A,'Pending Returns'!O:O,"NOT_FOUND")</f>
        <v>Posted Credit Note</v>
      </c>
    </row>
    <row r="4331" spans="1:17" x14ac:dyDescent="0.3">
      <c r="A4331" s="1">
        <v>46256</v>
      </c>
      <c r="B4331" t="s">
        <v>3722</v>
      </c>
      <c r="C4331" t="s">
        <v>2317</v>
      </c>
      <c r="D4331" t="s">
        <v>2318</v>
      </c>
      <c r="E4331" t="s">
        <v>8</v>
      </c>
      <c r="F4331" t="s">
        <v>10</v>
      </c>
      <c r="G4331" s="16">
        <v>81.56</v>
      </c>
      <c r="H4331" s="16">
        <v>93.793999999999997</v>
      </c>
      <c r="J4331">
        <v>3</v>
      </c>
      <c r="K4331" t="s">
        <v>10962</v>
      </c>
      <c r="M4331">
        <v>0</v>
      </c>
      <c r="N4331">
        <v>7</v>
      </c>
      <c r="O4331" t="s">
        <v>216</v>
      </c>
      <c r="P4331" s="17"/>
      <c r="Q4331" s="17" t="str">
        <f>_xlfn.XLOOKUP(Table2[[#This Row],[buyFromVendorNo]],'Next Day Scheduled'!A:A,'Pending Returns'!O:O,"NOT_FOUND")</f>
        <v>NOT_FOUND</v>
      </c>
    </row>
    <row r="4332" spans="1:17" x14ac:dyDescent="0.3">
      <c r="A4332" s="1">
        <v>46256</v>
      </c>
      <c r="B4332" t="s">
        <v>1863</v>
      </c>
      <c r="C4332" t="s">
        <v>65</v>
      </c>
      <c r="D4332" t="s">
        <v>66</v>
      </c>
      <c r="E4332" t="s">
        <v>8</v>
      </c>
      <c r="F4332" t="s">
        <v>10</v>
      </c>
      <c r="G4332" s="16">
        <v>5487.8257000000003</v>
      </c>
      <c r="H4332" s="16">
        <v>6310.9994999999999</v>
      </c>
      <c r="I4332" s="1">
        <v>46254</v>
      </c>
      <c r="J4332">
        <v>3</v>
      </c>
      <c r="K4332" t="s">
        <v>7423</v>
      </c>
      <c r="L4332" t="s">
        <v>10855</v>
      </c>
      <c r="M4332">
        <v>0</v>
      </c>
      <c r="N4332">
        <v>5</v>
      </c>
      <c r="O4332" t="s">
        <v>1036</v>
      </c>
      <c r="P4332" s="17"/>
      <c r="Q4332" s="17" t="str">
        <f>_xlfn.XLOOKUP(Table2[[#This Row],[buyFromVendorNo]],'Next Day Scheduled'!A:A,'Pending Returns'!O:O,"NOT_FOUND")</f>
        <v>Posted Credit Note</v>
      </c>
    </row>
    <row r="4333" spans="1:17" x14ac:dyDescent="0.3">
      <c r="A4333" s="1">
        <v>46256</v>
      </c>
      <c r="B4333" t="s">
        <v>558</v>
      </c>
      <c r="C4333" t="s">
        <v>154</v>
      </c>
      <c r="D4333" t="s">
        <v>155</v>
      </c>
      <c r="E4333" t="s">
        <v>8</v>
      </c>
      <c r="F4333" t="s">
        <v>10</v>
      </c>
      <c r="G4333" s="16">
        <v>1540.7476999999999</v>
      </c>
      <c r="H4333" s="16">
        <v>1771.8598999999999</v>
      </c>
      <c r="J4333">
        <v>3</v>
      </c>
      <c r="K4333" t="s">
        <v>11000</v>
      </c>
      <c r="M4333">
        <v>0</v>
      </c>
      <c r="N4333">
        <v>7</v>
      </c>
      <c r="O4333" t="s">
        <v>216</v>
      </c>
      <c r="P4333" s="17"/>
      <c r="Q4333" s="17" t="str">
        <f>_xlfn.XLOOKUP(Table2[[#This Row],[buyFromVendorNo]],'Next Day Scheduled'!A:A,'Pending Returns'!O:O,"NOT_FOUND")</f>
        <v>NOT_FOUND</v>
      </c>
    </row>
    <row r="4334" spans="1:17" x14ac:dyDescent="0.3">
      <c r="A4334" s="1">
        <v>46256</v>
      </c>
      <c r="B4334" t="s">
        <v>642</v>
      </c>
      <c r="C4334" t="s">
        <v>1099</v>
      </c>
      <c r="D4334" t="s">
        <v>1100</v>
      </c>
      <c r="E4334" t="s">
        <v>8</v>
      </c>
      <c r="F4334" t="s">
        <v>38</v>
      </c>
      <c r="G4334" s="16">
        <v>301.95999999999998</v>
      </c>
      <c r="H4334" s="16">
        <v>347.25400000000002</v>
      </c>
      <c r="I4334" s="1">
        <v>46256</v>
      </c>
      <c r="J4334">
        <v>3</v>
      </c>
      <c r="K4334" t="s">
        <v>10250</v>
      </c>
      <c r="L4334" t="s">
        <v>10965</v>
      </c>
      <c r="M4334">
        <v>0</v>
      </c>
      <c r="N4334">
        <v>5</v>
      </c>
      <c r="O4334" t="s">
        <v>1036</v>
      </c>
      <c r="P4334" s="17"/>
      <c r="Q4334" s="17" t="str">
        <f>_xlfn.XLOOKUP(Table2[[#This Row],[buyFromVendorNo]],'Next Day Scheduled'!A:A,'Pending Returns'!O:O,"NOT_FOUND")</f>
        <v>NOT_FOUND</v>
      </c>
    </row>
    <row r="4335" spans="1:17" x14ac:dyDescent="0.3">
      <c r="A4335" s="1">
        <v>46256</v>
      </c>
      <c r="B4335" t="s">
        <v>9475</v>
      </c>
      <c r="C4335" t="s">
        <v>2352</v>
      </c>
      <c r="D4335" t="s">
        <v>2353</v>
      </c>
      <c r="E4335" t="s">
        <v>8</v>
      </c>
      <c r="F4335" t="s">
        <v>10</v>
      </c>
      <c r="G4335" s="16">
        <v>57.33</v>
      </c>
      <c r="H4335" s="16">
        <v>65.929500000000004</v>
      </c>
      <c r="J4335">
        <v>3</v>
      </c>
      <c r="K4335" t="s">
        <v>11002</v>
      </c>
      <c r="M4335">
        <v>0</v>
      </c>
      <c r="N4335">
        <v>5</v>
      </c>
      <c r="O4335" t="s">
        <v>216</v>
      </c>
      <c r="P4335" s="17"/>
      <c r="Q4335" s="17" t="str">
        <f>_xlfn.XLOOKUP(Table2[[#This Row],[buyFromVendorNo]],'Next Day Scheduled'!A:A,'Pending Returns'!O:O,"NOT_FOUND")</f>
        <v>NOT_FOUND</v>
      </c>
    </row>
    <row r="4336" spans="1:17" x14ac:dyDescent="0.3">
      <c r="A4336" s="1">
        <v>46256</v>
      </c>
      <c r="B4336" t="s">
        <v>2546</v>
      </c>
      <c r="C4336" t="s">
        <v>873</v>
      </c>
      <c r="D4336" t="s">
        <v>874</v>
      </c>
      <c r="E4336" t="s">
        <v>8</v>
      </c>
      <c r="F4336" t="s">
        <v>38</v>
      </c>
      <c r="G4336" s="16">
        <v>1720.25</v>
      </c>
      <c r="H4336" s="16">
        <v>1978.2874999999999</v>
      </c>
      <c r="I4336" s="1">
        <v>46254</v>
      </c>
      <c r="J4336">
        <v>3</v>
      </c>
      <c r="K4336" t="s">
        <v>6546</v>
      </c>
      <c r="L4336" t="s">
        <v>11003</v>
      </c>
      <c r="M4336">
        <v>0</v>
      </c>
      <c r="N4336">
        <v>6</v>
      </c>
      <c r="O4336" t="s">
        <v>1036</v>
      </c>
      <c r="P4336" s="17"/>
      <c r="Q4336" s="17" t="str">
        <f>_xlfn.XLOOKUP(Table2[[#This Row],[buyFromVendorNo]],'Next Day Scheduled'!A:A,'Pending Returns'!O:O,"NOT_FOUND")</f>
        <v>Posted Credit Note</v>
      </c>
    </row>
    <row r="4337" spans="1:17" x14ac:dyDescent="0.3">
      <c r="A4337" s="1">
        <v>46256</v>
      </c>
      <c r="B4337" t="s">
        <v>2203</v>
      </c>
      <c r="C4337" t="s">
        <v>1024</v>
      </c>
      <c r="D4337" t="s">
        <v>1025</v>
      </c>
      <c r="E4337" t="s">
        <v>8</v>
      </c>
      <c r="F4337" t="s">
        <v>10</v>
      </c>
      <c r="G4337" s="16">
        <v>45.584000000000003</v>
      </c>
      <c r="H4337" s="16">
        <v>52.421599999999998</v>
      </c>
      <c r="J4337">
        <v>3</v>
      </c>
      <c r="K4337" t="s">
        <v>10966</v>
      </c>
      <c r="M4337">
        <v>0</v>
      </c>
      <c r="N4337">
        <v>5</v>
      </c>
      <c r="O4337" t="s">
        <v>216</v>
      </c>
      <c r="P4337" s="17"/>
      <c r="Q4337" s="17" t="str">
        <f>_xlfn.XLOOKUP(Table2[[#This Row],[buyFromVendorNo]],'Next Day Scheduled'!A:A,'Pending Returns'!O:O,"NOT_FOUND")</f>
        <v>NOT_FOUND</v>
      </c>
    </row>
    <row r="4338" spans="1:17" x14ac:dyDescent="0.3">
      <c r="A4338" s="1">
        <v>46256</v>
      </c>
      <c r="B4338" t="s">
        <v>5908</v>
      </c>
      <c r="C4338" t="s">
        <v>776</v>
      </c>
      <c r="D4338" t="s">
        <v>777</v>
      </c>
      <c r="E4338" t="s">
        <v>8</v>
      </c>
      <c r="F4338" t="s">
        <v>10</v>
      </c>
      <c r="G4338" s="16">
        <v>227.32</v>
      </c>
      <c r="H4338" s="16">
        <v>261.41800000000001</v>
      </c>
      <c r="J4338">
        <v>3</v>
      </c>
      <c r="K4338" t="s">
        <v>11004</v>
      </c>
      <c r="M4338">
        <v>1</v>
      </c>
      <c r="N4338">
        <v>2</v>
      </c>
      <c r="O4338" t="s">
        <v>216</v>
      </c>
      <c r="P4338" s="17"/>
      <c r="Q4338" s="17" t="str">
        <f>_xlfn.XLOOKUP(Table2[[#This Row],[buyFromVendorNo]],'Next Day Scheduled'!A:A,'Pending Returns'!O:O,"NOT_FOUND")</f>
        <v>Posted Credit Note</v>
      </c>
    </row>
    <row r="4339" spans="1:17" x14ac:dyDescent="0.3">
      <c r="A4339" s="1">
        <v>46256</v>
      </c>
      <c r="B4339" t="s">
        <v>5063</v>
      </c>
      <c r="C4339" t="s">
        <v>321</v>
      </c>
      <c r="D4339" t="s">
        <v>322</v>
      </c>
      <c r="E4339" t="s">
        <v>8</v>
      </c>
      <c r="F4339" t="s">
        <v>10</v>
      </c>
      <c r="G4339" s="16">
        <v>341.86660000000001</v>
      </c>
      <c r="H4339" s="16">
        <v>393.14659999999998</v>
      </c>
      <c r="J4339">
        <v>3</v>
      </c>
      <c r="K4339" t="s">
        <v>11008</v>
      </c>
      <c r="M4339">
        <v>0</v>
      </c>
      <c r="N4339">
        <v>5</v>
      </c>
      <c r="O4339" t="s">
        <v>216</v>
      </c>
      <c r="P4339" s="17"/>
      <c r="Q4339" s="17" t="str">
        <f>_xlfn.XLOOKUP(Table2[[#This Row],[buyFromVendorNo]],'Next Day Scheduled'!A:A,'Pending Returns'!O:O,"NOT_FOUND")</f>
        <v>NOT_FOUND</v>
      </c>
    </row>
    <row r="4340" spans="1:17" x14ac:dyDescent="0.3">
      <c r="A4340" s="1">
        <v>46256</v>
      </c>
      <c r="B4340" t="s">
        <v>2877</v>
      </c>
      <c r="C4340" t="s">
        <v>1018</v>
      </c>
      <c r="D4340" t="s">
        <v>1019</v>
      </c>
      <c r="E4340" t="s">
        <v>8</v>
      </c>
      <c r="F4340" t="s">
        <v>10</v>
      </c>
      <c r="G4340" s="16">
        <v>419.94650000000001</v>
      </c>
      <c r="H4340" s="16">
        <v>482.93848000000003</v>
      </c>
      <c r="J4340">
        <v>3</v>
      </c>
      <c r="K4340" t="s">
        <v>10943</v>
      </c>
      <c r="M4340">
        <v>1</v>
      </c>
      <c r="N4340">
        <v>3</v>
      </c>
      <c r="O4340" t="s">
        <v>216</v>
      </c>
      <c r="P4340" s="17"/>
      <c r="Q4340" s="17" t="str">
        <f>_xlfn.XLOOKUP(Table2[[#This Row],[buyFromVendorNo]],'Next Day Scheduled'!A:A,'Pending Returns'!O:O,"NOT_FOUND")</f>
        <v>NOT_FOUND</v>
      </c>
    </row>
    <row r="4341" spans="1:17" x14ac:dyDescent="0.3">
      <c r="A4341" s="1">
        <v>46256</v>
      </c>
      <c r="B4341" t="s">
        <v>10907</v>
      </c>
      <c r="C4341" t="s">
        <v>188</v>
      </c>
      <c r="D4341" t="s">
        <v>189</v>
      </c>
      <c r="E4341" t="s">
        <v>8</v>
      </c>
      <c r="F4341" t="s">
        <v>10</v>
      </c>
      <c r="G4341" s="16">
        <v>91.875</v>
      </c>
      <c r="H4341" s="16">
        <v>105.65625</v>
      </c>
      <c r="J4341">
        <v>3</v>
      </c>
      <c r="K4341" t="s">
        <v>10908</v>
      </c>
      <c r="M4341">
        <v>0</v>
      </c>
      <c r="N4341">
        <v>607</v>
      </c>
      <c r="O4341" t="s">
        <v>216</v>
      </c>
      <c r="P4341" s="17"/>
      <c r="Q4341" s="17" t="str">
        <f>_xlfn.XLOOKUP(Table2[[#This Row],[buyFromVendorNo]],'Next Day Scheduled'!A:A,'Pending Returns'!O:O,"NOT_FOUND")</f>
        <v>NOT_FOUND</v>
      </c>
    </row>
    <row r="4342" spans="1:17" x14ac:dyDescent="0.3">
      <c r="A4342" s="1">
        <v>46256</v>
      </c>
      <c r="B4342" t="s">
        <v>642</v>
      </c>
      <c r="C4342" t="s">
        <v>154</v>
      </c>
      <c r="D4342" t="s">
        <v>155</v>
      </c>
      <c r="E4342" t="s">
        <v>8</v>
      </c>
      <c r="F4342" t="s">
        <v>38</v>
      </c>
      <c r="G4342" s="16">
        <v>1225.739</v>
      </c>
      <c r="H4342" s="16">
        <v>1409.5998999999999</v>
      </c>
      <c r="J4342">
        <v>3</v>
      </c>
      <c r="K4342" t="s">
        <v>10945</v>
      </c>
      <c r="M4342">
        <v>0</v>
      </c>
      <c r="N4342">
        <v>7</v>
      </c>
      <c r="O4342" t="s">
        <v>216</v>
      </c>
      <c r="P4342" s="17"/>
      <c r="Q4342" s="17" t="str">
        <f>_xlfn.XLOOKUP(Table2[[#This Row],[buyFromVendorNo]],'Next Day Scheduled'!A:A,'Pending Returns'!O:O,"NOT_FOUND")</f>
        <v>NOT_FOUND</v>
      </c>
    </row>
    <row r="4343" spans="1:17" x14ac:dyDescent="0.3">
      <c r="A4343" s="1">
        <v>46256</v>
      </c>
      <c r="B4343" t="s">
        <v>642</v>
      </c>
      <c r="C4343" t="s">
        <v>873</v>
      </c>
      <c r="D4343" t="s">
        <v>874</v>
      </c>
      <c r="E4343" t="s">
        <v>8</v>
      </c>
      <c r="F4343" t="s">
        <v>38</v>
      </c>
      <c r="G4343" s="16">
        <v>425.78</v>
      </c>
      <c r="H4343" s="16">
        <v>489.64699999999999</v>
      </c>
      <c r="I4343" s="1">
        <v>46253</v>
      </c>
      <c r="J4343">
        <v>3</v>
      </c>
      <c r="K4343" t="s">
        <v>10252</v>
      </c>
      <c r="L4343" t="s">
        <v>10988</v>
      </c>
      <c r="M4343">
        <v>0</v>
      </c>
      <c r="N4343">
        <v>6</v>
      </c>
      <c r="O4343" t="s">
        <v>1036</v>
      </c>
      <c r="P4343" s="17"/>
      <c r="Q4343" s="17" t="str">
        <f>_xlfn.XLOOKUP(Table2[[#This Row],[buyFromVendorNo]],'Next Day Scheduled'!A:A,'Pending Returns'!O:O,"NOT_FOUND")</f>
        <v>Posted Credit Note</v>
      </c>
    </row>
    <row r="4344" spans="1:17" x14ac:dyDescent="0.3">
      <c r="A4344" s="1">
        <v>46256</v>
      </c>
      <c r="B4344" t="s">
        <v>642</v>
      </c>
      <c r="C4344" t="s">
        <v>2510</v>
      </c>
      <c r="D4344" t="s">
        <v>2511</v>
      </c>
      <c r="E4344" t="s">
        <v>8</v>
      </c>
      <c r="F4344" t="s">
        <v>38</v>
      </c>
      <c r="G4344" s="16">
        <v>161.41</v>
      </c>
      <c r="H4344" s="16">
        <v>185.6215</v>
      </c>
      <c r="I4344" s="1">
        <v>46253</v>
      </c>
      <c r="J4344">
        <v>3</v>
      </c>
      <c r="K4344" t="s">
        <v>10143</v>
      </c>
      <c r="L4344" t="s">
        <v>11019</v>
      </c>
      <c r="M4344">
        <v>0</v>
      </c>
      <c r="N4344">
        <v>23</v>
      </c>
      <c r="O4344" t="s">
        <v>1036</v>
      </c>
      <c r="P4344" s="17"/>
      <c r="Q4344" s="17" t="str">
        <f>_xlfn.XLOOKUP(Table2[[#This Row],[buyFromVendorNo]],'Next Day Scheduled'!A:A,'Pending Returns'!O:O,"NOT_FOUND")</f>
        <v>NOT_FOUND</v>
      </c>
    </row>
    <row r="4345" spans="1:17" x14ac:dyDescent="0.3">
      <c r="A4345" s="1">
        <v>46256</v>
      </c>
      <c r="B4345" t="s">
        <v>8942</v>
      </c>
      <c r="C4345" t="s">
        <v>71</v>
      </c>
      <c r="D4345" t="s">
        <v>72</v>
      </c>
      <c r="E4345" t="s">
        <v>8</v>
      </c>
      <c r="F4345" t="s">
        <v>10</v>
      </c>
      <c r="G4345" s="16">
        <v>1538.4673</v>
      </c>
      <c r="H4345" s="16">
        <v>1769.2374</v>
      </c>
      <c r="J4345">
        <v>3</v>
      </c>
      <c r="K4345" t="s">
        <v>10994</v>
      </c>
      <c r="M4345">
        <v>0</v>
      </c>
      <c r="N4345">
        <v>8</v>
      </c>
      <c r="O4345" t="s">
        <v>216</v>
      </c>
      <c r="P4345" s="17"/>
      <c r="Q4345" s="17" t="str">
        <f>_xlfn.XLOOKUP(Table2[[#This Row],[buyFromVendorNo]],'Next Day Scheduled'!A:A,'Pending Returns'!O:O,"NOT_FOUND")</f>
        <v>Posted Credit Note</v>
      </c>
    </row>
    <row r="4346" spans="1:17" x14ac:dyDescent="0.3">
      <c r="A4346" s="1">
        <v>46256</v>
      </c>
      <c r="B4346" t="s">
        <v>2778</v>
      </c>
      <c r="C4346" t="s">
        <v>839</v>
      </c>
      <c r="D4346" t="s">
        <v>840</v>
      </c>
      <c r="E4346" t="s">
        <v>8</v>
      </c>
      <c r="F4346" t="s">
        <v>10</v>
      </c>
      <c r="G4346" s="16">
        <v>73</v>
      </c>
      <c r="H4346" s="16">
        <v>83.95</v>
      </c>
      <c r="I4346" s="1">
        <v>46251</v>
      </c>
      <c r="J4346">
        <v>3</v>
      </c>
      <c r="K4346" t="s">
        <v>10011</v>
      </c>
      <c r="L4346" t="s">
        <v>11022</v>
      </c>
      <c r="M4346">
        <v>1</v>
      </c>
      <c r="N4346">
        <v>2</v>
      </c>
      <c r="O4346" t="s">
        <v>1036</v>
      </c>
      <c r="P4346" s="17"/>
      <c r="Q4346" s="17" t="str">
        <f>_xlfn.XLOOKUP(Table2[[#This Row],[buyFromVendorNo]],'Next Day Scheduled'!A:A,'Pending Returns'!O:O,"NOT_FOUND")</f>
        <v>NOT_FOUND</v>
      </c>
    </row>
    <row r="4347" spans="1:17" x14ac:dyDescent="0.3">
      <c r="A4347" s="1">
        <v>46256</v>
      </c>
      <c r="B4347" t="s">
        <v>642</v>
      </c>
      <c r="C4347" t="s">
        <v>43</v>
      </c>
      <c r="D4347" t="s">
        <v>44</v>
      </c>
      <c r="E4347" t="s">
        <v>8</v>
      </c>
      <c r="F4347" t="s">
        <v>38</v>
      </c>
      <c r="G4347" s="16">
        <v>4877.8999999999996</v>
      </c>
      <c r="H4347" s="16">
        <v>5609.585</v>
      </c>
      <c r="J4347">
        <v>3</v>
      </c>
      <c r="K4347" t="s">
        <v>11023</v>
      </c>
      <c r="M4347">
        <v>3</v>
      </c>
      <c r="N4347">
        <v>1</v>
      </c>
      <c r="O4347" t="s">
        <v>216</v>
      </c>
      <c r="P4347" s="17"/>
      <c r="Q4347" s="17" t="str">
        <f>_xlfn.XLOOKUP(Table2[[#This Row],[buyFromVendorNo]],'Next Day Scheduled'!A:A,'Pending Returns'!O:O,"NOT_FOUND")</f>
        <v>Posted Credit Note</v>
      </c>
    </row>
    <row r="4348" spans="1:17" x14ac:dyDescent="0.3">
      <c r="A4348" s="1">
        <v>46256</v>
      </c>
      <c r="B4348" t="s">
        <v>5103</v>
      </c>
      <c r="C4348" t="s">
        <v>5154</v>
      </c>
      <c r="D4348" t="s">
        <v>5155</v>
      </c>
      <c r="E4348" t="s">
        <v>8</v>
      </c>
      <c r="F4348" t="s">
        <v>10</v>
      </c>
      <c r="G4348" s="16">
        <v>165</v>
      </c>
      <c r="H4348" s="16">
        <v>189.75</v>
      </c>
      <c r="I4348" s="1">
        <v>46254</v>
      </c>
      <c r="J4348">
        <v>3</v>
      </c>
      <c r="K4348" t="s">
        <v>10003</v>
      </c>
      <c r="L4348" t="s">
        <v>11025</v>
      </c>
      <c r="M4348">
        <v>0</v>
      </c>
      <c r="N4348">
        <v>10</v>
      </c>
      <c r="O4348" t="s">
        <v>1036</v>
      </c>
      <c r="P4348" s="17"/>
      <c r="Q4348" s="17" t="str">
        <f>_xlfn.XLOOKUP(Table2[[#This Row],[buyFromVendorNo]],'Next Day Scheduled'!A:A,'Pending Returns'!O:O,"NOT_FOUND")</f>
        <v>Posted Credit Note</v>
      </c>
    </row>
    <row r="4349" spans="1:17" x14ac:dyDescent="0.3">
      <c r="A4349" s="1">
        <v>46256</v>
      </c>
      <c r="B4349" t="s">
        <v>7785</v>
      </c>
      <c r="C4349" t="s">
        <v>1472</v>
      </c>
      <c r="D4349" t="s">
        <v>1473</v>
      </c>
      <c r="E4349" t="s">
        <v>8</v>
      </c>
      <c r="F4349" t="s">
        <v>10</v>
      </c>
      <c r="G4349" s="16">
        <v>216.68481</v>
      </c>
      <c r="H4349" s="16">
        <v>249.18754999999999</v>
      </c>
      <c r="J4349">
        <v>3</v>
      </c>
      <c r="K4349" t="s">
        <v>10926</v>
      </c>
      <c r="M4349">
        <v>0</v>
      </c>
      <c r="N4349">
        <v>20</v>
      </c>
      <c r="O4349" t="s">
        <v>216</v>
      </c>
      <c r="P4349" s="17"/>
      <c r="Q4349" s="17" t="str">
        <f>_xlfn.XLOOKUP(Table2[[#This Row],[buyFromVendorNo]],'Next Day Scheduled'!A:A,'Pending Returns'!O:O,"NOT_FOUND")</f>
        <v>Posted Credit Note</v>
      </c>
    </row>
    <row r="4350" spans="1:17" x14ac:dyDescent="0.3">
      <c r="A4350" s="1">
        <v>46256</v>
      </c>
      <c r="B4350" t="s">
        <v>2094</v>
      </c>
      <c r="C4350" t="s">
        <v>873</v>
      </c>
      <c r="D4350" t="s">
        <v>874</v>
      </c>
      <c r="E4350" t="s">
        <v>8</v>
      </c>
      <c r="F4350" t="s">
        <v>38</v>
      </c>
      <c r="G4350" s="16">
        <v>2952.66</v>
      </c>
      <c r="H4350" s="16">
        <v>3395.5590000000002</v>
      </c>
      <c r="I4350" s="1">
        <v>46254</v>
      </c>
      <c r="J4350">
        <v>3</v>
      </c>
      <c r="K4350" t="s">
        <v>6249</v>
      </c>
      <c r="L4350" t="s">
        <v>10929</v>
      </c>
      <c r="M4350">
        <v>0</v>
      </c>
      <c r="N4350">
        <v>6</v>
      </c>
      <c r="O4350" t="s">
        <v>1036</v>
      </c>
      <c r="P4350" s="17"/>
      <c r="Q4350" s="17" t="str">
        <f>_xlfn.XLOOKUP(Table2[[#This Row],[buyFromVendorNo]],'Next Day Scheduled'!A:A,'Pending Returns'!O:O,"NOT_FOUND")</f>
        <v>Posted Credit Note</v>
      </c>
    </row>
    <row r="4351" spans="1:17" x14ac:dyDescent="0.3">
      <c r="A4351" s="1">
        <v>46256</v>
      </c>
      <c r="B4351" t="s">
        <v>8758</v>
      </c>
      <c r="C4351" t="s">
        <v>839</v>
      </c>
      <c r="D4351" t="s">
        <v>840</v>
      </c>
      <c r="E4351" t="s">
        <v>8</v>
      </c>
      <c r="F4351" t="s">
        <v>10</v>
      </c>
      <c r="G4351" s="16">
        <v>521.125</v>
      </c>
      <c r="H4351" s="16">
        <v>599.29376000000002</v>
      </c>
      <c r="I4351" s="1">
        <v>46251</v>
      </c>
      <c r="J4351">
        <v>3</v>
      </c>
      <c r="K4351" t="s">
        <v>9513</v>
      </c>
      <c r="L4351" t="s">
        <v>10930</v>
      </c>
      <c r="M4351">
        <v>1</v>
      </c>
      <c r="N4351">
        <v>2</v>
      </c>
      <c r="O4351" t="s">
        <v>1036</v>
      </c>
      <c r="P4351" s="17"/>
      <c r="Q4351" s="17" t="str">
        <f>_xlfn.XLOOKUP(Table2[[#This Row],[buyFromVendorNo]],'Next Day Scheduled'!A:A,'Pending Returns'!O:O,"NOT_FOUND")</f>
        <v>NOT_FOUND</v>
      </c>
    </row>
    <row r="4352" spans="1:17" x14ac:dyDescent="0.3">
      <c r="A4352" s="1">
        <v>46256</v>
      </c>
      <c r="B4352" t="s">
        <v>5103</v>
      </c>
      <c r="C4352" t="s">
        <v>130</v>
      </c>
      <c r="D4352" t="s">
        <v>131</v>
      </c>
      <c r="E4352" t="s">
        <v>8</v>
      </c>
      <c r="F4352" t="s">
        <v>10</v>
      </c>
      <c r="G4352" s="16">
        <v>52.3</v>
      </c>
      <c r="H4352" s="16">
        <v>60.145000000000003</v>
      </c>
      <c r="J4352">
        <v>3</v>
      </c>
      <c r="K4352" t="s">
        <v>11028</v>
      </c>
      <c r="M4352">
        <v>0</v>
      </c>
      <c r="N4352">
        <v>7</v>
      </c>
      <c r="O4352" t="s">
        <v>216</v>
      </c>
      <c r="P4352" s="17"/>
      <c r="Q4352" s="17" t="str">
        <f>_xlfn.XLOOKUP(Table2[[#This Row],[buyFromVendorNo]],'Next Day Scheduled'!A:A,'Pending Returns'!O:O,"NOT_FOUND")</f>
        <v>Posted Credit Note</v>
      </c>
    </row>
    <row r="4353" spans="1:17" x14ac:dyDescent="0.3">
      <c r="A4353" s="1">
        <v>46256</v>
      </c>
      <c r="B4353" t="s">
        <v>2573</v>
      </c>
      <c r="C4353" t="s">
        <v>2775</v>
      </c>
      <c r="D4353" t="s">
        <v>2776</v>
      </c>
      <c r="E4353" t="s">
        <v>8</v>
      </c>
      <c r="F4353" t="s">
        <v>10</v>
      </c>
      <c r="G4353" s="16">
        <v>440</v>
      </c>
      <c r="H4353" s="16">
        <v>506</v>
      </c>
      <c r="I4353" s="1">
        <v>46255</v>
      </c>
      <c r="J4353">
        <v>3</v>
      </c>
      <c r="K4353" t="s">
        <v>10595</v>
      </c>
      <c r="L4353" t="s">
        <v>10931</v>
      </c>
      <c r="M4353">
        <v>0</v>
      </c>
      <c r="N4353">
        <v>6</v>
      </c>
      <c r="O4353" t="s">
        <v>1036</v>
      </c>
      <c r="P4353" s="17"/>
      <c r="Q4353" s="17" t="str">
        <f>_xlfn.XLOOKUP(Table2[[#This Row],[buyFromVendorNo]],'Next Day Scheduled'!A:A,'Pending Returns'!O:O,"NOT_FOUND")</f>
        <v>NOT_FOUND</v>
      </c>
    </row>
    <row r="4354" spans="1:17" x14ac:dyDescent="0.3">
      <c r="A4354" s="1">
        <v>46256</v>
      </c>
      <c r="B4354" t="s">
        <v>642</v>
      </c>
      <c r="C4354" t="s">
        <v>75</v>
      </c>
      <c r="D4354" t="s">
        <v>76</v>
      </c>
      <c r="E4354" t="s">
        <v>8</v>
      </c>
      <c r="F4354" t="s">
        <v>38</v>
      </c>
      <c r="G4354" s="16">
        <v>230.35417000000001</v>
      </c>
      <c r="H4354" s="16">
        <v>264.90730000000002</v>
      </c>
      <c r="J4354">
        <v>3</v>
      </c>
      <c r="K4354" t="s">
        <v>10963</v>
      </c>
      <c r="M4354">
        <v>0</v>
      </c>
      <c r="N4354">
        <v>5</v>
      </c>
      <c r="O4354" t="s">
        <v>216</v>
      </c>
      <c r="P4354" s="17"/>
      <c r="Q4354" s="17" t="str">
        <f>_xlfn.XLOOKUP(Table2[[#This Row],[buyFromVendorNo]],'Next Day Scheduled'!A:A,'Pending Returns'!O:O,"NOT_FOUND")</f>
        <v>Posted Credit Note</v>
      </c>
    </row>
    <row r="4355" spans="1:17" x14ac:dyDescent="0.3">
      <c r="A4355" s="1">
        <v>46256</v>
      </c>
      <c r="B4355" t="s">
        <v>2718</v>
      </c>
      <c r="C4355" t="s">
        <v>25</v>
      </c>
      <c r="D4355" t="s">
        <v>26</v>
      </c>
      <c r="E4355" t="s">
        <v>8</v>
      </c>
      <c r="F4355" t="s">
        <v>10</v>
      </c>
      <c r="G4355" s="16">
        <v>32.340000000000003</v>
      </c>
      <c r="H4355" s="16">
        <v>37.191000000000003</v>
      </c>
      <c r="J4355">
        <v>3</v>
      </c>
      <c r="K4355" t="s">
        <v>10964</v>
      </c>
      <c r="M4355">
        <v>0</v>
      </c>
      <c r="N4355">
        <v>7</v>
      </c>
      <c r="O4355" t="s">
        <v>216</v>
      </c>
      <c r="P4355" s="17"/>
      <c r="Q4355" s="17" t="str">
        <f>_xlfn.XLOOKUP(Table2[[#This Row],[buyFromVendorNo]],'Next Day Scheduled'!A:A,'Pending Returns'!O:O,"NOT_FOUND")</f>
        <v>NOT_FOUND</v>
      </c>
    </row>
    <row r="4356" spans="1:17" x14ac:dyDescent="0.3">
      <c r="A4356" s="1">
        <v>46256</v>
      </c>
      <c r="B4356" t="s">
        <v>5529</v>
      </c>
      <c r="C4356" t="s">
        <v>65</v>
      </c>
      <c r="D4356" t="s">
        <v>66</v>
      </c>
      <c r="E4356" t="s">
        <v>8</v>
      </c>
      <c r="F4356" t="s">
        <v>10</v>
      </c>
      <c r="G4356" s="16">
        <v>3478.1995000000002</v>
      </c>
      <c r="H4356" s="16">
        <v>3999.9292</v>
      </c>
      <c r="I4356" s="1">
        <v>46254</v>
      </c>
      <c r="J4356">
        <v>3</v>
      </c>
      <c r="K4356" t="s">
        <v>6516</v>
      </c>
      <c r="L4356" t="s">
        <v>10856</v>
      </c>
      <c r="M4356">
        <v>0</v>
      </c>
      <c r="N4356">
        <v>5</v>
      </c>
      <c r="O4356" t="s">
        <v>1036</v>
      </c>
      <c r="P4356" s="17"/>
      <c r="Q4356" s="17" t="str">
        <f>_xlfn.XLOOKUP(Table2[[#This Row],[buyFromVendorNo]],'Next Day Scheduled'!A:A,'Pending Returns'!O:O,"NOT_FOUND")</f>
        <v>Posted Credit Note</v>
      </c>
    </row>
    <row r="4357" spans="1:17" x14ac:dyDescent="0.3">
      <c r="A4357" s="1">
        <v>46256</v>
      </c>
      <c r="B4357" t="s">
        <v>3455</v>
      </c>
      <c r="C4357" t="s">
        <v>1020</v>
      </c>
      <c r="D4357" t="s">
        <v>1021</v>
      </c>
      <c r="E4357" t="s">
        <v>8</v>
      </c>
      <c r="F4357" t="s">
        <v>10</v>
      </c>
      <c r="G4357" s="16">
        <v>20.608699999999999</v>
      </c>
      <c r="H4357" s="16">
        <v>23.7</v>
      </c>
      <c r="J4357">
        <v>3</v>
      </c>
      <c r="K4357" t="s">
        <v>10937</v>
      </c>
      <c r="M4357">
        <v>1</v>
      </c>
      <c r="N4357">
        <v>2</v>
      </c>
      <c r="O4357" t="s">
        <v>216</v>
      </c>
      <c r="P4357" s="17"/>
      <c r="Q4357" s="17" t="str">
        <f>_xlfn.XLOOKUP(Table2[[#This Row],[buyFromVendorNo]],'Next Day Scheduled'!A:A,'Pending Returns'!O:O,"NOT_FOUND")</f>
        <v>NOT_FOUND</v>
      </c>
    </row>
    <row r="4358" spans="1:17" x14ac:dyDescent="0.3">
      <c r="A4358" s="1">
        <v>46257</v>
      </c>
      <c r="B4358" t="s">
        <v>642</v>
      </c>
      <c r="C4358" t="s">
        <v>4144</v>
      </c>
      <c r="D4358" t="s">
        <v>4145</v>
      </c>
      <c r="E4358" t="s">
        <v>8</v>
      </c>
      <c r="F4358" t="s">
        <v>38</v>
      </c>
      <c r="G4358" s="16">
        <v>396</v>
      </c>
      <c r="H4358" s="16">
        <v>455.4</v>
      </c>
      <c r="J4358">
        <v>2</v>
      </c>
      <c r="K4358" t="s">
        <v>11104</v>
      </c>
      <c r="M4358">
        <v>0</v>
      </c>
      <c r="N4358">
        <v>9</v>
      </c>
      <c r="O4358" t="s">
        <v>216</v>
      </c>
      <c r="P4358" s="17"/>
      <c r="Q4358" s="17" t="str">
        <f>_xlfn.XLOOKUP(Table2[[#This Row],[buyFromVendorNo]],'Next Day Scheduled'!A:A,'Pending Returns'!O:O,"NOT_FOUND")</f>
        <v>NOT_FOUND</v>
      </c>
    </row>
    <row r="4359" spans="1:17" x14ac:dyDescent="0.3">
      <c r="A4359" s="1">
        <v>46257</v>
      </c>
      <c r="B4359" t="s">
        <v>5413</v>
      </c>
      <c r="C4359" t="s">
        <v>19</v>
      </c>
      <c r="D4359" t="s">
        <v>20</v>
      </c>
      <c r="E4359" t="s">
        <v>8</v>
      </c>
      <c r="F4359" t="s">
        <v>10</v>
      </c>
      <c r="G4359" s="16">
        <v>303.3</v>
      </c>
      <c r="H4359" s="16">
        <v>348.79500000000002</v>
      </c>
      <c r="I4359" s="1">
        <v>46257</v>
      </c>
      <c r="J4359">
        <v>2</v>
      </c>
      <c r="K4359" t="s">
        <v>5010</v>
      </c>
      <c r="L4359" t="s">
        <v>11051</v>
      </c>
      <c r="M4359">
        <v>0</v>
      </c>
      <c r="N4359">
        <v>13</v>
      </c>
      <c r="O4359" t="s">
        <v>223</v>
      </c>
      <c r="P4359" s="17"/>
      <c r="Q4359" s="17" t="str">
        <f>_xlfn.XLOOKUP(Table2[[#This Row],[buyFromVendorNo]],'Next Day Scheduled'!A:A,'Pending Returns'!O:O,"NOT_FOUND")</f>
        <v>Posted Credit Note</v>
      </c>
    </row>
    <row r="4360" spans="1:17" x14ac:dyDescent="0.3">
      <c r="A4360" s="1">
        <v>46257</v>
      </c>
      <c r="B4360" t="s">
        <v>2915</v>
      </c>
      <c r="C4360" t="s">
        <v>576</v>
      </c>
      <c r="D4360" t="s">
        <v>577</v>
      </c>
      <c r="E4360" t="s">
        <v>8</v>
      </c>
      <c r="F4360" t="s">
        <v>10</v>
      </c>
      <c r="G4360" s="16">
        <v>91.44</v>
      </c>
      <c r="H4360" s="16">
        <v>105.15600000000001</v>
      </c>
      <c r="I4360" s="1">
        <v>46257</v>
      </c>
      <c r="J4360">
        <v>2</v>
      </c>
      <c r="K4360" t="s">
        <v>10813</v>
      </c>
      <c r="L4360" t="s">
        <v>11106</v>
      </c>
      <c r="M4360">
        <v>0</v>
      </c>
      <c r="N4360">
        <v>3</v>
      </c>
      <c r="O4360" t="s">
        <v>1036</v>
      </c>
      <c r="P4360" s="17"/>
      <c r="Q4360" s="17" t="str">
        <f>_xlfn.XLOOKUP(Table2[[#This Row],[buyFromVendorNo]],'Next Day Scheduled'!A:A,'Pending Returns'!O:O,"NOT_FOUND")</f>
        <v>NOT_FOUND</v>
      </c>
    </row>
    <row r="4361" spans="1:17" x14ac:dyDescent="0.3">
      <c r="A4361" s="1">
        <v>46257</v>
      </c>
      <c r="B4361" t="s">
        <v>642</v>
      </c>
      <c r="C4361" t="s">
        <v>201</v>
      </c>
      <c r="D4361" t="s">
        <v>202</v>
      </c>
      <c r="E4361" t="s">
        <v>8</v>
      </c>
      <c r="F4361" t="s">
        <v>38</v>
      </c>
      <c r="G4361" s="16">
        <v>223.35477</v>
      </c>
      <c r="H4361" s="16">
        <v>256.85797000000002</v>
      </c>
      <c r="I4361" s="1">
        <v>46252</v>
      </c>
      <c r="J4361">
        <v>2</v>
      </c>
      <c r="K4361" t="s">
        <v>10149</v>
      </c>
      <c r="L4361" t="s">
        <v>11105</v>
      </c>
      <c r="M4361">
        <v>0</v>
      </c>
      <c r="N4361">
        <v>7</v>
      </c>
      <c r="O4361" t="s">
        <v>1036</v>
      </c>
      <c r="P4361" s="17"/>
      <c r="Q4361" s="17" t="str">
        <f>_xlfn.XLOOKUP(Table2[[#This Row],[buyFromVendorNo]],'Next Day Scheduled'!A:A,'Pending Returns'!O:O,"NOT_FOUND")</f>
        <v>Pending for Collection</v>
      </c>
    </row>
    <row r="4362" spans="1:17" x14ac:dyDescent="0.3">
      <c r="A4362" s="1">
        <v>46257</v>
      </c>
      <c r="B4362" t="s">
        <v>642</v>
      </c>
      <c r="C4362" t="s">
        <v>1161</v>
      </c>
      <c r="D4362" t="s">
        <v>1162</v>
      </c>
      <c r="E4362" t="s">
        <v>8</v>
      </c>
      <c r="F4362" t="s">
        <v>38</v>
      </c>
      <c r="G4362" s="16">
        <v>16.998000000000001</v>
      </c>
      <c r="H4362" s="16">
        <v>19.547699999999999</v>
      </c>
      <c r="J4362">
        <v>2</v>
      </c>
      <c r="K4362" t="s">
        <v>11176</v>
      </c>
      <c r="M4362">
        <v>0</v>
      </c>
      <c r="N4362">
        <v>7</v>
      </c>
      <c r="O4362" t="s">
        <v>216</v>
      </c>
      <c r="P4362" s="17"/>
      <c r="Q4362" s="17" t="str">
        <f>_xlfn.XLOOKUP(Table2[[#This Row],[buyFromVendorNo]],'Next Day Scheduled'!A:A,'Pending Returns'!O:O,"NOT_FOUND")</f>
        <v>NOT_FOUND</v>
      </c>
    </row>
    <row r="4363" spans="1:17" x14ac:dyDescent="0.3">
      <c r="A4363" s="1">
        <v>46257</v>
      </c>
      <c r="B4363" t="s">
        <v>1853</v>
      </c>
      <c r="C4363" t="s">
        <v>9689</v>
      </c>
      <c r="D4363" t="s">
        <v>9690</v>
      </c>
      <c r="E4363" t="s">
        <v>8</v>
      </c>
      <c r="F4363" t="s">
        <v>10</v>
      </c>
      <c r="G4363" s="16">
        <v>422.79</v>
      </c>
      <c r="H4363" s="16">
        <v>486.20850000000002</v>
      </c>
      <c r="J4363">
        <v>2</v>
      </c>
      <c r="K4363" t="s">
        <v>11131</v>
      </c>
      <c r="M4363">
        <v>0</v>
      </c>
      <c r="N4363">
        <v>34</v>
      </c>
      <c r="O4363" t="s">
        <v>216</v>
      </c>
      <c r="P4363" s="17"/>
      <c r="Q4363" s="17" t="str">
        <f>_xlfn.XLOOKUP(Table2[[#This Row],[buyFromVendorNo]],'Next Day Scheduled'!A:A,'Pending Returns'!O:O,"NOT_FOUND")</f>
        <v>NOT_FOUND</v>
      </c>
    </row>
    <row r="4364" spans="1:17" x14ac:dyDescent="0.3">
      <c r="A4364" s="1">
        <v>46257</v>
      </c>
      <c r="B4364" t="s">
        <v>1853</v>
      </c>
      <c r="C4364" t="s">
        <v>19</v>
      </c>
      <c r="D4364" t="s">
        <v>20</v>
      </c>
      <c r="E4364" t="s">
        <v>8</v>
      </c>
      <c r="F4364" t="s">
        <v>10</v>
      </c>
      <c r="G4364" s="16">
        <v>371.75</v>
      </c>
      <c r="H4364" s="16">
        <v>427.51249999999999</v>
      </c>
      <c r="I4364" s="1">
        <v>46257</v>
      </c>
      <c r="J4364">
        <v>2</v>
      </c>
      <c r="K4364" t="s">
        <v>5979</v>
      </c>
      <c r="L4364" t="s">
        <v>11053</v>
      </c>
      <c r="M4364">
        <v>0</v>
      </c>
      <c r="N4364">
        <v>13</v>
      </c>
      <c r="O4364" t="s">
        <v>223</v>
      </c>
      <c r="P4364" s="17"/>
      <c r="Q4364" s="17" t="str">
        <f>_xlfn.XLOOKUP(Table2[[#This Row],[buyFromVendorNo]],'Next Day Scheduled'!A:A,'Pending Returns'!O:O,"NOT_FOUND")</f>
        <v>Posted Credit Note</v>
      </c>
    </row>
    <row r="4365" spans="1:17" x14ac:dyDescent="0.3">
      <c r="A4365" s="1">
        <v>46257</v>
      </c>
      <c r="B4365" t="s">
        <v>3715</v>
      </c>
      <c r="C4365" t="s">
        <v>6373</v>
      </c>
      <c r="D4365" t="s">
        <v>6374</v>
      </c>
      <c r="E4365" t="s">
        <v>8</v>
      </c>
      <c r="F4365" t="s">
        <v>169</v>
      </c>
      <c r="G4365" s="16">
        <v>1527.93</v>
      </c>
      <c r="H4365" s="16">
        <v>1757.1195</v>
      </c>
      <c r="I4365" s="1">
        <v>46257</v>
      </c>
      <c r="J4365">
        <v>2</v>
      </c>
      <c r="K4365" t="s">
        <v>10978</v>
      </c>
      <c r="L4365" t="s">
        <v>11161</v>
      </c>
      <c r="M4365">
        <v>0</v>
      </c>
      <c r="N4365">
        <v>3</v>
      </c>
      <c r="O4365" t="s">
        <v>223</v>
      </c>
      <c r="P4365" s="17"/>
      <c r="Q4365" s="17" t="str">
        <f>_xlfn.XLOOKUP(Table2[[#This Row],[buyFromVendorNo]],'Next Day Scheduled'!A:A,'Pending Returns'!O:O,"NOT_FOUND")</f>
        <v>NOT_FOUND</v>
      </c>
    </row>
    <row r="4366" spans="1:17" x14ac:dyDescent="0.3">
      <c r="A4366" s="1">
        <v>46257</v>
      </c>
      <c r="B4366" t="s">
        <v>4225</v>
      </c>
      <c r="C4366" t="s">
        <v>3773</v>
      </c>
      <c r="D4366" t="s">
        <v>3774</v>
      </c>
      <c r="E4366" t="s">
        <v>8</v>
      </c>
      <c r="F4366" t="s">
        <v>10</v>
      </c>
      <c r="G4366" s="16">
        <v>2625.6417999999999</v>
      </c>
      <c r="H4366" s="16">
        <v>3019.4879999999998</v>
      </c>
      <c r="J4366">
        <v>2</v>
      </c>
      <c r="K4366" t="s">
        <v>11162</v>
      </c>
      <c r="M4366">
        <v>1</v>
      </c>
      <c r="N4366">
        <v>2</v>
      </c>
      <c r="O4366" t="s">
        <v>216</v>
      </c>
      <c r="P4366" s="17"/>
      <c r="Q4366" s="17" t="str">
        <f>_xlfn.XLOOKUP(Table2[[#This Row],[buyFromVendorNo]],'Next Day Scheduled'!A:A,'Pending Returns'!O:O,"NOT_FOUND")</f>
        <v>NOT_FOUND</v>
      </c>
    </row>
    <row r="4367" spans="1:17" x14ac:dyDescent="0.3">
      <c r="A4367" s="1">
        <v>46257</v>
      </c>
      <c r="B4367" t="s">
        <v>3288</v>
      </c>
      <c r="C4367" t="s">
        <v>850</v>
      </c>
      <c r="D4367" t="s">
        <v>851</v>
      </c>
      <c r="E4367" t="s">
        <v>8</v>
      </c>
      <c r="F4367" t="s">
        <v>10</v>
      </c>
      <c r="G4367" s="16">
        <v>72</v>
      </c>
      <c r="H4367" s="16">
        <v>82.8</v>
      </c>
      <c r="I4367" s="1">
        <v>46257</v>
      </c>
      <c r="J4367">
        <v>2</v>
      </c>
      <c r="K4367" t="s">
        <v>10977</v>
      </c>
      <c r="L4367" t="s">
        <v>11136</v>
      </c>
      <c r="M4367">
        <v>1</v>
      </c>
      <c r="N4367">
        <v>1</v>
      </c>
      <c r="O4367" t="s">
        <v>1036</v>
      </c>
      <c r="P4367" s="17"/>
      <c r="Q4367" s="17" t="str">
        <f>_xlfn.XLOOKUP(Table2[[#This Row],[buyFromVendorNo]],'Next Day Scheduled'!A:A,'Pending Returns'!O:O,"NOT_FOUND")</f>
        <v>NOT_FOUND</v>
      </c>
    </row>
    <row r="4368" spans="1:17" x14ac:dyDescent="0.3">
      <c r="A4368" s="1">
        <v>46257</v>
      </c>
      <c r="B4368" t="s">
        <v>642</v>
      </c>
      <c r="C4368" t="s">
        <v>6256</v>
      </c>
      <c r="D4368" t="s">
        <v>6257</v>
      </c>
      <c r="E4368" t="s">
        <v>8</v>
      </c>
      <c r="F4368" t="s">
        <v>38</v>
      </c>
      <c r="G4368" s="16">
        <v>707.11126999999999</v>
      </c>
      <c r="H4368" s="16">
        <v>813.178</v>
      </c>
      <c r="I4368" s="1">
        <v>46257</v>
      </c>
      <c r="J4368">
        <v>2</v>
      </c>
      <c r="K4368" t="s">
        <v>11119</v>
      </c>
      <c r="M4368">
        <v>0</v>
      </c>
      <c r="N4368">
        <v>8</v>
      </c>
      <c r="O4368" t="s">
        <v>223</v>
      </c>
      <c r="P4368" s="17"/>
      <c r="Q4368" s="17" t="str">
        <f>_xlfn.XLOOKUP(Table2[[#This Row],[buyFromVendorNo]],'Next Day Scheduled'!A:A,'Pending Returns'!O:O,"NOT_FOUND")</f>
        <v>NOT_FOUND</v>
      </c>
    </row>
    <row r="4369" spans="1:17" x14ac:dyDescent="0.3">
      <c r="A4369" s="1">
        <v>46257</v>
      </c>
      <c r="B4369" t="s">
        <v>642</v>
      </c>
      <c r="C4369" t="s">
        <v>398</v>
      </c>
      <c r="D4369" t="s">
        <v>399</v>
      </c>
      <c r="E4369" t="s">
        <v>8</v>
      </c>
      <c r="F4369" t="s">
        <v>38</v>
      </c>
      <c r="G4369" s="16">
        <v>1489.2969000000001</v>
      </c>
      <c r="H4369" s="16">
        <v>1712.6913999999999</v>
      </c>
      <c r="J4369">
        <v>2</v>
      </c>
      <c r="K4369" t="s">
        <v>11140</v>
      </c>
      <c r="M4369">
        <v>0</v>
      </c>
      <c r="N4369">
        <v>12</v>
      </c>
      <c r="O4369" t="s">
        <v>216</v>
      </c>
      <c r="P4369" s="17"/>
      <c r="Q4369" s="17" t="str">
        <f>_xlfn.XLOOKUP(Table2[[#This Row],[buyFromVendorNo]],'Next Day Scheduled'!A:A,'Pending Returns'!O:O,"NOT_FOUND")</f>
        <v>Posted Credit Note</v>
      </c>
    </row>
    <row r="4370" spans="1:17" x14ac:dyDescent="0.3">
      <c r="A4370" s="1">
        <v>46257</v>
      </c>
      <c r="B4370" t="s">
        <v>642</v>
      </c>
      <c r="C4370" t="s">
        <v>173</v>
      </c>
      <c r="D4370" t="s">
        <v>174</v>
      </c>
      <c r="E4370" t="s">
        <v>8</v>
      </c>
      <c r="F4370" t="s">
        <v>38</v>
      </c>
      <c r="G4370" s="16">
        <v>11595.09</v>
      </c>
      <c r="H4370" s="16">
        <v>13334.353999999999</v>
      </c>
      <c r="I4370" s="1">
        <v>46257</v>
      </c>
      <c r="J4370">
        <v>2</v>
      </c>
      <c r="K4370" t="s">
        <v>8965</v>
      </c>
      <c r="L4370" t="s">
        <v>11123</v>
      </c>
      <c r="M4370">
        <v>0</v>
      </c>
      <c r="N4370">
        <v>24</v>
      </c>
      <c r="O4370" t="s">
        <v>223</v>
      </c>
      <c r="P4370" s="17"/>
      <c r="Q4370" s="17" t="str">
        <f>_xlfn.XLOOKUP(Table2[[#This Row],[buyFromVendorNo]],'Next Day Scheduled'!A:A,'Pending Returns'!O:O,"NOT_FOUND")</f>
        <v>NOT_FOUND</v>
      </c>
    </row>
    <row r="4371" spans="1:17" x14ac:dyDescent="0.3">
      <c r="A4371" s="1">
        <v>46257</v>
      </c>
      <c r="B4371" t="s">
        <v>5483</v>
      </c>
      <c r="C4371" t="s">
        <v>2315</v>
      </c>
      <c r="D4371" t="s">
        <v>2316</v>
      </c>
      <c r="E4371" t="s">
        <v>8</v>
      </c>
      <c r="F4371" t="s">
        <v>10</v>
      </c>
      <c r="G4371" s="16">
        <v>79.08</v>
      </c>
      <c r="H4371" s="16">
        <v>90.941999999999993</v>
      </c>
      <c r="J4371">
        <v>2</v>
      </c>
      <c r="K4371" t="s">
        <v>11147</v>
      </c>
      <c r="M4371">
        <v>0</v>
      </c>
      <c r="N4371">
        <v>61</v>
      </c>
      <c r="O4371" t="s">
        <v>216</v>
      </c>
      <c r="P4371" s="17"/>
      <c r="Q4371" s="17" t="str">
        <f>_xlfn.XLOOKUP(Table2[[#This Row],[buyFromVendorNo]],'Next Day Scheduled'!A:A,'Pending Returns'!O:O,"NOT_FOUND")</f>
        <v>NOT_FOUND</v>
      </c>
    </row>
    <row r="4372" spans="1:17" x14ac:dyDescent="0.3">
      <c r="A4372" s="1">
        <v>46257</v>
      </c>
      <c r="B4372" t="s">
        <v>642</v>
      </c>
      <c r="C4372" t="s">
        <v>643</v>
      </c>
      <c r="D4372" t="s">
        <v>644</v>
      </c>
      <c r="E4372" t="s">
        <v>8</v>
      </c>
      <c r="F4372" t="s">
        <v>38</v>
      </c>
      <c r="G4372" s="16">
        <v>35.5</v>
      </c>
      <c r="H4372" s="16">
        <v>40.825000000000003</v>
      </c>
      <c r="J4372">
        <v>2</v>
      </c>
      <c r="K4372" t="s">
        <v>11172</v>
      </c>
      <c r="M4372">
        <v>0</v>
      </c>
      <c r="N4372">
        <v>5</v>
      </c>
      <c r="O4372" t="s">
        <v>216</v>
      </c>
      <c r="P4372" s="17"/>
      <c r="Q4372" s="17" t="str">
        <f>_xlfn.XLOOKUP(Table2[[#This Row],[buyFromVendorNo]],'Next Day Scheduled'!A:A,'Pending Returns'!O:O,"NOT_FOUND")</f>
        <v>NOT_FOUND</v>
      </c>
    </row>
    <row r="4373" spans="1:17" x14ac:dyDescent="0.3">
      <c r="A4373" s="1">
        <v>46257</v>
      </c>
      <c r="B4373" t="s">
        <v>3586</v>
      </c>
      <c r="C4373" t="s">
        <v>562</v>
      </c>
      <c r="D4373" t="s">
        <v>563</v>
      </c>
      <c r="E4373" t="s">
        <v>8</v>
      </c>
      <c r="F4373" t="s">
        <v>10</v>
      </c>
      <c r="G4373" s="16">
        <v>1135.1814999999999</v>
      </c>
      <c r="H4373" s="16">
        <v>1305.4586999999999</v>
      </c>
      <c r="J4373">
        <v>2</v>
      </c>
      <c r="K4373" t="s">
        <v>11173</v>
      </c>
      <c r="M4373">
        <v>2</v>
      </c>
      <c r="N4373">
        <v>1</v>
      </c>
      <c r="O4373" t="s">
        <v>216</v>
      </c>
      <c r="P4373" s="17"/>
      <c r="Q4373" s="17" t="str">
        <f>_xlfn.XLOOKUP(Table2[[#This Row],[buyFromVendorNo]],'Next Day Scheduled'!A:A,'Pending Returns'!O:O,"NOT_FOUND")</f>
        <v>NOT_FOUND</v>
      </c>
    </row>
    <row r="4374" spans="1:17" x14ac:dyDescent="0.3">
      <c r="A4374" s="1">
        <v>46257</v>
      </c>
      <c r="B4374" t="s">
        <v>5386</v>
      </c>
      <c r="C4374" t="s">
        <v>19</v>
      </c>
      <c r="D4374" t="s">
        <v>20</v>
      </c>
      <c r="E4374" t="s">
        <v>8</v>
      </c>
      <c r="F4374" t="s">
        <v>10</v>
      </c>
      <c r="G4374" s="16">
        <v>199.36</v>
      </c>
      <c r="H4374" s="16">
        <v>229.26400000000001</v>
      </c>
      <c r="I4374" s="1">
        <v>46257</v>
      </c>
      <c r="J4374">
        <v>2</v>
      </c>
      <c r="K4374" t="s">
        <v>9123</v>
      </c>
      <c r="L4374" t="s">
        <v>11049</v>
      </c>
      <c r="M4374">
        <v>0</v>
      </c>
      <c r="N4374">
        <v>13</v>
      </c>
      <c r="O4374" t="s">
        <v>223</v>
      </c>
      <c r="P4374" s="17"/>
      <c r="Q4374" s="17" t="str">
        <f>_xlfn.XLOOKUP(Table2[[#This Row],[buyFromVendorNo]],'Next Day Scheduled'!A:A,'Pending Returns'!O:O,"NOT_FOUND")</f>
        <v>Posted Credit Note</v>
      </c>
    </row>
    <row r="4375" spans="1:17" x14ac:dyDescent="0.3">
      <c r="A4375" s="1">
        <v>46257</v>
      </c>
      <c r="B4375" t="s">
        <v>642</v>
      </c>
      <c r="C4375" t="s">
        <v>508</v>
      </c>
      <c r="D4375" t="s">
        <v>509</v>
      </c>
      <c r="E4375" t="s">
        <v>8</v>
      </c>
      <c r="F4375" t="s">
        <v>38</v>
      </c>
      <c r="G4375" s="16">
        <v>76.83</v>
      </c>
      <c r="H4375" s="16">
        <v>88.354500000000002</v>
      </c>
      <c r="J4375">
        <v>2</v>
      </c>
      <c r="K4375" t="s">
        <v>11151</v>
      </c>
      <c r="M4375">
        <v>0</v>
      </c>
      <c r="N4375">
        <v>9</v>
      </c>
      <c r="O4375" t="s">
        <v>216</v>
      </c>
      <c r="P4375" s="17"/>
      <c r="Q4375" s="17" t="str">
        <f>_xlfn.XLOOKUP(Table2[[#This Row],[buyFromVendorNo]],'Next Day Scheduled'!A:A,'Pending Returns'!O:O,"NOT_FOUND")</f>
        <v>Posted Credit Note</v>
      </c>
    </row>
    <row r="4376" spans="1:17" x14ac:dyDescent="0.3">
      <c r="A4376" s="1">
        <v>46257</v>
      </c>
      <c r="B4376" t="s">
        <v>2916</v>
      </c>
      <c r="C4376" t="s">
        <v>19</v>
      </c>
      <c r="D4376" t="s">
        <v>20</v>
      </c>
      <c r="E4376" t="s">
        <v>8</v>
      </c>
      <c r="F4376" t="s">
        <v>10</v>
      </c>
      <c r="G4376" s="16">
        <v>912.46</v>
      </c>
      <c r="H4376" s="16">
        <v>1049.329</v>
      </c>
      <c r="I4376" s="1">
        <v>46257</v>
      </c>
      <c r="J4376">
        <v>2</v>
      </c>
      <c r="K4376" t="s">
        <v>4417</v>
      </c>
      <c r="L4376" t="s">
        <v>11050</v>
      </c>
      <c r="M4376">
        <v>0</v>
      </c>
      <c r="N4376">
        <v>13</v>
      </c>
      <c r="O4376" t="s">
        <v>223</v>
      </c>
      <c r="P4376" s="17"/>
      <c r="Q4376" s="17" t="str">
        <f>_xlfn.XLOOKUP(Table2[[#This Row],[buyFromVendorNo]],'Next Day Scheduled'!A:A,'Pending Returns'!O:O,"NOT_FOUND")</f>
        <v>Posted Credit Note</v>
      </c>
    </row>
    <row r="4377" spans="1:17" x14ac:dyDescent="0.3">
      <c r="A4377" s="1">
        <v>46257</v>
      </c>
      <c r="B4377" t="s">
        <v>642</v>
      </c>
      <c r="C4377" t="s">
        <v>582</v>
      </c>
      <c r="D4377" t="s">
        <v>583</v>
      </c>
      <c r="E4377" t="s">
        <v>8</v>
      </c>
      <c r="F4377" t="s">
        <v>38</v>
      </c>
      <c r="G4377" s="16">
        <v>1270.42</v>
      </c>
      <c r="H4377" s="16">
        <v>1460.9829999999999</v>
      </c>
      <c r="J4377">
        <v>2</v>
      </c>
      <c r="K4377" t="s">
        <v>11157</v>
      </c>
      <c r="M4377">
        <v>0</v>
      </c>
      <c r="N4377">
        <v>6</v>
      </c>
      <c r="O4377" t="s">
        <v>216</v>
      </c>
      <c r="P4377" s="17"/>
      <c r="Q4377" s="17" t="str">
        <f>_xlfn.XLOOKUP(Table2[[#This Row],[buyFromVendorNo]],'Next Day Scheduled'!A:A,'Pending Returns'!O:O,"NOT_FOUND")</f>
        <v>NOT_FOUND</v>
      </c>
    </row>
    <row r="4378" spans="1:17" x14ac:dyDescent="0.3">
      <c r="A4378" s="1">
        <v>46257</v>
      </c>
      <c r="B4378" t="s">
        <v>642</v>
      </c>
      <c r="C4378" t="s">
        <v>71</v>
      </c>
      <c r="D4378" t="s">
        <v>72</v>
      </c>
      <c r="E4378" t="s">
        <v>8</v>
      </c>
      <c r="F4378" t="s">
        <v>38</v>
      </c>
      <c r="G4378" s="16">
        <v>834.77</v>
      </c>
      <c r="H4378" s="16">
        <v>959.9855</v>
      </c>
      <c r="J4378">
        <v>2</v>
      </c>
      <c r="K4378" t="s">
        <v>11158</v>
      </c>
      <c r="M4378">
        <v>0</v>
      </c>
      <c r="N4378">
        <v>7</v>
      </c>
      <c r="O4378" t="s">
        <v>216</v>
      </c>
      <c r="P4378" s="17"/>
      <c r="Q4378" s="17" t="str">
        <f>_xlfn.XLOOKUP(Table2[[#This Row],[buyFromVendorNo]],'Next Day Scheduled'!A:A,'Pending Returns'!O:O,"NOT_FOUND")</f>
        <v>Posted Credit Note</v>
      </c>
    </row>
    <row r="4379" spans="1:17" x14ac:dyDescent="0.3">
      <c r="A4379" s="1">
        <v>46257</v>
      </c>
      <c r="B4379" t="s">
        <v>2871</v>
      </c>
      <c r="C4379" t="s">
        <v>1124</v>
      </c>
      <c r="D4379" t="s">
        <v>1125</v>
      </c>
      <c r="E4379" t="s">
        <v>8</v>
      </c>
      <c r="F4379" t="s">
        <v>10</v>
      </c>
      <c r="G4379" s="16">
        <v>180</v>
      </c>
      <c r="H4379" s="16">
        <v>207</v>
      </c>
      <c r="J4379">
        <v>2</v>
      </c>
      <c r="K4379" t="s">
        <v>11187</v>
      </c>
      <c r="M4379">
        <v>0</v>
      </c>
      <c r="N4379">
        <v>246</v>
      </c>
      <c r="O4379" t="s">
        <v>216</v>
      </c>
      <c r="P4379" s="17"/>
      <c r="Q4379" s="17" t="str">
        <f>_xlfn.XLOOKUP(Table2[[#This Row],[buyFromVendorNo]],'Next Day Scheduled'!A:A,'Pending Returns'!O:O,"NOT_FOUND")</f>
        <v>NOT_FOUND</v>
      </c>
    </row>
    <row r="4380" spans="1:17" x14ac:dyDescent="0.3">
      <c r="A4380" s="1">
        <v>46257</v>
      </c>
      <c r="B4380" t="s">
        <v>1851</v>
      </c>
      <c r="C4380" t="s">
        <v>19</v>
      </c>
      <c r="D4380" t="s">
        <v>20</v>
      </c>
      <c r="E4380" t="s">
        <v>8</v>
      </c>
      <c r="F4380" t="s">
        <v>10</v>
      </c>
      <c r="G4380" s="16">
        <v>612.83000000000004</v>
      </c>
      <c r="H4380" s="16">
        <v>704.75450000000001</v>
      </c>
      <c r="I4380" s="1">
        <v>46257</v>
      </c>
      <c r="J4380">
        <v>2</v>
      </c>
      <c r="K4380" t="s">
        <v>6488</v>
      </c>
      <c r="L4380" t="s">
        <v>11041</v>
      </c>
      <c r="M4380">
        <v>0</v>
      </c>
      <c r="N4380">
        <v>13</v>
      </c>
      <c r="O4380" t="s">
        <v>223</v>
      </c>
      <c r="P4380" s="17"/>
      <c r="Q4380" s="17" t="str">
        <f>_xlfn.XLOOKUP(Table2[[#This Row],[buyFromVendorNo]],'Next Day Scheduled'!A:A,'Pending Returns'!O:O,"NOT_FOUND")</f>
        <v>Posted Credit Note</v>
      </c>
    </row>
    <row r="4381" spans="1:17" x14ac:dyDescent="0.3">
      <c r="A4381" s="1">
        <v>46257</v>
      </c>
      <c r="B4381" t="s">
        <v>642</v>
      </c>
      <c r="C4381" t="s">
        <v>201</v>
      </c>
      <c r="D4381" t="s">
        <v>202</v>
      </c>
      <c r="E4381" t="s">
        <v>8</v>
      </c>
      <c r="F4381" t="s">
        <v>38</v>
      </c>
      <c r="G4381" s="16">
        <v>117.65542000000001</v>
      </c>
      <c r="H4381" s="16">
        <v>135.30373</v>
      </c>
      <c r="J4381">
        <v>2</v>
      </c>
      <c r="K4381" t="s">
        <v>11128</v>
      </c>
      <c r="M4381">
        <v>0</v>
      </c>
      <c r="N4381">
        <v>7</v>
      </c>
      <c r="O4381" t="s">
        <v>216</v>
      </c>
      <c r="P4381" s="17"/>
      <c r="Q4381" s="17" t="str">
        <f>_xlfn.XLOOKUP(Table2[[#This Row],[buyFromVendorNo]],'Next Day Scheduled'!A:A,'Pending Returns'!O:O,"NOT_FOUND")</f>
        <v>Pending for Collection</v>
      </c>
    </row>
    <row r="4382" spans="1:17" x14ac:dyDescent="0.3">
      <c r="A4382" s="1">
        <v>46257</v>
      </c>
      <c r="B4382" t="s">
        <v>1851</v>
      </c>
      <c r="C4382" t="s">
        <v>358</v>
      </c>
      <c r="D4382" t="s">
        <v>359</v>
      </c>
      <c r="E4382" t="s">
        <v>8</v>
      </c>
      <c r="F4382" t="s">
        <v>10</v>
      </c>
      <c r="G4382" s="16">
        <v>52.8</v>
      </c>
      <c r="H4382" s="16">
        <v>60.72</v>
      </c>
      <c r="J4382">
        <v>2</v>
      </c>
      <c r="K4382" t="s">
        <v>11129</v>
      </c>
      <c r="M4382">
        <v>1</v>
      </c>
      <c r="N4382">
        <v>1</v>
      </c>
      <c r="O4382" t="s">
        <v>216</v>
      </c>
      <c r="P4382" s="17"/>
      <c r="Q4382" s="17" t="str">
        <f>_xlfn.XLOOKUP(Table2[[#This Row],[buyFromVendorNo]],'Next Day Scheduled'!A:A,'Pending Returns'!O:O,"NOT_FOUND")</f>
        <v>NOT_FOUND</v>
      </c>
    </row>
    <row r="4383" spans="1:17" x14ac:dyDescent="0.3">
      <c r="A4383" s="1">
        <v>46257</v>
      </c>
      <c r="B4383" t="s">
        <v>642</v>
      </c>
      <c r="C4383" t="s">
        <v>377</v>
      </c>
      <c r="D4383" t="s">
        <v>378</v>
      </c>
      <c r="E4383" t="s">
        <v>8</v>
      </c>
      <c r="F4383" t="s">
        <v>38</v>
      </c>
      <c r="G4383" s="16">
        <v>204.46961999999999</v>
      </c>
      <c r="H4383" s="16">
        <v>235.14008000000001</v>
      </c>
      <c r="J4383">
        <v>2</v>
      </c>
      <c r="K4383" t="s">
        <v>11130</v>
      </c>
      <c r="M4383">
        <v>0</v>
      </c>
      <c r="N4383">
        <v>3</v>
      </c>
      <c r="O4383" t="s">
        <v>216</v>
      </c>
      <c r="P4383" s="17"/>
      <c r="Q4383" s="17" t="str">
        <f>_xlfn.XLOOKUP(Table2[[#This Row],[buyFromVendorNo]],'Next Day Scheduled'!A:A,'Pending Returns'!O:O,"NOT_FOUND")</f>
        <v>NOT_FOUND</v>
      </c>
    </row>
    <row r="4384" spans="1:17" x14ac:dyDescent="0.3">
      <c r="A4384" s="1">
        <v>46257</v>
      </c>
      <c r="B4384" t="s">
        <v>642</v>
      </c>
      <c r="C4384" t="s">
        <v>418</v>
      </c>
      <c r="D4384" t="s">
        <v>419</v>
      </c>
      <c r="E4384" t="s">
        <v>8</v>
      </c>
      <c r="F4384" t="s">
        <v>38</v>
      </c>
      <c r="G4384" s="16">
        <v>48</v>
      </c>
      <c r="H4384" s="16">
        <v>55.2</v>
      </c>
      <c r="J4384">
        <v>2</v>
      </c>
      <c r="K4384" t="s">
        <v>11160</v>
      </c>
      <c r="M4384">
        <v>0</v>
      </c>
      <c r="N4384">
        <v>6</v>
      </c>
      <c r="O4384" t="s">
        <v>216</v>
      </c>
      <c r="P4384" s="17"/>
      <c r="Q4384" s="17" t="str">
        <f>_xlfn.XLOOKUP(Table2[[#This Row],[buyFromVendorNo]],'Next Day Scheduled'!A:A,'Pending Returns'!O:O,"NOT_FOUND")</f>
        <v>NOT_FOUND</v>
      </c>
    </row>
    <row r="4385" spans="1:17" x14ac:dyDescent="0.3">
      <c r="A4385" s="1">
        <v>46257</v>
      </c>
      <c r="B4385" t="s">
        <v>7647</v>
      </c>
      <c r="C4385" t="s">
        <v>422</v>
      </c>
      <c r="D4385" t="s">
        <v>490</v>
      </c>
      <c r="E4385" t="s">
        <v>8</v>
      </c>
      <c r="F4385" t="s">
        <v>10</v>
      </c>
      <c r="G4385" s="16">
        <v>208.42696000000001</v>
      </c>
      <c r="H4385" s="16">
        <v>239.691</v>
      </c>
      <c r="I4385" s="1">
        <v>46257</v>
      </c>
      <c r="J4385">
        <v>2</v>
      </c>
      <c r="K4385" t="s">
        <v>10276</v>
      </c>
      <c r="L4385" t="s">
        <v>11052</v>
      </c>
      <c r="M4385">
        <v>0</v>
      </c>
      <c r="N4385">
        <v>3</v>
      </c>
      <c r="O4385" t="s">
        <v>223</v>
      </c>
      <c r="P4385" s="17"/>
      <c r="Q4385" s="17" t="str">
        <f>_xlfn.XLOOKUP(Table2[[#This Row],[buyFromVendorNo]],'Next Day Scheduled'!A:A,'Pending Returns'!O:O,"NOT_FOUND")</f>
        <v>NOT_FOUND</v>
      </c>
    </row>
    <row r="4386" spans="1:17" x14ac:dyDescent="0.3">
      <c r="A4386" s="1">
        <v>46257</v>
      </c>
      <c r="B4386" t="s">
        <v>642</v>
      </c>
      <c r="C4386" t="s">
        <v>2300</v>
      </c>
      <c r="D4386" t="s">
        <v>2301</v>
      </c>
      <c r="E4386" t="s">
        <v>8</v>
      </c>
      <c r="F4386" t="s">
        <v>38</v>
      </c>
      <c r="G4386" s="16">
        <v>1149.98</v>
      </c>
      <c r="H4386" s="16">
        <v>1322.4770000000001</v>
      </c>
      <c r="J4386">
        <v>2</v>
      </c>
      <c r="K4386" t="s">
        <v>11133</v>
      </c>
      <c r="M4386">
        <v>1</v>
      </c>
      <c r="N4386">
        <v>2</v>
      </c>
      <c r="O4386" t="s">
        <v>216</v>
      </c>
      <c r="P4386" s="17"/>
      <c r="Q4386" s="17" t="str">
        <f>_xlfn.XLOOKUP(Table2[[#This Row],[buyFromVendorNo]],'Next Day Scheduled'!A:A,'Pending Returns'!O:O,"NOT_FOUND")</f>
        <v>NOT_FOUND</v>
      </c>
    </row>
    <row r="4387" spans="1:17" x14ac:dyDescent="0.3">
      <c r="A4387" s="1">
        <v>46257</v>
      </c>
      <c r="B4387" t="s">
        <v>642</v>
      </c>
      <c r="C4387" t="s">
        <v>6256</v>
      </c>
      <c r="D4387" t="s">
        <v>6257</v>
      </c>
      <c r="E4387" t="s">
        <v>8</v>
      </c>
      <c r="F4387" t="s">
        <v>38</v>
      </c>
      <c r="G4387" s="16">
        <v>769.7047</v>
      </c>
      <c r="H4387" s="16">
        <v>885.16045999999994</v>
      </c>
      <c r="J4387">
        <v>2</v>
      </c>
      <c r="K4387" t="s">
        <v>11107</v>
      </c>
      <c r="M4387">
        <v>0</v>
      </c>
      <c r="N4387">
        <v>8</v>
      </c>
      <c r="O4387" t="s">
        <v>216</v>
      </c>
      <c r="P4387" s="17"/>
      <c r="Q4387" s="17" t="str">
        <f>_xlfn.XLOOKUP(Table2[[#This Row],[buyFromVendorNo]],'Next Day Scheduled'!A:A,'Pending Returns'!O:O,"NOT_FOUND")</f>
        <v>NOT_FOUND</v>
      </c>
    </row>
    <row r="4388" spans="1:17" x14ac:dyDescent="0.3">
      <c r="A4388" s="1">
        <v>46257</v>
      </c>
      <c r="B4388" t="s">
        <v>642</v>
      </c>
      <c r="C4388" t="s">
        <v>810</v>
      </c>
      <c r="D4388" t="s">
        <v>811</v>
      </c>
      <c r="E4388" t="s">
        <v>8</v>
      </c>
      <c r="F4388" t="s">
        <v>38</v>
      </c>
      <c r="G4388" s="16">
        <v>11</v>
      </c>
      <c r="H4388" s="16">
        <v>12.65</v>
      </c>
      <c r="J4388">
        <v>2</v>
      </c>
      <c r="K4388" t="s">
        <v>11108</v>
      </c>
      <c r="M4388">
        <v>0</v>
      </c>
      <c r="N4388">
        <v>7</v>
      </c>
      <c r="O4388" t="s">
        <v>216</v>
      </c>
      <c r="P4388" s="17"/>
      <c r="Q4388" s="17" t="str">
        <f>_xlfn.XLOOKUP(Table2[[#This Row],[buyFromVendorNo]],'Next Day Scheduled'!A:A,'Pending Returns'!O:O,"NOT_FOUND")</f>
        <v>NOT_FOUND</v>
      </c>
    </row>
    <row r="4389" spans="1:17" x14ac:dyDescent="0.3">
      <c r="A4389" s="1">
        <v>46257</v>
      </c>
      <c r="B4389" t="s">
        <v>3303</v>
      </c>
      <c r="C4389" t="s">
        <v>776</v>
      </c>
      <c r="D4389" t="s">
        <v>777</v>
      </c>
      <c r="E4389" t="s">
        <v>8</v>
      </c>
      <c r="F4389" t="s">
        <v>10</v>
      </c>
      <c r="G4389" s="16">
        <v>28.6</v>
      </c>
      <c r="H4389" s="16">
        <v>32.89</v>
      </c>
      <c r="J4389">
        <v>2</v>
      </c>
      <c r="K4389" t="s">
        <v>11115</v>
      </c>
      <c r="M4389">
        <v>1</v>
      </c>
      <c r="N4389">
        <v>2</v>
      </c>
      <c r="O4389" t="s">
        <v>216</v>
      </c>
      <c r="P4389" s="17"/>
      <c r="Q4389" s="17" t="str">
        <f>_xlfn.XLOOKUP(Table2[[#This Row],[buyFromVendorNo]],'Next Day Scheduled'!A:A,'Pending Returns'!O:O,"NOT_FOUND")</f>
        <v>Posted Credit Note</v>
      </c>
    </row>
    <row r="4390" spans="1:17" x14ac:dyDescent="0.3">
      <c r="A4390" s="1">
        <v>46257</v>
      </c>
      <c r="B4390" t="s">
        <v>3009</v>
      </c>
      <c r="C4390" t="s">
        <v>576</v>
      </c>
      <c r="D4390" t="s">
        <v>577</v>
      </c>
      <c r="E4390" t="s">
        <v>8</v>
      </c>
      <c r="F4390" t="s">
        <v>10</v>
      </c>
      <c r="G4390" s="16">
        <v>5.21732</v>
      </c>
      <c r="H4390" s="16">
        <v>5.9999200000000004</v>
      </c>
      <c r="I4390" s="1">
        <v>46257</v>
      </c>
      <c r="J4390">
        <v>2</v>
      </c>
      <c r="K4390" t="s">
        <v>8958</v>
      </c>
      <c r="L4390" t="s">
        <v>11116</v>
      </c>
      <c r="M4390">
        <v>0</v>
      </c>
      <c r="N4390">
        <v>3</v>
      </c>
      <c r="O4390" t="s">
        <v>1036</v>
      </c>
      <c r="P4390" s="17"/>
      <c r="Q4390" s="17" t="str">
        <f>_xlfn.XLOOKUP(Table2[[#This Row],[buyFromVendorNo]],'Next Day Scheduled'!A:A,'Pending Returns'!O:O,"NOT_FOUND")</f>
        <v>NOT_FOUND</v>
      </c>
    </row>
    <row r="4391" spans="1:17" x14ac:dyDescent="0.3">
      <c r="A4391" s="1">
        <v>46257</v>
      </c>
      <c r="B4391" t="s">
        <v>642</v>
      </c>
      <c r="C4391" t="s">
        <v>808</v>
      </c>
      <c r="D4391" t="s">
        <v>904</v>
      </c>
      <c r="E4391" t="s">
        <v>8</v>
      </c>
      <c r="F4391" t="s">
        <v>38</v>
      </c>
      <c r="G4391" s="16">
        <v>4832.5590000000002</v>
      </c>
      <c r="H4391" s="16">
        <v>5557.4430000000002</v>
      </c>
      <c r="J4391">
        <v>2</v>
      </c>
      <c r="K4391" t="s">
        <v>11164</v>
      </c>
      <c r="M4391">
        <v>1</v>
      </c>
      <c r="N4391">
        <v>2</v>
      </c>
      <c r="O4391" t="s">
        <v>216</v>
      </c>
      <c r="P4391" s="17"/>
      <c r="Q4391" s="17" t="str">
        <f>_xlfn.XLOOKUP(Table2[[#This Row],[buyFromVendorNo]],'Next Day Scheduled'!A:A,'Pending Returns'!O:O,"NOT_FOUND")</f>
        <v>NOT_FOUND</v>
      </c>
    </row>
    <row r="4392" spans="1:17" x14ac:dyDescent="0.3">
      <c r="A4392" s="1">
        <v>46257</v>
      </c>
      <c r="B4392" t="s">
        <v>1487</v>
      </c>
      <c r="C4392" t="s">
        <v>546</v>
      </c>
      <c r="D4392" t="s">
        <v>547</v>
      </c>
      <c r="E4392" t="s">
        <v>8</v>
      </c>
      <c r="F4392" t="s">
        <v>10</v>
      </c>
      <c r="G4392" s="16">
        <v>76</v>
      </c>
      <c r="H4392" s="16">
        <v>87.4</v>
      </c>
      <c r="I4392" s="1">
        <v>46245</v>
      </c>
      <c r="J4392">
        <v>2</v>
      </c>
      <c r="K4392" t="s">
        <v>5235</v>
      </c>
      <c r="L4392" t="s">
        <v>11121</v>
      </c>
      <c r="M4392">
        <v>0</v>
      </c>
      <c r="N4392">
        <v>78</v>
      </c>
      <c r="O4392" t="s">
        <v>1036</v>
      </c>
      <c r="P4392" s="17"/>
      <c r="Q4392" s="17" t="str">
        <f>_xlfn.XLOOKUP(Table2[[#This Row],[buyFromVendorNo]],'Next Day Scheduled'!A:A,'Pending Returns'!O:O,"NOT_FOUND")</f>
        <v>NOT_FOUND</v>
      </c>
    </row>
    <row r="4393" spans="1:17" x14ac:dyDescent="0.3">
      <c r="A4393" s="1">
        <v>46257</v>
      </c>
      <c r="B4393" t="s">
        <v>5432</v>
      </c>
      <c r="C4393" t="s">
        <v>98</v>
      </c>
      <c r="D4393" t="s">
        <v>99</v>
      </c>
      <c r="E4393" t="s">
        <v>8</v>
      </c>
      <c r="F4393" t="s">
        <v>10</v>
      </c>
      <c r="G4393" s="16">
        <v>218.48</v>
      </c>
      <c r="H4393" s="16">
        <v>251.25200000000001</v>
      </c>
      <c r="I4393" s="1">
        <v>46257</v>
      </c>
      <c r="J4393">
        <v>2</v>
      </c>
      <c r="K4393" t="s">
        <v>8658</v>
      </c>
      <c r="L4393" t="s">
        <v>11139</v>
      </c>
      <c r="M4393">
        <v>0</v>
      </c>
      <c r="N4393">
        <v>6</v>
      </c>
      <c r="O4393" t="s">
        <v>1036</v>
      </c>
      <c r="P4393" s="17"/>
      <c r="Q4393" s="17" t="str">
        <f>_xlfn.XLOOKUP(Table2[[#This Row],[buyFromVendorNo]],'Next Day Scheduled'!A:A,'Pending Returns'!O:O,"NOT_FOUND")</f>
        <v>NOT_FOUND</v>
      </c>
    </row>
    <row r="4394" spans="1:17" x14ac:dyDescent="0.3">
      <c r="A4394" s="1">
        <v>46257</v>
      </c>
      <c r="B4394" t="s">
        <v>2611</v>
      </c>
      <c r="C4394" t="s">
        <v>576</v>
      </c>
      <c r="D4394" t="s">
        <v>577</v>
      </c>
      <c r="E4394" t="s">
        <v>8</v>
      </c>
      <c r="F4394" t="s">
        <v>10</v>
      </c>
      <c r="G4394" s="16">
        <v>97.48124</v>
      </c>
      <c r="H4394" s="16">
        <v>112.10343</v>
      </c>
      <c r="J4394">
        <v>2</v>
      </c>
      <c r="K4394" t="s">
        <v>11142</v>
      </c>
      <c r="M4394">
        <v>0</v>
      </c>
      <c r="N4394">
        <v>3</v>
      </c>
      <c r="O4394" t="s">
        <v>216</v>
      </c>
      <c r="P4394" s="17"/>
      <c r="Q4394" s="17" t="str">
        <f>_xlfn.XLOOKUP(Table2[[#This Row],[buyFromVendorNo]],'Next Day Scheduled'!A:A,'Pending Returns'!O:O,"NOT_FOUND")</f>
        <v>NOT_FOUND</v>
      </c>
    </row>
    <row r="4395" spans="1:17" x14ac:dyDescent="0.3">
      <c r="A4395" s="1">
        <v>46257</v>
      </c>
      <c r="B4395" t="s">
        <v>4096</v>
      </c>
      <c r="C4395" t="s">
        <v>420</v>
      </c>
      <c r="D4395" t="s">
        <v>421</v>
      </c>
      <c r="E4395" t="s">
        <v>8</v>
      </c>
      <c r="F4395" t="s">
        <v>10</v>
      </c>
      <c r="G4395" s="16">
        <v>807.69150000000002</v>
      </c>
      <c r="H4395" s="16">
        <v>928.84519999999998</v>
      </c>
      <c r="I4395" s="1">
        <v>46240</v>
      </c>
      <c r="J4395">
        <v>2</v>
      </c>
      <c r="K4395" t="s">
        <v>11168</v>
      </c>
      <c r="L4395" t="s">
        <v>11169</v>
      </c>
      <c r="M4395">
        <v>0</v>
      </c>
      <c r="N4395">
        <v>3</v>
      </c>
      <c r="O4395" t="s">
        <v>1036</v>
      </c>
      <c r="P4395" s="17"/>
      <c r="Q4395" s="17" t="str">
        <f>_xlfn.XLOOKUP(Table2[[#This Row],[buyFromVendorNo]],'Next Day Scheduled'!A:A,'Pending Returns'!O:O,"NOT_FOUND")</f>
        <v>NOT_FOUND</v>
      </c>
    </row>
    <row r="4396" spans="1:17" x14ac:dyDescent="0.3">
      <c r="A4396" s="1">
        <v>46257</v>
      </c>
      <c r="B4396" t="s">
        <v>8762</v>
      </c>
      <c r="C4396" t="s">
        <v>173</v>
      </c>
      <c r="D4396" t="s">
        <v>174</v>
      </c>
      <c r="E4396" t="s">
        <v>8</v>
      </c>
      <c r="F4396" t="s">
        <v>10</v>
      </c>
      <c r="G4396" s="16">
        <v>936.7</v>
      </c>
      <c r="H4396" s="16">
        <v>1077.2049999999999</v>
      </c>
      <c r="J4396">
        <v>2</v>
      </c>
      <c r="K4396" t="s">
        <v>11170</v>
      </c>
      <c r="M4396">
        <v>1</v>
      </c>
      <c r="N4396">
        <v>1</v>
      </c>
      <c r="O4396" t="s">
        <v>216</v>
      </c>
      <c r="P4396" s="17"/>
      <c r="Q4396" s="17" t="str">
        <f>_xlfn.XLOOKUP(Table2[[#This Row],[buyFromVendorNo]],'Next Day Scheduled'!A:A,'Pending Returns'!O:O,"NOT_FOUND")</f>
        <v>NOT_FOUND</v>
      </c>
    </row>
    <row r="4397" spans="1:17" x14ac:dyDescent="0.3">
      <c r="A4397" s="1">
        <v>46257</v>
      </c>
      <c r="B4397" t="s">
        <v>2583</v>
      </c>
      <c r="C4397" t="s">
        <v>3773</v>
      </c>
      <c r="D4397" t="s">
        <v>3774</v>
      </c>
      <c r="E4397" t="s">
        <v>8</v>
      </c>
      <c r="F4397" t="s">
        <v>10</v>
      </c>
      <c r="G4397" s="16">
        <v>1655.6034999999999</v>
      </c>
      <c r="H4397" s="16">
        <v>1903.944</v>
      </c>
      <c r="J4397">
        <v>2</v>
      </c>
      <c r="K4397" t="s">
        <v>11182</v>
      </c>
      <c r="M4397">
        <v>1</v>
      </c>
      <c r="N4397">
        <v>2</v>
      </c>
      <c r="O4397" t="s">
        <v>216</v>
      </c>
      <c r="P4397" s="17"/>
      <c r="Q4397" s="17" t="str">
        <f>_xlfn.XLOOKUP(Table2[[#This Row],[buyFromVendorNo]],'Next Day Scheduled'!A:A,'Pending Returns'!O:O,"NOT_FOUND")</f>
        <v>NOT_FOUND</v>
      </c>
    </row>
    <row r="4398" spans="1:17" x14ac:dyDescent="0.3">
      <c r="A4398" s="1">
        <v>46257</v>
      </c>
      <c r="B4398" t="s">
        <v>2574</v>
      </c>
      <c r="C4398" t="s">
        <v>422</v>
      </c>
      <c r="D4398" t="s">
        <v>490</v>
      </c>
      <c r="E4398" t="s">
        <v>8</v>
      </c>
      <c r="F4398" t="s">
        <v>10</v>
      </c>
      <c r="G4398" s="16">
        <v>389.03784000000002</v>
      </c>
      <c r="H4398" s="16">
        <v>447.39352000000002</v>
      </c>
      <c r="I4398" s="1">
        <v>46257</v>
      </c>
      <c r="J4398">
        <v>2</v>
      </c>
      <c r="K4398" t="s">
        <v>9640</v>
      </c>
      <c r="L4398" t="s">
        <v>11038</v>
      </c>
      <c r="M4398">
        <v>0</v>
      </c>
      <c r="N4398">
        <v>3</v>
      </c>
      <c r="O4398" t="s">
        <v>223</v>
      </c>
      <c r="P4398" s="17"/>
      <c r="Q4398" s="17" t="str">
        <f>_xlfn.XLOOKUP(Table2[[#This Row],[buyFromVendorNo]],'Next Day Scheduled'!A:A,'Pending Returns'!O:O,"NOT_FOUND")</f>
        <v>NOT_FOUND</v>
      </c>
    </row>
    <row r="4399" spans="1:17" x14ac:dyDescent="0.3">
      <c r="A4399" s="1">
        <v>46257</v>
      </c>
      <c r="B4399" t="s">
        <v>642</v>
      </c>
      <c r="C4399" t="s">
        <v>2326</v>
      </c>
      <c r="D4399" t="s">
        <v>2327</v>
      </c>
      <c r="E4399" t="s">
        <v>8</v>
      </c>
      <c r="F4399" t="s">
        <v>38</v>
      </c>
      <c r="G4399" s="16">
        <v>230.25</v>
      </c>
      <c r="H4399" s="16">
        <v>264.78750000000002</v>
      </c>
      <c r="J4399">
        <v>2</v>
      </c>
      <c r="K4399" t="s">
        <v>11183</v>
      </c>
      <c r="M4399">
        <v>0</v>
      </c>
      <c r="N4399">
        <v>5</v>
      </c>
      <c r="O4399" t="s">
        <v>216</v>
      </c>
      <c r="P4399" s="17"/>
      <c r="Q4399" s="17" t="str">
        <f>_xlfn.XLOOKUP(Table2[[#This Row],[buyFromVendorNo]],'Next Day Scheduled'!A:A,'Pending Returns'!O:O,"NOT_FOUND")</f>
        <v>NOT_FOUND</v>
      </c>
    </row>
    <row r="4400" spans="1:17" x14ac:dyDescent="0.3">
      <c r="A4400" s="1">
        <v>46257</v>
      </c>
      <c r="B4400" t="s">
        <v>642</v>
      </c>
      <c r="C4400" t="s">
        <v>173</v>
      </c>
      <c r="D4400" t="s">
        <v>174</v>
      </c>
      <c r="E4400" t="s">
        <v>8</v>
      </c>
      <c r="F4400" t="s">
        <v>38</v>
      </c>
      <c r="G4400" s="16">
        <v>11221.55</v>
      </c>
      <c r="H4400" s="16">
        <v>12904.781999999999</v>
      </c>
      <c r="I4400" s="1">
        <v>46257</v>
      </c>
      <c r="J4400">
        <v>2</v>
      </c>
      <c r="K4400" t="s">
        <v>9755</v>
      </c>
      <c r="L4400" t="s">
        <v>11184</v>
      </c>
      <c r="M4400">
        <v>0</v>
      </c>
      <c r="N4400">
        <v>24</v>
      </c>
      <c r="O4400" t="s">
        <v>223</v>
      </c>
      <c r="P4400" s="17"/>
      <c r="Q4400" s="17" t="str">
        <f>_xlfn.XLOOKUP(Table2[[#This Row],[buyFromVendorNo]],'Next Day Scheduled'!A:A,'Pending Returns'!O:O,"NOT_FOUND")</f>
        <v>NOT_FOUND</v>
      </c>
    </row>
    <row r="4401" spans="1:17" x14ac:dyDescent="0.3">
      <c r="A4401" s="1">
        <v>46257</v>
      </c>
      <c r="B4401" t="s">
        <v>1999</v>
      </c>
      <c r="C4401" t="s">
        <v>19</v>
      </c>
      <c r="D4401" t="s">
        <v>20</v>
      </c>
      <c r="E4401" t="s">
        <v>8</v>
      </c>
      <c r="F4401" t="s">
        <v>10</v>
      </c>
      <c r="G4401" s="16">
        <v>708.13</v>
      </c>
      <c r="H4401" s="16">
        <v>814.34950000000003</v>
      </c>
      <c r="I4401" s="1">
        <v>46257</v>
      </c>
      <c r="J4401">
        <v>2</v>
      </c>
      <c r="K4401" t="s">
        <v>7241</v>
      </c>
      <c r="L4401" t="s">
        <v>11048</v>
      </c>
      <c r="M4401">
        <v>0</v>
      </c>
      <c r="N4401">
        <v>13</v>
      </c>
      <c r="O4401" t="s">
        <v>223</v>
      </c>
      <c r="P4401" s="17"/>
      <c r="Q4401" s="17" t="str">
        <f>_xlfn.XLOOKUP(Table2[[#This Row],[buyFromVendorNo]],'Next Day Scheduled'!A:A,'Pending Returns'!O:O,"NOT_FOUND")</f>
        <v>Posted Credit Note</v>
      </c>
    </row>
    <row r="4402" spans="1:17" x14ac:dyDescent="0.3">
      <c r="A4402" s="1">
        <v>46257</v>
      </c>
      <c r="B4402" t="s">
        <v>2536</v>
      </c>
      <c r="C4402" t="s">
        <v>381</v>
      </c>
      <c r="D4402" t="s">
        <v>382</v>
      </c>
      <c r="E4402" t="s">
        <v>8</v>
      </c>
      <c r="F4402" t="s">
        <v>10</v>
      </c>
      <c r="G4402" s="16">
        <v>199.75</v>
      </c>
      <c r="H4402" s="16">
        <v>229.71250000000001</v>
      </c>
      <c r="J4402">
        <v>2</v>
      </c>
      <c r="K4402" t="s">
        <v>11148</v>
      </c>
      <c r="M4402">
        <v>0</v>
      </c>
      <c r="N4402">
        <v>3</v>
      </c>
      <c r="O4402" t="s">
        <v>216</v>
      </c>
      <c r="P4402" s="17"/>
      <c r="Q4402" s="17" t="str">
        <f>_xlfn.XLOOKUP(Table2[[#This Row],[buyFromVendorNo]],'Next Day Scheduled'!A:A,'Pending Returns'!O:O,"NOT_FOUND")</f>
        <v>NOT_FOUND</v>
      </c>
    </row>
    <row r="4403" spans="1:17" x14ac:dyDescent="0.3">
      <c r="A4403" s="1">
        <v>46257</v>
      </c>
      <c r="B4403" t="s">
        <v>2661</v>
      </c>
      <c r="C4403" t="s">
        <v>19</v>
      </c>
      <c r="D4403" t="s">
        <v>20</v>
      </c>
      <c r="E4403" t="s">
        <v>8</v>
      </c>
      <c r="F4403" t="s">
        <v>10</v>
      </c>
      <c r="G4403" s="16">
        <v>547.15</v>
      </c>
      <c r="H4403" s="16">
        <v>629.22249999999997</v>
      </c>
      <c r="I4403" s="1">
        <v>46257</v>
      </c>
      <c r="J4403">
        <v>2</v>
      </c>
      <c r="K4403" t="s">
        <v>2582</v>
      </c>
      <c r="L4403" t="s">
        <v>11043</v>
      </c>
      <c r="M4403">
        <v>0</v>
      </c>
      <c r="N4403">
        <v>13</v>
      </c>
      <c r="O4403" t="s">
        <v>223</v>
      </c>
      <c r="P4403" s="17"/>
      <c r="Q4403" s="17" t="str">
        <f>_xlfn.XLOOKUP(Table2[[#This Row],[buyFromVendorNo]],'Next Day Scheduled'!A:A,'Pending Returns'!O:O,"NOT_FOUND")</f>
        <v>Posted Credit Note</v>
      </c>
    </row>
    <row r="4404" spans="1:17" x14ac:dyDescent="0.3">
      <c r="A4404" s="1">
        <v>46257</v>
      </c>
      <c r="B4404" t="s">
        <v>1797</v>
      </c>
      <c r="C4404" t="s">
        <v>576</v>
      </c>
      <c r="D4404" t="s">
        <v>577</v>
      </c>
      <c r="E4404" t="s">
        <v>8</v>
      </c>
      <c r="F4404" t="s">
        <v>10</v>
      </c>
      <c r="G4404" s="16">
        <v>182.94908000000001</v>
      </c>
      <c r="H4404" s="16">
        <v>210.39143000000001</v>
      </c>
      <c r="I4404" s="1">
        <v>46257</v>
      </c>
      <c r="J4404">
        <v>2</v>
      </c>
      <c r="K4404" t="s">
        <v>10229</v>
      </c>
      <c r="L4404" t="s">
        <v>11149</v>
      </c>
      <c r="M4404">
        <v>0</v>
      </c>
      <c r="N4404">
        <v>3</v>
      </c>
      <c r="O4404" t="s">
        <v>1036</v>
      </c>
      <c r="P4404" s="17"/>
      <c r="Q4404" s="17" t="str">
        <f>_xlfn.XLOOKUP(Table2[[#This Row],[buyFromVendorNo]],'Next Day Scheduled'!A:A,'Pending Returns'!O:O,"NOT_FOUND")</f>
        <v>NOT_FOUND</v>
      </c>
    </row>
    <row r="4405" spans="1:17" x14ac:dyDescent="0.3">
      <c r="A4405" s="1">
        <v>46257</v>
      </c>
      <c r="B4405" t="s">
        <v>2987</v>
      </c>
      <c r="C4405" t="s">
        <v>39</v>
      </c>
      <c r="D4405" t="s">
        <v>40</v>
      </c>
      <c r="E4405" t="s">
        <v>8</v>
      </c>
      <c r="F4405" t="s">
        <v>10</v>
      </c>
      <c r="G4405" s="16">
        <v>1023.9652</v>
      </c>
      <c r="H4405" s="16">
        <v>1177.5599</v>
      </c>
      <c r="J4405">
        <v>2</v>
      </c>
      <c r="K4405" t="s">
        <v>11152</v>
      </c>
      <c r="M4405">
        <v>1</v>
      </c>
      <c r="N4405">
        <v>1</v>
      </c>
      <c r="O4405" t="s">
        <v>216</v>
      </c>
      <c r="P4405" s="17"/>
      <c r="Q4405" s="17" t="str">
        <f>_xlfn.XLOOKUP(Table2[[#This Row],[buyFromVendorNo]],'Next Day Scheduled'!A:A,'Pending Returns'!O:O,"NOT_FOUND")</f>
        <v>Posted Credit Note</v>
      </c>
    </row>
    <row r="4406" spans="1:17" x14ac:dyDescent="0.3">
      <c r="A4406" s="1">
        <v>46257</v>
      </c>
      <c r="B4406" t="s">
        <v>5063</v>
      </c>
      <c r="C4406" t="s">
        <v>576</v>
      </c>
      <c r="D4406" t="s">
        <v>577</v>
      </c>
      <c r="E4406" t="s">
        <v>8</v>
      </c>
      <c r="F4406" t="s">
        <v>10</v>
      </c>
      <c r="G4406" s="16">
        <v>220.29424</v>
      </c>
      <c r="H4406" s="16">
        <v>253.33838</v>
      </c>
      <c r="I4406" s="1">
        <v>46257</v>
      </c>
      <c r="J4406">
        <v>2</v>
      </c>
      <c r="K4406" t="s">
        <v>10675</v>
      </c>
      <c r="L4406" t="s">
        <v>11188</v>
      </c>
      <c r="M4406">
        <v>0</v>
      </c>
      <c r="N4406">
        <v>3</v>
      </c>
      <c r="O4406" t="s">
        <v>1036</v>
      </c>
      <c r="P4406" s="17"/>
      <c r="Q4406" s="17" t="str">
        <f>_xlfn.XLOOKUP(Table2[[#This Row],[buyFromVendorNo]],'Next Day Scheduled'!A:A,'Pending Returns'!O:O,"NOT_FOUND")</f>
        <v>NOT_FOUND</v>
      </c>
    </row>
    <row r="4407" spans="1:17" x14ac:dyDescent="0.3">
      <c r="A4407" s="1">
        <v>46257</v>
      </c>
      <c r="B4407" t="s">
        <v>5362</v>
      </c>
      <c r="C4407" t="s">
        <v>19</v>
      </c>
      <c r="D4407" t="s">
        <v>20</v>
      </c>
      <c r="E4407" t="s">
        <v>8</v>
      </c>
      <c r="F4407" t="s">
        <v>10</v>
      </c>
      <c r="G4407" s="16">
        <v>852.92</v>
      </c>
      <c r="H4407" s="16">
        <v>980.85799999999995</v>
      </c>
      <c r="I4407" s="1">
        <v>46257</v>
      </c>
      <c r="J4407">
        <v>2</v>
      </c>
      <c r="K4407" t="s">
        <v>9687</v>
      </c>
      <c r="L4407" t="s">
        <v>11044</v>
      </c>
      <c r="M4407">
        <v>0</v>
      </c>
      <c r="N4407">
        <v>13</v>
      </c>
      <c r="O4407" t="s">
        <v>223</v>
      </c>
      <c r="P4407" s="17"/>
      <c r="Q4407" s="17" t="str">
        <f>_xlfn.XLOOKUP(Table2[[#This Row],[buyFromVendorNo]],'Next Day Scheduled'!A:A,'Pending Returns'!O:O,"NOT_FOUND")</f>
        <v>Posted Credit Note</v>
      </c>
    </row>
    <row r="4408" spans="1:17" x14ac:dyDescent="0.3">
      <c r="A4408" s="1">
        <v>46257</v>
      </c>
      <c r="B4408" t="s">
        <v>10932</v>
      </c>
      <c r="C4408" t="s">
        <v>1222</v>
      </c>
      <c r="D4408" t="s">
        <v>1223</v>
      </c>
      <c r="E4408" t="s">
        <v>8</v>
      </c>
      <c r="F4408" t="s">
        <v>10</v>
      </c>
      <c r="G4408" s="16">
        <v>215.33331000000001</v>
      </c>
      <c r="H4408" s="16">
        <v>247.63332</v>
      </c>
      <c r="I4408" s="1">
        <v>46257</v>
      </c>
      <c r="J4408">
        <v>2</v>
      </c>
      <c r="K4408" t="s">
        <v>11007</v>
      </c>
      <c r="L4408" t="s">
        <v>11175</v>
      </c>
      <c r="M4408">
        <v>0</v>
      </c>
      <c r="N4408">
        <v>3</v>
      </c>
      <c r="O4408" t="s">
        <v>1036</v>
      </c>
      <c r="P4408" s="17"/>
      <c r="Q4408" s="17" t="str">
        <f>_xlfn.XLOOKUP(Table2[[#This Row],[buyFromVendorNo]],'Next Day Scheduled'!A:A,'Pending Returns'!O:O,"NOT_FOUND")</f>
        <v>NOT_FOUND</v>
      </c>
    </row>
    <row r="4409" spans="1:17" x14ac:dyDescent="0.3">
      <c r="A4409" s="1">
        <v>46257</v>
      </c>
      <c r="B4409" t="s">
        <v>642</v>
      </c>
      <c r="C4409" t="s">
        <v>7440</v>
      </c>
      <c r="D4409" t="s">
        <v>7441</v>
      </c>
      <c r="E4409" t="s">
        <v>8</v>
      </c>
      <c r="F4409" t="s">
        <v>38</v>
      </c>
      <c r="G4409" s="16">
        <v>297.2826</v>
      </c>
      <c r="H4409" s="16">
        <v>341.87497000000002</v>
      </c>
      <c r="I4409" s="1">
        <v>46257</v>
      </c>
      <c r="J4409">
        <v>2</v>
      </c>
      <c r="K4409" t="s">
        <v>10801</v>
      </c>
      <c r="L4409" t="s">
        <v>11132</v>
      </c>
      <c r="M4409">
        <v>1</v>
      </c>
      <c r="N4409">
        <v>1</v>
      </c>
      <c r="O4409" t="s">
        <v>1036</v>
      </c>
      <c r="P4409" s="17"/>
      <c r="Q4409" s="17" t="str">
        <f>_xlfn.XLOOKUP(Table2[[#This Row],[buyFromVendorNo]],'Next Day Scheduled'!A:A,'Pending Returns'!O:O,"NOT_FOUND")</f>
        <v>NOT_FOUND</v>
      </c>
    </row>
    <row r="4410" spans="1:17" x14ac:dyDescent="0.3">
      <c r="A4410" s="1">
        <v>46257</v>
      </c>
      <c r="B4410" t="s">
        <v>5353</v>
      </c>
      <c r="C4410" t="s">
        <v>548</v>
      </c>
      <c r="D4410" t="s">
        <v>549</v>
      </c>
      <c r="E4410" t="s">
        <v>8</v>
      </c>
      <c r="F4410" t="s">
        <v>10</v>
      </c>
      <c r="G4410" s="16">
        <v>1197.1128000000001</v>
      </c>
      <c r="H4410" s="16">
        <v>1376.6796999999999</v>
      </c>
      <c r="J4410">
        <v>2</v>
      </c>
      <c r="K4410" t="s">
        <v>11135</v>
      </c>
      <c r="M4410">
        <v>0</v>
      </c>
      <c r="N4410">
        <v>3</v>
      </c>
      <c r="O4410" t="s">
        <v>216</v>
      </c>
      <c r="P4410" s="17"/>
      <c r="Q4410" s="17" t="str">
        <f>_xlfn.XLOOKUP(Table2[[#This Row],[buyFromVendorNo]],'Next Day Scheduled'!A:A,'Pending Returns'!O:O,"NOT_FOUND")</f>
        <v>NOT_FOUND</v>
      </c>
    </row>
    <row r="4411" spans="1:17" x14ac:dyDescent="0.3">
      <c r="A4411" s="1">
        <v>46257</v>
      </c>
      <c r="B4411" t="s">
        <v>1972</v>
      </c>
      <c r="C4411" t="s">
        <v>356</v>
      </c>
      <c r="D4411" t="s">
        <v>357</v>
      </c>
      <c r="E4411" t="s">
        <v>8</v>
      </c>
      <c r="F4411" t="s">
        <v>169</v>
      </c>
      <c r="G4411" s="16">
        <v>12.75</v>
      </c>
      <c r="H4411" s="16">
        <v>14.6625</v>
      </c>
      <c r="I4411" s="1">
        <v>46257</v>
      </c>
      <c r="J4411">
        <v>2</v>
      </c>
      <c r="K4411" t="s">
        <v>10460</v>
      </c>
      <c r="L4411" t="s">
        <v>11177</v>
      </c>
      <c r="M4411">
        <v>1</v>
      </c>
      <c r="N4411">
        <v>2</v>
      </c>
      <c r="O4411" t="s">
        <v>223</v>
      </c>
      <c r="P4411" s="17"/>
      <c r="Q4411" s="17" t="str">
        <f>_xlfn.XLOOKUP(Table2[[#This Row],[buyFromVendorNo]],'Next Day Scheduled'!A:A,'Pending Returns'!O:O,"NOT_FOUND")</f>
        <v>NOT_FOUND</v>
      </c>
    </row>
    <row r="4412" spans="1:17" x14ac:dyDescent="0.3">
      <c r="A4412" s="1">
        <v>46257</v>
      </c>
      <c r="B4412" t="s">
        <v>2723</v>
      </c>
      <c r="C4412" t="s">
        <v>502</v>
      </c>
      <c r="D4412" t="s">
        <v>503</v>
      </c>
      <c r="E4412" t="s">
        <v>8</v>
      </c>
      <c r="F4412" t="s">
        <v>10</v>
      </c>
      <c r="G4412" s="16">
        <v>275.19</v>
      </c>
      <c r="H4412" s="16">
        <v>316.46850000000001</v>
      </c>
      <c r="I4412" s="1">
        <v>46255</v>
      </c>
      <c r="J4412">
        <v>2</v>
      </c>
      <c r="K4412" t="s">
        <v>10525</v>
      </c>
      <c r="L4412" t="s">
        <v>11110</v>
      </c>
      <c r="M4412">
        <v>1</v>
      </c>
      <c r="N4412">
        <v>1</v>
      </c>
      <c r="O4412" t="s">
        <v>1036</v>
      </c>
      <c r="P4412" s="17"/>
      <c r="Q4412" s="17" t="str">
        <f>_xlfn.XLOOKUP(Table2[[#This Row],[buyFromVendorNo]],'Next Day Scheduled'!A:A,'Pending Returns'!O:O,"NOT_FOUND")</f>
        <v>NOT_FOUND</v>
      </c>
    </row>
    <row r="4413" spans="1:17" x14ac:dyDescent="0.3">
      <c r="A4413" s="1">
        <v>46257</v>
      </c>
      <c r="B4413" t="s">
        <v>5272</v>
      </c>
      <c r="C4413" t="s">
        <v>937</v>
      </c>
      <c r="D4413" t="s">
        <v>938</v>
      </c>
      <c r="E4413" t="s">
        <v>8</v>
      </c>
      <c r="F4413" t="s">
        <v>10</v>
      </c>
      <c r="G4413" s="16">
        <v>153.10504</v>
      </c>
      <c r="H4413" s="16">
        <v>176.07079999999999</v>
      </c>
      <c r="J4413">
        <v>2</v>
      </c>
      <c r="K4413" t="s">
        <v>11111</v>
      </c>
      <c r="M4413">
        <v>0</v>
      </c>
      <c r="N4413">
        <v>12</v>
      </c>
      <c r="O4413" t="s">
        <v>216</v>
      </c>
      <c r="P4413" s="17"/>
      <c r="Q4413" s="17" t="str">
        <f>_xlfn.XLOOKUP(Table2[[#This Row],[buyFromVendorNo]],'Next Day Scheduled'!A:A,'Pending Returns'!O:O,"NOT_FOUND")</f>
        <v>NOT_FOUND</v>
      </c>
    </row>
    <row r="4414" spans="1:17" x14ac:dyDescent="0.3">
      <c r="A4414" s="1">
        <v>46257</v>
      </c>
      <c r="B4414" t="s">
        <v>6775</v>
      </c>
      <c r="C4414" t="s">
        <v>65</v>
      </c>
      <c r="D4414" t="s">
        <v>66</v>
      </c>
      <c r="E4414" t="s">
        <v>8</v>
      </c>
      <c r="F4414" t="s">
        <v>169</v>
      </c>
      <c r="G4414" s="16">
        <v>318.82499999999999</v>
      </c>
      <c r="H4414" s="16">
        <v>366.64873999999998</v>
      </c>
      <c r="J4414">
        <v>2</v>
      </c>
      <c r="K4414" t="s">
        <v>11112</v>
      </c>
      <c r="M4414">
        <v>0</v>
      </c>
      <c r="N4414">
        <v>5</v>
      </c>
      <c r="O4414" t="s">
        <v>216</v>
      </c>
      <c r="P4414" s="17"/>
      <c r="Q4414" s="17" t="str">
        <f>_xlfn.XLOOKUP(Table2[[#This Row],[buyFromVendorNo]],'Next Day Scheduled'!A:A,'Pending Returns'!O:O,"NOT_FOUND")</f>
        <v>Posted Credit Note</v>
      </c>
    </row>
    <row r="4415" spans="1:17" x14ac:dyDescent="0.3">
      <c r="A4415" s="1">
        <v>46257</v>
      </c>
      <c r="B4415" t="s">
        <v>642</v>
      </c>
      <c r="C4415" t="s">
        <v>9053</v>
      </c>
      <c r="D4415" t="s">
        <v>9054</v>
      </c>
      <c r="E4415" t="s">
        <v>8</v>
      </c>
      <c r="F4415" t="s">
        <v>38</v>
      </c>
      <c r="G4415" s="16">
        <v>18.18</v>
      </c>
      <c r="H4415" s="16">
        <v>20.907</v>
      </c>
      <c r="I4415" s="1">
        <v>46251</v>
      </c>
      <c r="J4415">
        <v>2</v>
      </c>
      <c r="K4415" t="s">
        <v>10267</v>
      </c>
      <c r="L4415" t="s">
        <v>11113</v>
      </c>
      <c r="M4415">
        <v>0</v>
      </c>
      <c r="N4415">
        <v>3</v>
      </c>
      <c r="O4415" t="s">
        <v>1036</v>
      </c>
      <c r="P4415" s="17"/>
      <c r="Q4415" s="17" t="str">
        <f>_xlfn.XLOOKUP(Table2[[#This Row],[buyFromVendorNo]],'Next Day Scheduled'!A:A,'Pending Returns'!O:O,"NOT_FOUND")</f>
        <v>NOT_FOUND</v>
      </c>
    </row>
    <row r="4416" spans="1:17" x14ac:dyDescent="0.3">
      <c r="A4416" s="1">
        <v>46257</v>
      </c>
      <c r="B4416" t="s">
        <v>760</v>
      </c>
      <c r="C4416" t="s">
        <v>318</v>
      </c>
      <c r="D4416" t="s">
        <v>319</v>
      </c>
      <c r="E4416" t="s">
        <v>8</v>
      </c>
      <c r="F4416" t="s">
        <v>10</v>
      </c>
      <c r="G4416" s="16">
        <v>372.93669999999997</v>
      </c>
      <c r="H4416" s="16">
        <v>428.87723</v>
      </c>
      <c r="J4416">
        <v>2</v>
      </c>
      <c r="K4416" t="s">
        <v>11114</v>
      </c>
      <c r="M4416">
        <v>1</v>
      </c>
      <c r="N4416">
        <v>2</v>
      </c>
      <c r="O4416" t="s">
        <v>216</v>
      </c>
      <c r="P4416" s="17"/>
      <c r="Q4416" s="17" t="str">
        <f>_xlfn.XLOOKUP(Table2[[#This Row],[buyFromVendorNo]],'Next Day Scheduled'!A:A,'Pending Returns'!O:O,"NOT_FOUND")</f>
        <v>NOT_FOUND</v>
      </c>
    </row>
    <row r="4417" spans="1:17" x14ac:dyDescent="0.3">
      <c r="A4417" s="1">
        <v>46257</v>
      </c>
      <c r="B4417" t="s">
        <v>2927</v>
      </c>
      <c r="C4417" t="s">
        <v>7245</v>
      </c>
      <c r="D4417" t="s">
        <v>7246</v>
      </c>
      <c r="E4417" t="s">
        <v>8</v>
      </c>
      <c r="F4417" t="s">
        <v>10</v>
      </c>
      <c r="G4417" s="16">
        <v>221.44</v>
      </c>
      <c r="H4417" s="16">
        <v>254.65600000000001</v>
      </c>
      <c r="J4417">
        <v>2</v>
      </c>
      <c r="K4417" t="s">
        <v>11137</v>
      </c>
      <c r="M4417">
        <v>0</v>
      </c>
      <c r="N4417">
        <v>164</v>
      </c>
      <c r="O4417" t="s">
        <v>216</v>
      </c>
      <c r="P4417" s="17"/>
      <c r="Q4417" s="17" t="str">
        <f>_xlfn.XLOOKUP(Table2[[#This Row],[buyFromVendorNo]],'Next Day Scheduled'!A:A,'Pending Returns'!O:O,"NOT_FOUND")</f>
        <v>NOT_FOUND</v>
      </c>
    </row>
    <row r="4418" spans="1:17" x14ac:dyDescent="0.3">
      <c r="A4418" s="1">
        <v>46257</v>
      </c>
      <c r="B4418" t="s">
        <v>3252</v>
      </c>
      <c r="C4418" t="s">
        <v>69</v>
      </c>
      <c r="D4418" t="s">
        <v>70</v>
      </c>
      <c r="E4418" t="s">
        <v>8</v>
      </c>
      <c r="F4418" t="s">
        <v>10</v>
      </c>
      <c r="G4418" s="16">
        <v>1031.03</v>
      </c>
      <c r="H4418" s="16">
        <v>1185.6844000000001</v>
      </c>
      <c r="J4418">
        <v>2</v>
      </c>
      <c r="K4418" t="s">
        <v>11117</v>
      </c>
      <c r="M4418">
        <v>2</v>
      </c>
      <c r="N4418">
        <v>1</v>
      </c>
      <c r="O4418" t="s">
        <v>216</v>
      </c>
      <c r="P4418" s="17"/>
      <c r="Q4418" s="17" t="str">
        <f>_xlfn.XLOOKUP(Table2[[#This Row],[buyFromVendorNo]],'Next Day Scheduled'!A:A,'Pending Returns'!O:O,"NOT_FOUND")</f>
        <v>Posted Credit Note</v>
      </c>
    </row>
    <row r="4419" spans="1:17" x14ac:dyDescent="0.3">
      <c r="A4419" s="1">
        <v>46257</v>
      </c>
      <c r="B4419" t="s">
        <v>3371</v>
      </c>
      <c r="C4419" t="s">
        <v>839</v>
      </c>
      <c r="D4419" t="s">
        <v>840</v>
      </c>
      <c r="E4419" t="s">
        <v>8</v>
      </c>
      <c r="F4419" t="s">
        <v>10</v>
      </c>
      <c r="G4419" s="16">
        <v>368.5</v>
      </c>
      <c r="H4419" s="16">
        <v>423.77499999999998</v>
      </c>
      <c r="I4419" s="1">
        <v>46251</v>
      </c>
      <c r="J4419">
        <v>2</v>
      </c>
      <c r="K4419" t="s">
        <v>9991</v>
      </c>
      <c r="L4419" t="s">
        <v>11118</v>
      </c>
      <c r="M4419">
        <v>1</v>
      </c>
      <c r="N4419">
        <v>2</v>
      </c>
      <c r="O4419" t="s">
        <v>1036</v>
      </c>
      <c r="P4419" s="17"/>
      <c r="Q4419" s="17" t="str">
        <f>_xlfn.XLOOKUP(Table2[[#This Row],[buyFromVendorNo]],'Next Day Scheduled'!A:A,'Pending Returns'!O:O,"NOT_FOUND")</f>
        <v>NOT_FOUND</v>
      </c>
    </row>
    <row r="4420" spans="1:17" x14ac:dyDescent="0.3">
      <c r="A4420" s="1">
        <v>46257</v>
      </c>
      <c r="B4420" t="s">
        <v>2940</v>
      </c>
      <c r="C4420" t="s">
        <v>19</v>
      </c>
      <c r="D4420" t="s">
        <v>20</v>
      </c>
      <c r="E4420" t="s">
        <v>8</v>
      </c>
      <c r="F4420" t="s">
        <v>10</v>
      </c>
      <c r="G4420" s="16">
        <v>806.62</v>
      </c>
      <c r="H4420" s="16">
        <v>927.61300000000006</v>
      </c>
      <c r="I4420" s="1">
        <v>46257</v>
      </c>
      <c r="J4420">
        <v>2</v>
      </c>
      <c r="K4420" t="s">
        <v>10301</v>
      </c>
      <c r="L4420" t="s">
        <v>11046</v>
      </c>
      <c r="M4420">
        <v>0</v>
      </c>
      <c r="N4420">
        <v>13</v>
      </c>
      <c r="O4420" t="s">
        <v>223</v>
      </c>
      <c r="P4420" s="17"/>
      <c r="Q4420" s="17" t="str">
        <f>_xlfn.XLOOKUP(Table2[[#This Row],[buyFromVendorNo]],'Next Day Scheduled'!A:A,'Pending Returns'!O:O,"NOT_FOUND")</f>
        <v>Posted Credit Note</v>
      </c>
    </row>
    <row r="4421" spans="1:17" x14ac:dyDescent="0.3">
      <c r="A4421" s="1">
        <v>46257</v>
      </c>
      <c r="B4421" t="s">
        <v>642</v>
      </c>
      <c r="C4421" t="s">
        <v>4387</v>
      </c>
      <c r="D4421" t="s">
        <v>4388</v>
      </c>
      <c r="E4421" t="s">
        <v>8</v>
      </c>
      <c r="F4421" t="s">
        <v>38</v>
      </c>
      <c r="G4421" s="16">
        <v>312.58600000000001</v>
      </c>
      <c r="H4421" s="16">
        <v>359.47390000000001</v>
      </c>
      <c r="J4421">
        <v>2</v>
      </c>
      <c r="K4421" t="s">
        <v>11120</v>
      </c>
      <c r="M4421">
        <v>0</v>
      </c>
      <c r="N4421">
        <v>10</v>
      </c>
      <c r="O4421" t="s">
        <v>216</v>
      </c>
      <c r="P4421" s="17"/>
      <c r="Q4421" s="17" t="str">
        <f>_xlfn.XLOOKUP(Table2[[#This Row],[buyFromVendorNo]],'Next Day Scheduled'!A:A,'Pending Returns'!O:O,"NOT_FOUND")</f>
        <v>NOT_FOUND</v>
      </c>
    </row>
    <row r="4422" spans="1:17" x14ac:dyDescent="0.3">
      <c r="A4422" s="1">
        <v>46257</v>
      </c>
      <c r="B4422" t="s">
        <v>642</v>
      </c>
      <c r="C4422" t="s">
        <v>8711</v>
      </c>
      <c r="D4422" t="s">
        <v>8712</v>
      </c>
      <c r="E4422" t="s">
        <v>8</v>
      </c>
      <c r="F4422" t="s">
        <v>38</v>
      </c>
      <c r="G4422" s="16">
        <v>77</v>
      </c>
      <c r="H4422" s="16">
        <v>88.55</v>
      </c>
      <c r="J4422">
        <v>2</v>
      </c>
      <c r="K4422" t="s">
        <v>11122</v>
      </c>
      <c r="M4422">
        <v>0</v>
      </c>
      <c r="N4422">
        <v>5</v>
      </c>
      <c r="O4422" t="s">
        <v>216</v>
      </c>
      <c r="P4422" s="17"/>
      <c r="Q4422" s="17" t="str">
        <f>_xlfn.XLOOKUP(Table2[[#This Row],[buyFromVendorNo]],'Next Day Scheduled'!A:A,'Pending Returns'!O:O,"NOT_FOUND")</f>
        <v>NOT_FOUND</v>
      </c>
    </row>
    <row r="4423" spans="1:17" x14ac:dyDescent="0.3">
      <c r="A4423" s="1">
        <v>46257</v>
      </c>
      <c r="B4423" t="s">
        <v>642</v>
      </c>
      <c r="C4423" t="s">
        <v>5007</v>
      </c>
      <c r="D4423" t="s">
        <v>5008</v>
      </c>
      <c r="E4423" t="s">
        <v>8</v>
      </c>
      <c r="F4423" t="s">
        <v>38</v>
      </c>
      <c r="G4423" s="16">
        <v>175.58699999999999</v>
      </c>
      <c r="H4423" s="16">
        <v>201.92505</v>
      </c>
      <c r="J4423">
        <v>2</v>
      </c>
      <c r="K4423" t="s">
        <v>11143</v>
      </c>
      <c r="M4423">
        <v>0</v>
      </c>
      <c r="N4423">
        <v>7</v>
      </c>
      <c r="O4423" t="s">
        <v>216</v>
      </c>
      <c r="P4423" s="17"/>
      <c r="Q4423" s="17" t="str">
        <f>_xlfn.XLOOKUP(Table2[[#This Row],[buyFromVendorNo]],'Next Day Scheduled'!A:A,'Pending Returns'!O:O,"NOT_FOUND")</f>
        <v>NOT_FOUND</v>
      </c>
    </row>
    <row r="4424" spans="1:17" x14ac:dyDescent="0.3">
      <c r="A4424" s="1">
        <v>46257</v>
      </c>
      <c r="B4424" t="s">
        <v>2718</v>
      </c>
      <c r="C4424" t="s">
        <v>201</v>
      </c>
      <c r="D4424" t="s">
        <v>202</v>
      </c>
      <c r="E4424" t="s">
        <v>8</v>
      </c>
      <c r="F4424" t="s">
        <v>10</v>
      </c>
      <c r="G4424" s="16">
        <v>168.11</v>
      </c>
      <c r="H4424" s="16">
        <v>193.32650000000001</v>
      </c>
      <c r="I4424" s="1">
        <v>46253</v>
      </c>
      <c r="J4424">
        <v>2</v>
      </c>
      <c r="K4424" t="s">
        <v>10048</v>
      </c>
      <c r="L4424" t="s">
        <v>11166</v>
      </c>
      <c r="M4424">
        <v>1</v>
      </c>
      <c r="N4424">
        <v>1</v>
      </c>
      <c r="O4424" t="s">
        <v>1036</v>
      </c>
      <c r="P4424" s="17"/>
      <c r="Q4424" s="17" t="str">
        <f>_xlfn.XLOOKUP(Table2[[#This Row],[buyFromVendorNo]],'Next Day Scheduled'!A:A,'Pending Returns'!O:O,"NOT_FOUND")</f>
        <v>Pending for Collection</v>
      </c>
    </row>
    <row r="4425" spans="1:17" x14ac:dyDescent="0.3">
      <c r="A4425" s="1">
        <v>46257</v>
      </c>
      <c r="B4425" t="s">
        <v>2882</v>
      </c>
      <c r="C4425" t="s">
        <v>19</v>
      </c>
      <c r="D4425" t="s">
        <v>20</v>
      </c>
      <c r="E4425" t="s">
        <v>8</v>
      </c>
      <c r="F4425" t="s">
        <v>10</v>
      </c>
      <c r="G4425" s="16">
        <v>2490.16</v>
      </c>
      <c r="H4425" s="16">
        <v>2863.6840000000002</v>
      </c>
      <c r="I4425" s="1">
        <v>46257</v>
      </c>
      <c r="J4425">
        <v>2</v>
      </c>
      <c r="K4425" t="s">
        <v>1982</v>
      </c>
      <c r="L4425" t="s">
        <v>11036</v>
      </c>
      <c r="M4425">
        <v>0</v>
      </c>
      <c r="N4425">
        <v>13</v>
      </c>
      <c r="O4425" t="s">
        <v>223</v>
      </c>
      <c r="P4425" s="17"/>
      <c r="Q4425" s="17" t="str">
        <f>_xlfn.XLOOKUP(Table2[[#This Row],[buyFromVendorNo]],'Next Day Scheduled'!A:A,'Pending Returns'!O:O,"NOT_FOUND")</f>
        <v>Posted Credit Note</v>
      </c>
    </row>
    <row r="4426" spans="1:17" x14ac:dyDescent="0.3">
      <c r="A4426" s="1">
        <v>46257</v>
      </c>
      <c r="B4426" t="s">
        <v>269</v>
      </c>
      <c r="C4426" t="s">
        <v>19</v>
      </c>
      <c r="D4426" t="s">
        <v>20</v>
      </c>
      <c r="E4426" t="s">
        <v>8</v>
      </c>
      <c r="F4426" t="s">
        <v>10</v>
      </c>
      <c r="G4426" s="16">
        <v>2357.6799999999998</v>
      </c>
      <c r="H4426" s="16">
        <v>2711.3319999999999</v>
      </c>
      <c r="I4426" s="1">
        <v>46257</v>
      </c>
      <c r="J4426">
        <v>2</v>
      </c>
      <c r="K4426" t="s">
        <v>1856</v>
      </c>
      <c r="L4426" t="s">
        <v>11037</v>
      </c>
      <c r="M4426">
        <v>0</v>
      </c>
      <c r="N4426">
        <v>13</v>
      </c>
      <c r="O4426" t="s">
        <v>223</v>
      </c>
      <c r="P4426" s="17"/>
      <c r="Q4426" s="17" t="str">
        <f>_xlfn.XLOOKUP(Table2[[#This Row],[buyFromVendorNo]],'Next Day Scheduled'!A:A,'Pending Returns'!O:O,"NOT_FOUND")</f>
        <v>Posted Credit Note</v>
      </c>
    </row>
    <row r="4427" spans="1:17" x14ac:dyDescent="0.3">
      <c r="A4427" s="1">
        <v>46257</v>
      </c>
      <c r="B4427" t="s">
        <v>642</v>
      </c>
      <c r="C4427" t="s">
        <v>7440</v>
      </c>
      <c r="D4427" t="s">
        <v>7441</v>
      </c>
      <c r="E4427" t="s">
        <v>8</v>
      </c>
      <c r="F4427" t="s">
        <v>38</v>
      </c>
      <c r="G4427" s="16">
        <v>1623.9126000000001</v>
      </c>
      <c r="H4427" s="16">
        <v>1867.4994999999999</v>
      </c>
      <c r="I4427" s="1">
        <v>46257</v>
      </c>
      <c r="J4427">
        <v>2</v>
      </c>
      <c r="K4427" t="s">
        <v>10993</v>
      </c>
      <c r="L4427" t="s">
        <v>11181</v>
      </c>
      <c r="M4427">
        <v>1</v>
      </c>
      <c r="N4427">
        <v>1</v>
      </c>
      <c r="O4427" t="s">
        <v>223</v>
      </c>
      <c r="P4427" s="17"/>
      <c r="Q4427" s="17" t="str">
        <f>_xlfn.XLOOKUP(Table2[[#This Row],[buyFromVendorNo]],'Next Day Scheduled'!A:A,'Pending Returns'!O:O,"NOT_FOUND")</f>
        <v>NOT_FOUND</v>
      </c>
    </row>
    <row r="4428" spans="1:17" x14ac:dyDescent="0.3">
      <c r="A4428" s="1">
        <v>46257</v>
      </c>
      <c r="B4428" t="s">
        <v>2611</v>
      </c>
      <c r="C4428" t="s">
        <v>19</v>
      </c>
      <c r="D4428" t="s">
        <v>20</v>
      </c>
      <c r="E4428" t="s">
        <v>8</v>
      </c>
      <c r="F4428" t="s">
        <v>10</v>
      </c>
      <c r="G4428" s="16">
        <v>602.77</v>
      </c>
      <c r="H4428" s="16">
        <v>693.18550000000005</v>
      </c>
      <c r="I4428" s="1">
        <v>46257</v>
      </c>
      <c r="J4428">
        <v>2</v>
      </c>
      <c r="K4428" t="s">
        <v>4711</v>
      </c>
      <c r="L4428" t="s">
        <v>11047</v>
      </c>
      <c r="M4428">
        <v>0</v>
      </c>
      <c r="N4428">
        <v>13</v>
      </c>
      <c r="O4428" t="s">
        <v>223</v>
      </c>
      <c r="P4428" s="17"/>
      <c r="Q4428" s="17" t="str">
        <f>_xlfn.XLOOKUP(Table2[[#This Row],[buyFromVendorNo]],'Next Day Scheduled'!A:A,'Pending Returns'!O:O,"NOT_FOUND")</f>
        <v>Posted Credit Note</v>
      </c>
    </row>
    <row r="4429" spans="1:17" x14ac:dyDescent="0.3">
      <c r="A4429" s="1">
        <v>46257</v>
      </c>
      <c r="B4429" t="s">
        <v>7253</v>
      </c>
      <c r="C4429" t="s">
        <v>621</v>
      </c>
      <c r="D4429" t="s">
        <v>622</v>
      </c>
      <c r="E4429" t="s">
        <v>8</v>
      </c>
      <c r="F4429" t="s">
        <v>10</v>
      </c>
      <c r="G4429" s="16">
        <v>2808.77</v>
      </c>
      <c r="H4429" s="16">
        <v>3230.0853999999999</v>
      </c>
      <c r="I4429" s="1">
        <v>46257</v>
      </c>
      <c r="J4429">
        <v>2</v>
      </c>
      <c r="K4429" t="s">
        <v>10632</v>
      </c>
      <c r="L4429" t="s">
        <v>11057</v>
      </c>
      <c r="M4429">
        <v>0</v>
      </c>
      <c r="N4429">
        <v>3</v>
      </c>
      <c r="O4429" t="s">
        <v>223</v>
      </c>
      <c r="P4429" s="17"/>
      <c r="Q4429" s="17" t="str">
        <f>_xlfn.XLOOKUP(Table2[[#This Row],[buyFromVendorNo]],'Next Day Scheduled'!A:A,'Pending Returns'!O:O,"NOT_FOUND")</f>
        <v>NOT_FOUND</v>
      </c>
    </row>
    <row r="4430" spans="1:17" x14ac:dyDescent="0.3">
      <c r="A4430" s="1">
        <v>46257</v>
      </c>
      <c r="B4430" t="s">
        <v>8167</v>
      </c>
      <c r="C4430" t="s">
        <v>2943</v>
      </c>
      <c r="D4430" t="s">
        <v>2944</v>
      </c>
      <c r="E4430" t="s">
        <v>8</v>
      </c>
      <c r="F4430" t="s">
        <v>10</v>
      </c>
      <c r="G4430" s="16">
        <v>100.5</v>
      </c>
      <c r="H4430" s="16">
        <v>115.575</v>
      </c>
      <c r="J4430">
        <v>2</v>
      </c>
      <c r="K4430" t="s">
        <v>11153</v>
      </c>
      <c r="M4430">
        <v>0</v>
      </c>
      <c r="N4430">
        <v>9</v>
      </c>
      <c r="O4430" t="s">
        <v>216</v>
      </c>
      <c r="P4430" s="17"/>
      <c r="Q4430" s="17" t="str">
        <f>_xlfn.XLOOKUP(Table2[[#This Row],[buyFromVendorNo]],'Next Day Scheduled'!A:A,'Pending Returns'!O:O,"NOT_FOUND")</f>
        <v>NOT_FOUND</v>
      </c>
    </row>
    <row r="4431" spans="1:17" x14ac:dyDescent="0.3">
      <c r="A4431" s="1">
        <v>46257</v>
      </c>
      <c r="B4431" t="s">
        <v>3250</v>
      </c>
      <c r="C4431" t="s">
        <v>173</v>
      </c>
      <c r="D4431" t="s">
        <v>174</v>
      </c>
      <c r="E4431" t="s">
        <v>8</v>
      </c>
      <c r="F4431" t="s">
        <v>10</v>
      </c>
      <c r="G4431" s="16">
        <v>1453.98</v>
      </c>
      <c r="H4431" s="16">
        <v>1672.077</v>
      </c>
      <c r="J4431">
        <v>2</v>
      </c>
      <c r="K4431" t="s">
        <v>11156</v>
      </c>
      <c r="M4431">
        <v>1</v>
      </c>
      <c r="N4431">
        <v>1</v>
      </c>
      <c r="O4431" t="s">
        <v>216</v>
      </c>
      <c r="P4431" s="17"/>
      <c r="Q4431" s="17" t="str">
        <f>_xlfn.XLOOKUP(Table2[[#This Row],[buyFromVendorNo]],'Next Day Scheduled'!A:A,'Pending Returns'!O:O,"NOT_FOUND")</f>
        <v>NOT_FOUND</v>
      </c>
    </row>
    <row r="4432" spans="1:17" x14ac:dyDescent="0.3">
      <c r="A4432" s="1">
        <v>46257</v>
      </c>
      <c r="B4432" t="s">
        <v>2170</v>
      </c>
      <c r="C4432" t="s">
        <v>502</v>
      </c>
      <c r="D4432" t="s">
        <v>503</v>
      </c>
      <c r="E4432" t="s">
        <v>8</v>
      </c>
      <c r="F4432" t="s">
        <v>10</v>
      </c>
      <c r="G4432" s="16">
        <v>176.64</v>
      </c>
      <c r="H4432" s="16">
        <v>203.136</v>
      </c>
      <c r="I4432" s="1">
        <v>46255</v>
      </c>
      <c r="J4432">
        <v>2</v>
      </c>
      <c r="K4432" t="s">
        <v>9822</v>
      </c>
      <c r="L4432" t="s">
        <v>11154</v>
      </c>
      <c r="M4432">
        <v>1</v>
      </c>
      <c r="N4432">
        <v>1</v>
      </c>
      <c r="O4432" t="s">
        <v>1036</v>
      </c>
      <c r="P4432" s="17"/>
      <c r="Q4432" s="17" t="str">
        <f>_xlfn.XLOOKUP(Table2[[#This Row],[buyFromVendorNo]],'Next Day Scheduled'!A:A,'Pending Returns'!O:O,"NOT_FOUND")</f>
        <v>NOT_FOUND</v>
      </c>
    </row>
    <row r="4433" spans="1:17" x14ac:dyDescent="0.3">
      <c r="A4433" s="1">
        <v>46257</v>
      </c>
      <c r="B4433" t="s">
        <v>5386</v>
      </c>
      <c r="C4433" t="s">
        <v>73</v>
      </c>
      <c r="D4433" t="s">
        <v>74</v>
      </c>
      <c r="E4433" t="s">
        <v>8</v>
      </c>
      <c r="F4433" t="s">
        <v>10</v>
      </c>
      <c r="G4433" s="16">
        <v>66</v>
      </c>
      <c r="H4433" s="16">
        <v>75.900000000000006</v>
      </c>
      <c r="J4433">
        <v>2</v>
      </c>
      <c r="K4433" t="s">
        <v>11155</v>
      </c>
      <c r="M4433">
        <v>2</v>
      </c>
      <c r="N4433">
        <v>1</v>
      </c>
      <c r="O4433" t="s">
        <v>216</v>
      </c>
      <c r="P4433" s="17"/>
      <c r="Q4433" s="17" t="str">
        <f>_xlfn.XLOOKUP(Table2[[#This Row],[buyFromVendorNo]],'Next Day Scheduled'!A:A,'Pending Returns'!O:O,"NOT_FOUND")</f>
        <v>NOT_FOUND</v>
      </c>
    </row>
    <row r="4434" spans="1:17" x14ac:dyDescent="0.3">
      <c r="A4434" s="1">
        <v>46257</v>
      </c>
      <c r="B4434" t="s">
        <v>642</v>
      </c>
      <c r="C4434" t="s">
        <v>8713</v>
      </c>
      <c r="D4434" t="s">
        <v>8714</v>
      </c>
      <c r="E4434" t="s">
        <v>8</v>
      </c>
      <c r="F4434" t="s">
        <v>38</v>
      </c>
      <c r="G4434" s="16">
        <v>709.44</v>
      </c>
      <c r="H4434" s="16">
        <v>815.85599999999999</v>
      </c>
      <c r="J4434">
        <v>2</v>
      </c>
      <c r="K4434" t="s">
        <v>11127</v>
      </c>
      <c r="M4434">
        <v>0</v>
      </c>
      <c r="N4434">
        <v>10</v>
      </c>
      <c r="O4434" t="s">
        <v>216</v>
      </c>
      <c r="P4434" s="17"/>
      <c r="Q4434" s="17" t="str">
        <f>_xlfn.XLOOKUP(Table2[[#This Row],[buyFromVendorNo]],'Next Day Scheduled'!A:A,'Pending Returns'!O:O,"NOT_FOUND")</f>
        <v>NOT_FOUND</v>
      </c>
    </row>
    <row r="4435" spans="1:17" x14ac:dyDescent="0.3">
      <c r="A4435" s="1">
        <v>46257</v>
      </c>
      <c r="B4435" t="s">
        <v>2859</v>
      </c>
      <c r="C4435" t="s">
        <v>19</v>
      </c>
      <c r="D4435" t="s">
        <v>20</v>
      </c>
      <c r="E4435" t="s">
        <v>8</v>
      </c>
      <c r="F4435" t="s">
        <v>10</v>
      </c>
      <c r="G4435" s="16">
        <v>250.5</v>
      </c>
      <c r="H4435" s="16">
        <v>288.07499999999999</v>
      </c>
      <c r="I4435" s="1">
        <v>46257</v>
      </c>
      <c r="J4435">
        <v>2</v>
      </c>
      <c r="K4435" t="s">
        <v>7733</v>
      </c>
      <c r="L4435" t="s">
        <v>11045</v>
      </c>
      <c r="M4435">
        <v>0</v>
      </c>
      <c r="N4435">
        <v>13</v>
      </c>
      <c r="O4435" t="s">
        <v>223</v>
      </c>
      <c r="P4435" s="17"/>
      <c r="Q4435" s="17" t="str">
        <f>_xlfn.XLOOKUP(Table2[[#This Row],[buyFromVendorNo]],'Next Day Scheduled'!A:A,'Pending Returns'!O:O,"NOT_FOUND")</f>
        <v>Posted Credit Note</v>
      </c>
    </row>
    <row r="4436" spans="1:17" x14ac:dyDescent="0.3">
      <c r="A4436" s="1">
        <v>46257</v>
      </c>
      <c r="B4436" t="s">
        <v>2733</v>
      </c>
      <c r="C4436" t="s">
        <v>634</v>
      </c>
      <c r="D4436" t="s">
        <v>659</v>
      </c>
      <c r="E4436" t="s">
        <v>8</v>
      </c>
      <c r="F4436" t="s">
        <v>10</v>
      </c>
      <c r="G4436" s="16">
        <v>1301.77</v>
      </c>
      <c r="H4436" s="16">
        <v>1497.0355</v>
      </c>
      <c r="I4436" s="1">
        <v>46257</v>
      </c>
      <c r="J4436">
        <v>2</v>
      </c>
      <c r="K4436" t="s">
        <v>10513</v>
      </c>
      <c r="L4436" t="s">
        <v>11042</v>
      </c>
      <c r="M4436">
        <v>0</v>
      </c>
      <c r="N4436">
        <v>7</v>
      </c>
      <c r="O4436" t="s">
        <v>223</v>
      </c>
      <c r="P4436" s="17"/>
      <c r="Q4436" s="17" t="str">
        <f>_xlfn.XLOOKUP(Table2[[#This Row],[buyFromVendorNo]],'Next Day Scheduled'!A:A,'Pending Returns'!O:O,"NOT_FOUND")</f>
        <v>Posted Credit Note</v>
      </c>
    </row>
    <row r="4437" spans="1:17" x14ac:dyDescent="0.3">
      <c r="A4437" s="1">
        <v>46257</v>
      </c>
      <c r="B4437" t="s">
        <v>2580</v>
      </c>
      <c r="C4437" t="s">
        <v>201</v>
      </c>
      <c r="D4437" t="s">
        <v>202</v>
      </c>
      <c r="E4437" t="s">
        <v>8</v>
      </c>
      <c r="F4437" t="s">
        <v>10</v>
      </c>
      <c r="G4437" s="16">
        <v>75.17</v>
      </c>
      <c r="H4437" s="16">
        <v>86.445499999999996</v>
      </c>
      <c r="I4437" s="1">
        <v>46253</v>
      </c>
      <c r="J4437">
        <v>2</v>
      </c>
      <c r="K4437" t="s">
        <v>9514</v>
      </c>
      <c r="L4437" t="s">
        <v>11134</v>
      </c>
      <c r="M4437">
        <v>1</v>
      </c>
      <c r="N4437">
        <v>1</v>
      </c>
      <c r="O4437" t="s">
        <v>1036</v>
      </c>
      <c r="P4437" s="17"/>
      <c r="Q4437" s="17" t="str">
        <f>_xlfn.XLOOKUP(Table2[[#This Row],[buyFromVendorNo]],'Next Day Scheduled'!A:A,'Pending Returns'!O:O,"NOT_FOUND")</f>
        <v>Pending for Collection</v>
      </c>
    </row>
    <row r="4438" spans="1:17" x14ac:dyDescent="0.3">
      <c r="A4438" s="1">
        <v>46257</v>
      </c>
      <c r="B4438" t="s">
        <v>2807</v>
      </c>
      <c r="C4438" t="s">
        <v>19</v>
      </c>
      <c r="D4438" t="s">
        <v>20</v>
      </c>
      <c r="E4438" t="s">
        <v>8</v>
      </c>
      <c r="F4438" t="s">
        <v>10</v>
      </c>
      <c r="G4438" s="16">
        <v>41.2</v>
      </c>
      <c r="H4438" s="16">
        <v>47.38</v>
      </c>
      <c r="I4438" s="1">
        <v>46257</v>
      </c>
      <c r="J4438">
        <v>2</v>
      </c>
      <c r="K4438" t="s">
        <v>8142</v>
      </c>
      <c r="L4438" t="s">
        <v>11055</v>
      </c>
      <c r="M4438">
        <v>0</v>
      </c>
      <c r="N4438">
        <v>13</v>
      </c>
      <c r="O4438" t="s">
        <v>223</v>
      </c>
      <c r="P4438" s="17"/>
      <c r="Q4438" s="17" t="str">
        <f>_xlfn.XLOOKUP(Table2[[#This Row],[buyFromVendorNo]],'Next Day Scheduled'!A:A,'Pending Returns'!O:O,"NOT_FOUND")</f>
        <v>Posted Credit Note</v>
      </c>
    </row>
    <row r="4439" spans="1:17" x14ac:dyDescent="0.3">
      <c r="A4439" s="1">
        <v>46257</v>
      </c>
      <c r="B4439" t="s">
        <v>1661</v>
      </c>
      <c r="C4439" t="s">
        <v>19</v>
      </c>
      <c r="D4439" t="s">
        <v>20</v>
      </c>
      <c r="E4439" t="s">
        <v>8</v>
      </c>
      <c r="F4439" t="s">
        <v>10</v>
      </c>
      <c r="G4439" s="16">
        <v>2364.54</v>
      </c>
      <c r="H4439" s="16">
        <v>2719.221</v>
      </c>
      <c r="I4439" s="1">
        <v>46257</v>
      </c>
      <c r="J4439">
        <v>2</v>
      </c>
      <c r="K4439" t="s">
        <v>1852</v>
      </c>
      <c r="L4439" t="s">
        <v>11054</v>
      </c>
      <c r="M4439">
        <v>0</v>
      </c>
      <c r="N4439">
        <v>13</v>
      </c>
      <c r="O4439" t="s">
        <v>223</v>
      </c>
      <c r="P4439" s="17"/>
      <c r="Q4439" s="17" t="str">
        <f>_xlfn.XLOOKUP(Table2[[#This Row],[buyFromVendorNo]],'Next Day Scheduled'!A:A,'Pending Returns'!O:O,"NOT_FOUND")</f>
        <v>Posted Credit Note</v>
      </c>
    </row>
    <row r="4440" spans="1:17" x14ac:dyDescent="0.3">
      <c r="A4440" s="1">
        <v>46257</v>
      </c>
      <c r="B4440" t="s">
        <v>3344</v>
      </c>
      <c r="C4440" t="s">
        <v>621</v>
      </c>
      <c r="D4440" t="s">
        <v>622</v>
      </c>
      <c r="E4440" t="s">
        <v>8</v>
      </c>
      <c r="F4440" t="s">
        <v>10</v>
      </c>
      <c r="G4440" s="16">
        <v>5048.38</v>
      </c>
      <c r="H4440" s="16">
        <v>5805.6369999999997</v>
      </c>
      <c r="I4440" s="1">
        <v>46257</v>
      </c>
      <c r="J4440">
        <v>2</v>
      </c>
      <c r="K4440" t="s">
        <v>10296</v>
      </c>
      <c r="L4440" t="s">
        <v>11034</v>
      </c>
      <c r="M4440">
        <v>0</v>
      </c>
      <c r="N4440">
        <v>3</v>
      </c>
      <c r="O4440" t="s">
        <v>223</v>
      </c>
      <c r="P4440" s="17"/>
      <c r="Q4440" s="17" t="str">
        <f>_xlfn.XLOOKUP(Table2[[#This Row],[buyFromVendorNo]],'Next Day Scheduled'!A:A,'Pending Returns'!O:O,"NOT_FOUND")</f>
        <v>NOT_FOUND</v>
      </c>
    </row>
    <row r="4441" spans="1:17" x14ac:dyDescent="0.3">
      <c r="A4441" s="1">
        <v>46257</v>
      </c>
      <c r="B4441" t="s">
        <v>7650</v>
      </c>
      <c r="C4441" t="s">
        <v>69</v>
      </c>
      <c r="D4441" t="s">
        <v>70</v>
      </c>
      <c r="E4441" t="s">
        <v>8</v>
      </c>
      <c r="F4441" t="s">
        <v>10</v>
      </c>
      <c r="G4441" s="16">
        <v>1984.74</v>
      </c>
      <c r="H4441" s="16">
        <v>2282.451</v>
      </c>
      <c r="J4441">
        <v>2</v>
      </c>
      <c r="K4441" t="s">
        <v>11138</v>
      </c>
      <c r="M4441">
        <v>2</v>
      </c>
      <c r="N4441">
        <v>1</v>
      </c>
      <c r="O4441" t="s">
        <v>216</v>
      </c>
      <c r="P4441" s="17"/>
      <c r="Q4441" s="17" t="str">
        <f>_xlfn.XLOOKUP(Table2[[#This Row],[buyFromVendorNo]],'Next Day Scheduled'!A:A,'Pending Returns'!O:O,"NOT_FOUND")</f>
        <v>Posted Credit Note</v>
      </c>
    </row>
    <row r="4442" spans="1:17" x14ac:dyDescent="0.3">
      <c r="A4442" s="1">
        <v>46257</v>
      </c>
      <c r="B4442" t="s">
        <v>3258</v>
      </c>
      <c r="C4442" t="s">
        <v>69</v>
      </c>
      <c r="D4442" t="s">
        <v>70</v>
      </c>
      <c r="E4442" t="s">
        <v>8</v>
      </c>
      <c r="F4442" t="s">
        <v>10</v>
      </c>
      <c r="G4442" s="16">
        <v>2770.8</v>
      </c>
      <c r="H4442" s="16">
        <v>3186.42</v>
      </c>
      <c r="J4442">
        <v>2</v>
      </c>
      <c r="K4442" t="s">
        <v>11165</v>
      </c>
      <c r="M4442">
        <v>2</v>
      </c>
      <c r="N4442">
        <v>1</v>
      </c>
      <c r="O4442" t="s">
        <v>216</v>
      </c>
      <c r="P4442" s="17"/>
      <c r="Q4442" s="17" t="str">
        <f>_xlfn.XLOOKUP(Table2[[#This Row],[buyFromVendorNo]],'Next Day Scheduled'!A:A,'Pending Returns'!O:O,"NOT_FOUND")</f>
        <v>Posted Credit Note</v>
      </c>
    </row>
    <row r="4443" spans="1:17" x14ac:dyDescent="0.3">
      <c r="A4443" s="1">
        <v>46257</v>
      </c>
      <c r="B4443" t="s">
        <v>2882</v>
      </c>
      <c r="C4443" t="s">
        <v>935</v>
      </c>
      <c r="D4443" t="s">
        <v>936</v>
      </c>
      <c r="E4443" t="s">
        <v>8</v>
      </c>
      <c r="F4443" t="s">
        <v>10</v>
      </c>
      <c r="G4443" s="16">
        <v>4600</v>
      </c>
      <c r="H4443" s="16">
        <v>5290</v>
      </c>
      <c r="J4443">
        <v>2</v>
      </c>
      <c r="K4443" t="s">
        <v>11178</v>
      </c>
      <c r="M4443">
        <v>0</v>
      </c>
      <c r="N4443">
        <v>6</v>
      </c>
      <c r="O4443" t="s">
        <v>216</v>
      </c>
      <c r="P4443" s="17"/>
      <c r="Q4443" s="17" t="str">
        <f>_xlfn.XLOOKUP(Table2[[#This Row],[buyFromVendorNo]],'Next Day Scheduled'!A:A,'Pending Returns'!O:O,"NOT_FOUND")</f>
        <v>NOT_FOUND</v>
      </c>
    </row>
    <row r="4444" spans="1:17" x14ac:dyDescent="0.3">
      <c r="A4444" s="1">
        <v>46257</v>
      </c>
      <c r="B4444" t="s">
        <v>8716</v>
      </c>
      <c r="C4444" t="s">
        <v>1407</v>
      </c>
      <c r="D4444" t="s">
        <v>2306</v>
      </c>
      <c r="E4444" t="s">
        <v>8</v>
      </c>
      <c r="F4444" t="s">
        <v>10</v>
      </c>
      <c r="G4444" s="16">
        <v>90</v>
      </c>
      <c r="H4444" s="16">
        <v>103.5</v>
      </c>
      <c r="I4444" s="1">
        <v>46257</v>
      </c>
      <c r="J4444">
        <v>2</v>
      </c>
      <c r="K4444" t="s">
        <v>10927</v>
      </c>
      <c r="L4444" t="s">
        <v>11179</v>
      </c>
      <c r="M4444">
        <v>0</v>
      </c>
      <c r="N4444">
        <v>16</v>
      </c>
      <c r="O4444" t="s">
        <v>1036</v>
      </c>
      <c r="P4444" s="17"/>
      <c r="Q4444" s="17" t="str">
        <f>_xlfn.XLOOKUP(Table2[[#This Row],[buyFromVendorNo]],'Next Day Scheduled'!A:A,'Pending Returns'!O:O,"NOT_FOUND")</f>
        <v>NOT_FOUND</v>
      </c>
    </row>
    <row r="4445" spans="1:17" x14ac:dyDescent="0.3">
      <c r="A4445" s="1">
        <v>46257</v>
      </c>
      <c r="B4445" t="s">
        <v>6712</v>
      </c>
      <c r="C4445" t="s">
        <v>373</v>
      </c>
      <c r="D4445" t="s">
        <v>374</v>
      </c>
      <c r="E4445" t="s">
        <v>8</v>
      </c>
      <c r="F4445" t="s">
        <v>10</v>
      </c>
      <c r="G4445" s="16">
        <v>420.5</v>
      </c>
      <c r="H4445" s="16">
        <v>483.57499999999999</v>
      </c>
      <c r="J4445">
        <v>2</v>
      </c>
      <c r="K4445" t="s">
        <v>11180</v>
      </c>
      <c r="M4445">
        <v>0</v>
      </c>
      <c r="N4445">
        <v>12</v>
      </c>
      <c r="O4445" t="s">
        <v>216</v>
      </c>
      <c r="P4445" s="17"/>
      <c r="Q4445" s="17" t="str">
        <f>_xlfn.XLOOKUP(Table2[[#This Row],[buyFromVendorNo]],'Next Day Scheduled'!A:A,'Pending Returns'!O:O,"NOT_FOUND")</f>
        <v>NOT_FOUND</v>
      </c>
    </row>
    <row r="4446" spans="1:17" x14ac:dyDescent="0.3">
      <c r="A4446" s="1">
        <v>46257</v>
      </c>
      <c r="B4446" t="s">
        <v>2674</v>
      </c>
      <c r="C4446" t="s">
        <v>634</v>
      </c>
      <c r="D4446" t="s">
        <v>659</v>
      </c>
      <c r="E4446" t="s">
        <v>8</v>
      </c>
      <c r="F4446" t="s">
        <v>10</v>
      </c>
      <c r="G4446" s="16">
        <v>403.37</v>
      </c>
      <c r="H4446" s="16">
        <v>463.87549999999999</v>
      </c>
      <c r="I4446" s="1">
        <v>46257</v>
      </c>
      <c r="J4446">
        <v>2</v>
      </c>
      <c r="K4446" t="s">
        <v>10683</v>
      </c>
      <c r="L4446" t="s">
        <v>11056</v>
      </c>
      <c r="M4446">
        <v>0</v>
      </c>
      <c r="N4446">
        <v>7</v>
      </c>
      <c r="O4446" t="s">
        <v>223</v>
      </c>
      <c r="P4446" s="17"/>
      <c r="Q4446" s="17" t="str">
        <f>_xlfn.XLOOKUP(Table2[[#This Row],[buyFromVendorNo]],'Next Day Scheduled'!A:A,'Pending Returns'!O:O,"NOT_FOUND")</f>
        <v>Posted Credit Note</v>
      </c>
    </row>
    <row r="4447" spans="1:17" x14ac:dyDescent="0.3">
      <c r="A4447" s="1">
        <v>46257</v>
      </c>
      <c r="B4447" t="s">
        <v>2880</v>
      </c>
      <c r="C4447" t="s">
        <v>2319</v>
      </c>
      <c r="D4447" t="s">
        <v>2320</v>
      </c>
      <c r="E4447" t="s">
        <v>8</v>
      </c>
      <c r="F4447" t="s">
        <v>10</v>
      </c>
      <c r="G4447" s="16">
        <v>44.32</v>
      </c>
      <c r="H4447" s="16">
        <v>50.968000000000004</v>
      </c>
      <c r="J4447">
        <v>2</v>
      </c>
      <c r="K4447" t="s">
        <v>11141</v>
      </c>
      <c r="M4447">
        <v>0</v>
      </c>
      <c r="N4447">
        <v>8</v>
      </c>
      <c r="O4447" t="s">
        <v>216</v>
      </c>
      <c r="P4447" s="17"/>
      <c r="Q4447" s="17" t="str">
        <f>_xlfn.XLOOKUP(Table2[[#This Row],[buyFromVendorNo]],'Next Day Scheduled'!A:A,'Pending Returns'!O:O,"NOT_FOUND")</f>
        <v>NOT_FOUND</v>
      </c>
    </row>
    <row r="4448" spans="1:17" x14ac:dyDescent="0.3">
      <c r="A4448" s="1">
        <v>46257</v>
      </c>
      <c r="B4448" t="s">
        <v>642</v>
      </c>
      <c r="C4448" t="s">
        <v>621</v>
      </c>
      <c r="D4448" t="s">
        <v>11012</v>
      </c>
      <c r="E4448" t="s">
        <v>8</v>
      </c>
      <c r="F4448" t="s">
        <v>38</v>
      </c>
      <c r="G4448" s="16">
        <v>26.29</v>
      </c>
      <c r="H4448" s="16">
        <v>30.233499999999999</v>
      </c>
      <c r="J4448">
        <v>2</v>
      </c>
      <c r="K4448" t="s">
        <v>11144</v>
      </c>
      <c r="M4448">
        <v>0</v>
      </c>
      <c r="N4448">
        <v>10</v>
      </c>
      <c r="O4448" t="s">
        <v>216</v>
      </c>
      <c r="P4448" s="17"/>
      <c r="Q4448" s="17" t="str">
        <f>_xlfn.XLOOKUP(Table2[[#This Row],[buyFromVendorNo]],'Next Day Scheduled'!A:A,'Pending Returns'!O:O,"NOT_FOUND")</f>
        <v>NOT_FOUND</v>
      </c>
    </row>
    <row r="4449" spans="1:17" x14ac:dyDescent="0.3">
      <c r="A4449" s="1">
        <v>46257</v>
      </c>
      <c r="B4449" t="s">
        <v>2915</v>
      </c>
      <c r="C4449" t="s">
        <v>502</v>
      </c>
      <c r="D4449" t="s">
        <v>503</v>
      </c>
      <c r="E4449" t="s">
        <v>8</v>
      </c>
      <c r="F4449" t="s">
        <v>10</v>
      </c>
      <c r="G4449" s="16">
        <v>1224</v>
      </c>
      <c r="H4449" s="16">
        <v>1407.6</v>
      </c>
      <c r="I4449" s="1">
        <v>46255</v>
      </c>
      <c r="J4449">
        <v>2</v>
      </c>
      <c r="K4449" t="s">
        <v>10670</v>
      </c>
      <c r="L4449" t="s">
        <v>11145</v>
      </c>
      <c r="M4449">
        <v>1</v>
      </c>
      <c r="N4449">
        <v>1</v>
      </c>
      <c r="O4449" t="s">
        <v>1036</v>
      </c>
      <c r="P4449" s="17"/>
      <c r="Q4449" s="17" t="str">
        <f>_xlfn.XLOOKUP(Table2[[#This Row],[buyFromVendorNo]],'Next Day Scheduled'!A:A,'Pending Returns'!O:O,"NOT_FOUND")</f>
        <v>NOT_FOUND</v>
      </c>
    </row>
    <row r="4450" spans="1:17" x14ac:dyDescent="0.3">
      <c r="A4450" s="1">
        <v>46257</v>
      </c>
      <c r="B4450" t="s">
        <v>2927</v>
      </c>
      <c r="C4450" t="s">
        <v>19</v>
      </c>
      <c r="D4450" t="s">
        <v>20</v>
      </c>
      <c r="E4450" t="s">
        <v>8</v>
      </c>
      <c r="F4450" t="s">
        <v>10</v>
      </c>
      <c r="G4450" s="16">
        <v>365.43</v>
      </c>
      <c r="H4450" s="16">
        <v>420.24450000000002</v>
      </c>
      <c r="I4450" s="1">
        <v>46257</v>
      </c>
      <c r="J4450">
        <v>2</v>
      </c>
      <c r="K4450" t="s">
        <v>8661</v>
      </c>
      <c r="L4450" t="s">
        <v>11035</v>
      </c>
      <c r="M4450">
        <v>0</v>
      </c>
      <c r="N4450">
        <v>13</v>
      </c>
      <c r="O4450" t="s">
        <v>223</v>
      </c>
      <c r="P4450" s="17"/>
      <c r="Q4450" s="17" t="str">
        <f>_xlfn.XLOOKUP(Table2[[#This Row],[buyFromVendorNo]],'Next Day Scheduled'!A:A,'Pending Returns'!O:O,"NOT_FOUND")</f>
        <v>Posted Credit Note</v>
      </c>
    </row>
    <row r="4451" spans="1:17" x14ac:dyDescent="0.3">
      <c r="A4451" s="1">
        <v>46257</v>
      </c>
      <c r="B4451" t="s">
        <v>642</v>
      </c>
      <c r="C4451" t="s">
        <v>43</v>
      </c>
      <c r="D4451" t="s">
        <v>44</v>
      </c>
      <c r="E4451" t="s">
        <v>8</v>
      </c>
      <c r="F4451" t="s">
        <v>38</v>
      </c>
      <c r="G4451" s="16">
        <v>4147.38</v>
      </c>
      <c r="H4451" s="16">
        <v>4769.4870000000001</v>
      </c>
      <c r="I4451" s="1">
        <v>46257</v>
      </c>
      <c r="J4451">
        <v>2</v>
      </c>
      <c r="K4451" t="s">
        <v>10804</v>
      </c>
      <c r="L4451" t="s">
        <v>11167</v>
      </c>
      <c r="M4451">
        <v>2</v>
      </c>
      <c r="N4451">
        <v>1</v>
      </c>
      <c r="O4451" t="s">
        <v>1036</v>
      </c>
      <c r="P4451" s="17"/>
      <c r="Q4451" s="17" t="str">
        <f>_xlfn.XLOOKUP(Table2[[#This Row],[buyFromVendorNo]],'Next Day Scheduled'!A:A,'Pending Returns'!O:O,"NOT_FOUND")</f>
        <v>Posted Credit Note</v>
      </c>
    </row>
    <row r="4452" spans="1:17" x14ac:dyDescent="0.3">
      <c r="A4452" s="1">
        <v>46257</v>
      </c>
      <c r="B4452" t="s">
        <v>2161</v>
      </c>
      <c r="C4452" t="s">
        <v>98</v>
      </c>
      <c r="D4452" t="s">
        <v>99</v>
      </c>
      <c r="E4452" t="s">
        <v>8</v>
      </c>
      <c r="F4452" t="s">
        <v>10</v>
      </c>
      <c r="G4452" s="16">
        <v>312</v>
      </c>
      <c r="H4452" s="16">
        <v>358.8</v>
      </c>
      <c r="I4452" s="1">
        <v>46257</v>
      </c>
      <c r="J4452">
        <v>2</v>
      </c>
      <c r="K4452" t="s">
        <v>9788</v>
      </c>
      <c r="L4452" t="s">
        <v>11185</v>
      </c>
      <c r="M4452">
        <v>0</v>
      </c>
      <c r="N4452">
        <v>6</v>
      </c>
      <c r="O4452" t="s">
        <v>1036</v>
      </c>
      <c r="P4452" s="17"/>
      <c r="Q4452" s="17" t="str">
        <f>_xlfn.XLOOKUP(Table2[[#This Row],[buyFromVendorNo]],'Next Day Scheduled'!A:A,'Pending Returns'!O:O,"NOT_FOUND")</f>
        <v>NOT_FOUND</v>
      </c>
    </row>
    <row r="4453" spans="1:17" x14ac:dyDescent="0.3">
      <c r="A4453" s="1">
        <v>46257</v>
      </c>
      <c r="B4453" t="s">
        <v>5906</v>
      </c>
      <c r="C4453" t="s">
        <v>19</v>
      </c>
      <c r="D4453" t="s">
        <v>20</v>
      </c>
      <c r="E4453" t="s">
        <v>8</v>
      </c>
      <c r="F4453" t="s">
        <v>10</v>
      </c>
      <c r="G4453" s="16">
        <v>224.16</v>
      </c>
      <c r="H4453" s="16">
        <v>257.78399999999999</v>
      </c>
      <c r="I4453" s="1">
        <v>46257</v>
      </c>
      <c r="J4453">
        <v>2</v>
      </c>
      <c r="K4453" t="s">
        <v>3210</v>
      </c>
      <c r="L4453" t="s">
        <v>11039</v>
      </c>
      <c r="M4453">
        <v>0</v>
      </c>
      <c r="N4453">
        <v>13</v>
      </c>
      <c r="O4453" t="s">
        <v>223</v>
      </c>
      <c r="P4453" s="17"/>
      <c r="Q4453" s="17" t="str">
        <f>_xlfn.XLOOKUP(Table2[[#This Row],[buyFromVendorNo]],'Next Day Scheduled'!A:A,'Pending Returns'!O:O,"NOT_FOUND")</f>
        <v>Posted Credit Note</v>
      </c>
    </row>
    <row r="4454" spans="1:17" x14ac:dyDescent="0.3">
      <c r="A4454" s="1">
        <v>46257</v>
      </c>
      <c r="B4454" t="s">
        <v>2857</v>
      </c>
      <c r="C4454" t="s">
        <v>57</v>
      </c>
      <c r="D4454" t="s">
        <v>58</v>
      </c>
      <c r="E4454" t="s">
        <v>8</v>
      </c>
      <c r="F4454" t="s">
        <v>10</v>
      </c>
      <c r="G4454" s="16">
        <v>163.5</v>
      </c>
      <c r="H4454" s="16">
        <v>188.02500000000001</v>
      </c>
      <c r="J4454">
        <v>2</v>
      </c>
      <c r="K4454" t="s">
        <v>11124</v>
      </c>
      <c r="M4454">
        <v>0</v>
      </c>
      <c r="N4454">
        <v>8</v>
      </c>
      <c r="O4454" t="s">
        <v>216</v>
      </c>
      <c r="P4454" s="17"/>
      <c r="Q4454" s="17" t="str">
        <f>_xlfn.XLOOKUP(Table2[[#This Row],[buyFromVendorNo]],'Next Day Scheduled'!A:A,'Pending Returns'!O:O,"NOT_FOUND")</f>
        <v>Posted Credit Note</v>
      </c>
    </row>
    <row r="4455" spans="1:17" x14ac:dyDescent="0.3">
      <c r="A4455" s="1">
        <v>46257</v>
      </c>
      <c r="B4455" t="s">
        <v>8191</v>
      </c>
      <c r="C4455" t="s">
        <v>49</v>
      </c>
      <c r="D4455" t="s">
        <v>50</v>
      </c>
      <c r="E4455" t="s">
        <v>8</v>
      </c>
      <c r="F4455" t="s">
        <v>10</v>
      </c>
      <c r="G4455" s="16">
        <v>1729.74</v>
      </c>
      <c r="H4455" s="16">
        <v>1989.201</v>
      </c>
      <c r="J4455">
        <v>2</v>
      </c>
      <c r="K4455" t="s">
        <v>11146</v>
      </c>
      <c r="M4455">
        <v>0</v>
      </c>
      <c r="N4455">
        <v>15</v>
      </c>
      <c r="O4455" t="s">
        <v>216</v>
      </c>
      <c r="P4455" s="17"/>
      <c r="Q4455" s="17" t="str">
        <f>_xlfn.XLOOKUP(Table2[[#This Row],[buyFromVendorNo]],'Next Day Scheduled'!A:A,'Pending Returns'!O:O,"NOT_FOUND")</f>
        <v>NOT_FOUND</v>
      </c>
    </row>
    <row r="4456" spans="1:17" x14ac:dyDescent="0.3">
      <c r="A4456" s="1">
        <v>46257</v>
      </c>
      <c r="B4456" t="s">
        <v>642</v>
      </c>
      <c r="C4456" t="s">
        <v>812</v>
      </c>
      <c r="D4456" t="s">
        <v>2394</v>
      </c>
      <c r="E4456" t="s">
        <v>8</v>
      </c>
      <c r="F4456" t="s">
        <v>38</v>
      </c>
      <c r="G4456" s="16">
        <v>355</v>
      </c>
      <c r="H4456" s="16">
        <v>408.25</v>
      </c>
      <c r="J4456">
        <v>2</v>
      </c>
      <c r="K4456" t="s">
        <v>11186</v>
      </c>
      <c r="M4456">
        <v>0</v>
      </c>
      <c r="N4456">
        <v>6</v>
      </c>
      <c r="O4456" t="s">
        <v>216</v>
      </c>
      <c r="P4456" s="17"/>
      <c r="Q4456" s="17" t="str">
        <f>_xlfn.XLOOKUP(Table2[[#This Row],[buyFromVendorNo]],'Next Day Scheduled'!A:A,'Pending Returns'!O:O,"NOT_FOUND")</f>
        <v>NOT_FOUND</v>
      </c>
    </row>
    <row r="4457" spans="1:17" x14ac:dyDescent="0.3">
      <c r="A4457" s="1">
        <v>46257</v>
      </c>
      <c r="B4457" t="s">
        <v>642</v>
      </c>
      <c r="C4457" t="s">
        <v>69</v>
      </c>
      <c r="D4457" t="s">
        <v>70</v>
      </c>
      <c r="E4457" t="s">
        <v>8</v>
      </c>
      <c r="F4457" t="s">
        <v>38</v>
      </c>
      <c r="G4457" s="16">
        <v>34.26</v>
      </c>
      <c r="H4457" s="16">
        <v>39.399000000000001</v>
      </c>
      <c r="J4457">
        <v>2</v>
      </c>
      <c r="K4457" t="s">
        <v>11171</v>
      </c>
      <c r="M4457">
        <v>1</v>
      </c>
      <c r="N4457">
        <v>2</v>
      </c>
      <c r="O4457" t="s">
        <v>216</v>
      </c>
      <c r="P4457" s="17"/>
      <c r="Q4457" s="17" t="str">
        <f>_xlfn.XLOOKUP(Table2[[#This Row],[buyFromVendorNo]],'Next Day Scheduled'!A:A,'Pending Returns'!O:O,"NOT_FOUND")</f>
        <v>Posted Credit Note</v>
      </c>
    </row>
    <row r="4458" spans="1:17" x14ac:dyDescent="0.3">
      <c r="A4458" s="1">
        <v>46257</v>
      </c>
      <c r="B4458" t="s">
        <v>1773</v>
      </c>
      <c r="C4458" t="s">
        <v>1018</v>
      </c>
      <c r="D4458" t="s">
        <v>1019</v>
      </c>
      <c r="E4458" t="s">
        <v>8</v>
      </c>
      <c r="F4458" t="s">
        <v>10</v>
      </c>
      <c r="G4458" s="16">
        <v>644.75432999999998</v>
      </c>
      <c r="H4458" s="16">
        <v>741.46749999999997</v>
      </c>
      <c r="I4458" s="1">
        <v>46257</v>
      </c>
      <c r="J4458">
        <v>2</v>
      </c>
      <c r="K4458" t="s">
        <v>10213</v>
      </c>
      <c r="L4458" t="s">
        <v>11125</v>
      </c>
      <c r="M4458">
        <v>0</v>
      </c>
      <c r="N4458">
        <v>3</v>
      </c>
      <c r="O4458" t="s">
        <v>1036</v>
      </c>
      <c r="P4458" s="17"/>
      <c r="Q4458" s="17" t="str">
        <f>_xlfn.XLOOKUP(Table2[[#This Row],[buyFromVendorNo]],'Next Day Scheduled'!A:A,'Pending Returns'!O:O,"NOT_FOUND")</f>
        <v>NOT_FOUND</v>
      </c>
    </row>
    <row r="4459" spans="1:17" x14ac:dyDescent="0.3">
      <c r="A4459" s="1">
        <v>46257</v>
      </c>
      <c r="B4459" t="s">
        <v>2689</v>
      </c>
      <c r="C4459" t="s">
        <v>16</v>
      </c>
      <c r="D4459" t="s">
        <v>17</v>
      </c>
      <c r="E4459" t="s">
        <v>8</v>
      </c>
      <c r="F4459" t="s">
        <v>10</v>
      </c>
      <c r="G4459" s="16">
        <v>62.95</v>
      </c>
      <c r="H4459" s="16">
        <v>72.392499999999998</v>
      </c>
      <c r="I4459" s="1">
        <v>46233</v>
      </c>
      <c r="J4459">
        <v>2</v>
      </c>
      <c r="K4459" t="s">
        <v>8663</v>
      </c>
      <c r="L4459" t="s">
        <v>11150</v>
      </c>
      <c r="M4459">
        <v>0</v>
      </c>
      <c r="N4459">
        <v>3</v>
      </c>
      <c r="O4459" t="s">
        <v>1036</v>
      </c>
      <c r="P4459" s="17"/>
      <c r="Q4459" s="17" t="str">
        <f>_xlfn.XLOOKUP(Table2[[#This Row],[buyFromVendorNo]],'Next Day Scheduled'!A:A,'Pending Returns'!O:O,"NOT_FOUND")</f>
        <v>Posted Credit Note</v>
      </c>
    </row>
    <row r="4460" spans="1:17" x14ac:dyDescent="0.3">
      <c r="A4460" s="1">
        <v>46257</v>
      </c>
      <c r="B4460" t="s">
        <v>834</v>
      </c>
      <c r="C4460" t="s">
        <v>809</v>
      </c>
      <c r="D4460" t="s">
        <v>360</v>
      </c>
      <c r="E4460" t="s">
        <v>8</v>
      </c>
      <c r="F4460" t="s">
        <v>10</v>
      </c>
      <c r="G4460" s="16">
        <v>18.791460000000001</v>
      </c>
      <c r="H4460" s="16">
        <v>21.61018</v>
      </c>
      <c r="I4460" s="1">
        <v>46254</v>
      </c>
      <c r="J4460">
        <v>2</v>
      </c>
      <c r="K4460" t="s">
        <v>9897</v>
      </c>
      <c r="L4460" t="s">
        <v>11174</v>
      </c>
      <c r="M4460">
        <v>0</v>
      </c>
      <c r="N4460">
        <v>6</v>
      </c>
      <c r="O4460" t="s">
        <v>1036</v>
      </c>
      <c r="P4460" s="17"/>
      <c r="Q4460" s="17" t="str">
        <f>_xlfn.XLOOKUP(Table2[[#This Row],[buyFromVendorNo]],'Next Day Scheduled'!A:A,'Pending Returns'!O:O,"NOT_FOUND")</f>
        <v>Posted Credit Note</v>
      </c>
    </row>
    <row r="4461" spans="1:17" x14ac:dyDescent="0.3">
      <c r="A4461" s="1">
        <v>46257</v>
      </c>
      <c r="B4461" t="s">
        <v>2113</v>
      </c>
      <c r="C4461" t="s">
        <v>19</v>
      </c>
      <c r="D4461" t="s">
        <v>20</v>
      </c>
      <c r="E4461" t="s">
        <v>8</v>
      </c>
      <c r="F4461" t="s">
        <v>10</v>
      </c>
      <c r="G4461" s="16">
        <v>266.02</v>
      </c>
      <c r="H4461" s="16">
        <v>305.923</v>
      </c>
      <c r="I4461" s="1">
        <v>46257</v>
      </c>
      <c r="J4461">
        <v>2</v>
      </c>
      <c r="K4461" t="s">
        <v>10636</v>
      </c>
      <c r="L4461" t="s">
        <v>11058</v>
      </c>
      <c r="M4461">
        <v>0</v>
      </c>
      <c r="N4461">
        <v>13</v>
      </c>
      <c r="O4461" t="s">
        <v>223</v>
      </c>
      <c r="P4461" s="17"/>
      <c r="Q4461" s="17" t="str">
        <f>_xlfn.XLOOKUP(Table2[[#This Row],[buyFromVendorNo]],'Next Day Scheduled'!A:A,'Pending Returns'!O:O,"NOT_FOUND")</f>
        <v>Posted Credit Note</v>
      </c>
    </row>
    <row r="4462" spans="1:17" x14ac:dyDescent="0.3">
      <c r="A4462" s="1">
        <v>46257</v>
      </c>
      <c r="B4462" t="s">
        <v>2203</v>
      </c>
      <c r="C4462" t="s">
        <v>621</v>
      </c>
      <c r="D4462" t="s">
        <v>622</v>
      </c>
      <c r="E4462" t="s">
        <v>8</v>
      </c>
      <c r="F4462" t="s">
        <v>10</v>
      </c>
      <c r="G4462" s="16">
        <v>6318.5</v>
      </c>
      <c r="H4462" s="16">
        <v>7266.2749999999996</v>
      </c>
      <c r="I4462" s="1">
        <v>46257</v>
      </c>
      <c r="J4462">
        <v>2</v>
      </c>
      <c r="K4462" t="s">
        <v>9940</v>
      </c>
      <c r="L4462" t="s">
        <v>11040</v>
      </c>
      <c r="M4462">
        <v>0</v>
      </c>
      <c r="N4462">
        <v>3</v>
      </c>
      <c r="O4462" t="s">
        <v>223</v>
      </c>
      <c r="P4462" s="17"/>
      <c r="Q4462" s="17" t="str">
        <f>_xlfn.XLOOKUP(Table2[[#This Row],[buyFromVendorNo]],'Next Day Scheduled'!A:A,'Pending Returns'!O:O,"NOT_FOUND")</f>
        <v>NOT_FOUND</v>
      </c>
    </row>
    <row r="4463" spans="1:17" x14ac:dyDescent="0.3">
      <c r="A4463" s="1">
        <v>46257</v>
      </c>
      <c r="B4463" t="s">
        <v>642</v>
      </c>
      <c r="C4463" t="s">
        <v>4364</v>
      </c>
      <c r="D4463" t="s">
        <v>4542</v>
      </c>
      <c r="E4463" t="s">
        <v>8</v>
      </c>
      <c r="F4463" t="s">
        <v>38</v>
      </c>
      <c r="G4463" s="16">
        <v>690.17</v>
      </c>
      <c r="H4463" s="16">
        <v>793.69550000000004</v>
      </c>
      <c r="J4463">
        <v>2</v>
      </c>
      <c r="K4463" t="s">
        <v>11159</v>
      </c>
      <c r="M4463">
        <v>1</v>
      </c>
      <c r="N4463">
        <v>1</v>
      </c>
      <c r="O4463" t="s">
        <v>216</v>
      </c>
      <c r="P4463" s="17"/>
      <c r="Q4463" s="17" t="str">
        <f>_xlfn.XLOOKUP(Table2[[#This Row],[buyFromVendorNo]],'Next Day Scheduled'!A:A,'Pending Returns'!O:O,"NOT_FOUND")</f>
        <v>NOT_FOUND</v>
      </c>
    </row>
    <row r="4464" spans="1:17" x14ac:dyDescent="0.3">
      <c r="A4464" s="1">
        <v>46258</v>
      </c>
      <c r="B4464" t="s">
        <v>3255</v>
      </c>
      <c r="C4464" t="s">
        <v>1031</v>
      </c>
      <c r="D4464" t="s">
        <v>1032</v>
      </c>
      <c r="E4464" t="s">
        <v>8</v>
      </c>
      <c r="F4464" t="s">
        <v>10</v>
      </c>
      <c r="G4464" s="16">
        <v>205.8</v>
      </c>
      <c r="H4464" s="16">
        <v>236.67</v>
      </c>
      <c r="J4464">
        <v>1</v>
      </c>
      <c r="K4464" t="s">
        <v>11415</v>
      </c>
      <c r="M4464">
        <v>0</v>
      </c>
      <c r="N4464">
        <v>7</v>
      </c>
      <c r="O4464" t="s">
        <v>216</v>
      </c>
      <c r="P4464" s="17"/>
      <c r="Q4464" s="17" t="str">
        <f>_xlfn.XLOOKUP(Table2[[#This Row],[buyFromVendorNo]],'Next Day Scheduled'!A:A,'Pending Returns'!O:O,"NOT_FOUND")</f>
        <v>Pending for Collection</v>
      </c>
    </row>
    <row r="4465" spans="1:17" x14ac:dyDescent="0.3">
      <c r="A4465" s="1">
        <v>46258</v>
      </c>
      <c r="B4465" t="s">
        <v>760</v>
      </c>
      <c r="C4465" t="s">
        <v>423</v>
      </c>
      <c r="D4465" t="s">
        <v>424</v>
      </c>
      <c r="E4465" t="s">
        <v>8</v>
      </c>
      <c r="F4465" t="s">
        <v>10</v>
      </c>
      <c r="G4465" s="16">
        <v>745.67</v>
      </c>
      <c r="H4465" s="16">
        <v>857.52049999999997</v>
      </c>
      <c r="I4465" s="1">
        <v>46258</v>
      </c>
      <c r="J4465">
        <v>1</v>
      </c>
      <c r="K4465" t="s">
        <v>10544</v>
      </c>
      <c r="L4465" t="s">
        <v>11190</v>
      </c>
      <c r="M4465">
        <v>0</v>
      </c>
      <c r="N4465">
        <v>3</v>
      </c>
      <c r="O4465" t="s">
        <v>223</v>
      </c>
      <c r="P4465" s="17"/>
      <c r="Q4465" s="17" t="str">
        <f>_xlfn.XLOOKUP(Table2[[#This Row],[buyFromVendorNo]],'Next Day Scheduled'!A:A,'Pending Returns'!O:O,"NOT_FOUND")</f>
        <v>NOT_FOUND</v>
      </c>
    </row>
    <row r="4466" spans="1:17" x14ac:dyDescent="0.3">
      <c r="A4466" s="1">
        <v>46258</v>
      </c>
      <c r="B4466" t="s">
        <v>6775</v>
      </c>
      <c r="C4466" t="s">
        <v>75</v>
      </c>
      <c r="D4466" t="s">
        <v>76</v>
      </c>
      <c r="E4466" t="s">
        <v>8</v>
      </c>
      <c r="F4466" t="s">
        <v>169</v>
      </c>
      <c r="G4466" s="16">
        <v>347.02499999999998</v>
      </c>
      <c r="H4466" s="16">
        <v>399.07873999999998</v>
      </c>
      <c r="J4466">
        <v>1</v>
      </c>
      <c r="K4466" t="s">
        <v>11383</v>
      </c>
      <c r="M4466">
        <v>0</v>
      </c>
      <c r="N4466">
        <v>3</v>
      </c>
      <c r="O4466" t="s">
        <v>216</v>
      </c>
      <c r="P4466" s="17"/>
      <c r="Q4466" s="17" t="str">
        <f>_xlfn.XLOOKUP(Table2[[#This Row],[buyFromVendorNo]],'Next Day Scheduled'!A:A,'Pending Returns'!O:O,"NOT_FOUND")</f>
        <v>Posted Credit Note</v>
      </c>
    </row>
    <row r="4467" spans="1:17" x14ac:dyDescent="0.3">
      <c r="A4467" s="1">
        <v>46258</v>
      </c>
      <c r="B4467" t="s">
        <v>642</v>
      </c>
      <c r="C4467" t="s">
        <v>886</v>
      </c>
      <c r="D4467" t="s">
        <v>887</v>
      </c>
      <c r="E4467" t="s">
        <v>8</v>
      </c>
      <c r="F4467" t="s">
        <v>38</v>
      </c>
      <c r="G4467" s="16">
        <v>8837.09</v>
      </c>
      <c r="H4467" s="16">
        <v>10162.653</v>
      </c>
      <c r="J4467">
        <v>1</v>
      </c>
      <c r="K4467" t="s">
        <v>11374</v>
      </c>
      <c r="M4467">
        <v>0</v>
      </c>
      <c r="N4467">
        <v>6</v>
      </c>
      <c r="O4467" t="s">
        <v>216</v>
      </c>
      <c r="P4467" s="17"/>
      <c r="Q4467" s="17" t="str">
        <f>_xlfn.XLOOKUP(Table2[[#This Row],[buyFromVendorNo]],'Next Day Scheduled'!A:A,'Pending Returns'!O:O,"NOT_FOUND")</f>
        <v>NOT_FOUND</v>
      </c>
    </row>
    <row r="4468" spans="1:17" x14ac:dyDescent="0.3">
      <c r="A4468" s="1">
        <v>46258</v>
      </c>
      <c r="B4468" t="s">
        <v>3298</v>
      </c>
      <c r="C4468" t="s">
        <v>1743</v>
      </c>
      <c r="D4468" t="s">
        <v>1744</v>
      </c>
      <c r="E4468" t="s">
        <v>8</v>
      </c>
      <c r="F4468" t="s">
        <v>10</v>
      </c>
      <c r="G4468" s="16">
        <v>180</v>
      </c>
      <c r="H4468" s="16">
        <v>207</v>
      </c>
      <c r="J4468">
        <v>1</v>
      </c>
      <c r="K4468" t="s">
        <v>11402</v>
      </c>
      <c r="M4468">
        <v>0</v>
      </c>
      <c r="N4468">
        <v>19</v>
      </c>
      <c r="O4468" t="s">
        <v>216</v>
      </c>
      <c r="P4468" s="17"/>
      <c r="Q4468" s="17" t="str">
        <f>_xlfn.XLOOKUP(Table2[[#This Row],[buyFromVendorNo]],'Next Day Scheduled'!A:A,'Pending Returns'!O:O,"NOT_FOUND")</f>
        <v>NOT_FOUND</v>
      </c>
    </row>
    <row r="4469" spans="1:17" x14ac:dyDescent="0.3">
      <c r="A4469" s="1">
        <v>46258</v>
      </c>
      <c r="B4469" t="s">
        <v>642</v>
      </c>
      <c r="C4469" t="s">
        <v>905</v>
      </c>
      <c r="D4469" t="s">
        <v>906</v>
      </c>
      <c r="E4469" t="s">
        <v>8</v>
      </c>
      <c r="F4469" t="s">
        <v>38</v>
      </c>
      <c r="G4469" s="16">
        <v>88</v>
      </c>
      <c r="H4469" s="16">
        <v>101.2</v>
      </c>
      <c r="I4469" s="1">
        <v>46258</v>
      </c>
      <c r="J4469">
        <v>1</v>
      </c>
      <c r="K4469" t="s">
        <v>11126</v>
      </c>
      <c r="L4469" t="s">
        <v>11433</v>
      </c>
      <c r="M4469">
        <v>0</v>
      </c>
      <c r="N4469">
        <v>5</v>
      </c>
      <c r="O4469" t="s">
        <v>1036</v>
      </c>
      <c r="P4469" s="17"/>
      <c r="Q4469" s="17" t="str">
        <f>_xlfn.XLOOKUP(Table2[[#This Row],[buyFromVendorNo]],'Next Day Scheduled'!A:A,'Pending Returns'!O:O,"NOT_FOUND")</f>
        <v>NOT_FOUND</v>
      </c>
    </row>
    <row r="4470" spans="1:17" x14ac:dyDescent="0.3">
      <c r="A4470" s="1">
        <v>46258</v>
      </c>
      <c r="B4470" t="s">
        <v>2768</v>
      </c>
      <c r="C4470" t="s">
        <v>2431</v>
      </c>
      <c r="D4470" t="s">
        <v>2432</v>
      </c>
      <c r="E4470" t="s">
        <v>8</v>
      </c>
      <c r="F4470" t="s">
        <v>10</v>
      </c>
      <c r="G4470" s="16">
        <v>11</v>
      </c>
      <c r="H4470" s="16">
        <v>12.65</v>
      </c>
      <c r="I4470" s="1">
        <v>46258</v>
      </c>
      <c r="J4470">
        <v>1</v>
      </c>
      <c r="K4470" t="s">
        <v>9985</v>
      </c>
      <c r="L4470" t="s">
        <v>11197</v>
      </c>
      <c r="M4470">
        <v>0</v>
      </c>
      <c r="N4470">
        <v>3</v>
      </c>
      <c r="O4470" t="s">
        <v>223</v>
      </c>
      <c r="P4470" s="17"/>
      <c r="Q4470" s="17" t="str">
        <f>_xlfn.XLOOKUP(Table2[[#This Row],[buyFromVendorNo]],'Next Day Scheduled'!A:A,'Pending Returns'!O:O,"NOT_FOUND")</f>
        <v>NOT_FOUND</v>
      </c>
    </row>
    <row r="4471" spans="1:17" x14ac:dyDescent="0.3">
      <c r="A4471" s="1">
        <v>46258</v>
      </c>
      <c r="B4471" t="s">
        <v>8727</v>
      </c>
      <c r="C4471" t="s">
        <v>2328</v>
      </c>
      <c r="D4471" t="s">
        <v>2329</v>
      </c>
      <c r="E4471" t="s">
        <v>8</v>
      </c>
      <c r="F4471" t="s">
        <v>10</v>
      </c>
      <c r="G4471" s="16">
        <v>42</v>
      </c>
      <c r="H4471" s="16">
        <v>48.3</v>
      </c>
      <c r="J4471">
        <v>1</v>
      </c>
      <c r="K4471" t="s">
        <v>11423</v>
      </c>
      <c r="M4471">
        <v>0</v>
      </c>
      <c r="N4471">
        <v>3</v>
      </c>
      <c r="O4471" t="s">
        <v>216</v>
      </c>
      <c r="P4471" s="17"/>
      <c r="Q4471" s="17" t="str">
        <f>_xlfn.XLOOKUP(Table2[[#This Row],[buyFromVendorNo]],'Next Day Scheduled'!A:A,'Pending Returns'!O:O,"NOT_FOUND")</f>
        <v>NOT_FOUND</v>
      </c>
    </row>
    <row r="4472" spans="1:17" x14ac:dyDescent="0.3">
      <c r="A4472" s="1">
        <v>46258</v>
      </c>
      <c r="B4472" t="s">
        <v>3266</v>
      </c>
      <c r="C4472" t="s">
        <v>536</v>
      </c>
      <c r="D4472" t="s">
        <v>537</v>
      </c>
      <c r="E4472" t="s">
        <v>8</v>
      </c>
      <c r="F4472" t="s">
        <v>10</v>
      </c>
      <c r="G4472" s="16">
        <v>657.08500000000004</v>
      </c>
      <c r="H4472" s="16">
        <v>755.64777000000004</v>
      </c>
      <c r="I4472" s="1">
        <v>46258</v>
      </c>
      <c r="J4472">
        <v>1</v>
      </c>
      <c r="K4472" t="s">
        <v>9999</v>
      </c>
      <c r="L4472" t="s">
        <v>11193</v>
      </c>
      <c r="M4472">
        <v>0</v>
      </c>
      <c r="N4472">
        <v>2</v>
      </c>
      <c r="O4472" t="s">
        <v>223</v>
      </c>
      <c r="P4472" s="17"/>
      <c r="Q4472" s="17" t="str">
        <f>_xlfn.XLOOKUP(Table2[[#This Row],[buyFromVendorNo]],'Next Day Scheduled'!A:A,'Pending Returns'!O:O,"NOT_FOUND")</f>
        <v>NOT_FOUND</v>
      </c>
    </row>
    <row r="4473" spans="1:17" x14ac:dyDescent="0.3">
      <c r="A4473" s="1">
        <v>46258</v>
      </c>
      <c r="B4473" t="s">
        <v>2670</v>
      </c>
      <c r="C4473" t="s">
        <v>837</v>
      </c>
      <c r="D4473" t="s">
        <v>838</v>
      </c>
      <c r="E4473" t="s">
        <v>8</v>
      </c>
      <c r="F4473" t="s">
        <v>10</v>
      </c>
      <c r="G4473" s="16">
        <v>3083.4585000000002</v>
      </c>
      <c r="H4473" s="16">
        <v>3545.9773</v>
      </c>
      <c r="I4473" s="1">
        <v>46258</v>
      </c>
      <c r="J4473">
        <v>1</v>
      </c>
      <c r="K4473" t="s">
        <v>10547</v>
      </c>
      <c r="L4473" t="s">
        <v>11436</v>
      </c>
      <c r="M4473">
        <v>0</v>
      </c>
      <c r="N4473">
        <v>2</v>
      </c>
      <c r="O4473" t="s">
        <v>1036</v>
      </c>
      <c r="P4473" s="17"/>
      <c r="Q4473" s="17" t="str">
        <f>_xlfn.XLOOKUP(Table2[[#This Row],[buyFromVendorNo]],'Next Day Scheduled'!A:A,'Pending Returns'!O:O,"NOT_FOUND")</f>
        <v>NOT_FOUND</v>
      </c>
    </row>
    <row r="4474" spans="1:17" x14ac:dyDescent="0.3">
      <c r="A4474" s="1">
        <v>46258</v>
      </c>
      <c r="B4474" t="s">
        <v>2566</v>
      </c>
      <c r="C4474" t="s">
        <v>191</v>
      </c>
      <c r="D4474" t="s">
        <v>192</v>
      </c>
      <c r="E4474" t="s">
        <v>8</v>
      </c>
      <c r="F4474" t="s">
        <v>10</v>
      </c>
      <c r="G4474" s="16">
        <v>22.14</v>
      </c>
      <c r="H4474" s="16">
        <v>25.460999999999999</v>
      </c>
      <c r="J4474">
        <v>1</v>
      </c>
      <c r="K4474" t="s">
        <v>11422</v>
      </c>
      <c r="M4474">
        <v>0</v>
      </c>
      <c r="N4474">
        <v>3</v>
      </c>
      <c r="O4474" t="s">
        <v>216</v>
      </c>
      <c r="P4474" s="17"/>
      <c r="Q4474" s="17" t="str">
        <f>_xlfn.XLOOKUP(Table2[[#This Row],[buyFromVendorNo]],'Next Day Scheduled'!A:A,'Pending Returns'!O:O,"NOT_FOUND")</f>
        <v>NOT_FOUND</v>
      </c>
    </row>
    <row r="4475" spans="1:17" x14ac:dyDescent="0.3">
      <c r="A4475" s="1">
        <v>46258</v>
      </c>
      <c r="B4475" t="s">
        <v>1467</v>
      </c>
      <c r="C4475" t="s">
        <v>401</v>
      </c>
      <c r="D4475" t="s">
        <v>402</v>
      </c>
      <c r="E4475" t="s">
        <v>8</v>
      </c>
      <c r="F4475" t="s">
        <v>38</v>
      </c>
      <c r="G4475" s="16">
        <v>388</v>
      </c>
      <c r="H4475" s="16">
        <v>446.2</v>
      </c>
      <c r="I4475" s="1">
        <v>46239</v>
      </c>
      <c r="J4475">
        <v>1</v>
      </c>
      <c r="K4475" t="s">
        <v>8326</v>
      </c>
      <c r="L4475" t="s">
        <v>11430</v>
      </c>
      <c r="M4475">
        <v>0</v>
      </c>
      <c r="N4475">
        <v>3</v>
      </c>
      <c r="O4475" t="s">
        <v>1036</v>
      </c>
      <c r="P4475" s="17"/>
      <c r="Q4475" s="17" t="str">
        <f>_xlfn.XLOOKUP(Table2[[#This Row],[buyFromVendorNo]],'Next Day Scheduled'!A:A,'Pending Returns'!O:O,"NOT_FOUND")</f>
        <v>Posted Credit Note</v>
      </c>
    </row>
    <row r="4476" spans="1:17" x14ac:dyDescent="0.3">
      <c r="A4476" s="1">
        <v>46258</v>
      </c>
      <c r="B4476" t="s">
        <v>3276</v>
      </c>
      <c r="C4476" t="s">
        <v>839</v>
      </c>
      <c r="D4476" t="s">
        <v>840</v>
      </c>
      <c r="E4476" t="s">
        <v>8</v>
      </c>
      <c r="F4476" t="s">
        <v>10</v>
      </c>
      <c r="G4476" s="16">
        <v>368</v>
      </c>
      <c r="H4476" s="16">
        <v>423.2</v>
      </c>
      <c r="J4476">
        <v>1</v>
      </c>
      <c r="K4476" t="s">
        <v>11370</v>
      </c>
      <c r="M4476">
        <v>0</v>
      </c>
      <c r="N4476">
        <v>2</v>
      </c>
      <c r="O4476" t="s">
        <v>216</v>
      </c>
      <c r="P4476" s="17"/>
      <c r="Q4476" s="17" t="str">
        <f>_xlfn.XLOOKUP(Table2[[#This Row],[buyFromVendorNo]],'Next Day Scheduled'!A:A,'Pending Returns'!O:O,"NOT_FOUND")</f>
        <v>NOT_FOUND</v>
      </c>
    </row>
    <row r="4477" spans="1:17" x14ac:dyDescent="0.3">
      <c r="A4477" s="1">
        <v>46258</v>
      </c>
      <c r="B4477" t="s">
        <v>5413</v>
      </c>
      <c r="C4477" t="s">
        <v>880</v>
      </c>
      <c r="D4477" t="s">
        <v>881</v>
      </c>
      <c r="E4477" t="s">
        <v>8</v>
      </c>
      <c r="F4477" t="s">
        <v>10</v>
      </c>
      <c r="G4477" s="16">
        <v>168</v>
      </c>
      <c r="H4477" s="16">
        <v>193.2</v>
      </c>
      <c r="J4477">
        <v>1</v>
      </c>
      <c r="K4477" t="s">
        <v>11403</v>
      </c>
      <c r="M4477">
        <v>0</v>
      </c>
      <c r="N4477">
        <v>13</v>
      </c>
      <c r="O4477" t="s">
        <v>216</v>
      </c>
      <c r="P4477" s="17"/>
      <c r="Q4477" s="17" t="str">
        <f>_xlfn.XLOOKUP(Table2[[#This Row],[buyFromVendorNo]],'Next Day Scheduled'!A:A,'Pending Returns'!O:O,"NOT_FOUND")</f>
        <v>NOT_FOUND</v>
      </c>
    </row>
    <row r="4478" spans="1:17" x14ac:dyDescent="0.3">
      <c r="A4478" s="1">
        <v>46258</v>
      </c>
      <c r="B4478" t="s">
        <v>8073</v>
      </c>
      <c r="C4478" t="s">
        <v>310</v>
      </c>
      <c r="D4478" t="s">
        <v>311</v>
      </c>
      <c r="E4478" t="s">
        <v>8</v>
      </c>
      <c r="F4478" t="s">
        <v>10</v>
      </c>
      <c r="G4478" s="16">
        <v>265.45999999999998</v>
      </c>
      <c r="H4478" s="16">
        <v>305.279</v>
      </c>
      <c r="I4478" s="1">
        <v>46258</v>
      </c>
      <c r="J4478">
        <v>1</v>
      </c>
      <c r="K4478" t="s">
        <v>10231</v>
      </c>
      <c r="L4478" t="s">
        <v>11204</v>
      </c>
      <c r="M4478">
        <v>0</v>
      </c>
      <c r="N4478">
        <v>2</v>
      </c>
      <c r="O4478" t="s">
        <v>223</v>
      </c>
      <c r="P4478" s="17"/>
      <c r="Q4478" s="17" t="str">
        <f>_xlfn.XLOOKUP(Table2[[#This Row],[buyFromVendorNo]],'Next Day Scheduled'!A:A,'Pending Returns'!O:O,"NOT_FOUND")</f>
        <v>NOT_FOUND</v>
      </c>
    </row>
    <row r="4479" spans="1:17" x14ac:dyDescent="0.3">
      <c r="A4479" s="1">
        <v>46258</v>
      </c>
      <c r="B4479" t="s">
        <v>6775</v>
      </c>
      <c r="C4479" t="s">
        <v>6373</v>
      </c>
      <c r="D4479" t="s">
        <v>6374</v>
      </c>
      <c r="E4479" t="s">
        <v>8</v>
      </c>
      <c r="F4479" t="s">
        <v>169</v>
      </c>
      <c r="G4479" s="16">
        <v>106.39</v>
      </c>
      <c r="H4479" s="16">
        <v>122.3485</v>
      </c>
      <c r="J4479">
        <v>1</v>
      </c>
      <c r="K4479" t="s">
        <v>11372</v>
      </c>
      <c r="M4479">
        <v>0</v>
      </c>
      <c r="N4479">
        <v>3</v>
      </c>
      <c r="O4479" t="s">
        <v>216</v>
      </c>
      <c r="P4479" s="17"/>
      <c r="Q4479" s="17" t="str">
        <f>_xlfn.XLOOKUP(Table2[[#This Row],[buyFromVendorNo]],'Next Day Scheduled'!A:A,'Pending Returns'!O:O,"NOT_FOUND")</f>
        <v>NOT_FOUND</v>
      </c>
    </row>
    <row r="4480" spans="1:17" x14ac:dyDescent="0.3">
      <c r="A4480" s="1">
        <v>46258</v>
      </c>
      <c r="B4480" t="s">
        <v>642</v>
      </c>
      <c r="C4480" t="s">
        <v>618</v>
      </c>
      <c r="D4480" t="s">
        <v>6379</v>
      </c>
      <c r="E4480" t="s">
        <v>8</v>
      </c>
      <c r="F4480" t="s">
        <v>38</v>
      </c>
      <c r="G4480" s="16">
        <v>299.36367999999999</v>
      </c>
      <c r="H4480" s="16">
        <v>299.36367999999999</v>
      </c>
      <c r="I4480" s="1">
        <v>46258</v>
      </c>
      <c r="J4480">
        <v>1</v>
      </c>
      <c r="K4480" t="s">
        <v>11360</v>
      </c>
      <c r="L4480" t="s">
        <v>11445</v>
      </c>
      <c r="M4480">
        <v>2</v>
      </c>
      <c r="N4480">
        <v>0</v>
      </c>
      <c r="O4480" t="s">
        <v>223</v>
      </c>
      <c r="P4480" s="17"/>
      <c r="Q4480" s="17" t="str">
        <f>_xlfn.XLOOKUP(Table2[[#This Row],[buyFromVendorNo]],'Next Day Scheduled'!A:A,'Pending Returns'!O:O,"NOT_FOUND")</f>
        <v>NOT_FOUND</v>
      </c>
    </row>
    <row r="4481" spans="1:17" x14ac:dyDescent="0.3">
      <c r="A4481" s="1">
        <v>46258</v>
      </c>
      <c r="B4481" t="s">
        <v>3014</v>
      </c>
      <c r="C4481" t="s">
        <v>781</v>
      </c>
      <c r="D4481" t="s">
        <v>782</v>
      </c>
      <c r="E4481" t="s">
        <v>8</v>
      </c>
      <c r="F4481" t="s">
        <v>10</v>
      </c>
      <c r="G4481" s="16">
        <v>47</v>
      </c>
      <c r="H4481" s="16">
        <v>54.05</v>
      </c>
      <c r="I4481" s="1">
        <v>46258</v>
      </c>
      <c r="J4481">
        <v>1</v>
      </c>
      <c r="K4481" t="s">
        <v>10767</v>
      </c>
      <c r="L4481" t="s">
        <v>11209</v>
      </c>
      <c r="M4481">
        <v>0</v>
      </c>
      <c r="N4481">
        <v>2</v>
      </c>
      <c r="O4481" t="s">
        <v>223</v>
      </c>
      <c r="P4481" s="17"/>
      <c r="Q4481" s="17" t="str">
        <f>_xlfn.XLOOKUP(Table2[[#This Row],[buyFromVendorNo]],'Next Day Scheduled'!A:A,'Pending Returns'!O:O,"NOT_FOUND")</f>
        <v>NOT_FOUND</v>
      </c>
    </row>
    <row r="4482" spans="1:17" x14ac:dyDescent="0.3">
      <c r="A4482" s="1">
        <v>46258</v>
      </c>
      <c r="B4482" t="s">
        <v>2680</v>
      </c>
      <c r="C4482" t="s">
        <v>133</v>
      </c>
      <c r="D4482" t="s">
        <v>134</v>
      </c>
      <c r="E4482" t="s">
        <v>8</v>
      </c>
      <c r="F4482" t="s">
        <v>10</v>
      </c>
      <c r="G4482" s="16">
        <v>142.84</v>
      </c>
      <c r="H4482" s="16">
        <v>164.26599999999999</v>
      </c>
      <c r="J4482">
        <v>1</v>
      </c>
      <c r="K4482" t="s">
        <v>11363</v>
      </c>
      <c r="M4482">
        <v>0</v>
      </c>
      <c r="N4482">
        <v>12</v>
      </c>
      <c r="O4482" t="s">
        <v>216</v>
      </c>
      <c r="P4482" s="17"/>
      <c r="Q4482" s="17" t="str">
        <f>_xlfn.XLOOKUP(Table2[[#This Row],[buyFromVendorNo]],'Next Day Scheduled'!A:A,'Pending Returns'!O:O,"NOT_FOUND")</f>
        <v>NOT_FOUND</v>
      </c>
    </row>
    <row r="4483" spans="1:17" x14ac:dyDescent="0.3">
      <c r="A4483" s="1">
        <v>46258</v>
      </c>
      <c r="B4483" t="s">
        <v>2574</v>
      </c>
      <c r="C4483" t="s">
        <v>151</v>
      </c>
      <c r="D4483" t="s">
        <v>152</v>
      </c>
      <c r="E4483" t="s">
        <v>8</v>
      </c>
      <c r="F4483" t="s">
        <v>10</v>
      </c>
      <c r="G4483" s="16">
        <v>286.19</v>
      </c>
      <c r="H4483" s="16">
        <v>329.11849999999998</v>
      </c>
      <c r="J4483">
        <v>1</v>
      </c>
      <c r="K4483" t="s">
        <v>11425</v>
      </c>
      <c r="M4483">
        <v>0</v>
      </c>
      <c r="N4483">
        <v>2</v>
      </c>
      <c r="O4483" t="s">
        <v>216</v>
      </c>
      <c r="P4483" s="17"/>
      <c r="Q4483" s="17" t="str">
        <f>_xlfn.XLOOKUP(Table2[[#This Row],[buyFromVendorNo]],'Next Day Scheduled'!A:A,'Pending Returns'!O:O,"NOT_FOUND")</f>
        <v>NOT_FOUND</v>
      </c>
    </row>
    <row r="4484" spans="1:17" x14ac:dyDescent="0.3">
      <c r="A4484" s="1">
        <v>46258</v>
      </c>
      <c r="B4484" t="s">
        <v>2161</v>
      </c>
      <c r="C4484" t="s">
        <v>16</v>
      </c>
      <c r="D4484" t="s">
        <v>17</v>
      </c>
      <c r="E4484" t="s">
        <v>8</v>
      </c>
      <c r="F4484" t="s">
        <v>10</v>
      </c>
      <c r="G4484" s="16">
        <v>30.16</v>
      </c>
      <c r="H4484" s="16">
        <v>34.683999999999997</v>
      </c>
      <c r="I4484" s="1">
        <v>46258</v>
      </c>
      <c r="J4484">
        <v>1</v>
      </c>
      <c r="K4484" t="s">
        <v>10917</v>
      </c>
      <c r="L4484" t="s">
        <v>11205</v>
      </c>
      <c r="M4484">
        <v>0</v>
      </c>
      <c r="N4484">
        <v>3</v>
      </c>
      <c r="O4484" t="s">
        <v>223</v>
      </c>
      <c r="P4484" s="17"/>
      <c r="Q4484" s="17" t="str">
        <f>_xlfn.XLOOKUP(Table2[[#This Row],[buyFromVendorNo]],'Next Day Scheduled'!A:A,'Pending Returns'!O:O,"NOT_FOUND")</f>
        <v>Posted Credit Note</v>
      </c>
    </row>
    <row r="4485" spans="1:17" x14ac:dyDescent="0.3">
      <c r="A4485" s="1">
        <v>46258</v>
      </c>
      <c r="B4485" t="s">
        <v>11662</v>
      </c>
      <c r="C4485" t="s">
        <v>69</v>
      </c>
      <c r="D4485" t="s">
        <v>70</v>
      </c>
      <c r="E4485" t="s">
        <v>8</v>
      </c>
      <c r="F4485" t="s">
        <v>10</v>
      </c>
      <c r="G4485" s="16">
        <v>4453.58</v>
      </c>
      <c r="H4485" s="16">
        <v>5121.6170000000002</v>
      </c>
      <c r="J4485">
        <v>1</v>
      </c>
      <c r="K4485" t="s">
        <v>11663</v>
      </c>
      <c r="M4485">
        <v>1</v>
      </c>
      <c r="N4485">
        <v>1</v>
      </c>
      <c r="O4485" t="s">
        <v>216</v>
      </c>
      <c r="P4485" s="17"/>
      <c r="Q4485" s="17" t="str">
        <f>_xlfn.XLOOKUP(Table2[[#This Row],[buyFromVendorNo]],'Next Day Scheduled'!A:A,'Pending Returns'!O:O,"NOT_FOUND")</f>
        <v>Posted Credit Note</v>
      </c>
    </row>
    <row r="4486" spans="1:17" x14ac:dyDescent="0.3">
      <c r="A4486" s="1">
        <v>46258</v>
      </c>
      <c r="B4486" t="s">
        <v>642</v>
      </c>
      <c r="C4486" t="s">
        <v>1424</v>
      </c>
      <c r="D4486" t="s">
        <v>1425</v>
      </c>
      <c r="E4486" t="s">
        <v>8</v>
      </c>
      <c r="F4486" t="s">
        <v>38</v>
      </c>
      <c r="G4486" s="16">
        <v>3468</v>
      </c>
      <c r="H4486" s="16">
        <v>3988.2</v>
      </c>
      <c r="J4486">
        <v>1</v>
      </c>
      <c r="K4486" t="s">
        <v>11397</v>
      </c>
      <c r="M4486">
        <v>0</v>
      </c>
      <c r="N4486">
        <v>12</v>
      </c>
      <c r="O4486" t="s">
        <v>216</v>
      </c>
      <c r="P4486" s="17"/>
      <c r="Q4486" s="17" t="str">
        <f>_xlfn.XLOOKUP(Table2[[#This Row],[buyFromVendorNo]],'Next Day Scheduled'!A:A,'Pending Returns'!O:O,"NOT_FOUND")</f>
        <v>Posted Credit Note</v>
      </c>
    </row>
    <row r="4487" spans="1:17" x14ac:dyDescent="0.3">
      <c r="A4487" s="1">
        <v>46258</v>
      </c>
      <c r="B4487" t="s">
        <v>642</v>
      </c>
      <c r="C4487" t="s">
        <v>1643</v>
      </c>
      <c r="D4487" t="s">
        <v>1644</v>
      </c>
      <c r="E4487" t="s">
        <v>8</v>
      </c>
      <c r="F4487" t="s">
        <v>38</v>
      </c>
      <c r="G4487" s="16">
        <v>580.41</v>
      </c>
      <c r="H4487" s="16">
        <v>667.47149999999999</v>
      </c>
      <c r="I4487" s="1">
        <v>46258</v>
      </c>
      <c r="J4487">
        <v>1</v>
      </c>
      <c r="K4487" t="s">
        <v>10403</v>
      </c>
      <c r="L4487" t="s">
        <v>11432</v>
      </c>
      <c r="M4487">
        <v>0</v>
      </c>
      <c r="N4487">
        <v>2</v>
      </c>
      <c r="O4487" t="s">
        <v>1036</v>
      </c>
      <c r="P4487" s="17"/>
      <c r="Q4487" s="17" t="str">
        <f>_xlfn.XLOOKUP(Table2[[#This Row],[buyFromVendorNo]],'Next Day Scheduled'!A:A,'Pending Returns'!O:O,"NOT_FOUND")</f>
        <v>NOT_FOUND</v>
      </c>
    </row>
    <row r="4488" spans="1:17" x14ac:dyDescent="0.3">
      <c r="A4488" s="1">
        <v>46258</v>
      </c>
      <c r="B4488" t="s">
        <v>642</v>
      </c>
      <c r="C4488" t="s">
        <v>508</v>
      </c>
      <c r="D4488" t="s">
        <v>509</v>
      </c>
      <c r="E4488" t="s">
        <v>8</v>
      </c>
      <c r="F4488" t="s">
        <v>38</v>
      </c>
      <c r="G4488" s="16">
        <v>260.02999999999997</v>
      </c>
      <c r="H4488" s="16">
        <v>299.03449999999998</v>
      </c>
      <c r="I4488" s="1">
        <v>46244</v>
      </c>
      <c r="J4488">
        <v>1</v>
      </c>
      <c r="K4488" t="s">
        <v>8798</v>
      </c>
      <c r="L4488" t="s">
        <v>11664</v>
      </c>
      <c r="M4488">
        <v>0</v>
      </c>
      <c r="N4488">
        <v>9</v>
      </c>
      <c r="O4488" t="s">
        <v>1036</v>
      </c>
      <c r="P4488" s="17"/>
      <c r="Q4488" s="17" t="str">
        <f>_xlfn.XLOOKUP(Table2[[#This Row],[buyFromVendorNo]],'Next Day Scheduled'!A:A,'Pending Returns'!O:O,"NOT_FOUND")</f>
        <v>Posted Credit Note</v>
      </c>
    </row>
    <row r="4489" spans="1:17" x14ac:dyDescent="0.3">
      <c r="A4489" s="1">
        <v>46258</v>
      </c>
      <c r="B4489" t="s">
        <v>11665</v>
      </c>
      <c r="C4489" t="s">
        <v>104</v>
      </c>
      <c r="D4489" t="s">
        <v>105</v>
      </c>
      <c r="E4489" t="s">
        <v>8</v>
      </c>
      <c r="F4489" t="s">
        <v>10</v>
      </c>
      <c r="G4489" s="16">
        <v>49.56</v>
      </c>
      <c r="H4489" s="16">
        <v>56.994</v>
      </c>
      <c r="J4489">
        <v>1</v>
      </c>
      <c r="K4489" t="s">
        <v>11404</v>
      </c>
      <c r="M4489">
        <v>0</v>
      </c>
      <c r="N4489">
        <v>6</v>
      </c>
      <c r="O4489" t="s">
        <v>216</v>
      </c>
      <c r="P4489" s="17"/>
      <c r="Q4489" s="17" t="str">
        <f>_xlfn.XLOOKUP(Table2[[#This Row],[buyFromVendorNo]],'Next Day Scheduled'!A:A,'Pending Returns'!O:O,"NOT_FOUND")</f>
        <v>NOT_FOUND</v>
      </c>
    </row>
    <row r="4490" spans="1:17" x14ac:dyDescent="0.3">
      <c r="A4490" s="1">
        <v>46258</v>
      </c>
      <c r="B4490" t="s">
        <v>6286</v>
      </c>
      <c r="C4490" t="s">
        <v>43</v>
      </c>
      <c r="D4490" t="s">
        <v>44</v>
      </c>
      <c r="E4490" t="s">
        <v>8</v>
      </c>
      <c r="F4490" t="s">
        <v>38</v>
      </c>
      <c r="G4490" s="16">
        <v>1395.3</v>
      </c>
      <c r="H4490" s="16">
        <v>1604.595</v>
      </c>
      <c r="J4490">
        <v>1</v>
      </c>
      <c r="K4490" t="s">
        <v>11381</v>
      </c>
      <c r="M4490">
        <v>1</v>
      </c>
      <c r="N4490">
        <v>1</v>
      </c>
      <c r="O4490" t="s">
        <v>216</v>
      </c>
      <c r="P4490" s="17"/>
      <c r="Q4490" s="17" t="str">
        <f>_xlfn.XLOOKUP(Table2[[#This Row],[buyFromVendorNo]],'Next Day Scheduled'!A:A,'Pending Returns'!O:O,"NOT_FOUND")</f>
        <v>Posted Credit Note</v>
      </c>
    </row>
    <row r="4491" spans="1:17" x14ac:dyDescent="0.3">
      <c r="A4491" s="1">
        <v>46258</v>
      </c>
      <c r="B4491" t="s">
        <v>3291</v>
      </c>
      <c r="C4491" t="s">
        <v>491</v>
      </c>
      <c r="D4491" t="s">
        <v>492</v>
      </c>
      <c r="E4491" t="s">
        <v>8</v>
      </c>
      <c r="F4491" t="s">
        <v>10</v>
      </c>
      <c r="G4491" s="16">
        <v>832</v>
      </c>
      <c r="H4491" s="16">
        <v>956.8</v>
      </c>
      <c r="I4491" s="1">
        <v>46258</v>
      </c>
      <c r="J4491">
        <v>1</v>
      </c>
      <c r="K4491" t="s">
        <v>10619</v>
      </c>
      <c r="L4491" t="s">
        <v>11191</v>
      </c>
      <c r="M4491">
        <v>0</v>
      </c>
      <c r="N4491">
        <v>2</v>
      </c>
      <c r="O4491" t="s">
        <v>223</v>
      </c>
      <c r="P4491" s="17"/>
      <c r="Q4491" s="17" t="str">
        <f>_xlfn.XLOOKUP(Table2[[#This Row],[buyFromVendorNo]],'Next Day Scheduled'!A:A,'Pending Returns'!O:O,"NOT_FOUND")</f>
        <v>NOT_FOUND</v>
      </c>
    </row>
    <row r="4492" spans="1:17" x14ac:dyDescent="0.3">
      <c r="A4492" s="1">
        <v>46258</v>
      </c>
      <c r="B4492" t="s">
        <v>3258</v>
      </c>
      <c r="C4492" t="s">
        <v>1472</v>
      </c>
      <c r="D4492" t="s">
        <v>1473</v>
      </c>
      <c r="E4492" t="s">
        <v>8</v>
      </c>
      <c r="F4492" t="s">
        <v>10</v>
      </c>
      <c r="G4492" s="16">
        <v>245.54352</v>
      </c>
      <c r="H4492" s="16">
        <v>282.37502999999998</v>
      </c>
      <c r="I4492" s="1">
        <v>46243</v>
      </c>
      <c r="J4492">
        <v>1</v>
      </c>
      <c r="K4492" t="s">
        <v>7797</v>
      </c>
      <c r="L4492" t="s">
        <v>11447</v>
      </c>
      <c r="M4492">
        <v>0</v>
      </c>
      <c r="N4492">
        <v>20</v>
      </c>
      <c r="O4492" t="s">
        <v>1036</v>
      </c>
      <c r="P4492" s="17"/>
      <c r="Q4492" s="17" t="str">
        <f>_xlfn.XLOOKUP(Table2[[#This Row],[buyFromVendorNo]],'Next Day Scheduled'!A:A,'Pending Returns'!O:O,"NOT_FOUND")</f>
        <v>Posted Credit Note</v>
      </c>
    </row>
    <row r="4493" spans="1:17" x14ac:dyDescent="0.3">
      <c r="A4493" s="1">
        <v>46258</v>
      </c>
      <c r="B4493" t="s">
        <v>642</v>
      </c>
      <c r="C4493" t="s">
        <v>401</v>
      </c>
      <c r="D4493" t="s">
        <v>402</v>
      </c>
      <c r="E4493" t="s">
        <v>8</v>
      </c>
      <c r="F4493" t="s">
        <v>38</v>
      </c>
      <c r="G4493" s="16">
        <v>8280</v>
      </c>
      <c r="H4493" s="16">
        <v>9522</v>
      </c>
      <c r="J4493">
        <v>1</v>
      </c>
      <c r="K4493" t="s">
        <v>11394</v>
      </c>
      <c r="M4493">
        <v>0</v>
      </c>
      <c r="N4493">
        <v>3</v>
      </c>
      <c r="O4493" t="s">
        <v>216</v>
      </c>
      <c r="P4493" s="17"/>
      <c r="Q4493" s="17" t="str">
        <f>_xlfn.XLOOKUP(Table2[[#This Row],[buyFromVendorNo]],'Next Day Scheduled'!A:A,'Pending Returns'!O:O,"NOT_FOUND")</f>
        <v>Posted Credit Note</v>
      </c>
    </row>
    <row r="4494" spans="1:17" x14ac:dyDescent="0.3">
      <c r="A4494" s="1">
        <v>46258</v>
      </c>
      <c r="B4494" t="s">
        <v>1731</v>
      </c>
      <c r="C4494" t="s">
        <v>877</v>
      </c>
      <c r="D4494" t="s">
        <v>2343</v>
      </c>
      <c r="E4494" t="s">
        <v>8</v>
      </c>
      <c r="F4494" t="s">
        <v>10</v>
      </c>
      <c r="G4494" s="16">
        <v>68</v>
      </c>
      <c r="H4494" s="16">
        <v>78.2</v>
      </c>
      <c r="I4494" s="1">
        <v>46258</v>
      </c>
      <c r="J4494">
        <v>1</v>
      </c>
      <c r="K4494" t="s">
        <v>9784</v>
      </c>
      <c r="L4494" t="s">
        <v>11199</v>
      </c>
      <c r="M4494">
        <v>0</v>
      </c>
      <c r="N4494">
        <v>2</v>
      </c>
      <c r="O4494" t="s">
        <v>223</v>
      </c>
      <c r="P4494" s="17"/>
      <c r="Q4494" s="17" t="str">
        <f>_xlfn.XLOOKUP(Table2[[#This Row],[buyFromVendorNo]],'Next Day Scheduled'!A:A,'Pending Returns'!O:O,"NOT_FOUND")</f>
        <v>NOT_FOUND</v>
      </c>
    </row>
    <row r="4495" spans="1:17" x14ac:dyDescent="0.3">
      <c r="A4495" s="1">
        <v>46258</v>
      </c>
      <c r="B4495" t="s">
        <v>2692</v>
      </c>
      <c r="C4495" t="s">
        <v>634</v>
      </c>
      <c r="D4495" t="s">
        <v>659</v>
      </c>
      <c r="E4495" t="s">
        <v>8</v>
      </c>
      <c r="F4495" t="s">
        <v>10</v>
      </c>
      <c r="G4495" s="16">
        <v>73.34</v>
      </c>
      <c r="H4495" s="16">
        <v>84.340999999999994</v>
      </c>
      <c r="J4495">
        <v>1</v>
      </c>
      <c r="K4495" t="s">
        <v>11357</v>
      </c>
      <c r="M4495">
        <v>0</v>
      </c>
      <c r="N4495">
        <v>7</v>
      </c>
      <c r="O4495" t="s">
        <v>216</v>
      </c>
      <c r="P4495" s="17"/>
      <c r="Q4495" s="17" t="str">
        <f>_xlfn.XLOOKUP(Table2[[#This Row],[buyFromVendorNo]],'Next Day Scheduled'!A:A,'Pending Returns'!O:O,"NOT_FOUND")</f>
        <v>Posted Credit Note</v>
      </c>
    </row>
    <row r="4496" spans="1:17" x14ac:dyDescent="0.3">
      <c r="A4496" s="1">
        <v>46258</v>
      </c>
      <c r="B4496" t="s">
        <v>642</v>
      </c>
      <c r="C4496" t="s">
        <v>116</v>
      </c>
      <c r="D4496" t="s">
        <v>117</v>
      </c>
      <c r="E4496" t="s">
        <v>8</v>
      </c>
      <c r="F4496" t="s">
        <v>38</v>
      </c>
      <c r="G4496" s="16">
        <v>584.21500000000003</v>
      </c>
      <c r="H4496" s="16">
        <v>671.84720000000004</v>
      </c>
      <c r="J4496">
        <v>1</v>
      </c>
      <c r="K4496" t="s">
        <v>11401</v>
      </c>
      <c r="M4496">
        <v>0</v>
      </c>
      <c r="N4496">
        <v>2</v>
      </c>
      <c r="O4496" t="s">
        <v>216</v>
      </c>
      <c r="P4496" s="17"/>
      <c r="Q4496" s="17" t="str">
        <f>_xlfn.XLOOKUP(Table2[[#This Row],[buyFromVendorNo]],'Next Day Scheduled'!A:A,'Pending Returns'!O:O,"NOT_FOUND")</f>
        <v>NOT_FOUND</v>
      </c>
    </row>
    <row r="4497" spans="1:17" x14ac:dyDescent="0.3">
      <c r="A4497" s="1">
        <v>46258</v>
      </c>
      <c r="B4497" t="s">
        <v>1773</v>
      </c>
      <c r="C4497" t="s">
        <v>19</v>
      </c>
      <c r="D4497" t="s">
        <v>20</v>
      </c>
      <c r="E4497" t="s">
        <v>8</v>
      </c>
      <c r="F4497" t="s">
        <v>10</v>
      </c>
      <c r="G4497" s="16">
        <v>587.19000000000005</v>
      </c>
      <c r="H4497" s="16">
        <v>675.26850000000002</v>
      </c>
      <c r="J4497">
        <v>1</v>
      </c>
      <c r="K4497" t="s">
        <v>11412</v>
      </c>
      <c r="M4497">
        <v>0</v>
      </c>
      <c r="N4497">
        <v>13</v>
      </c>
      <c r="O4497" t="s">
        <v>216</v>
      </c>
      <c r="P4497" s="17"/>
      <c r="Q4497" s="17" t="str">
        <f>_xlfn.XLOOKUP(Table2[[#This Row],[buyFromVendorNo]],'Next Day Scheduled'!A:A,'Pending Returns'!O:O,"NOT_FOUND")</f>
        <v>Posted Credit Note</v>
      </c>
    </row>
    <row r="4498" spans="1:17" x14ac:dyDescent="0.3">
      <c r="A4498" s="1">
        <v>46258</v>
      </c>
      <c r="B4498" t="s">
        <v>2940</v>
      </c>
      <c r="C4498" t="s">
        <v>704</v>
      </c>
      <c r="D4498" t="s">
        <v>705</v>
      </c>
      <c r="E4498" t="s">
        <v>8</v>
      </c>
      <c r="F4498" t="s">
        <v>10</v>
      </c>
      <c r="G4498" s="16">
        <v>289.83</v>
      </c>
      <c r="H4498" s="16">
        <v>333.30450000000002</v>
      </c>
      <c r="J4498">
        <v>1</v>
      </c>
      <c r="K4498" t="s">
        <v>11373</v>
      </c>
      <c r="M4498">
        <v>0</v>
      </c>
      <c r="N4498">
        <v>37</v>
      </c>
      <c r="O4498" t="s">
        <v>216</v>
      </c>
      <c r="P4498" s="17"/>
      <c r="Q4498" s="17" t="str">
        <f>_xlfn.XLOOKUP(Table2[[#This Row],[buyFromVendorNo]],'Next Day Scheduled'!A:A,'Pending Returns'!O:O,"NOT_FOUND")</f>
        <v>NOT_FOUND</v>
      </c>
    </row>
    <row r="4499" spans="1:17" x14ac:dyDescent="0.3">
      <c r="A4499" s="1">
        <v>46258</v>
      </c>
      <c r="B4499" t="s">
        <v>6775</v>
      </c>
      <c r="C4499" t="s">
        <v>2468</v>
      </c>
      <c r="D4499" t="s">
        <v>2469</v>
      </c>
      <c r="E4499" t="s">
        <v>8</v>
      </c>
      <c r="F4499" t="s">
        <v>169</v>
      </c>
      <c r="G4499" s="16">
        <v>26</v>
      </c>
      <c r="H4499" s="16">
        <v>29.9</v>
      </c>
      <c r="J4499">
        <v>1</v>
      </c>
      <c r="K4499" t="s">
        <v>11353</v>
      </c>
      <c r="M4499">
        <v>0</v>
      </c>
      <c r="N4499">
        <v>2</v>
      </c>
      <c r="O4499" t="s">
        <v>216</v>
      </c>
      <c r="P4499" s="17"/>
      <c r="Q4499" s="17" t="str">
        <f>_xlfn.XLOOKUP(Table2[[#This Row],[buyFromVendorNo]],'Next Day Scheduled'!A:A,'Pending Returns'!O:O,"NOT_FOUND")</f>
        <v>NOT_FOUND</v>
      </c>
    </row>
    <row r="4500" spans="1:17" x14ac:dyDescent="0.3">
      <c r="A4500" s="1">
        <v>46258</v>
      </c>
      <c r="B4500" t="s">
        <v>6775</v>
      </c>
      <c r="C4500" t="s">
        <v>11255</v>
      </c>
      <c r="D4500" t="s">
        <v>11256</v>
      </c>
      <c r="E4500" t="s">
        <v>8</v>
      </c>
      <c r="F4500" t="s">
        <v>169</v>
      </c>
      <c r="G4500" s="16">
        <v>5</v>
      </c>
      <c r="H4500" s="16">
        <v>5.75</v>
      </c>
      <c r="J4500">
        <v>1</v>
      </c>
      <c r="K4500" t="s">
        <v>11380</v>
      </c>
      <c r="M4500">
        <v>0</v>
      </c>
      <c r="N4500">
        <v>3</v>
      </c>
      <c r="O4500" t="s">
        <v>216</v>
      </c>
      <c r="P4500" s="17"/>
      <c r="Q4500" s="17" t="str">
        <f>_xlfn.XLOOKUP(Table2[[#This Row],[buyFromVendorNo]],'Next Day Scheduled'!A:A,'Pending Returns'!O:O,"NOT_FOUND")</f>
        <v>NOT_FOUND</v>
      </c>
    </row>
    <row r="4501" spans="1:17" x14ac:dyDescent="0.3">
      <c r="A4501" s="1">
        <v>46258</v>
      </c>
      <c r="B4501" t="s">
        <v>6775</v>
      </c>
      <c r="C4501" t="s">
        <v>135</v>
      </c>
      <c r="D4501" t="s">
        <v>136</v>
      </c>
      <c r="E4501" t="s">
        <v>8</v>
      </c>
      <c r="F4501" t="s">
        <v>169</v>
      </c>
      <c r="G4501" s="16">
        <v>20</v>
      </c>
      <c r="H4501" s="16">
        <v>23</v>
      </c>
      <c r="J4501">
        <v>1</v>
      </c>
      <c r="K4501" t="s">
        <v>11377</v>
      </c>
      <c r="M4501">
        <v>0</v>
      </c>
      <c r="N4501">
        <v>6</v>
      </c>
      <c r="O4501" t="s">
        <v>216</v>
      </c>
      <c r="P4501" s="17"/>
      <c r="Q4501" s="17" t="str">
        <f>_xlfn.XLOOKUP(Table2[[#This Row],[buyFromVendorNo]],'Next Day Scheduled'!A:A,'Pending Returns'!O:O,"NOT_FOUND")</f>
        <v>Posted Credit Note</v>
      </c>
    </row>
    <row r="4502" spans="1:17" x14ac:dyDescent="0.3">
      <c r="A4502" s="1">
        <v>46258</v>
      </c>
      <c r="B4502" t="s">
        <v>3562</v>
      </c>
      <c r="C4502" t="s">
        <v>162</v>
      </c>
      <c r="D4502" t="s">
        <v>163</v>
      </c>
      <c r="E4502" t="s">
        <v>8</v>
      </c>
      <c r="F4502" t="s">
        <v>10</v>
      </c>
      <c r="G4502" s="16">
        <v>24.651330000000002</v>
      </c>
      <c r="H4502" s="16">
        <v>28.349029999999999</v>
      </c>
      <c r="I4502" s="1">
        <v>46258</v>
      </c>
      <c r="J4502">
        <v>1</v>
      </c>
      <c r="K4502" t="s">
        <v>8207</v>
      </c>
      <c r="L4502" t="s">
        <v>11201</v>
      </c>
      <c r="M4502">
        <v>0</v>
      </c>
      <c r="N4502">
        <v>2</v>
      </c>
      <c r="O4502" t="s">
        <v>223</v>
      </c>
      <c r="P4502" s="17"/>
      <c r="Q4502" s="17" t="str">
        <f>_xlfn.XLOOKUP(Table2[[#This Row],[buyFromVendorNo]],'Next Day Scheduled'!A:A,'Pending Returns'!O:O,"NOT_FOUND")</f>
        <v>NOT_FOUND</v>
      </c>
    </row>
    <row r="4503" spans="1:17" x14ac:dyDescent="0.3">
      <c r="A4503" s="1">
        <v>46258</v>
      </c>
      <c r="B4503" t="s">
        <v>6775</v>
      </c>
      <c r="C4503" t="s">
        <v>422</v>
      </c>
      <c r="D4503" t="s">
        <v>490</v>
      </c>
      <c r="E4503" t="s">
        <v>8</v>
      </c>
      <c r="F4503" t="s">
        <v>169</v>
      </c>
      <c r="G4503" s="16">
        <v>71.045000000000002</v>
      </c>
      <c r="H4503" s="16">
        <v>81.701750000000004</v>
      </c>
      <c r="J4503">
        <v>1</v>
      </c>
      <c r="K4503" t="s">
        <v>11398</v>
      </c>
      <c r="M4503">
        <v>0</v>
      </c>
      <c r="N4503">
        <v>3</v>
      </c>
      <c r="O4503" t="s">
        <v>216</v>
      </c>
      <c r="P4503" s="17"/>
      <c r="Q4503" s="17" t="str">
        <f>_xlfn.XLOOKUP(Table2[[#This Row],[buyFromVendorNo]],'Next Day Scheduled'!A:A,'Pending Returns'!O:O,"NOT_FOUND")</f>
        <v>NOT_FOUND</v>
      </c>
    </row>
    <row r="4504" spans="1:17" x14ac:dyDescent="0.3">
      <c r="A4504" s="1">
        <v>46258</v>
      </c>
      <c r="B4504" t="s">
        <v>2857</v>
      </c>
      <c r="C4504" t="s">
        <v>381</v>
      </c>
      <c r="D4504" t="s">
        <v>382</v>
      </c>
      <c r="E4504" t="s">
        <v>8</v>
      </c>
      <c r="F4504" t="s">
        <v>10</v>
      </c>
      <c r="G4504" s="16">
        <v>661.25</v>
      </c>
      <c r="H4504" s="16">
        <v>760.4375</v>
      </c>
      <c r="I4504" s="1">
        <v>46257</v>
      </c>
      <c r="J4504">
        <v>1</v>
      </c>
      <c r="K4504" t="s">
        <v>10527</v>
      </c>
      <c r="L4504" t="s">
        <v>11440</v>
      </c>
      <c r="M4504">
        <v>0</v>
      </c>
      <c r="N4504">
        <v>3</v>
      </c>
      <c r="O4504" t="s">
        <v>1036</v>
      </c>
      <c r="P4504" s="17"/>
      <c r="Q4504" s="17" t="str">
        <f>_xlfn.XLOOKUP(Table2[[#This Row],[buyFromVendorNo]],'Next Day Scheduled'!A:A,'Pending Returns'!O:O,"NOT_FOUND")</f>
        <v>NOT_FOUND</v>
      </c>
    </row>
    <row r="4505" spans="1:17" x14ac:dyDescent="0.3">
      <c r="A4505" s="1">
        <v>46258</v>
      </c>
      <c r="B4505" t="s">
        <v>11005</v>
      </c>
      <c r="C4505" t="s">
        <v>1279</v>
      </c>
      <c r="D4505" t="s">
        <v>1280</v>
      </c>
      <c r="E4505" t="s">
        <v>8</v>
      </c>
      <c r="F4505" t="s">
        <v>10</v>
      </c>
      <c r="G4505" s="16">
        <v>156</v>
      </c>
      <c r="H4505" s="16">
        <v>179.4</v>
      </c>
      <c r="J4505">
        <v>1</v>
      </c>
      <c r="K4505" t="s">
        <v>11376</v>
      </c>
      <c r="M4505">
        <v>0</v>
      </c>
      <c r="N4505">
        <v>3</v>
      </c>
      <c r="O4505" t="s">
        <v>216</v>
      </c>
      <c r="P4505" s="17"/>
      <c r="Q4505" s="17" t="str">
        <f>_xlfn.XLOOKUP(Table2[[#This Row],[buyFromVendorNo]],'Next Day Scheduled'!A:A,'Pending Returns'!O:O,"NOT_FOUND")</f>
        <v>NOT_FOUND</v>
      </c>
    </row>
    <row r="4506" spans="1:17" x14ac:dyDescent="0.3">
      <c r="A4506" s="1">
        <v>46258</v>
      </c>
      <c r="B4506" t="s">
        <v>11666</v>
      </c>
      <c r="C4506" t="s">
        <v>173</v>
      </c>
      <c r="D4506" t="s">
        <v>174</v>
      </c>
      <c r="E4506" t="s">
        <v>8</v>
      </c>
      <c r="F4506" t="s">
        <v>10</v>
      </c>
      <c r="G4506" s="16">
        <v>2123.94</v>
      </c>
      <c r="H4506" s="16">
        <v>2442.5309999999999</v>
      </c>
      <c r="J4506">
        <v>1</v>
      </c>
      <c r="K4506" t="s">
        <v>11667</v>
      </c>
      <c r="M4506">
        <v>1</v>
      </c>
      <c r="N4506">
        <v>1</v>
      </c>
      <c r="O4506" t="s">
        <v>216</v>
      </c>
      <c r="P4506" s="17"/>
      <c r="Q4506" s="17" t="str">
        <f>_xlfn.XLOOKUP(Table2[[#This Row],[buyFromVendorNo]],'Next Day Scheduled'!A:A,'Pending Returns'!O:O,"NOT_FOUND")</f>
        <v>NOT_FOUND</v>
      </c>
    </row>
    <row r="4507" spans="1:17" x14ac:dyDescent="0.3">
      <c r="A4507" s="1">
        <v>46258</v>
      </c>
      <c r="B4507" t="s">
        <v>11005</v>
      </c>
      <c r="C4507" t="s">
        <v>2431</v>
      </c>
      <c r="D4507" t="s">
        <v>2432</v>
      </c>
      <c r="E4507" t="s">
        <v>8</v>
      </c>
      <c r="F4507" t="s">
        <v>10</v>
      </c>
      <c r="G4507" s="16">
        <v>220</v>
      </c>
      <c r="H4507" s="16">
        <v>253</v>
      </c>
      <c r="I4507" s="1">
        <v>46258</v>
      </c>
      <c r="J4507">
        <v>1</v>
      </c>
      <c r="K4507" t="s">
        <v>11006</v>
      </c>
      <c r="L4507" t="s">
        <v>11189</v>
      </c>
      <c r="M4507">
        <v>0</v>
      </c>
      <c r="N4507">
        <v>3</v>
      </c>
      <c r="O4507" t="s">
        <v>223</v>
      </c>
      <c r="P4507" s="17"/>
      <c r="Q4507" s="17" t="str">
        <f>_xlfn.XLOOKUP(Table2[[#This Row],[buyFromVendorNo]],'Next Day Scheduled'!A:A,'Pending Returns'!O:O,"NOT_FOUND")</f>
        <v>NOT_FOUND</v>
      </c>
    </row>
    <row r="4508" spans="1:17" x14ac:dyDescent="0.3">
      <c r="A4508" s="1">
        <v>46258</v>
      </c>
      <c r="B4508" t="s">
        <v>10968</v>
      </c>
      <c r="C4508" t="s">
        <v>3946</v>
      </c>
      <c r="D4508" t="s">
        <v>4628</v>
      </c>
      <c r="E4508" t="s">
        <v>8</v>
      </c>
      <c r="F4508" t="s">
        <v>10</v>
      </c>
      <c r="G4508" s="16">
        <v>110.86956000000001</v>
      </c>
      <c r="H4508" s="16">
        <v>127.49999</v>
      </c>
      <c r="I4508" s="1">
        <v>46258</v>
      </c>
      <c r="J4508">
        <v>1</v>
      </c>
      <c r="K4508" t="s">
        <v>10969</v>
      </c>
      <c r="L4508" t="s">
        <v>11442</v>
      </c>
      <c r="M4508">
        <v>1</v>
      </c>
      <c r="N4508">
        <v>1</v>
      </c>
      <c r="O4508" t="s">
        <v>1036</v>
      </c>
      <c r="P4508" s="17"/>
      <c r="Q4508" s="17" t="str">
        <f>_xlfn.XLOOKUP(Table2[[#This Row],[buyFromVendorNo]],'Next Day Scheduled'!A:A,'Pending Returns'!O:O,"NOT_FOUND")</f>
        <v>NOT_FOUND</v>
      </c>
    </row>
    <row r="4509" spans="1:17" x14ac:dyDescent="0.3">
      <c r="A4509" s="1">
        <v>46258</v>
      </c>
      <c r="B4509" t="s">
        <v>2687</v>
      </c>
      <c r="C4509" t="s">
        <v>65</v>
      </c>
      <c r="D4509" t="s">
        <v>66</v>
      </c>
      <c r="E4509" t="s">
        <v>8</v>
      </c>
      <c r="F4509" t="s">
        <v>10</v>
      </c>
      <c r="G4509" s="16">
        <v>114.30683000000001</v>
      </c>
      <c r="H4509" s="16">
        <v>131.45285000000001</v>
      </c>
      <c r="J4509">
        <v>1</v>
      </c>
      <c r="K4509" t="s">
        <v>11414</v>
      </c>
      <c r="M4509">
        <v>0</v>
      </c>
      <c r="N4509">
        <v>5</v>
      </c>
      <c r="O4509" t="s">
        <v>216</v>
      </c>
      <c r="P4509" s="17"/>
      <c r="Q4509" s="17" t="str">
        <f>_xlfn.XLOOKUP(Table2[[#This Row],[buyFromVendorNo]],'Next Day Scheduled'!A:A,'Pending Returns'!O:O,"NOT_FOUND")</f>
        <v>Posted Credit Note</v>
      </c>
    </row>
    <row r="4510" spans="1:17" x14ac:dyDescent="0.3">
      <c r="A4510" s="1">
        <v>46258</v>
      </c>
      <c r="B4510" t="s">
        <v>2000</v>
      </c>
      <c r="C4510" t="s">
        <v>1472</v>
      </c>
      <c r="D4510" t="s">
        <v>1473</v>
      </c>
      <c r="E4510" t="s">
        <v>8</v>
      </c>
      <c r="F4510" t="s">
        <v>10</v>
      </c>
      <c r="G4510" s="16">
        <v>171.52171000000001</v>
      </c>
      <c r="H4510" s="16">
        <v>197.24997999999999</v>
      </c>
      <c r="I4510" s="1">
        <v>46243</v>
      </c>
      <c r="J4510">
        <v>1</v>
      </c>
      <c r="K4510" t="s">
        <v>5523</v>
      </c>
      <c r="L4510" t="s">
        <v>11428</v>
      </c>
      <c r="M4510">
        <v>0</v>
      </c>
      <c r="N4510">
        <v>20</v>
      </c>
      <c r="O4510" t="s">
        <v>1036</v>
      </c>
      <c r="P4510" s="17"/>
      <c r="Q4510" s="17" t="str">
        <f>_xlfn.XLOOKUP(Table2[[#This Row],[buyFromVendorNo]],'Next Day Scheduled'!A:A,'Pending Returns'!O:O,"NOT_FOUND")</f>
        <v>Posted Credit Note</v>
      </c>
    </row>
    <row r="4511" spans="1:17" x14ac:dyDescent="0.3">
      <c r="A4511" s="1">
        <v>46258</v>
      </c>
      <c r="B4511" t="s">
        <v>3250</v>
      </c>
      <c r="C4511" t="s">
        <v>162</v>
      </c>
      <c r="D4511" t="s">
        <v>163</v>
      </c>
      <c r="E4511" t="s">
        <v>8</v>
      </c>
      <c r="F4511" t="s">
        <v>10</v>
      </c>
      <c r="G4511" s="16">
        <v>27.90757</v>
      </c>
      <c r="H4511" s="16">
        <v>32.093710000000002</v>
      </c>
      <c r="I4511" s="1">
        <v>46258</v>
      </c>
      <c r="J4511">
        <v>1</v>
      </c>
      <c r="K4511" t="s">
        <v>9443</v>
      </c>
      <c r="L4511" t="s">
        <v>11208</v>
      </c>
      <c r="M4511">
        <v>0</v>
      </c>
      <c r="N4511">
        <v>2</v>
      </c>
      <c r="O4511" t="s">
        <v>223</v>
      </c>
      <c r="P4511" s="17"/>
      <c r="Q4511" s="17" t="str">
        <f>_xlfn.XLOOKUP(Table2[[#This Row],[buyFromVendorNo]],'Next Day Scheduled'!A:A,'Pending Returns'!O:O,"NOT_FOUND")</f>
        <v>NOT_FOUND</v>
      </c>
    </row>
    <row r="4512" spans="1:17" x14ac:dyDescent="0.3">
      <c r="A4512" s="1">
        <v>46258</v>
      </c>
      <c r="B4512" t="s">
        <v>2942</v>
      </c>
      <c r="C4512" t="s">
        <v>199</v>
      </c>
      <c r="D4512" t="s">
        <v>200</v>
      </c>
      <c r="E4512" t="s">
        <v>8</v>
      </c>
      <c r="F4512" t="s">
        <v>10</v>
      </c>
      <c r="G4512" s="16">
        <v>300</v>
      </c>
      <c r="H4512" s="16">
        <v>345</v>
      </c>
      <c r="J4512">
        <v>1</v>
      </c>
      <c r="K4512" t="s">
        <v>11362</v>
      </c>
      <c r="M4512">
        <v>0</v>
      </c>
      <c r="N4512">
        <v>6</v>
      </c>
      <c r="O4512" t="s">
        <v>216</v>
      </c>
      <c r="P4512" s="17"/>
      <c r="Q4512" s="17" t="str">
        <f>_xlfn.XLOOKUP(Table2[[#This Row],[buyFromVendorNo]],'Next Day Scheduled'!A:A,'Pending Returns'!O:O,"NOT_FOUND")</f>
        <v>NOT_FOUND</v>
      </c>
    </row>
    <row r="4513" spans="1:17" x14ac:dyDescent="0.3">
      <c r="A4513" s="1">
        <v>46258</v>
      </c>
      <c r="B4513" t="s">
        <v>642</v>
      </c>
      <c r="C4513" t="s">
        <v>204</v>
      </c>
      <c r="D4513" t="s">
        <v>205</v>
      </c>
      <c r="E4513" t="s">
        <v>8</v>
      </c>
      <c r="F4513" t="s">
        <v>38</v>
      </c>
      <c r="G4513" s="16">
        <v>962.57349999999997</v>
      </c>
      <c r="H4513" s="16">
        <v>1106.9595999999999</v>
      </c>
      <c r="J4513">
        <v>1</v>
      </c>
      <c r="K4513" t="s">
        <v>11378</v>
      </c>
      <c r="M4513">
        <v>0</v>
      </c>
      <c r="N4513">
        <v>5</v>
      </c>
      <c r="O4513" t="s">
        <v>216</v>
      </c>
      <c r="P4513" s="17"/>
      <c r="Q4513" s="17" t="str">
        <f>_xlfn.XLOOKUP(Table2[[#This Row],[buyFromVendorNo]],'Next Day Scheduled'!A:A,'Pending Returns'!O:O,"NOT_FOUND")</f>
        <v>NOT_FOUND</v>
      </c>
    </row>
    <row r="4514" spans="1:17" x14ac:dyDescent="0.3">
      <c r="A4514" s="1">
        <v>46258</v>
      </c>
      <c r="B4514" t="s">
        <v>2915</v>
      </c>
      <c r="C4514" t="s">
        <v>935</v>
      </c>
      <c r="D4514" t="s">
        <v>936</v>
      </c>
      <c r="E4514" t="s">
        <v>8</v>
      </c>
      <c r="F4514" t="s">
        <v>10</v>
      </c>
      <c r="G4514" s="16">
        <v>2935</v>
      </c>
      <c r="H4514" s="16">
        <v>3375.25</v>
      </c>
      <c r="I4514" s="1">
        <v>46254</v>
      </c>
      <c r="J4514">
        <v>1</v>
      </c>
      <c r="K4514" t="s">
        <v>10553</v>
      </c>
      <c r="L4514" t="s">
        <v>11668</v>
      </c>
      <c r="M4514">
        <v>0</v>
      </c>
      <c r="N4514">
        <v>6</v>
      </c>
      <c r="O4514" t="s">
        <v>1036</v>
      </c>
      <c r="P4514" s="17"/>
      <c r="Q4514" s="17" t="str">
        <f>_xlfn.XLOOKUP(Table2[[#This Row],[buyFromVendorNo]],'Next Day Scheduled'!A:A,'Pending Returns'!O:O,"NOT_FOUND")</f>
        <v>NOT_FOUND</v>
      </c>
    </row>
    <row r="4515" spans="1:17" x14ac:dyDescent="0.3">
      <c r="A4515" s="1">
        <v>46258</v>
      </c>
      <c r="B4515" t="s">
        <v>642</v>
      </c>
      <c r="C4515" t="s">
        <v>941</v>
      </c>
      <c r="D4515" t="s">
        <v>942</v>
      </c>
      <c r="E4515" t="s">
        <v>8</v>
      </c>
      <c r="F4515" t="s">
        <v>38</v>
      </c>
      <c r="G4515" s="16">
        <v>827.83</v>
      </c>
      <c r="H4515" s="16">
        <v>952.00450000000001</v>
      </c>
      <c r="J4515">
        <v>1</v>
      </c>
      <c r="K4515" t="s">
        <v>11354</v>
      </c>
      <c r="M4515">
        <v>1</v>
      </c>
      <c r="N4515">
        <v>1</v>
      </c>
      <c r="O4515" t="s">
        <v>216</v>
      </c>
      <c r="P4515" s="17"/>
      <c r="Q4515" s="17" t="str">
        <f>_xlfn.XLOOKUP(Table2[[#This Row],[buyFromVendorNo]],'Next Day Scheduled'!A:A,'Pending Returns'!O:O,"NOT_FOUND")</f>
        <v>NOT_FOUND</v>
      </c>
    </row>
    <row r="4516" spans="1:17" x14ac:dyDescent="0.3">
      <c r="A4516" s="1">
        <v>46258</v>
      </c>
      <c r="B4516" t="s">
        <v>2915</v>
      </c>
      <c r="C4516" t="s">
        <v>837</v>
      </c>
      <c r="D4516" t="s">
        <v>838</v>
      </c>
      <c r="E4516" t="s">
        <v>8</v>
      </c>
      <c r="F4516" t="s">
        <v>10</v>
      </c>
      <c r="G4516" s="16">
        <v>428.50006000000002</v>
      </c>
      <c r="H4516" s="16">
        <v>492.77505000000002</v>
      </c>
      <c r="I4516" s="1">
        <v>46258</v>
      </c>
      <c r="J4516">
        <v>1</v>
      </c>
      <c r="K4516" t="s">
        <v>10991</v>
      </c>
      <c r="L4516" t="s">
        <v>11434</v>
      </c>
      <c r="M4516">
        <v>0</v>
      </c>
      <c r="N4516">
        <v>2</v>
      </c>
      <c r="O4516" t="s">
        <v>1036</v>
      </c>
      <c r="P4516" s="17"/>
      <c r="Q4516" s="17" t="str">
        <f>_xlfn.XLOOKUP(Table2[[#This Row],[buyFromVendorNo]],'Next Day Scheduled'!A:A,'Pending Returns'!O:O,"NOT_FOUND")</f>
        <v>NOT_FOUND</v>
      </c>
    </row>
    <row r="4517" spans="1:17" x14ac:dyDescent="0.3">
      <c r="A4517" s="1">
        <v>46258</v>
      </c>
      <c r="B4517" t="s">
        <v>642</v>
      </c>
      <c r="C4517" t="s">
        <v>43</v>
      </c>
      <c r="D4517" t="s">
        <v>44</v>
      </c>
      <c r="E4517" t="s">
        <v>8</v>
      </c>
      <c r="F4517" t="s">
        <v>38</v>
      </c>
      <c r="G4517" s="16">
        <v>1749.51</v>
      </c>
      <c r="H4517" s="16">
        <v>2011.9365</v>
      </c>
      <c r="J4517">
        <v>1</v>
      </c>
      <c r="K4517" t="s">
        <v>11669</v>
      </c>
      <c r="M4517">
        <v>1</v>
      </c>
      <c r="N4517">
        <v>1</v>
      </c>
      <c r="O4517" t="s">
        <v>216</v>
      </c>
      <c r="P4517" s="17"/>
      <c r="Q4517" s="17" t="str">
        <f>_xlfn.XLOOKUP(Table2[[#This Row],[buyFromVendorNo]],'Next Day Scheduled'!A:A,'Pending Returns'!O:O,"NOT_FOUND")</f>
        <v>Posted Credit Note</v>
      </c>
    </row>
    <row r="4518" spans="1:17" x14ac:dyDescent="0.3">
      <c r="A4518" s="1">
        <v>46258</v>
      </c>
      <c r="B4518" t="s">
        <v>642</v>
      </c>
      <c r="C4518" t="s">
        <v>1643</v>
      </c>
      <c r="D4518" t="s">
        <v>1644</v>
      </c>
      <c r="E4518" t="s">
        <v>8</v>
      </c>
      <c r="F4518" t="s">
        <v>38</v>
      </c>
      <c r="G4518" s="16">
        <v>6613.4949999999999</v>
      </c>
      <c r="H4518" s="16">
        <v>7605.5190000000002</v>
      </c>
      <c r="I4518" s="1">
        <v>46258</v>
      </c>
      <c r="J4518">
        <v>1</v>
      </c>
      <c r="K4518" t="s">
        <v>10129</v>
      </c>
      <c r="L4518" t="s">
        <v>11435</v>
      </c>
      <c r="M4518">
        <v>0</v>
      </c>
      <c r="N4518">
        <v>2</v>
      </c>
      <c r="O4518" t="s">
        <v>223</v>
      </c>
      <c r="P4518" s="17"/>
      <c r="Q4518" s="17" t="str">
        <f>_xlfn.XLOOKUP(Table2[[#This Row],[buyFromVendorNo]],'Next Day Scheduled'!A:A,'Pending Returns'!O:O,"NOT_FOUND")</f>
        <v>NOT_FOUND</v>
      </c>
    </row>
    <row r="4519" spans="1:17" x14ac:dyDescent="0.3">
      <c r="A4519" s="1">
        <v>46258</v>
      </c>
      <c r="B4519" t="s">
        <v>2170</v>
      </c>
      <c r="C4519" t="s">
        <v>494</v>
      </c>
      <c r="D4519" t="s">
        <v>495</v>
      </c>
      <c r="E4519" t="s">
        <v>8</v>
      </c>
      <c r="F4519" t="s">
        <v>10</v>
      </c>
      <c r="G4519" s="16">
        <v>2345.88</v>
      </c>
      <c r="H4519" s="16">
        <v>2697.7620000000002</v>
      </c>
      <c r="I4519" s="1">
        <v>46240</v>
      </c>
      <c r="J4519">
        <v>1</v>
      </c>
      <c r="K4519" t="s">
        <v>8655</v>
      </c>
      <c r="L4519" t="s">
        <v>11448</v>
      </c>
      <c r="M4519">
        <v>0</v>
      </c>
      <c r="N4519">
        <v>7</v>
      </c>
      <c r="O4519" t="s">
        <v>1036</v>
      </c>
      <c r="P4519" s="17"/>
      <c r="Q4519" s="17" t="str">
        <f>_xlfn.XLOOKUP(Table2[[#This Row],[buyFromVendorNo]],'Next Day Scheduled'!A:A,'Pending Returns'!O:O,"NOT_FOUND")</f>
        <v>Posted Credit Note</v>
      </c>
    </row>
    <row r="4520" spans="1:17" x14ac:dyDescent="0.3">
      <c r="A4520" s="1">
        <v>46258</v>
      </c>
      <c r="B4520" t="s">
        <v>6775</v>
      </c>
      <c r="C4520" t="s">
        <v>11385</v>
      </c>
      <c r="D4520" t="s">
        <v>11386</v>
      </c>
      <c r="E4520" t="s">
        <v>8</v>
      </c>
      <c r="F4520" t="s">
        <v>169</v>
      </c>
      <c r="G4520" s="16">
        <v>21</v>
      </c>
      <c r="H4520" s="16">
        <v>24.15</v>
      </c>
      <c r="J4520">
        <v>1</v>
      </c>
      <c r="K4520" t="s">
        <v>11384</v>
      </c>
      <c r="M4520">
        <v>0</v>
      </c>
      <c r="N4520">
        <v>3</v>
      </c>
      <c r="O4520" t="s">
        <v>216</v>
      </c>
      <c r="P4520" s="17"/>
      <c r="Q4520" s="17" t="str">
        <f>_xlfn.XLOOKUP(Table2[[#This Row],[buyFromVendorNo]],'Next Day Scheduled'!A:A,'Pending Returns'!O:O,"NOT_FOUND")</f>
        <v>NOT_FOUND</v>
      </c>
    </row>
    <row r="4521" spans="1:17" x14ac:dyDescent="0.3">
      <c r="A4521" s="1">
        <v>46258</v>
      </c>
      <c r="B4521" t="s">
        <v>7094</v>
      </c>
      <c r="C4521" t="s">
        <v>7131</v>
      </c>
      <c r="D4521" t="s">
        <v>7132</v>
      </c>
      <c r="E4521" t="s">
        <v>8</v>
      </c>
      <c r="F4521" t="s">
        <v>10</v>
      </c>
      <c r="G4521" s="16">
        <v>6458.2</v>
      </c>
      <c r="H4521" s="16">
        <v>7426.93</v>
      </c>
      <c r="J4521">
        <v>1</v>
      </c>
      <c r="K4521" t="s">
        <v>11369</v>
      </c>
      <c r="M4521">
        <v>0</v>
      </c>
      <c r="N4521">
        <v>50</v>
      </c>
      <c r="O4521" t="s">
        <v>216</v>
      </c>
      <c r="P4521" s="17"/>
      <c r="Q4521" s="17" t="str">
        <f>_xlfn.XLOOKUP(Table2[[#This Row],[buyFromVendorNo]],'Next Day Scheduled'!A:A,'Pending Returns'!O:O,"NOT_FOUND")</f>
        <v>NOT_FOUND</v>
      </c>
    </row>
    <row r="4522" spans="1:17" x14ac:dyDescent="0.3">
      <c r="A4522" s="1">
        <v>46258</v>
      </c>
      <c r="B4522" t="s">
        <v>1504</v>
      </c>
      <c r="C4522" t="s">
        <v>1593</v>
      </c>
      <c r="D4522" t="s">
        <v>1594</v>
      </c>
      <c r="E4522" t="s">
        <v>8</v>
      </c>
      <c r="F4522" t="s">
        <v>10</v>
      </c>
      <c r="G4522" s="16">
        <v>30.75</v>
      </c>
      <c r="H4522" s="16">
        <v>35.362499999999997</v>
      </c>
      <c r="J4522">
        <v>1</v>
      </c>
      <c r="K4522" t="s">
        <v>11390</v>
      </c>
      <c r="M4522">
        <v>0</v>
      </c>
      <c r="N4522">
        <v>2</v>
      </c>
      <c r="O4522" t="s">
        <v>216</v>
      </c>
      <c r="P4522" s="17"/>
      <c r="Q4522" s="17" t="str">
        <f>_xlfn.XLOOKUP(Table2[[#This Row],[buyFromVendorNo]],'Next Day Scheduled'!A:A,'Pending Returns'!O:O,"NOT_FOUND")</f>
        <v>NOT_FOUND</v>
      </c>
    </row>
    <row r="4523" spans="1:17" x14ac:dyDescent="0.3">
      <c r="A4523" s="1">
        <v>46258</v>
      </c>
      <c r="B4523" t="s">
        <v>3257</v>
      </c>
      <c r="C4523" t="s">
        <v>1472</v>
      </c>
      <c r="D4523" t="s">
        <v>1473</v>
      </c>
      <c r="E4523" t="s">
        <v>8</v>
      </c>
      <c r="F4523" t="s">
        <v>10</v>
      </c>
      <c r="G4523" s="16">
        <v>1199.9061999999999</v>
      </c>
      <c r="H4523" s="16">
        <v>1379.8922</v>
      </c>
      <c r="I4523" s="1">
        <v>46243</v>
      </c>
      <c r="J4523">
        <v>1</v>
      </c>
      <c r="K4523" t="s">
        <v>7139</v>
      </c>
      <c r="L4523" t="s">
        <v>11438</v>
      </c>
      <c r="M4523">
        <v>0</v>
      </c>
      <c r="N4523">
        <v>20</v>
      </c>
      <c r="O4523" t="s">
        <v>1036</v>
      </c>
      <c r="P4523" s="17"/>
      <c r="Q4523" s="17" t="str">
        <f>_xlfn.XLOOKUP(Table2[[#This Row],[buyFromVendorNo]],'Next Day Scheduled'!A:A,'Pending Returns'!O:O,"NOT_FOUND")</f>
        <v>Posted Credit Note</v>
      </c>
    </row>
    <row r="4524" spans="1:17" x14ac:dyDescent="0.3">
      <c r="A4524" s="1">
        <v>46258</v>
      </c>
      <c r="B4524" t="s">
        <v>1888</v>
      </c>
      <c r="C4524" t="s">
        <v>1472</v>
      </c>
      <c r="D4524" t="s">
        <v>1473</v>
      </c>
      <c r="E4524" t="s">
        <v>8</v>
      </c>
      <c r="F4524" t="s">
        <v>10</v>
      </c>
      <c r="G4524" s="16">
        <v>445.22390000000001</v>
      </c>
      <c r="H4524" s="16">
        <v>512.00750000000005</v>
      </c>
      <c r="I4524" s="1">
        <v>46243</v>
      </c>
      <c r="J4524">
        <v>1</v>
      </c>
      <c r="K4524" t="s">
        <v>4963</v>
      </c>
      <c r="L4524" t="s">
        <v>11437</v>
      </c>
      <c r="M4524">
        <v>0</v>
      </c>
      <c r="N4524">
        <v>20</v>
      </c>
      <c r="O4524" t="s">
        <v>1036</v>
      </c>
      <c r="P4524" s="17"/>
      <c r="Q4524" s="17" t="str">
        <f>_xlfn.XLOOKUP(Table2[[#This Row],[buyFromVendorNo]],'Next Day Scheduled'!A:A,'Pending Returns'!O:O,"NOT_FOUND")</f>
        <v>Posted Credit Note</v>
      </c>
    </row>
    <row r="4525" spans="1:17" x14ac:dyDescent="0.3">
      <c r="A4525" s="1">
        <v>46258</v>
      </c>
      <c r="B4525" t="s">
        <v>2915</v>
      </c>
      <c r="C4525" t="s">
        <v>837</v>
      </c>
      <c r="D4525" t="s">
        <v>838</v>
      </c>
      <c r="E4525" t="s">
        <v>8</v>
      </c>
      <c r="F4525" t="s">
        <v>10</v>
      </c>
      <c r="G4525" s="16">
        <v>1962.0507</v>
      </c>
      <c r="H4525" s="16">
        <v>2256.3582000000001</v>
      </c>
      <c r="I4525" s="1">
        <v>46258</v>
      </c>
      <c r="J4525">
        <v>1</v>
      </c>
      <c r="K4525" t="s">
        <v>10022</v>
      </c>
      <c r="L4525" t="s">
        <v>11439</v>
      </c>
      <c r="M4525">
        <v>0</v>
      </c>
      <c r="N4525">
        <v>2</v>
      </c>
      <c r="O4525" t="s">
        <v>1036</v>
      </c>
      <c r="P4525" s="17"/>
      <c r="Q4525" s="17" t="str">
        <f>_xlfn.XLOOKUP(Table2[[#This Row],[buyFromVendorNo]],'Next Day Scheduled'!A:A,'Pending Returns'!O:O,"NOT_FOUND")</f>
        <v>NOT_FOUND</v>
      </c>
    </row>
    <row r="4526" spans="1:17" x14ac:dyDescent="0.3">
      <c r="A4526" s="1">
        <v>46258</v>
      </c>
      <c r="B4526" t="s">
        <v>642</v>
      </c>
      <c r="C4526" t="s">
        <v>88</v>
      </c>
      <c r="D4526" t="s">
        <v>89</v>
      </c>
      <c r="E4526" t="s">
        <v>8</v>
      </c>
      <c r="F4526" t="s">
        <v>38</v>
      </c>
      <c r="G4526" s="16">
        <v>1116.45</v>
      </c>
      <c r="H4526" s="16">
        <v>1283.9175</v>
      </c>
      <c r="J4526">
        <v>1</v>
      </c>
      <c r="K4526" t="s">
        <v>11419</v>
      </c>
      <c r="M4526">
        <v>0</v>
      </c>
      <c r="N4526">
        <v>12</v>
      </c>
      <c r="O4526" t="s">
        <v>216</v>
      </c>
      <c r="P4526" s="17"/>
      <c r="Q4526" s="17" t="str">
        <f>_xlfn.XLOOKUP(Table2[[#This Row],[buyFromVendorNo]],'Next Day Scheduled'!A:A,'Pending Returns'!O:O,"NOT_FOUND")</f>
        <v>NOT_FOUND</v>
      </c>
    </row>
    <row r="4527" spans="1:17" x14ac:dyDescent="0.3">
      <c r="A4527" s="1">
        <v>46258</v>
      </c>
      <c r="B4527" t="s">
        <v>9449</v>
      </c>
      <c r="C4527" t="s">
        <v>9055</v>
      </c>
      <c r="D4527" t="s">
        <v>9056</v>
      </c>
      <c r="E4527" t="s">
        <v>8</v>
      </c>
      <c r="F4527" t="s">
        <v>10</v>
      </c>
      <c r="G4527" s="16">
        <v>441</v>
      </c>
      <c r="H4527" s="16">
        <v>499.65</v>
      </c>
      <c r="J4527">
        <v>1</v>
      </c>
      <c r="K4527" t="s">
        <v>11409</v>
      </c>
      <c r="M4527">
        <v>0</v>
      </c>
      <c r="N4527">
        <v>342</v>
      </c>
      <c r="O4527" t="s">
        <v>216</v>
      </c>
      <c r="P4527" s="17"/>
      <c r="Q4527" s="17" t="str">
        <f>_xlfn.XLOOKUP(Table2[[#This Row],[buyFromVendorNo]],'Next Day Scheduled'!A:A,'Pending Returns'!O:O,"NOT_FOUND")</f>
        <v>NOT_FOUND</v>
      </c>
    </row>
    <row r="4528" spans="1:17" x14ac:dyDescent="0.3">
      <c r="A4528" s="1">
        <v>46258</v>
      </c>
      <c r="B4528" t="s">
        <v>2675</v>
      </c>
      <c r="C4528" t="s">
        <v>420</v>
      </c>
      <c r="D4528" t="s">
        <v>421</v>
      </c>
      <c r="E4528" t="s">
        <v>8</v>
      </c>
      <c r="F4528" t="s">
        <v>10</v>
      </c>
      <c r="G4528" s="16">
        <v>342.06765999999999</v>
      </c>
      <c r="H4528" s="16">
        <v>393.37779999999998</v>
      </c>
      <c r="J4528">
        <v>1</v>
      </c>
      <c r="K4528" t="s">
        <v>11342</v>
      </c>
      <c r="M4528">
        <v>0</v>
      </c>
      <c r="N4528">
        <v>3</v>
      </c>
      <c r="O4528" t="s">
        <v>216</v>
      </c>
      <c r="P4528" s="17"/>
      <c r="Q4528" s="17" t="str">
        <f>_xlfn.XLOOKUP(Table2[[#This Row],[buyFromVendorNo]],'Next Day Scheduled'!A:A,'Pending Returns'!O:O,"NOT_FOUND")</f>
        <v>NOT_FOUND</v>
      </c>
    </row>
    <row r="4529" spans="1:17" x14ac:dyDescent="0.3">
      <c r="A4529" s="1">
        <v>46258</v>
      </c>
      <c r="B4529" t="s">
        <v>642</v>
      </c>
      <c r="C4529" t="s">
        <v>1643</v>
      </c>
      <c r="D4529" t="s">
        <v>1644</v>
      </c>
      <c r="E4529" t="s">
        <v>8</v>
      </c>
      <c r="F4529" t="s">
        <v>38</v>
      </c>
      <c r="G4529" s="16">
        <v>1039.8599999999999</v>
      </c>
      <c r="H4529" s="16">
        <v>1195.8389999999999</v>
      </c>
      <c r="I4529" s="1">
        <v>46258</v>
      </c>
      <c r="J4529">
        <v>1</v>
      </c>
      <c r="K4529" t="s">
        <v>10184</v>
      </c>
      <c r="L4529" t="s">
        <v>11449</v>
      </c>
      <c r="M4529">
        <v>0</v>
      </c>
      <c r="N4529">
        <v>2</v>
      </c>
      <c r="O4529" t="s">
        <v>1036</v>
      </c>
      <c r="P4529" s="17"/>
      <c r="Q4529" s="17" t="str">
        <f>_xlfn.XLOOKUP(Table2[[#This Row],[buyFromVendorNo]],'Next Day Scheduled'!A:A,'Pending Returns'!O:O,"NOT_FOUND")</f>
        <v>NOT_FOUND</v>
      </c>
    </row>
    <row r="4530" spans="1:17" x14ac:dyDescent="0.3">
      <c r="A4530" s="1">
        <v>46258</v>
      </c>
      <c r="B4530" t="s">
        <v>2161</v>
      </c>
      <c r="C4530" t="s">
        <v>494</v>
      </c>
      <c r="D4530" t="s">
        <v>495</v>
      </c>
      <c r="E4530" t="s">
        <v>8</v>
      </c>
      <c r="F4530" t="s">
        <v>10</v>
      </c>
      <c r="G4530" s="16">
        <v>269.12</v>
      </c>
      <c r="H4530" s="16">
        <v>309.488</v>
      </c>
      <c r="J4530">
        <v>1</v>
      </c>
      <c r="K4530" t="s">
        <v>11416</v>
      </c>
      <c r="M4530">
        <v>0</v>
      </c>
      <c r="N4530">
        <v>7</v>
      </c>
      <c r="O4530" t="s">
        <v>216</v>
      </c>
      <c r="P4530" s="17"/>
      <c r="Q4530" s="17" t="str">
        <f>_xlfn.XLOOKUP(Table2[[#This Row],[buyFromVendorNo]],'Next Day Scheduled'!A:A,'Pending Returns'!O:O,"NOT_FOUND")</f>
        <v>Posted Credit Note</v>
      </c>
    </row>
    <row r="4531" spans="1:17" x14ac:dyDescent="0.3">
      <c r="A4531" s="1">
        <v>46258</v>
      </c>
      <c r="B4531" t="s">
        <v>1997</v>
      </c>
      <c r="C4531" t="s">
        <v>2363</v>
      </c>
      <c r="D4531" t="s">
        <v>2364</v>
      </c>
      <c r="E4531" t="s">
        <v>8</v>
      </c>
      <c r="F4531" t="s">
        <v>10</v>
      </c>
      <c r="G4531" s="16">
        <v>285.10000000000002</v>
      </c>
      <c r="H4531" s="16">
        <v>327.86500000000001</v>
      </c>
      <c r="I4531" s="1">
        <v>46258</v>
      </c>
      <c r="J4531">
        <v>1</v>
      </c>
      <c r="K4531" t="s">
        <v>10919</v>
      </c>
      <c r="L4531" t="s">
        <v>11431</v>
      </c>
      <c r="M4531">
        <v>0</v>
      </c>
      <c r="N4531">
        <v>6</v>
      </c>
      <c r="O4531" t="s">
        <v>1036</v>
      </c>
      <c r="P4531" s="17"/>
      <c r="Q4531" s="17" t="str">
        <f>_xlfn.XLOOKUP(Table2[[#This Row],[buyFromVendorNo]],'Next Day Scheduled'!A:A,'Pending Returns'!O:O,"NOT_FOUND")</f>
        <v>NOT_FOUND</v>
      </c>
    </row>
    <row r="4532" spans="1:17" x14ac:dyDescent="0.3">
      <c r="A4532" s="1">
        <v>46258</v>
      </c>
      <c r="B4532" t="s">
        <v>6775</v>
      </c>
      <c r="C4532" t="s">
        <v>356</v>
      </c>
      <c r="D4532" t="s">
        <v>357</v>
      </c>
      <c r="E4532" t="s">
        <v>8</v>
      </c>
      <c r="F4532" t="s">
        <v>169</v>
      </c>
      <c r="G4532" s="16">
        <v>10.41667</v>
      </c>
      <c r="H4532" s="16">
        <v>11.97917</v>
      </c>
      <c r="J4532">
        <v>1</v>
      </c>
      <c r="K4532" t="s">
        <v>11367</v>
      </c>
      <c r="M4532">
        <v>0</v>
      </c>
      <c r="N4532">
        <v>2</v>
      </c>
      <c r="O4532" t="s">
        <v>216</v>
      </c>
      <c r="P4532" s="17"/>
      <c r="Q4532" s="17" t="str">
        <f>_xlfn.XLOOKUP(Table2[[#This Row],[buyFromVendorNo]],'Next Day Scheduled'!A:A,'Pending Returns'!O:O,"NOT_FOUND")</f>
        <v>NOT_FOUND</v>
      </c>
    </row>
    <row r="4533" spans="1:17" x14ac:dyDescent="0.3">
      <c r="A4533" s="1">
        <v>46258</v>
      </c>
      <c r="B4533" t="s">
        <v>642</v>
      </c>
      <c r="C4533" t="s">
        <v>941</v>
      </c>
      <c r="D4533" t="s">
        <v>942</v>
      </c>
      <c r="E4533" t="s">
        <v>8</v>
      </c>
      <c r="F4533" t="s">
        <v>38</v>
      </c>
      <c r="G4533" s="16">
        <v>944.66</v>
      </c>
      <c r="H4533" s="16">
        <v>1086.3589999999999</v>
      </c>
      <c r="I4533" s="1">
        <v>46258</v>
      </c>
      <c r="J4533">
        <v>1</v>
      </c>
      <c r="K4533" t="s">
        <v>10429</v>
      </c>
      <c r="L4533" t="s">
        <v>11429</v>
      </c>
      <c r="M4533">
        <v>1</v>
      </c>
      <c r="N4533">
        <v>1</v>
      </c>
      <c r="O4533" t="s">
        <v>1036</v>
      </c>
      <c r="P4533" s="17"/>
      <c r="Q4533" s="17" t="str">
        <f>_xlfn.XLOOKUP(Table2[[#This Row],[buyFromVendorNo]],'Next Day Scheduled'!A:A,'Pending Returns'!O:O,"NOT_FOUND")</f>
        <v>NOT_FOUND</v>
      </c>
    </row>
    <row r="4534" spans="1:17" x14ac:dyDescent="0.3">
      <c r="A4534" s="1">
        <v>46258</v>
      </c>
      <c r="B4534" t="s">
        <v>2915</v>
      </c>
      <c r="C4534" t="s">
        <v>837</v>
      </c>
      <c r="D4534" t="s">
        <v>838</v>
      </c>
      <c r="E4534" t="s">
        <v>8</v>
      </c>
      <c r="F4534" t="s">
        <v>10</v>
      </c>
      <c r="G4534" s="16">
        <v>496.81567000000001</v>
      </c>
      <c r="H4534" s="16">
        <v>571.33799999999997</v>
      </c>
      <c r="I4534" s="1">
        <v>46258</v>
      </c>
      <c r="J4534">
        <v>1</v>
      </c>
      <c r="K4534" t="s">
        <v>10300</v>
      </c>
      <c r="L4534" t="s">
        <v>11443</v>
      </c>
      <c r="M4534">
        <v>0</v>
      </c>
      <c r="N4534">
        <v>2</v>
      </c>
      <c r="O4534" t="s">
        <v>1036</v>
      </c>
      <c r="P4534" s="17"/>
      <c r="Q4534" s="17" t="str">
        <f>_xlfn.XLOOKUP(Table2[[#This Row],[buyFromVendorNo]],'Next Day Scheduled'!A:A,'Pending Returns'!O:O,"NOT_FOUND")</f>
        <v>NOT_FOUND</v>
      </c>
    </row>
    <row r="4535" spans="1:17" x14ac:dyDescent="0.3">
      <c r="A4535" s="1">
        <v>46258</v>
      </c>
      <c r="B4535" t="s">
        <v>8592</v>
      </c>
      <c r="C4535" t="s">
        <v>3777</v>
      </c>
      <c r="D4535" t="s">
        <v>3778</v>
      </c>
      <c r="E4535" t="s">
        <v>8</v>
      </c>
      <c r="F4535" t="s">
        <v>10</v>
      </c>
      <c r="G4535" s="16">
        <v>250.1</v>
      </c>
      <c r="H4535" s="16">
        <v>287.61500000000001</v>
      </c>
      <c r="I4535" s="1">
        <v>46258</v>
      </c>
      <c r="J4535">
        <v>1</v>
      </c>
      <c r="K4535" t="s">
        <v>10691</v>
      </c>
      <c r="L4535" t="s">
        <v>11206</v>
      </c>
      <c r="M4535">
        <v>0</v>
      </c>
      <c r="N4535">
        <v>3</v>
      </c>
      <c r="O4535" t="s">
        <v>223</v>
      </c>
      <c r="P4535" s="17"/>
      <c r="Q4535" s="17" t="str">
        <f>_xlfn.XLOOKUP(Table2[[#This Row],[buyFromVendorNo]],'Next Day Scheduled'!A:A,'Pending Returns'!O:O,"NOT_FOUND")</f>
        <v>NOT_FOUND</v>
      </c>
    </row>
    <row r="4536" spans="1:17" x14ac:dyDescent="0.3">
      <c r="A4536" s="1">
        <v>46258</v>
      </c>
      <c r="B4536" t="s">
        <v>2871</v>
      </c>
      <c r="C4536" t="s">
        <v>162</v>
      </c>
      <c r="D4536" t="s">
        <v>163</v>
      </c>
      <c r="E4536" t="s">
        <v>8</v>
      </c>
      <c r="F4536" t="s">
        <v>10</v>
      </c>
      <c r="G4536" s="16">
        <v>58.923990000000003</v>
      </c>
      <c r="H4536" s="16">
        <v>67.762590000000003</v>
      </c>
      <c r="I4536" s="1">
        <v>46258</v>
      </c>
      <c r="J4536">
        <v>1</v>
      </c>
      <c r="K4536" t="s">
        <v>5419</v>
      </c>
      <c r="L4536" t="s">
        <v>11192</v>
      </c>
      <c r="M4536">
        <v>0</v>
      </c>
      <c r="N4536">
        <v>2</v>
      </c>
      <c r="O4536" t="s">
        <v>223</v>
      </c>
      <c r="P4536" s="17"/>
      <c r="Q4536" s="17" t="str">
        <f>_xlfn.XLOOKUP(Table2[[#This Row],[buyFromVendorNo]],'Next Day Scheduled'!A:A,'Pending Returns'!O:O,"NOT_FOUND")</f>
        <v>NOT_FOUND</v>
      </c>
    </row>
    <row r="4537" spans="1:17" x14ac:dyDescent="0.3">
      <c r="A4537" s="1">
        <v>46258</v>
      </c>
      <c r="B4537" t="s">
        <v>3258</v>
      </c>
      <c r="C4537" t="s">
        <v>423</v>
      </c>
      <c r="D4537" t="s">
        <v>424</v>
      </c>
      <c r="E4537" t="s">
        <v>8</v>
      </c>
      <c r="F4537" t="s">
        <v>10</v>
      </c>
      <c r="G4537" s="16">
        <v>192</v>
      </c>
      <c r="H4537" s="16">
        <v>220.8</v>
      </c>
      <c r="I4537" s="1">
        <v>46258</v>
      </c>
      <c r="J4537">
        <v>1</v>
      </c>
      <c r="K4537" t="s">
        <v>10928</v>
      </c>
      <c r="L4537" t="s">
        <v>11198</v>
      </c>
      <c r="M4537">
        <v>0</v>
      </c>
      <c r="N4537">
        <v>3</v>
      </c>
      <c r="O4537" t="s">
        <v>223</v>
      </c>
      <c r="P4537" s="17"/>
      <c r="Q4537" s="17" t="str">
        <f>_xlfn.XLOOKUP(Table2[[#This Row],[buyFromVendorNo]],'Next Day Scheduled'!A:A,'Pending Returns'!O:O,"NOT_FOUND")</f>
        <v>NOT_FOUND</v>
      </c>
    </row>
    <row r="4538" spans="1:17" x14ac:dyDescent="0.3">
      <c r="A4538" s="1">
        <v>46258</v>
      </c>
      <c r="B4538" t="s">
        <v>6775</v>
      </c>
      <c r="C4538" t="s">
        <v>773</v>
      </c>
      <c r="D4538" t="s">
        <v>774</v>
      </c>
      <c r="E4538" t="s">
        <v>8</v>
      </c>
      <c r="F4538" t="s">
        <v>169</v>
      </c>
      <c r="G4538" s="16">
        <v>91.956509999999994</v>
      </c>
      <c r="H4538" s="16">
        <v>105.74999</v>
      </c>
      <c r="J4538">
        <v>1</v>
      </c>
      <c r="K4538" t="s">
        <v>11379</v>
      </c>
      <c r="M4538">
        <v>0</v>
      </c>
      <c r="N4538">
        <v>41</v>
      </c>
      <c r="O4538" t="s">
        <v>216</v>
      </c>
      <c r="P4538" s="17"/>
      <c r="Q4538" s="17" t="str">
        <f>_xlfn.XLOOKUP(Table2[[#This Row],[buyFromVendorNo]],'Next Day Scheduled'!A:A,'Pending Returns'!O:O,"NOT_FOUND")</f>
        <v>NOT_FOUND</v>
      </c>
    </row>
    <row r="4539" spans="1:17" x14ac:dyDescent="0.3">
      <c r="A4539" s="1">
        <v>46258</v>
      </c>
      <c r="B4539" t="s">
        <v>2721</v>
      </c>
      <c r="C4539" t="s">
        <v>137</v>
      </c>
      <c r="D4539" t="s">
        <v>138</v>
      </c>
      <c r="E4539" t="s">
        <v>8</v>
      </c>
      <c r="F4539" t="s">
        <v>10</v>
      </c>
      <c r="G4539" s="16">
        <v>1514.05</v>
      </c>
      <c r="H4539" s="16">
        <v>1741.1575</v>
      </c>
      <c r="J4539">
        <v>1</v>
      </c>
      <c r="K4539" t="s">
        <v>11343</v>
      </c>
      <c r="M4539">
        <v>0</v>
      </c>
      <c r="N4539">
        <v>5</v>
      </c>
      <c r="O4539" t="s">
        <v>216</v>
      </c>
      <c r="P4539" s="17"/>
      <c r="Q4539" s="17" t="str">
        <f>_xlfn.XLOOKUP(Table2[[#This Row],[buyFromVendorNo]],'Next Day Scheduled'!A:A,'Pending Returns'!O:O,"NOT_FOUND")</f>
        <v>NOT_FOUND</v>
      </c>
    </row>
    <row r="4540" spans="1:17" x14ac:dyDescent="0.3">
      <c r="A4540" s="1">
        <v>46258</v>
      </c>
      <c r="B4540" t="s">
        <v>3252</v>
      </c>
      <c r="C4540" t="s">
        <v>536</v>
      </c>
      <c r="D4540" t="s">
        <v>537</v>
      </c>
      <c r="E4540" t="s">
        <v>8</v>
      </c>
      <c r="F4540" t="s">
        <v>10</v>
      </c>
      <c r="G4540" s="16">
        <v>43.564999999999998</v>
      </c>
      <c r="H4540" s="16">
        <v>50.09975</v>
      </c>
      <c r="I4540" s="1">
        <v>46258</v>
      </c>
      <c r="J4540">
        <v>1</v>
      </c>
      <c r="K4540" t="s">
        <v>10674</v>
      </c>
      <c r="L4540" t="s">
        <v>11194</v>
      </c>
      <c r="M4540">
        <v>0</v>
      </c>
      <c r="N4540">
        <v>2</v>
      </c>
      <c r="O4540" t="s">
        <v>223</v>
      </c>
      <c r="P4540" s="17"/>
      <c r="Q4540" s="17" t="str">
        <f>_xlfn.XLOOKUP(Table2[[#This Row],[buyFromVendorNo]],'Next Day Scheduled'!A:A,'Pending Returns'!O:O,"NOT_FOUND")</f>
        <v>NOT_FOUND</v>
      </c>
    </row>
    <row r="4541" spans="1:17" x14ac:dyDescent="0.3">
      <c r="A4541" s="1">
        <v>46258</v>
      </c>
      <c r="B4541" t="s">
        <v>2768</v>
      </c>
      <c r="C4541" t="s">
        <v>837</v>
      </c>
      <c r="D4541" t="s">
        <v>838</v>
      </c>
      <c r="E4541" t="s">
        <v>8</v>
      </c>
      <c r="F4541" t="s">
        <v>10</v>
      </c>
      <c r="G4541" s="16">
        <v>4129.1670000000004</v>
      </c>
      <c r="H4541" s="16">
        <v>4748.5420000000004</v>
      </c>
      <c r="J4541">
        <v>1</v>
      </c>
      <c r="K4541" t="s">
        <v>11359</v>
      </c>
      <c r="M4541">
        <v>0</v>
      </c>
      <c r="N4541">
        <v>2</v>
      </c>
      <c r="O4541" t="s">
        <v>216</v>
      </c>
      <c r="P4541" s="17"/>
      <c r="Q4541" s="17" t="str">
        <f>_xlfn.XLOOKUP(Table2[[#This Row],[buyFromVendorNo]],'Next Day Scheduled'!A:A,'Pending Returns'!O:O,"NOT_FOUND")</f>
        <v>NOT_FOUND</v>
      </c>
    </row>
    <row r="4542" spans="1:17" x14ac:dyDescent="0.3">
      <c r="A4542" s="1">
        <v>46258</v>
      </c>
      <c r="B4542" t="s">
        <v>2987</v>
      </c>
      <c r="C4542" t="s">
        <v>162</v>
      </c>
      <c r="D4542" t="s">
        <v>163</v>
      </c>
      <c r="E4542" t="s">
        <v>8</v>
      </c>
      <c r="F4542" t="s">
        <v>10</v>
      </c>
      <c r="G4542" s="16">
        <v>621.02422999999999</v>
      </c>
      <c r="H4542" s="16">
        <v>714.17790000000002</v>
      </c>
      <c r="I4542" s="1">
        <v>46258</v>
      </c>
      <c r="J4542">
        <v>1</v>
      </c>
      <c r="K4542" t="s">
        <v>4953</v>
      </c>
      <c r="L4542" t="s">
        <v>11200</v>
      </c>
      <c r="M4542">
        <v>0</v>
      </c>
      <c r="N4542">
        <v>2</v>
      </c>
      <c r="O4542" t="s">
        <v>223</v>
      </c>
      <c r="P4542" s="17"/>
      <c r="Q4542" s="17" t="str">
        <f>_xlfn.XLOOKUP(Table2[[#This Row],[buyFromVendorNo]],'Next Day Scheduled'!A:A,'Pending Returns'!O:O,"NOT_FOUND")</f>
        <v>NOT_FOUND</v>
      </c>
    </row>
    <row r="4543" spans="1:17" x14ac:dyDescent="0.3">
      <c r="A4543" s="1">
        <v>46258</v>
      </c>
      <c r="B4543" t="s">
        <v>4898</v>
      </c>
      <c r="C4543" t="s">
        <v>781</v>
      </c>
      <c r="D4543" t="s">
        <v>782</v>
      </c>
      <c r="E4543" t="s">
        <v>8</v>
      </c>
      <c r="F4543" t="s">
        <v>10</v>
      </c>
      <c r="G4543" s="16">
        <v>89</v>
      </c>
      <c r="H4543" s="16">
        <v>102.35</v>
      </c>
      <c r="I4543" s="1">
        <v>46258</v>
      </c>
      <c r="J4543">
        <v>1</v>
      </c>
      <c r="K4543" t="s">
        <v>9518</v>
      </c>
      <c r="L4543" t="s">
        <v>11202</v>
      </c>
      <c r="M4543">
        <v>0</v>
      </c>
      <c r="N4543">
        <v>2</v>
      </c>
      <c r="O4543" t="s">
        <v>223</v>
      </c>
      <c r="P4543" s="17"/>
      <c r="Q4543" s="17" t="str">
        <f>_xlfn.XLOOKUP(Table2[[#This Row],[buyFromVendorNo]],'Next Day Scheduled'!A:A,'Pending Returns'!O:O,"NOT_FOUND")</f>
        <v>NOT_FOUND</v>
      </c>
    </row>
    <row r="4544" spans="1:17" x14ac:dyDescent="0.3">
      <c r="A4544" s="1">
        <v>46258</v>
      </c>
      <c r="B4544" t="s">
        <v>3586</v>
      </c>
      <c r="C4544" t="s">
        <v>162</v>
      </c>
      <c r="D4544" t="s">
        <v>163</v>
      </c>
      <c r="E4544" t="s">
        <v>8</v>
      </c>
      <c r="F4544" t="s">
        <v>10</v>
      </c>
      <c r="G4544" s="16">
        <v>258.65179999999998</v>
      </c>
      <c r="H4544" s="16">
        <v>297.44959999999998</v>
      </c>
      <c r="I4544" s="1">
        <v>46258</v>
      </c>
      <c r="J4544">
        <v>1</v>
      </c>
      <c r="K4544" t="s">
        <v>6637</v>
      </c>
      <c r="L4544" t="s">
        <v>11203</v>
      </c>
      <c r="M4544">
        <v>0</v>
      </c>
      <c r="N4544">
        <v>2</v>
      </c>
      <c r="O4544" t="s">
        <v>223</v>
      </c>
      <c r="P4544" s="17"/>
      <c r="Q4544" s="17" t="str">
        <f>_xlfn.XLOOKUP(Table2[[#This Row],[buyFromVendorNo]],'Next Day Scheduled'!A:A,'Pending Returns'!O:O,"NOT_FOUND")</f>
        <v>NOT_FOUND</v>
      </c>
    </row>
    <row r="4545" spans="1:17" x14ac:dyDescent="0.3">
      <c r="A4545" s="1">
        <v>46258</v>
      </c>
      <c r="B4545" t="s">
        <v>3408</v>
      </c>
      <c r="C4545" t="s">
        <v>1472</v>
      </c>
      <c r="D4545" t="s">
        <v>1473</v>
      </c>
      <c r="E4545" t="s">
        <v>8</v>
      </c>
      <c r="F4545" t="s">
        <v>10</v>
      </c>
      <c r="G4545" s="16">
        <v>262.61509999999998</v>
      </c>
      <c r="H4545" s="16">
        <v>302.00740000000002</v>
      </c>
      <c r="I4545" s="1">
        <v>46243</v>
      </c>
      <c r="J4545">
        <v>1</v>
      </c>
      <c r="K4545" t="s">
        <v>8059</v>
      </c>
      <c r="L4545" t="s">
        <v>11444</v>
      </c>
      <c r="M4545">
        <v>0</v>
      </c>
      <c r="N4545">
        <v>20</v>
      </c>
      <c r="O4545" t="s">
        <v>1036</v>
      </c>
      <c r="P4545" s="17"/>
      <c r="Q4545" s="17" t="str">
        <f>_xlfn.XLOOKUP(Table2[[#This Row],[buyFromVendorNo]],'Next Day Scheduled'!A:A,'Pending Returns'!O:O,"NOT_FOUND")</f>
        <v>Posted Credit Note</v>
      </c>
    </row>
    <row r="4546" spans="1:17" x14ac:dyDescent="0.3">
      <c r="A4546" s="1">
        <v>46258</v>
      </c>
      <c r="B4546" t="s">
        <v>642</v>
      </c>
      <c r="C4546" t="s">
        <v>154</v>
      </c>
      <c r="D4546" t="s">
        <v>155</v>
      </c>
      <c r="E4546" t="s">
        <v>8</v>
      </c>
      <c r="F4546" t="s">
        <v>38</v>
      </c>
      <c r="G4546" s="16">
        <v>1000.39124</v>
      </c>
      <c r="H4546" s="16">
        <v>1150.45</v>
      </c>
      <c r="J4546">
        <v>1</v>
      </c>
      <c r="K4546" t="s">
        <v>11352</v>
      </c>
      <c r="M4546">
        <v>0</v>
      </c>
      <c r="N4546">
        <v>7</v>
      </c>
      <c r="O4546" t="s">
        <v>216</v>
      </c>
      <c r="P4546" s="17"/>
      <c r="Q4546" s="17" t="str">
        <f>_xlfn.XLOOKUP(Table2[[#This Row],[buyFromVendorNo]],'Next Day Scheduled'!A:A,'Pending Returns'!O:O,"NOT_FOUND")</f>
        <v>NOT_FOUND</v>
      </c>
    </row>
    <row r="4547" spans="1:17" x14ac:dyDescent="0.3">
      <c r="A4547" s="1">
        <v>46258</v>
      </c>
      <c r="B4547" t="s">
        <v>6775</v>
      </c>
      <c r="C4547" t="s">
        <v>65</v>
      </c>
      <c r="D4547" t="s">
        <v>66</v>
      </c>
      <c r="E4547" t="s">
        <v>8</v>
      </c>
      <c r="F4547" t="s">
        <v>169</v>
      </c>
      <c r="G4547" s="16">
        <v>84.06</v>
      </c>
      <c r="H4547" s="16">
        <v>96.668999999999997</v>
      </c>
      <c r="J4547">
        <v>1</v>
      </c>
      <c r="K4547" t="s">
        <v>11356</v>
      </c>
      <c r="M4547">
        <v>0</v>
      </c>
      <c r="N4547">
        <v>5</v>
      </c>
      <c r="O4547" t="s">
        <v>216</v>
      </c>
      <c r="P4547" s="17"/>
      <c r="Q4547" s="17" t="str">
        <f>_xlfn.XLOOKUP(Table2[[#This Row],[buyFromVendorNo]],'Next Day Scheduled'!A:A,'Pending Returns'!O:O,"NOT_FOUND")</f>
        <v>Posted Credit Note</v>
      </c>
    </row>
    <row r="4548" spans="1:17" x14ac:dyDescent="0.3">
      <c r="A4548" s="1">
        <v>46258</v>
      </c>
      <c r="B4548" t="s">
        <v>642</v>
      </c>
      <c r="C4548" t="s">
        <v>598</v>
      </c>
      <c r="D4548" t="s">
        <v>9088</v>
      </c>
      <c r="E4548" t="s">
        <v>8</v>
      </c>
      <c r="F4548" t="s">
        <v>38</v>
      </c>
      <c r="G4548" s="16">
        <v>1706.2059999999999</v>
      </c>
      <c r="H4548" s="16">
        <v>1962.1368</v>
      </c>
      <c r="J4548">
        <v>1</v>
      </c>
      <c r="K4548" t="s">
        <v>11391</v>
      </c>
      <c r="M4548">
        <v>0</v>
      </c>
      <c r="N4548">
        <v>6</v>
      </c>
      <c r="O4548" t="s">
        <v>216</v>
      </c>
      <c r="P4548" s="17"/>
      <c r="Q4548" s="17" t="str">
        <f>_xlfn.XLOOKUP(Table2[[#This Row],[buyFromVendorNo]],'Next Day Scheduled'!A:A,'Pending Returns'!O:O,"NOT_FOUND")</f>
        <v>NOT_FOUND</v>
      </c>
    </row>
    <row r="4549" spans="1:17" x14ac:dyDescent="0.3">
      <c r="A4549" s="1">
        <v>46258</v>
      </c>
      <c r="B4549" t="s">
        <v>2731</v>
      </c>
      <c r="C4549" t="s">
        <v>502</v>
      </c>
      <c r="D4549" t="s">
        <v>503</v>
      </c>
      <c r="E4549" t="s">
        <v>8</v>
      </c>
      <c r="F4549" t="s">
        <v>10</v>
      </c>
      <c r="G4549" s="16">
        <v>83.98</v>
      </c>
      <c r="H4549" s="16">
        <v>96.576999999999998</v>
      </c>
      <c r="J4549">
        <v>1</v>
      </c>
      <c r="K4549" t="s">
        <v>11347</v>
      </c>
      <c r="M4549">
        <v>1</v>
      </c>
      <c r="N4549">
        <v>1</v>
      </c>
      <c r="O4549" t="s">
        <v>216</v>
      </c>
      <c r="P4549" s="17"/>
      <c r="Q4549" s="17" t="str">
        <f>_xlfn.XLOOKUP(Table2[[#This Row],[buyFromVendorNo]],'Next Day Scheduled'!A:A,'Pending Returns'!O:O,"NOT_FOUND")</f>
        <v>NOT_FOUND</v>
      </c>
    </row>
    <row r="4550" spans="1:17" x14ac:dyDescent="0.3">
      <c r="A4550" s="1">
        <v>46258</v>
      </c>
      <c r="B4550" t="s">
        <v>11670</v>
      </c>
      <c r="C4550" t="s">
        <v>173</v>
      </c>
      <c r="D4550" t="s">
        <v>174</v>
      </c>
      <c r="E4550" t="s">
        <v>8</v>
      </c>
      <c r="F4550" t="s">
        <v>10</v>
      </c>
      <c r="G4550" s="16">
        <v>553.4</v>
      </c>
      <c r="H4550" s="16">
        <v>636.41</v>
      </c>
      <c r="J4550">
        <v>1</v>
      </c>
      <c r="K4550" t="s">
        <v>11671</v>
      </c>
      <c r="M4550">
        <v>1</v>
      </c>
      <c r="N4550">
        <v>1</v>
      </c>
      <c r="O4550" t="s">
        <v>216</v>
      </c>
      <c r="P4550" s="17"/>
      <c r="Q4550" s="17" t="str">
        <f>_xlfn.XLOOKUP(Table2[[#This Row],[buyFromVendorNo]],'Next Day Scheduled'!A:A,'Pending Returns'!O:O,"NOT_FOUND")</f>
        <v>NOT_FOUND</v>
      </c>
    </row>
    <row r="4551" spans="1:17" x14ac:dyDescent="0.3">
      <c r="A4551" s="1">
        <v>46258</v>
      </c>
      <c r="B4551" t="s">
        <v>2083</v>
      </c>
      <c r="C4551" t="s">
        <v>877</v>
      </c>
      <c r="D4551" t="s">
        <v>2343</v>
      </c>
      <c r="E4551" t="s">
        <v>8</v>
      </c>
      <c r="F4551" t="s">
        <v>10</v>
      </c>
      <c r="G4551" s="16">
        <v>95.2</v>
      </c>
      <c r="H4551" s="16">
        <v>109.48</v>
      </c>
      <c r="I4551" s="1">
        <v>46258</v>
      </c>
      <c r="J4551">
        <v>1</v>
      </c>
      <c r="K4551" t="s">
        <v>10633</v>
      </c>
      <c r="L4551" t="s">
        <v>11195</v>
      </c>
      <c r="M4551">
        <v>0</v>
      </c>
      <c r="N4551">
        <v>2</v>
      </c>
      <c r="O4551" t="s">
        <v>223</v>
      </c>
      <c r="P4551" s="17"/>
      <c r="Q4551" s="17" t="str">
        <f>_xlfn.XLOOKUP(Table2[[#This Row],[buyFromVendorNo]],'Next Day Scheduled'!A:A,'Pending Returns'!O:O,"NOT_FOUND")</f>
        <v>NOT_FOUND</v>
      </c>
    </row>
    <row r="4552" spans="1:17" x14ac:dyDescent="0.3">
      <c r="A4552" s="1">
        <v>46258</v>
      </c>
      <c r="B4552" t="s">
        <v>1781</v>
      </c>
      <c r="C4552" t="s">
        <v>156</v>
      </c>
      <c r="D4552" t="s">
        <v>157</v>
      </c>
      <c r="E4552" t="s">
        <v>8</v>
      </c>
      <c r="F4552" t="s">
        <v>10</v>
      </c>
      <c r="G4552" s="16">
        <v>216.23993999999999</v>
      </c>
      <c r="H4552" s="16">
        <v>248.67592999999999</v>
      </c>
      <c r="J4552">
        <v>1</v>
      </c>
      <c r="K4552" t="s">
        <v>11420</v>
      </c>
      <c r="M4552">
        <v>0</v>
      </c>
      <c r="N4552">
        <v>12</v>
      </c>
      <c r="O4552" t="s">
        <v>216</v>
      </c>
      <c r="P4552" s="17"/>
      <c r="Q4552" s="17" t="str">
        <f>_xlfn.XLOOKUP(Table2[[#This Row],[buyFromVendorNo]],'Next Day Scheduled'!A:A,'Pending Returns'!O:O,"NOT_FOUND")</f>
        <v>NOT_FOUND</v>
      </c>
    </row>
    <row r="4553" spans="1:17" x14ac:dyDescent="0.3">
      <c r="A4553" s="1">
        <v>46258</v>
      </c>
      <c r="B4553" t="s">
        <v>9014</v>
      </c>
      <c r="C4553" t="s">
        <v>310</v>
      </c>
      <c r="D4553" t="s">
        <v>311</v>
      </c>
      <c r="E4553" t="s">
        <v>8</v>
      </c>
      <c r="F4553" t="s">
        <v>10</v>
      </c>
      <c r="G4553" s="16">
        <v>267.62</v>
      </c>
      <c r="H4553" s="16">
        <v>307.76299999999998</v>
      </c>
      <c r="I4553" s="1">
        <v>46258</v>
      </c>
      <c r="J4553">
        <v>1</v>
      </c>
      <c r="K4553" t="s">
        <v>11032</v>
      </c>
      <c r="L4553" t="s">
        <v>11196</v>
      </c>
      <c r="M4553">
        <v>0</v>
      </c>
      <c r="N4553">
        <v>2</v>
      </c>
      <c r="O4553" t="s">
        <v>223</v>
      </c>
      <c r="P4553" s="17"/>
      <c r="Q4553" s="17" t="str">
        <f>_xlfn.XLOOKUP(Table2[[#This Row],[buyFromVendorNo]],'Next Day Scheduled'!A:A,'Pending Returns'!O:O,"NOT_FOUND")</f>
        <v>NOT_FOUND</v>
      </c>
    </row>
    <row r="4554" spans="1:17" x14ac:dyDescent="0.3">
      <c r="A4554" s="1">
        <v>46258</v>
      </c>
      <c r="B4554" t="s">
        <v>5063</v>
      </c>
      <c r="C4554" t="s">
        <v>1472</v>
      </c>
      <c r="D4554" t="s">
        <v>1473</v>
      </c>
      <c r="E4554" t="s">
        <v>8</v>
      </c>
      <c r="F4554" t="s">
        <v>10</v>
      </c>
      <c r="G4554" s="16">
        <v>157.98917</v>
      </c>
      <c r="H4554" s="16">
        <v>181.68753000000001</v>
      </c>
      <c r="I4554" s="1">
        <v>46243</v>
      </c>
      <c r="J4554">
        <v>1</v>
      </c>
      <c r="K4554" t="s">
        <v>8973</v>
      </c>
      <c r="L4554" t="s">
        <v>11441</v>
      </c>
      <c r="M4554">
        <v>0</v>
      </c>
      <c r="N4554">
        <v>20</v>
      </c>
      <c r="O4554" t="s">
        <v>1036</v>
      </c>
      <c r="P4554" s="17"/>
      <c r="Q4554" s="17" t="str">
        <f>_xlfn.XLOOKUP(Table2[[#This Row],[buyFromVendorNo]],'Next Day Scheduled'!A:A,'Pending Returns'!O:O,"NOT_FOUND")</f>
        <v>Posted Credit Note</v>
      </c>
    </row>
    <row r="4555" spans="1:17" x14ac:dyDescent="0.3">
      <c r="A4555" s="1">
        <v>46258</v>
      </c>
      <c r="B4555" t="s">
        <v>6775</v>
      </c>
      <c r="C4555" t="s">
        <v>5199</v>
      </c>
      <c r="D4555" t="s">
        <v>5200</v>
      </c>
      <c r="E4555" t="s">
        <v>8</v>
      </c>
      <c r="F4555" t="s">
        <v>169</v>
      </c>
      <c r="G4555" s="16">
        <v>13.25</v>
      </c>
      <c r="H4555" s="16">
        <v>15.237500000000001</v>
      </c>
      <c r="J4555">
        <v>1</v>
      </c>
      <c r="K4555" t="s">
        <v>11396</v>
      </c>
      <c r="M4555">
        <v>0</v>
      </c>
      <c r="N4555">
        <v>6</v>
      </c>
      <c r="O4555" t="s">
        <v>216</v>
      </c>
      <c r="P4555" s="17"/>
      <c r="Q4555" s="17" t="str">
        <f>_xlfn.XLOOKUP(Table2[[#This Row],[buyFromVendorNo]],'Next Day Scheduled'!A:A,'Pending Returns'!O:O,"NOT_FOUND")</f>
        <v>Posted Credit Note</v>
      </c>
    </row>
    <row r="4556" spans="1:17" x14ac:dyDescent="0.3">
      <c r="A4556" s="1">
        <v>46258</v>
      </c>
      <c r="B4556" t="s">
        <v>10932</v>
      </c>
      <c r="C4556" t="s">
        <v>812</v>
      </c>
      <c r="D4556" t="s">
        <v>2394</v>
      </c>
      <c r="E4556" t="s">
        <v>8</v>
      </c>
      <c r="F4556" t="s">
        <v>10</v>
      </c>
      <c r="G4556" s="16">
        <v>16.5</v>
      </c>
      <c r="H4556" s="16">
        <v>18.975000000000001</v>
      </c>
      <c r="J4556">
        <v>1</v>
      </c>
      <c r="K4556" t="s">
        <v>11406</v>
      </c>
      <c r="M4556">
        <v>0</v>
      </c>
      <c r="N4556">
        <v>3</v>
      </c>
      <c r="O4556" t="s">
        <v>216</v>
      </c>
      <c r="P4556" s="17"/>
      <c r="Q4556" s="17" t="str">
        <f>_xlfn.XLOOKUP(Table2[[#This Row],[buyFromVendorNo]],'Next Day Scheduled'!A:A,'Pending Returns'!O:O,"NOT_FOUND")</f>
        <v>NOT_FOUND</v>
      </c>
    </row>
    <row r="4557" spans="1:17" x14ac:dyDescent="0.3">
      <c r="A4557" s="1">
        <v>46258</v>
      </c>
      <c r="B4557" t="s">
        <v>3293</v>
      </c>
      <c r="C4557" t="s">
        <v>8372</v>
      </c>
      <c r="D4557" t="s">
        <v>8373</v>
      </c>
      <c r="E4557" t="s">
        <v>8</v>
      </c>
      <c r="F4557" t="s">
        <v>10</v>
      </c>
      <c r="G4557" s="16">
        <v>1110.5</v>
      </c>
      <c r="H4557" s="16">
        <v>1277.075</v>
      </c>
      <c r="J4557">
        <v>1</v>
      </c>
      <c r="K4557" t="s">
        <v>11341</v>
      </c>
      <c r="M4557">
        <v>0</v>
      </c>
      <c r="N4557">
        <v>30</v>
      </c>
      <c r="O4557" t="s">
        <v>216</v>
      </c>
      <c r="P4557" s="17"/>
      <c r="Q4557" s="17" t="str">
        <f>_xlfn.XLOOKUP(Table2[[#This Row],[buyFromVendorNo]],'Next Day Scheduled'!A:A,'Pending Returns'!O:O,"NOT_FOUND")</f>
        <v>NOT_FOUND</v>
      </c>
    </row>
    <row r="4558" spans="1:17" x14ac:dyDescent="0.3">
      <c r="A4558" s="1">
        <v>46258</v>
      </c>
      <c r="B4558" t="s">
        <v>5905</v>
      </c>
      <c r="C4558" t="s">
        <v>51</v>
      </c>
      <c r="D4558" t="s">
        <v>52</v>
      </c>
      <c r="E4558" t="s">
        <v>8</v>
      </c>
      <c r="F4558" t="s">
        <v>10</v>
      </c>
      <c r="G4558" s="16">
        <v>327.54000000000002</v>
      </c>
      <c r="H4558" s="16">
        <v>376.67099999999999</v>
      </c>
      <c r="J4558">
        <v>1</v>
      </c>
      <c r="K4558" t="s">
        <v>11366</v>
      </c>
      <c r="M4558">
        <v>1</v>
      </c>
      <c r="N4558">
        <v>1</v>
      </c>
      <c r="O4558" t="s">
        <v>216</v>
      </c>
      <c r="P4558" s="17"/>
      <c r="Q4558" s="17" t="str">
        <f>_xlfn.XLOOKUP(Table2[[#This Row],[buyFromVendorNo]],'Next Day Scheduled'!A:A,'Pending Returns'!O:O,"NOT_FOUND")</f>
        <v>NOT_FOUND</v>
      </c>
    </row>
    <row r="4559" spans="1:17" x14ac:dyDescent="0.3">
      <c r="A4559" s="1">
        <v>46258</v>
      </c>
      <c r="B4559" t="s">
        <v>7650</v>
      </c>
      <c r="C4559" t="s">
        <v>146</v>
      </c>
      <c r="D4559" t="s">
        <v>147</v>
      </c>
      <c r="E4559" t="s">
        <v>8</v>
      </c>
      <c r="F4559" t="s">
        <v>10</v>
      </c>
      <c r="G4559" s="16">
        <v>59.47</v>
      </c>
      <c r="H4559" s="16">
        <v>68.390500000000003</v>
      </c>
      <c r="I4559" s="1">
        <v>46258</v>
      </c>
      <c r="J4559">
        <v>1</v>
      </c>
      <c r="K4559" t="s">
        <v>9429</v>
      </c>
      <c r="L4559" t="s">
        <v>11207</v>
      </c>
      <c r="M4559">
        <v>0</v>
      </c>
      <c r="N4559">
        <v>2</v>
      </c>
      <c r="O4559" t="s">
        <v>223</v>
      </c>
      <c r="P4559" s="17"/>
      <c r="Q4559" s="17" t="str">
        <f>_xlfn.XLOOKUP(Table2[[#This Row],[buyFromVendorNo]],'Next Day Scheduled'!A:A,'Pending Returns'!O:O,"NOT_FOUND")</f>
        <v>NOT_FOUND</v>
      </c>
    </row>
    <row r="4560" spans="1:17" x14ac:dyDescent="0.3">
      <c r="A4560" s="1">
        <v>46258</v>
      </c>
      <c r="B4560" t="s">
        <v>10932</v>
      </c>
      <c r="C4560" t="s">
        <v>1222</v>
      </c>
      <c r="D4560" t="s">
        <v>1223</v>
      </c>
      <c r="E4560" t="s">
        <v>8</v>
      </c>
      <c r="F4560" t="s">
        <v>10</v>
      </c>
      <c r="G4560" s="16">
        <v>46.66666</v>
      </c>
      <c r="H4560" s="16">
        <v>53.66666</v>
      </c>
      <c r="I4560" s="1">
        <v>46258</v>
      </c>
      <c r="J4560">
        <v>1</v>
      </c>
      <c r="K4560" t="s">
        <v>10933</v>
      </c>
      <c r="L4560" t="s">
        <v>11446</v>
      </c>
      <c r="M4560">
        <v>0</v>
      </c>
      <c r="N4560">
        <v>3</v>
      </c>
      <c r="O4560" t="s">
        <v>1036</v>
      </c>
      <c r="P4560" s="17"/>
      <c r="Q4560" s="17" t="str">
        <f>_xlfn.XLOOKUP(Table2[[#This Row],[buyFromVendorNo]],'Next Day Scheduled'!A:A,'Pending Returns'!O:O,"NOT_FOUND")</f>
        <v>NOT_FOUND</v>
      </c>
    </row>
    <row r="4561" spans="1:17" x14ac:dyDescent="0.3">
      <c r="A4561" s="1">
        <v>46259</v>
      </c>
      <c r="B4561" t="s">
        <v>2731</v>
      </c>
      <c r="C4561" t="s">
        <v>1424</v>
      </c>
      <c r="D4561" t="s">
        <v>1425</v>
      </c>
      <c r="E4561" t="s">
        <v>8</v>
      </c>
      <c r="F4561" t="s">
        <v>10</v>
      </c>
      <c r="G4561" s="16">
        <v>420</v>
      </c>
      <c r="H4561" s="16">
        <v>483</v>
      </c>
      <c r="I4561" s="1">
        <v>46259</v>
      </c>
      <c r="J4561">
        <v>0</v>
      </c>
      <c r="K4561" t="s">
        <v>10051</v>
      </c>
      <c r="L4561" t="s">
        <v>11672</v>
      </c>
      <c r="M4561">
        <v>0</v>
      </c>
      <c r="N4561">
        <v>50</v>
      </c>
      <c r="O4561" t="s">
        <v>223</v>
      </c>
      <c r="P4561" s="17"/>
      <c r="Q4561" s="17" t="str">
        <f>_xlfn.XLOOKUP(Table2[[#This Row],[buyFromVendorNo]],'Next Day Scheduled'!A:A,'Pending Returns'!O:O,"NOT_FOUND")</f>
        <v>Posted Credit Note</v>
      </c>
    </row>
    <row r="4562" spans="1:17" x14ac:dyDescent="0.3">
      <c r="A4562" s="1">
        <v>46259</v>
      </c>
      <c r="B4562" t="s">
        <v>6306</v>
      </c>
      <c r="C4562" t="s">
        <v>632</v>
      </c>
      <c r="D4562" t="s">
        <v>682</v>
      </c>
      <c r="E4562" t="s">
        <v>8</v>
      </c>
      <c r="F4562" t="s">
        <v>10</v>
      </c>
      <c r="G4562" s="16">
        <v>391</v>
      </c>
      <c r="H4562" s="16">
        <v>449.65</v>
      </c>
      <c r="I4562" s="1">
        <v>46259</v>
      </c>
      <c r="J4562">
        <v>0</v>
      </c>
      <c r="K4562" t="s">
        <v>9986</v>
      </c>
      <c r="L4562" t="s">
        <v>11673</v>
      </c>
      <c r="M4562">
        <v>0</v>
      </c>
      <c r="N4562">
        <v>1</v>
      </c>
      <c r="O4562" t="s">
        <v>223</v>
      </c>
      <c r="P4562" s="17"/>
      <c r="Q4562" s="17" t="str">
        <f>_xlfn.XLOOKUP(Table2[[#This Row],[buyFromVendorNo]],'Next Day Scheduled'!A:A,'Pending Returns'!O:O,"NOT_FOUND")</f>
        <v>NOT_FOUND</v>
      </c>
    </row>
    <row r="4563" spans="1:17" x14ac:dyDescent="0.3">
      <c r="A4563" s="1">
        <v>46259</v>
      </c>
      <c r="B4563" t="s">
        <v>257</v>
      </c>
      <c r="C4563" t="s">
        <v>1722</v>
      </c>
      <c r="D4563" t="s">
        <v>1723</v>
      </c>
      <c r="E4563" t="s">
        <v>8</v>
      </c>
      <c r="F4563" t="s">
        <v>10</v>
      </c>
      <c r="G4563" s="16">
        <v>37.666670000000003</v>
      </c>
      <c r="H4563" s="16">
        <v>43.316670000000002</v>
      </c>
      <c r="I4563" s="1">
        <v>46259</v>
      </c>
      <c r="J4563">
        <v>0</v>
      </c>
      <c r="K4563" t="s">
        <v>11344</v>
      </c>
      <c r="L4563" t="s">
        <v>11674</v>
      </c>
      <c r="M4563">
        <v>0</v>
      </c>
      <c r="N4563">
        <v>1</v>
      </c>
      <c r="O4563" t="s">
        <v>223</v>
      </c>
      <c r="P4563" s="17"/>
      <c r="Q4563" s="17" t="str">
        <f>_xlfn.XLOOKUP(Table2[[#This Row],[buyFromVendorNo]],'Next Day Scheduled'!A:A,'Pending Returns'!O:O,"NOT_FOUND")</f>
        <v>NOT_FOUND</v>
      </c>
    </row>
    <row r="4564" spans="1:17" x14ac:dyDescent="0.3">
      <c r="A4564" s="1">
        <v>46259</v>
      </c>
      <c r="B4564" t="s">
        <v>2663</v>
      </c>
      <c r="C4564" t="s">
        <v>1722</v>
      </c>
      <c r="D4564" t="s">
        <v>1723</v>
      </c>
      <c r="E4564" t="s">
        <v>8</v>
      </c>
      <c r="F4564" t="s">
        <v>10</v>
      </c>
      <c r="G4564" s="16">
        <v>242</v>
      </c>
      <c r="H4564" s="16">
        <v>278.3</v>
      </c>
      <c r="I4564" s="1">
        <v>46259</v>
      </c>
      <c r="J4564">
        <v>0</v>
      </c>
      <c r="K4564" t="s">
        <v>9419</v>
      </c>
      <c r="L4564" t="s">
        <v>11675</v>
      </c>
      <c r="M4564">
        <v>0</v>
      </c>
      <c r="N4564">
        <v>1</v>
      </c>
      <c r="O4564" t="s">
        <v>223</v>
      </c>
      <c r="P4564" s="17"/>
      <c r="Q4564" s="17" t="str">
        <f>_xlfn.XLOOKUP(Table2[[#This Row],[buyFromVendorNo]],'Next Day Scheduled'!A:A,'Pending Returns'!O:O,"NOT_FOUND")</f>
        <v>NOT_FOUND</v>
      </c>
    </row>
    <row r="4565" spans="1:17" x14ac:dyDescent="0.3">
      <c r="A4565" s="1">
        <v>46259</v>
      </c>
      <c r="B4565" t="s">
        <v>5241</v>
      </c>
      <c r="C4565" t="s">
        <v>5484</v>
      </c>
      <c r="D4565" t="s">
        <v>5485</v>
      </c>
      <c r="E4565" t="s">
        <v>8</v>
      </c>
      <c r="F4565" t="s">
        <v>10</v>
      </c>
      <c r="G4565" s="16">
        <v>112</v>
      </c>
      <c r="H4565" s="16">
        <v>128.80000000000001</v>
      </c>
      <c r="I4565" s="1">
        <v>46259</v>
      </c>
      <c r="J4565">
        <v>0</v>
      </c>
      <c r="K4565" t="s">
        <v>10523</v>
      </c>
      <c r="L4565" t="s">
        <v>11676</v>
      </c>
      <c r="M4565">
        <v>0</v>
      </c>
      <c r="N4565">
        <v>258</v>
      </c>
      <c r="O4565" t="s">
        <v>223</v>
      </c>
      <c r="P4565" s="17"/>
      <c r="Q4565" s="17" t="str">
        <f>_xlfn.XLOOKUP(Table2[[#This Row],[buyFromVendorNo]],'Next Day Scheduled'!A:A,'Pending Returns'!O:O,"NOT_FOUND")</f>
        <v>NOT_FOUND</v>
      </c>
    </row>
    <row r="4566" spans="1:17" x14ac:dyDescent="0.3">
      <c r="A4566" s="1">
        <v>46259</v>
      </c>
      <c r="B4566" t="s">
        <v>9449</v>
      </c>
      <c r="C4566" t="s">
        <v>79</v>
      </c>
      <c r="D4566" t="s">
        <v>80</v>
      </c>
      <c r="E4566" t="s">
        <v>8</v>
      </c>
      <c r="F4566" t="s">
        <v>10</v>
      </c>
      <c r="G4566" s="16">
        <v>4302.3525</v>
      </c>
      <c r="H4566" s="16">
        <v>4947.7056000000002</v>
      </c>
      <c r="I4566" s="1">
        <v>46259</v>
      </c>
      <c r="J4566">
        <v>0</v>
      </c>
      <c r="K4566" t="s">
        <v>9450</v>
      </c>
      <c r="L4566" t="s">
        <v>11677</v>
      </c>
      <c r="M4566">
        <v>0</v>
      </c>
      <c r="N4566">
        <v>2</v>
      </c>
      <c r="O4566" t="s">
        <v>223</v>
      </c>
      <c r="P4566" s="17"/>
      <c r="Q4566" s="17" t="str">
        <f>_xlfn.XLOOKUP(Table2[[#This Row],[buyFromVendorNo]],'Next Day Scheduled'!A:A,'Pending Returns'!O:O,"NOT_FOUND")</f>
        <v>NOT_FOUND</v>
      </c>
    </row>
    <row r="4567" spans="1:17" x14ac:dyDescent="0.3">
      <c r="A4567" s="1">
        <v>46259</v>
      </c>
      <c r="B4567" t="s">
        <v>8727</v>
      </c>
      <c r="C4567" t="s">
        <v>839</v>
      </c>
      <c r="D4567" t="s">
        <v>840</v>
      </c>
      <c r="E4567" t="s">
        <v>8</v>
      </c>
      <c r="F4567" t="s">
        <v>10</v>
      </c>
      <c r="G4567" s="16">
        <v>234.875</v>
      </c>
      <c r="H4567" s="16">
        <v>270.10626000000002</v>
      </c>
      <c r="I4567" s="1">
        <v>46259</v>
      </c>
      <c r="J4567">
        <v>0</v>
      </c>
      <c r="K4567" t="s">
        <v>10692</v>
      </c>
      <c r="L4567" t="s">
        <v>11678</v>
      </c>
      <c r="M4567">
        <v>0</v>
      </c>
      <c r="N4567">
        <v>2</v>
      </c>
      <c r="O4567" t="s">
        <v>223</v>
      </c>
      <c r="P4567" s="17"/>
      <c r="Q4567" s="17" t="str">
        <f>_xlfn.XLOOKUP(Table2[[#This Row],[buyFromVendorNo]],'Next Day Scheduled'!A:A,'Pending Returns'!O:O,"NOT_FOUND")</f>
        <v>NOT_FOUND</v>
      </c>
    </row>
    <row r="4568" spans="1:17" x14ac:dyDescent="0.3">
      <c r="A4568" s="1">
        <v>46259</v>
      </c>
      <c r="B4568" t="s">
        <v>10938</v>
      </c>
      <c r="C4568" t="s">
        <v>67</v>
      </c>
      <c r="D4568" t="s">
        <v>68</v>
      </c>
      <c r="E4568" t="s">
        <v>8</v>
      </c>
      <c r="F4568" t="s">
        <v>10</v>
      </c>
      <c r="G4568" s="16">
        <v>212.50996000000001</v>
      </c>
      <c r="H4568" s="16">
        <v>244.38643999999999</v>
      </c>
      <c r="I4568" s="1">
        <v>46259</v>
      </c>
      <c r="J4568">
        <v>0</v>
      </c>
      <c r="K4568" t="s">
        <v>10939</v>
      </c>
      <c r="L4568" t="s">
        <v>11679</v>
      </c>
      <c r="M4568">
        <v>0</v>
      </c>
      <c r="N4568">
        <v>1</v>
      </c>
      <c r="O4568" t="s">
        <v>223</v>
      </c>
      <c r="P4568" s="17"/>
      <c r="Q4568" s="17" t="str">
        <f>_xlfn.XLOOKUP(Table2[[#This Row],[buyFromVendorNo]],'Next Day Scheduled'!A:A,'Pending Returns'!O:O,"NOT_FOUND")</f>
        <v>NOT_FOUND</v>
      </c>
    </row>
    <row r="4569" spans="1:17" x14ac:dyDescent="0.3">
      <c r="A4569" s="1">
        <v>46259</v>
      </c>
      <c r="B4569" t="s">
        <v>7148</v>
      </c>
      <c r="C4569" t="s">
        <v>710</v>
      </c>
      <c r="D4569" t="s">
        <v>711</v>
      </c>
      <c r="E4569" t="s">
        <v>8</v>
      </c>
      <c r="F4569" t="s">
        <v>10</v>
      </c>
      <c r="G4569" s="16">
        <v>91</v>
      </c>
      <c r="H4569" s="16">
        <v>104.65</v>
      </c>
      <c r="I4569" s="1">
        <v>46259</v>
      </c>
      <c r="J4569">
        <v>0</v>
      </c>
      <c r="K4569" t="s">
        <v>8069</v>
      </c>
      <c r="L4569" t="s">
        <v>11680</v>
      </c>
      <c r="M4569">
        <v>0</v>
      </c>
      <c r="N4569">
        <v>1</v>
      </c>
      <c r="O4569" t="s">
        <v>223</v>
      </c>
      <c r="P4569" s="17"/>
      <c r="Q4569" s="17" t="str">
        <f>_xlfn.XLOOKUP(Table2[[#This Row],[buyFromVendorNo]],'Next Day Scheduled'!A:A,'Pending Returns'!O:O,"NOT_FOUND")</f>
        <v>NOT_FOUND</v>
      </c>
    </row>
    <row r="4570" spans="1:17" x14ac:dyDescent="0.3">
      <c r="A4570" s="1">
        <v>46259</v>
      </c>
      <c r="B4570" t="s">
        <v>2566</v>
      </c>
      <c r="C4570" t="s">
        <v>710</v>
      </c>
      <c r="D4570" t="s">
        <v>711</v>
      </c>
      <c r="E4570" t="s">
        <v>8</v>
      </c>
      <c r="F4570" t="s">
        <v>10</v>
      </c>
      <c r="G4570" s="16">
        <v>13.25</v>
      </c>
      <c r="H4570" s="16">
        <v>15.237500000000001</v>
      </c>
      <c r="I4570" s="1">
        <v>46259</v>
      </c>
      <c r="J4570">
        <v>0</v>
      </c>
      <c r="K4570" t="s">
        <v>8978</v>
      </c>
      <c r="L4570" t="s">
        <v>11681</v>
      </c>
      <c r="M4570">
        <v>0</v>
      </c>
      <c r="N4570">
        <v>1</v>
      </c>
      <c r="O4570" t="s">
        <v>223</v>
      </c>
      <c r="P4570" s="17"/>
      <c r="Q4570" s="17" t="str">
        <f>_xlfn.XLOOKUP(Table2[[#This Row],[buyFromVendorNo]],'Next Day Scheduled'!A:A,'Pending Returns'!O:O,"NOT_FOUND")</f>
        <v>NOT_FOUND</v>
      </c>
    </row>
    <row r="4571" spans="1:17" x14ac:dyDescent="0.3">
      <c r="A4571" s="1">
        <v>46259</v>
      </c>
      <c r="B4571" t="s">
        <v>3255</v>
      </c>
      <c r="C4571" t="s">
        <v>67</v>
      </c>
      <c r="D4571" t="s">
        <v>68</v>
      </c>
      <c r="E4571" t="s">
        <v>8</v>
      </c>
      <c r="F4571" t="s">
        <v>10</v>
      </c>
      <c r="G4571" s="16">
        <v>228.51665</v>
      </c>
      <c r="H4571" s="16">
        <v>262.79413</v>
      </c>
      <c r="I4571" s="1">
        <v>46259</v>
      </c>
      <c r="J4571">
        <v>0</v>
      </c>
      <c r="K4571" t="s">
        <v>9582</v>
      </c>
      <c r="L4571" t="s">
        <v>11682</v>
      </c>
      <c r="M4571">
        <v>0</v>
      </c>
      <c r="N4571">
        <v>1</v>
      </c>
      <c r="O4571" t="s">
        <v>223</v>
      </c>
      <c r="P4571" s="17"/>
      <c r="Q4571" s="17" t="str">
        <f>_xlfn.XLOOKUP(Table2[[#This Row],[buyFromVendorNo]],'Next Day Scheduled'!A:A,'Pending Returns'!O:O,"NOT_FOUND")</f>
        <v>NOT_FOUND</v>
      </c>
    </row>
    <row r="4572" spans="1:17" x14ac:dyDescent="0.3">
      <c r="A4572" s="1">
        <v>46259</v>
      </c>
      <c r="B4572" t="s">
        <v>5905</v>
      </c>
      <c r="C4572" t="s">
        <v>1722</v>
      </c>
      <c r="D4572" t="s">
        <v>1723</v>
      </c>
      <c r="E4572" t="s">
        <v>8</v>
      </c>
      <c r="F4572" t="s">
        <v>10</v>
      </c>
      <c r="G4572" s="16">
        <v>121</v>
      </c>
      <c r="H4572" s="16">
        <v>139.15</v>
      </c>
      <c r="I4572" s="1">
        <v>46259</v>
      </c>
      <c r="J4572">
        <v>0</v>
      </c>
      <c r="K4572" t="s">
        <v>10004</v>
      </c>
      <c r="L4572" t="s">
        <v>11683</v>
      </c>
      <c r="M4572">
        <v>0</v>
      </c>
      <c r="N4572">
        <v>1</v>
      </c>
      <c r="O4572" t="s">
        <v>223</v>
      </c>
      <c r="P4572" s="17"/>
      <c r="Q4572" s="17" t="str">
        <f>_xlfn.XLOOKUP(Table2[[#This Row],[buyFromVendorNo]],'Next Day Scheduled'!A:A,'Pending Returns'!O:O,"NOT_FOUND")</f>
        <v>NOT_FOUND</v>
      </c>
    </row>
    <row r="4573" spans="1:17" x14ac:dyDescent="0.3">
      <c r="A4573" s="1">
        <v>46259</v>
      </c>
      <c r="B4573" t="s">
        <v>2942</v>
      </c>
      <c r="C4573" t="s">
        <v>710</v>
      </c>
      <c r="D4573" t="s">
        <v>711</v>
      </c>
      <c r="E4573" t="s">
        <v>8</v>
      </c>
      <c r="F4573" t="s">
        <v>10</v>
      </c>
      <c r="G4573" s="16">
        <v>347.40499999999997</v>
      </c>
      <c r="H4573" s="16">
        <v>399.51575000000003</v>
      </c>
      <c r="I4573" s="1">
        <v>46259</v>
      </c>
      <c r="J4573">
        <v>0</v>
      </c>
      <c r="K4573" t="s">
        <v>10174</v>
      </c>
      <c r="L4573" t="s">
        <v>11684</v>
      </c>
      <c r="M4573">
        <v>0</v>
      </c>
      <c r="N4573">
        <v>1</v>
      </c>
      <c r="O4573" t="s">
        <v>223</v>
      </c>
      <c r="P4573" s="17"/>
      <c r="Q4573" s="17" t="str">
        <f>_xlfn.XLOOKUP(Table2[[#This Row],[buyFromVendorNo]],'Next Day Scheduled'!A:A,'Pending Returns'!O:O,"NOT_FOUND")</f>
        <v>NOT_FOUND</v>
      </c>
    </row>
    <row r="4574" spans="1:17" x14ac:dyDescent="0.3">
      <c r="A4574" s="1">
        <v>46259</v>
      </c>
      <c r="B4574" t="s">
        <v>4904</v>
      </c>
      <c r="C4574" t="s">
        <v>632</v>
      </c>
      <c r="D4574" t="s">
        <v>682</v>
      </c>
      <c r="E4574" t="s">
        <v>8</v>
      </c>
      <c r="F4574" t="s">
        <v>10</v>
      </c>
      <c r="G4574" s="16">
        <v>78.5</v>
      </c>
      <c r="H4574" s="16">
        <v>90.275000000000006</v>
      </c>
      <c r="I4574" s="1">
        <v>46259</v>
      </c>
      <c r="J4574">
        <v>0</v>
      </c>
      <c r="K4574" t="s">
        <v>10031</v>
      </c>
      <c r="L4574" t="s">
        <v>11685</v>
      </c>
      <c r="M4574">
        <v>0</v>
      </c>
      <c r="N4574">
        <v>1</v>
      </c>
      <c r="O4574" t="s">
        <v>223</v>
      </c>
      <c r="P4574" s="17"/>
      <c r="Q4574" s="17" t="str">
        <f>_xlfn.XLOOKUP(Table2[[#This Row],[buyFromVendorNo]],'Next Day Scheduled'!A:A,'Pending Returns'!O:O,"NOT_FOUND")</f>
        <v>NOT_FOUND</v>
      </c>
    </row>
    <row r="4575" spans="1:17" x14ac:dyDescent="0.3">
      <c r="A4575" s="1">
        <v>46259</v>
      </c>
      <c r="B4575" t="s">
        <v>2000</v>
      </c>
      <c r="C4575" t="s">
        <v>710</v>
      </c>
      <c r="D4575" t="s">
        <v>711</v>
      </c>
      <c r="E4575" t="s">
        <v>8</v>
      </c>
      <c r="F4575" t="s">
        <v>10</v>
      </c>
      <c r="G4575" s="16">
        <v>746.96</v>
      </c>
      <c r="H4575" s="16">
        <v>859.00400000000002</v>
      </c>
      <c r="I4575" s="1">
        <v>46259</v>
      </c>
      <c r="J4575">
        <v>0</v>
      </c>
      <c r="K4575" t="s">
        <v>9607</v>
      </c>
      <c r="L4575" t="s">
        <v>11686</v>
      </c>
      <c r="M4575">
        <v>0</v>
      </c>
      <c r="N4575">
        <v>1</v>
      </c>
      <c r="O4575" t="s">
        <v>223</v>
      </c>
      <c r="P4575" s="17"/>
      <c r="Q4575" s="17" t="str">
        <f>_xlfn.XLOOKUP(Table2[[#This Row],[buyFromVendorNo]],'Next Day Scheduled'!A:A,'Pending Returns'!O:O,"NOT_FOUND")</f>
        <v>NOT_FOUND</v>
      </c>
    </row>
    <row r="4576" spans="1:17" x14ac:dyDescent="0.3">
      <c r="A4576" s="1">
        <v>46259</v>
      </c>
      <c r="B4576" t="s">
        <v>2730</v>
      </c>
      <c r="C4576" t="s">
        <v>1424</v>
      </c>
      <c r="D4576" t="s">
        <v>1425</v>
      </c>
      <c r="E4576" t="s">
        <v>8</v>
      </c>
      <c r="F4576" t="s">
        <v>10</v>
      </c>
      <c r="G4576" s="16">
        <v>1890</v>
      </c>
      <c r="H4576" s="16">
        <v>2173.5</v>
      </c>
      <c r="I4576" s="1">
        <v>46259</v>
      </c>
      <c r="J4576">
        <v>0</v>
      </c>
      <c r="K4576" t="s">
        <v>11400</v>
      </c>
      <c r="L4576" t="s">
        <v>11687</v>
      </c>
      <c r="M4576">
        <v>0</v>
      </c>
      <c r="N4576">
        <v>50</v>
      </c>
      <c r="O4576" t="s">
        <v>223</v>
      </c>
      <c r="P4576" s="17"/>
      <c r="Q4576" s="17" t="str">
        <f>_xlfn.XLOOKUP(Table2[[#This Row],[buyFromVendorNo]],'Next Day Scheduled'!A:A,'Pending Returns'!O:O,"NOT_FOUND")</f>
        <v>Posted Credit Note</v>
      </c>
    </row>
    <row r="4577" spans="1:17" x14ac:dyDescent="0.3">
      <c r="A4577" s="1">
        <v>46259</v>
      </c>
      <c r="B4577" t="s">
        <v>2574</v>
      </c>
      <c r="C4577" t="s">
        <v>2775</v>
      </c>
      <c r="D4577" t="s">
        <v>2776</v>
      </c>
      <c r="E4577" t="s">
        <v>8</v>
      </c>
      <c r="F4577" t="s">
        <v>10</v>
      </c>
      <c r="G4577" s="16">
        <v>320</v>
      </c>
      <c r="H4577" s="16">
        <v>368</v>
      </c>
      <c r="I4577" s="1">
        <v>46259</v>
      </c>
      <c r="J4577">
        <v>0</v>
      </c>
      <c r="K4577" t="s">
        <v>10987</v>
      </c>
      <c r="L4577" t="s">
        <v>11688</v>
      </c>
      <c r="M4577">
        <v>0</v>
      </c>
      <c r="N4577">
        <v>6</v>
      </c>
      <c r="O4577" t="s">
        <v>223</v>
      </c>
      <c r="P4577" s="17"/>
      <c r="Q4577" s="17" t="str">
        <f>_xlfn.XLOOKUP(Table2[[#This Row],[buyFromVendorNo]],'Next Day Scheduled'!A:A,'Pending Returns'!O:O,"NOT_FOUND")</f>
        <v>NOT_FOUND</v>
      </c>
    </row>
    <row r="4578" spans="1:17" x14ac:dyDescent="0.3">
      <c r="A4578" s="1">
        <v>46259</v>
      </c>
      <c r="B4578" t="s">
        <v>7094</v>
      </c>
      <c r="C4578" t="s">
        <v>79</v>
      </c>
      <c r="D4578" t="s">
        <v>80</v>
      </c>
      <c r="E4578" t="s">
        <v>8</v>
      </c>
      <c r="F4578" t="s">
        <v>10</v>
      </c>
      <c r="G4578" s="16">
        <v>146.03460000000001</v>
      </c>
      <c r="H4578" s="16">
        <v>167.93978999999999</v>
      </c>
      <c r="I4578" s="1">
        <v>46259</v>
      </c>
      <c r="J4578">
        <v>0</v>
      </c>
      <c r="K4578" t="s">
        <v>9507</v>
      </c>
      <c r="L4578" t="s">
        <v>11689</v>
      </c>
      <c r="M4578">
        <v>0</v>
      </c>
      <c r="N4578">
        <v>2</v>
      </c>
      <c r="O4578" t="s">
        <v>223</v>
      </c>
      <c r="P4578" s="17"/>
      <c r="Q4578" s="17" t="str">
        <f>_xlfn.XLOOKUP(Table2[[#This Row],[buyFromVendorNo]],'Next Day Scheduled'!A:A,'Pending Returns'!O:O,"NOT_FOUND")</f>
        <v>NOT_FOUND</v>
      </c>
    </row>
    <row r="4579" spans="1:17" x14ac:dyDescent="0.3">
      <c r="A4579" s="1">
        <v>46259</v>
      </c>
      <c r="B4579" t="s">
        <v>1773</v>
      </c>
      <c r="C4579" t="s">
        <v>95</v>
      </c>
      <c r="D4579" t="s">
        <v>96</v>
      </c>
      <c r="E4579" t="s">
        <v>8</v>
      </c>
      <c r="F4579" t="s">
        <v>10</v>
      </c>
      <c r="G4579" s="16">
        <v>262.98259999999999</v>
      </c>
      <c r="H4579" s="16">
        <v>302.43</v>
      </c>
      <c r="I4579" s="1">
        <v>46259</v>
      </c>
      <c r="J4579">
        <v>0</v>
      </c>
      <c r="K4579" t="s">
        <v>11109</v>
      </c>
      <c r="L4579" t="s">
        <v>11690</v>
      </c>
      <c r="M4579">
        <v>0</v>
      </c>
      <c r="N4579">
        <v>1</v>
      </c>
      <c r="O4579" t="s">
        <v>223</v>
      </c>
      <c r="P4579" s="17"/>
      <c r="Q4579" s="17" t="str">
        <f>_xlfn.XLOOKUP(Table2[[#This Row],[buyFromVendorNo]],'Next Day Scheduled'!A:A,'Pending Returns'!O:O,"NOT_FOUND")</f>
        <v>NOT_FOUND</v>
      </c>
    </row>
    <row r="4580" spans="1:17" x14ac:dyDescent="0.3">
      <c r="A4580" s="1">
        <v>46259</v>
      </c>
      <c r="B4580" t="s">
        <v>2940</v>
      </c>
      <c r="C4580" t="s">
        <v>95</v>
      </c>
      <c r="D4580" t="s">
        <v>96</v>
      </c>
      <c r="E4580" t="s">
        <v>8</v>
      </c>
      <c r="F4580" t="s">
        <v>10</v>
      </c>
      <c r="G4580" s="16">
        <v>1070.2634</v>
      </c>
      <c r="H4580" s="16">
        <v>1230.8030000000001</v>
      </c>
      <c r="I4580" s="1">
        <v>46259</v>
      </c>
      <c r="J4580">
        <v>0</v>
      </c>
      <c r="K4580" t="s">
        <v>11018</v>
      </c>
      <c r="L4580" t="s">
        <v>11691</v>
      </c>
      <c r="M4580">
        <v>0</v>
      </c>
      <c r="N4580">
        <v>1</v>
      </c>
      <c r="O4580" t="s">
        <v>223</v>
      </c>
      <c r="P4580" s="17"/>
      <c r="Q4580" s="17" t="str">
        <f>_xlfn.XLOOKUP(Table2[[#This Row],[buyFromVendorNo]],'Next Day Scheduled'!A:A,'Pending Returns'!O:O,"NOT_FOUND")</f>
        <v>NOT_FOUND</v>
      </c>
    </row>
    <row r="4581" spans="1:17" x14ac:dyDescent="0.3">
      <c r="A4581" s="1">
        <v>46259</v>
      </c>
      <c r="B4581" t="s">
        <v>5362</v>
      </c>
      <c r="C4581" t="s">
        <v>710</v>
      </c>
      <c r="D4581" t="s">
        <v>711</v>
      </c>
      <c r="E4581" t="s">
        <v>8</v>
      </c>
      <c r="F4581" t="s">
        <v>10</v>
      </c>
      <c r="G4581" s="16">
        <v>53.25</v>
      </c>
      <c r="H4581" s="16">
        <v>61.237499999999997</v>
      </c>
      <c r="I4581" s="1">
        <v>46259</v>
      </c>
      <c r="J4581">
        <v>0</v>
      </c>
      <c r="K4581" t="s">
        <v>11163</v>
      </c>
      <c r="L4581" t="s">
        <v>11692</v>
      </c>
      <c r="M4581">
        <v>0</v>
      </c>
      <c r="N4581">
        <v>1</v>
      </c>
      <c r="O4581" t="s">
        <v>223</v>
      </c>
      <c r="P4581" s="17"/>
      <c r="Q4581" s="17" t="str">
        <f>_xlfn.XLOOKUP(Table2[[#This Row],[buyFromVendorNo]],'Next Day Scheduled'!A:A,'Pending Returns'!O:O,"NOT_FOUND")</f>
        <v>NOT_FOUND</v>
      </c>
    </row>
    <row r="4582" spans="1:17" x14ac:dyDescent="0.3">
      <c r="A4582" s="1">
        <v>46259</v>
      </c>
      <c r="B4582" t="s">
        <v>3587</v>
      </c>
      <c r="C4582" t="s">
        <v>632</v>
      </c>
      <c r="D4582" t="s">
        <v>682</v>
      </c>
      <c r="E4582" t="s">
        <v>8</v>
      </c>
      <c r="F4582" t="s">
        <v>10</v>
      </c>
      <c r="G4582" s="16">
        <v>90</v>
      </c>
      <c r="H4582" s="16">
        <v>103.5</v>
      </c>
      <c r="I4582" s="1">
        <v>46259</v>
      </c>
      <c r="J4582">
        <v>0</v>
      </c>
      <c r="K4582" t="s">
        <v>8803</v>
      </c>
      <c r="L4582" t="s">
        <v>11693</v>
      </c>
      <c r="M4582">
        <v>0</v>
      </c>
      <c r="N4582">
        <v>1</v>
      </c>
      <c r="O4582" t="s">
        <v>223</v>
      </c>
      <c r="P4582" s="17"/>
      <c r="Q4582" s="17" t="str">
        <f>_xlfn.XLOOKUP(Table2[[#This Row],[buyFromVendorNo]],'Next Day Scheduled'!A:A,'Pending Returns'!O:O,"NOT_FOUND")</f>
        <v>NOT_FOUND</v>
      </c>
    </row>
    <row r="4583" spans="1:17" x14ac:dyDescent="0.3">
      <c r="A4583" s="1">
        <v>46259</v>
      </c>
      <c r="B4583" t="s">
        <v>2094</v>
      </c>
      <c r="C4583" t="s">
        <v>632</v>
      </c>
      <c r="D4583" t="s">
        <v>682</v>
      </c>
      <c r="E4583" t="s">
        <v>8</v>
      </c>
      <c r="F4583" t="s">
        <v>10</v>
      </c>
      <c r="G4583" s="16">
        <v>5.5</v>
      </c>
      <c r="H4583" s="16">
        <v>6.3250000000000002</v>
      </c>
      <c r="I4583" s="1">
        <v>46259</v>
      </c>
      <c r="J4583">
        <v>0</v>
      </c>
      <c r="K4583" t="s">
        <v>10602</v>
      </c>
      <c r="L4583" t="s">
        <v>11694</v>
      </c>
      <c r="M4583">
        <v>0</v>
      </c>
      <c r="N4583">
        <v>1</v>
      </c>
      <c r="O4583" t="s">
        <v>223</v>
      </c>
      <c r="P4583" s="17"/>
      <c r="Q4583" s="17" t="str">
        <f>_xlfn.XLOOKUP(Table2[[#This Row],[buyFromVendorNo]],'Next Day Scheduled'!A:A,'Pending Returns'!O:O,"NOT_FOUND")</f>
        <v>NOT_FOUND</v>
      </c>
    </row>
    <row r="4584" spans="1:17" x14ac:dyDescent="0.3">
      <c r="A4584" s="1">
        <v>46259</v>
      </c>
      <c r="B4584" t="s">
        <v>2721</v>
      </c>
      <c r="C4584" t="s">
        <v>562</v>
      </c>
      <c r="D4584" t="s">
        <v>563</v>
      </c>
      <c r="E4584" t="s">
        <v>8</v>
      </c>
      <c r="F4584" t="s">
        <v>10</v>
      </c>
      <c r="G4584" s="16">
        <v>3106.9450000000002</v>
      </c>
      <c r="H4584" s="16">
        <v>3572.9870000000001</v>
      </c>
      <c r="I4584" s="1">
        <v>46259</v>
      </c>
      <c r="J4584">
        <v>0</v>
      </c>
      <c r="K4584" t="s">
        <v>10383</v>
      </c>
      <c r="L4584" t="s">
        <v>11695</v>
      </c>
      <c r="M4584">
        <v>0</v>
      </c>
      <c r="N4584">
        <v>1</v>
      </c>
      <c r="O4584" t="s">
        <v>223</v>
      </c>
      <c r="P4584" s="17"/>
      <c r="Q4584" s="17" t="str">
        <f>_xlfn.XLOOKUP(Table2[[#This Row],[buyFromVendorNo]],'Next Day Scheduled'!A:A,'Pending Returns'!O:O,"NOT_FOUND")</f>
        <v>NOT_FOUND</v>
      </c>
    </row>
    <row r="4585" spans="1:17" x14ac:dyDescent="0.3">
      <c r="A4585" s="1">
        <v>46259</v>
      </c>
      <c r="B4585" t="s">
        <v>5474</v>
      </c>
      <c r="C4585" t="s">
        <v>1722</v>
      </c>
      <c r="D4585" t="s">
        <v>1723</v>
      </c>
      <c r="E4585" t="s">
        <v>8</v>
      </c>
      <c r="F4585" t="s">
        <v>10</v>
      </c>
      <c r="G4585" s="16">
        <v>201</v>
      </c>
      <c r="H4585" s="16">
        <v>231.15</v>
      </c>
      <c r="I4585" s="1">
        <v>46259</v>
      </c>
      <c r="J4585">
        <v>0</v>
      </c>
      <c r="K4585" t="s">
        <v>10934</v>
      </c>
      <c r="L4585" t="s">
        <v>11696</v>
      </c>
      <c r="M4585">
        <v>0</v>
      </c>
      <c r="N4585">
        <v>1</v>
      </c>
      <c r="O4585" t="s">
        <v>223</v>
      </c>
      <c r="P4585" s="17"/>
      <c r="Q4585" s="17" t="str">
        <f>_xlfn.XLOOKUP(Table2[[#This Row],[buyFromVendorNo]],'Next Day Scheduled'!A:A,'Pending Returns'!O:O,"NOT_FOUND")</f>
        <v>NOT_FOUND</v>
      </c>
    </row>
    <row r="4586" spans="1:17" x14ac:dyDescent="0.3">
      <c r="A4586" s="1">
        <v>46259</v>
      </c>
      <c r="B4586" t="s">
        <v>2687</v>
      </c>
      <c r="C4586" t="s">
        <v>562</v>
      </c>
      <c r="D4586" t="s">
        <v>563</v>
      </c>
      <c r="E4586" t="s">
        <v>8</v>
      </c>
      <c r="F4586" t="s">
        <v>10</v>
      </c>
      <c r="G4586" s="16">
        <v>3005.0898000000002</v>
      </c>
      <c r="H4586" s="16">
        <v>3455.8535000000002</v>
      </c>
      <c r="I4586" s="1">
        <v>46259</v>
      </c>
      <c r="J4586">
        <v>0</v>
      </c>
      <c r="K4586" t="s">
        <v>9946</v>
      </c>
      <c r="L4586" t="s">
        <v>11697</v>
      </c>
      <c r="M4586">
        <v>0</v>
      </c>
      <c r="N4586">
        <v>1</v>
      </c>
      <c r="O4586" t="s">
        <v>223</v>
      </c>
      <c r="P4586" s="17"/>
      <c r="Q4586" s="17" t="str">
        <f>_xlfn.XLOOKUP(Table2[[#This Row],[buyFromVendorNo]],'Next Day Scheduled'!A:A,'Pending Returns'!O:O,"NOT_FOUND")</f>
        <v>NOT_FOUND</v>
      </c>
    </row>
    <row r="4587" spans="1:17" x14ac:dyDescent="0.3">
      <c r="A4587" s="1">
        <v>46259</v>
      </c>
      <c r="B4587" t="s">
        <v>2205</v>
      </c>
      <c r="C4587" t="s">
        <v>1424</v>
      </c>
      <c r="D4587" t="s">
        <v>1425</v>
      </c>
      <c r="E4587" t="s">
        <v>8</v>
      </c>
      <c r="F4587" t="s">
        <v>10</v>
      </c>
      <c r="G4587" s="16">
        <v>77</v>
      </c>
      <c r="H4587" s="16">
        <v>88.55</v>
      </c>
      <c r="I4587" s="1">
        <v>46259</v>
      </c>
      <c r="J4587">
        <v>0</v>
      </c>
      <c r="K4587" t="s">
        <v>11282</v>
      </c>
      <c r="L4587" t="s">
        <v>11698</v>
      </c>
      <c r="M4587">
        <v>0</v>
      </c>
      <c r="N4587">
        <v>50</v>
      </c>
      <c r="O4587" t="s">
        <v>223</v>
      </c>
      <c r="P4587" s="17"/>
      <c r="Q4587" s="17" t="str">
        <f>_xlfn.XLOOKUP(Table2[[#This Row],[buyFromVendorNo]],'Next Day Scheduled'!A:A,'Pending Returns'!O:O,"NOT_FOUND")</f>
        <v>Posted Credit Note</v>
      </c>
    </row>
    <row r="4588" spans="1:17" x14ac:dyDescent="0.3">
      <c r="A4588" s="1">
        <v>46259</v>
      </c>
      <c r="B4588" t="s">
        <v>3296</v>
      </c>
      <c r="C4588" t="s">
        <v>79</v>
      </c>
      <c r="D4588" t="s">
        <v>80</v>
      </c>
      <c r="E4588" t="s">
        <v>8</v>
      </c>
      <c r="F4588" t="s">
        <v>10</v>
      </c>
      <c r="G4588" s="16">
        <v>964.77606000000003</v>
      </c>
      <c r="H4588" s="16">
        <v>1109.4924000000001</v>
      </c>
      <c r="I4588" s="1">
        <v>46259</v>
      </c>
      <c r="J4588">
        <v>0</v>
      </c>
      <c r="K4588" t="s">
        <v>10764</v>
      </c>
      <c r="L4588" t="s">
        <v>11699</v>
      </c>
      <c r="M4588">
        <v>0</v>
      </c>
      <c r="N4588">
        <v>2</v>
      </c>
      <c r="O4588" t="s">
        <v>223</v>
      </c>
      <c r="P4588" s="17"/>
      <c r="Q4588" s="17" t="str">
        <f>_xlfn.XLOOKUP(Table2[[#This Row],[buyFromVendorNo]],'Next Day Scheduled'!A:A,'Pending Returns'!O:O,"NOT_FOUND")</f>
        <v>NOT_FOUND</v>
      </c>
    </row>
    <row r="4589" spans="1:17" x14ac:dyDescent="0.3">
      <c r="A4589" s="1">
        <v>46259</v>
      </c>
      <c r="B4589" t="s">
        <v>3592</v>
      </c>
      <c r="C4589" t="s">
        <v>562</v>
      </c>
      <c r="D4589" t="s">
        <v>563</v>
      </c>
      <c r="E4589" t="s">
        <v>8</v>
      </c>
      <c r="F4589" t="s">
        <v>10</v>
      </c>
      <c r="G4589" s="16">
        <v>673.80089999999996</v>
      </c>
      <c r="H4589" s="16">
        <v>774.87103000000002</v>
      </c>
      <c r="I4589" s="1">
        <v>46259</v>
      </c>
      <c r="J4589">
        <v>0</v>
      </c>
      <c r="K4589" t="s">
        <v>10982</v>
      </c>
      <c r="L4589" t="s">
        <v>11700</v>
      </c>
      <c r="M4589">
        <v>0</v>
      </c>
      <c r="N4589">
        <v>1</v>
      </c>
      <c r="O4589" t="s">
        <v>223</v>
      </c>
      <c r="P4589" s="17"/>
      <c r="Q4589" s="17" t="str">
        <f>_xlfn.XLOOKUP(Table2[[#This Row],[buyFromVendorNo]],'Next Day Scheduled'!A:A,'Pending Returns'!O:O,"NOT_FOUND")</f>
        <v>NOT_FOUND</v>
      </c>
    </row>
    <row r="4590" spans="1:17" x14ac:dyDescent="0.3">
      <c r="A4590" s="1">
        <v>46259</v>
      </c>
      <c r="B4590" t="s">
        <v>1504</v>
      </c>
      <c r="C4590" t="s">
        <v>79</v>
      </c>
      <c r="D4590" t="s">
        <v>80</v>
      </c>
      <c r="E4590" t="s">
        <v>8</v>
      </c>
      <c r="F4590" t="s">
        <v>10</v>
      </c>
      <c r="G4590" s="16">
        <v>620.65629999999999</v>
      </c>
      <c r="H4590" s="16">
        <v>713.75476000000003</v>
      </c>
      <c r="I4590" s="1">
        <v>46259</v>
      </c>
      <c r="J4590">
        <v>0</v>
      </c>
      <c r="K4590" t="s">
        <v>8874</v>
      </c>
      <c r="L4590" t="s">
        <v>11701</v>
      </c>
      <c r="M4590">
        <v>0</v>
      </c>
      <c r="N4590">
        <v>2</v>
      </c>
      <c r="O4590" t="s">
        <v>223</v>
      </c>
      <c r="P4590" s="17"/>
      <c r="Q4590" s="17" t="str">
        <f>_xlfn.XLOOKUP(Table2[[#This Row],[buyFromVendorNo]],'Next Day Scheduled'!A:A,'Pending Returns'!O:O,"NOT_FOUND")</f>
        <v>NOT_FOUND</v>
      </c>
    </row>
    <row r="4591" spans="1:17" x14ac:dyDescent="0.3">
      <c r="A4591" s="1">
        <v>46259</v>
      </c>
      <c r="B4591" t="s">
        <v>1567</v>
      </c>
      <c r="C4591" t="s">
        <v>67</v>
      </c>
      <c r="D4591" t="s">
        <v>68</v>
      </c>
      <c r="E4591" t="s">
        <v>8</v>
      </c>
      <c r="F4591" t="s">
        <v>10</v>
      </c>
      <c r="G4591" s="16">
        <v>4383.5519999999997</v>
      </c>
      <c r="H4591" s="16">
        <v>5041.0844999999999</v>
      </c>
      <c r="I4591" s="1">
        <v>46259</v>
      </c>
      <c r="J4591">
        <v>0</v>
      </c>
      <c r="K4591" t="s">
        <v>11392</v>
      </c>
      <c r="L4591" t="s">
        <v>11702</v>
      </c>
      <c r="M4591">
        <v>0</v>
      </c>
      <c r="N4591">
        <v>1</v>
      </c>
      <c r="O4591" t="s">
        <v>223</v>
      </c>
      <c r="P4591" s="17"/>
      <c r="Q4591" s="17" t="str">
        <f>_xlfn.XLOOKUP(Table2[[#This Row],[buyFromVendorNo]],'Next Day Scheduled'!A:A,'Pending Returns'!O:O,"NOT_FOUND")</f>
        <v>NOT_FOUND</v>
      </c>
    </row>
    <row r="4592" spans="1:17" x14ac:dyDescent="0.3">
      <c r="A4592" s="1">
        <v>46259</v>
      </c>
      <c r="B4592" t="s">
        <v>3301</v>
      </c>
      <c r="C4592" t="s">
        <v>632</v>
      </c>
      <c r="D4592" t="s">
        <v>682</v>
      </c>
      <c r="E4592" t="s">
        <v>8</v>
      </c>
      <c r="F4592" t="s">
        <v>10</v>
      </c>
      <c r="G4592" s="16">
        <v>323</v>
      </c>
      <c r="H4592" s="16">
        <v>371.45</v>
      </c>
      <c r="I4592" s="1">
        <v>46259</v>
      </c>
      <c r="J4592">
        <v>0</v>
      </c>
      <c r="K4592" t="s">
        <v>9444</v>
      </c>
      <c r="L4592" t="s">
        <v>11703</v>
      </c>
      <c r="M4592">
        <v>0</v>
      </c>
      <c r="N4592">
        <v>1</v>
      </c>
      <c r="O4592" t="s">
        <v>223</v>
      </c>
      <c r="P4592" s="17"/>
      <c r="Q4592" s="17" t="str">
        <f>_xlfn.XLOOKUP(Table2[[#This Row],[buyFromVendorNo]],'Next Day Scheduled'!A:A,'Pending Returns'!O:O,"NOT_FOUND")</f>
        <v>NOT_FOUND</v>
      </c>
    </row>
    <row r="4593" spans="1:17" x14ac:dyDescent="0.3">
      <c r="A4593" s="1">
        <v>46259</v>
      </c>
      <c r="B4593" t="s">
        <v>1781</v>
      </c>
      <c r="C4593" t="s">
        <v>95</v>
      </c>
      <c r="D4593" t="s">
        <v>96</v>
      </c>
      <c r="E4593" t="s">
        <v>8</v>
      </c>
      <c r="F4593" t="s">
        <v>10</v>
      </c>
      <c r="G4593" s="16">
        <v>1155.7130999999999</v>
      </c>
      <c r="H4593" s="16">
        <v>1329.0700999999999</v>
      </c>
      <c r="I4593" s="1">
        <v>46259</v>
      </c>
      <c r="J4593">
        <v>0</v>
      </c>
      <c r="K4593" t="s">
        <v>10517</v>
      </c>
      <c r="L4593" t="s">
        <v>11704</v>
      </c>
      <c r="M4593">
        <v>0</v>
      </c>
      <c r="N4593">
        <v>1</v>
      </c>
      <c r="O4593" t="s">
        <v>223</v>
      </c>
      <c r="P4593" s="17"/>
      <c r="Q4593" s="17" t="str">
        <f>_xlfn.XLOOKUP(Table2[[#This Row],[buyFromVendorNo]],'Next Day Scheduled'!A:A,'Pending Returns'!O:O,"NOT_FOUND")</f>
        <v>NOT_FOUND</v>
      </c>
    </row>
    <row r="4594" spans="1:17" x14ac:dyDescent="0.3">
      <c r="A4594" s="1">
        <v>46259</v>
      </c>
      <c r="B4594" t="s">
        <v>3298</v>
      </c>
      <c r="C4594" t="s">
        <v>79</v>
      </c>
      <c r="D4594" t="s">
        <v>80</v>
      </c>
      <c r="E4594" t="s">
        <v>8</v>
      </c>
      <c r="F4594" t="s">
        <v>10</v>
      </c>
      <c r="G4594" s="16">
        <v>1976.2449999999999</v>
      </c>
      <c r="H4594" s="16">
        <v>2272.6819999999998</v>
      </c>
      <c r="I4594" s="1">
        <v>46259</v>
      </c>
      <c r="J4594">
        <v>0</v>
      </c>
      <c r="K4594" t="s">
        <v>10268</v>
      </c>
      <c r="L4594" t="s">
        <v>11705</v>
      </c>
      <c r="M4594">
        <v>0</v>
      </c>
      <c r="N4594">
        <v>2</v>
      </c>
      <c r="O4594" t="s">
        <v>223</v>
      </c>
      <c r="P4594" s="17"/>
      <c r="Q4594" s="17" t="str">
        <f>_xlfn.XLOOKUP(Table2[[#This Row],[buyFromVendorNo]],'Next Day Scheduled'!A:A,'Pending Returns'!O:O,"NOT_FOUND")</f>
        <v>NOT_FOUND</v>
      </c>
    </row>
    <row r="4595" spans="1:17" x14ac:dyDescent="0.3">
      <c r="A4595" s="1">
        <v>46259</v>
      </c>
      <c r="B4595" t="s">
        <v>3276</v>
      </c>
      <c r="C4595" t="s">
        <v>67</v>
      </c>
      <c r="D4595" t="s">
        <v>68</v>
      </c>
      <c r="E4595" t="s">
        <v>8</v>
      </c>
      <c r="F4595" t="s">
        <v>10</v>
      </c>
      <c r="G4595" s="16">
        <v>208.99996999999999</v>
      </c>
      <c r="H4595" s="16">
        <v>240.34997999999999</v>
      </c>
      <c r="I4595" s="1">
        <v>46259</v>
      </c>
      <c r="J4595">
        <v>0</v>
      </c>
      <c r="K4595" t="s">
        <v>9995</v>
      </c>
      <c r="L4595" t="s">
        <v>11706</v>
      </c>
      <c r="M4595">
        <v>0</v>
      </c>
      <c r="N4595">
        <v>1</v>
      </c>
      <c r="O4595" t="s">
        <v>223</v>
      </c>
      <c r="P4595" s="17"/>
      <c r="Q4595" s="17" t="str">
        <f>_xlfn.XLOOKUP(Table2[[#This Row],[buyFromVendorNo]],'Next Day Scheduled'!A:A,'Pending Returns'!O:O,"NOT_FOUND")</f>
        <v>NOT_FOUND</v>
      </c>
    </row>
    <row r="4596" spans="1:17" x14ac:dyDescent="0.3">
      <c r="A4596" s="58"/>
      <c r="B4596" s="59"/>
      <c r="C4596" s="59"/>
      <c r="D4596" s="59"/>
      <c r="E4596" s="59"/>
      <c r="F4596" s="59"/>
      <c r="G4596" s="60"/>
      <c r="H4596" s="60"/>
      <c r="I4596" s="58"/>
      <c r="J4596" s="59"/>
      <c r="K4596" s="59"/>
      <c r="L4596" s="58"/>
      <c r="M4596" s="59"/>
      <c r="N4596" s="59"/>
      <c r="O4596" s="59"/>
      <c r="P4596" s="59"/>
      <c r="Q4596" s="59"/>
    </row>
    <row r="4597" spans="1:17" x14ac:dyDescent="0.3">
      <c r="G4597" s="47"/>
      <c r="H4597" s="47"/>
    </row>
    <row r="4598" spans="1:17" x14ac:dyDescent="0.3">
      <c r="G4598" s="47"/>
      <c r="H4598" s="47"/>
    </row>
    <row r="4599" spans="1:17" x14ac:dyDescent="0.3">
      <c r="G4599" s="47"/>
      <c r="H4599" s="47"/>
    </row>
    <row r="4600" spans="1:17" x14ac:dyDescent="0.3">
      <c r="G4600" s="47"/>
      <c r="H4600" s="47"/>
    </row>
    <row r="4601" spans="1:17" x14ac:dyDescent="0.3">
      <c r="G4601" s="47"/>
      <c r="H4601" s="47"/>
    </row>
    <row r="4602" spans="1:17" x14ac:dyDescent="0.3">
      <c r="G4602" s="47"/>
      <c r="H4602" s="47"/>
    </row>
    <row r="4603" spans="1:17" x14ac:dyDescent="0.3">
      <c r="G4603" s="47"/>
      <c r="H4603" s="47"/>
    </row>
    <row r="4604" spans="1:17" x14ac:dyDescent="0.3">
      <c r="G4604" s="47"/>
      <c r="H4604" s="47"/>
    </row>
    <row r="4605" spans="1:17" x14ac:dyDescent="0.3">
      <c r="G4605" s="47"/>
      <c r="H4605" s="47"/>
    </row>
    <row r="4606" spans="1:17" x14ac:dyDescent="0.3">
      <c r="G4606" s="47"/>
      <c r="H4606" s="47"/>
    </row>
    <row r="4607" spans="1:17" x14ac:dyDescent="0.3">
      <c r="G4607" s="47"/>
      <c r="H4607" s="47"/>
    </row>
    <row r="4608" spans="1:17" x14ac:dyDescent="0.3">
      <c r="G4608" s="47"/>
      <c r="H4608" s="47"/>
    </row>
    <row r="4609" spans="7:8" x14ac:dyDescent="0.3">
      <c r="G4609" s="47"/>
      <c r="H4609" s="47"/>
    </row>
    <row r="4610" spans="7:8" x14ac:dyDescent="0.3">
      <c r="G4610" s="47"/>
      <c r="H4610" s="47"/>
    </row>
    <row r="4611" spans="7:8" x14ac:dyDescent="0.3">
      <c r="G4611" s="47"/>
      <c r="H4611" s="47"/>
    </row>
    <row r="4612" spans="7:8" x14ac:dyDescent="0.3">
      <c r="G4612" s="47"/>
      <c r="H4612" s="47"/>
    </row>
    <row r="4613" spans="7:8" x14ac:dyDescent="0.3">
      <c r="G4613" s="47"/>
      <c r="H4613" s="47"/>
    </row>
    <row r="4614" spans="7:8" x14ac:dyDescent="0.3">
      <c r="G4614" s="47"/>
      <c r="H4614" s="47"/>
    </row>
    <row r="4615" spans="7:8" x14ac:dyDescent="0.3">
      <c r="G4615" s="47"/>
      <c r="H4615" s="47"/>
    </row>
    <row r="4616" spans="7:8" x14ac:dyDescent="0.3">
      <c r="G4616" s="47"/>
      <c r="H4616" s="47"/>
    </row>
    <row r="4617" spans="7:8" x14ac:dyDescent="0.3">
      <c r="G4617" s="47"/>
      <c r="H4617" s="47"/>
    </row>
    <row r="4618" spans="7:8" x14ac:dyDescent="0.3">
      <c r="G4618" s="47"/>
      <c r="H4618" s="47"/>
    </row>
    <row r="4619" spans="7:8" x14ac:dyDescent="0.3">
      <c r="G4619" s="47"/>
      <c r="H4619" s="47"/>
    </row>
    <row r="4620" spans="7:8" x14ac:dyDescent="0.3">
      <c r="G4620" s="47"/>
      <c r="H4620" s="47"/>
    </row>
    <row r="4621" spans="7:8" x14ac:dyDescent="0.3">
      <c r="G4621" s="47"/>
      <c r="H4621" s="47"/>
    </row>
    <row r="4622" spans="7:8" x14ac:dyDescent="0.3">
      <c r="G4622" s="47"/>
      <c r="H4622" s="47"/>
    </row>
    <row r="4623" spans="7:8" x14ac:dyDescent="0.3">
      <c r="G4623" s="47"/>
      <c r="H4623" s="47"/>
    </row>
    <row r="4624" spans="7:8" x14ac:dyDescent="0.3">
      <c r="G4624" s="47"/>
      <c r="H4624" s="47"/>
    </row>
    <row r="4625" spans="7:8" x14ac:dyDescent="0.3">
      <c r="G4625" s="47"/>
      <c r="H4625" s="47"/>
    </row>
    <row r="4626" spans="7:8" x14ac:dyDescent="0.3">
      <c r="G4626" s="47"/>
      <c r="H4626" s="47"/>
    </row>
    <row r="4627" spans="7:8" x14ac:dyDescent="0.3">
      <c r="G4627" s="47"/>
      <c r="H4627" s="47"/>
    </row>
    <row r="4628" spans="7:8" x14ac:dyDescent="0.3">
      <c r="G4628" s="47"/>
      <c r="H4628" s="47"/>
    </row>
    <row r="4629" spans="7:8" x14ac:dyDescent="0.3">
      <c r="G4629" s="47"/>
      <c r="H4629" s="47"/>
    </row>
    <row r="4630" spans="7:8" x14ac:dyDescent="0.3">
      <c r="G4630" s="47"/>
      <c r="H4630" s="47"/>
    </row>
    <row r="4631" spans="7:8" x14ac:dyDescent="0.3">
      <c r="G4631" s="47"/>
      <c r="H4631" s="47"/>
    </row>
    <row r="4632" spans="7:8" x14ac:dyDescent="0.3">
      <c r="G4632" s="47"/>
      <c r="H4632" s="47"/>
    </row>
    <row r="4633" spans="7:8" x14ac:dyDescent="0.3">
      <c r="G4633" s="47"/>
      <c r="H4633" s="47"/>
    </row>
    <row r="4634" spans="7:8" x14ac:dyDescent="0.3">
      <c r="G4634" s="47"/>
      <c r="H4634" s="47"/>
    </row>
    <row r="4635" spans="7:8" x14ac:dyDescent="0.3">
      <c r="G4635" s="47"/>
      <c r="H4635" s="47"/>
    </row>
    <row r="4636" spans="7:8" x14ac:dyDescent="0.3">
      <c r="G4636" s="47"/>
      <c r="H4636" s="47"/>
    </row>
    <row r="4637" spans="7:8" x14ac:dyDescent="0.3">
      <c r="G4637" s="47"/>
      <c r="H4637" s="47"/>
    </row>
    <row r="4638" spans="7:8" x14ac:dyDescent="0.3">
      <c r="G4638" s="47"/>
      <c r="H4638" s="47"/>
    </row>
    <row r="4639" spans="7:8" x14ac:dyDescent="0.3">
      <c r="G4639" s="47"/>
      <c r="H4639" s="47"/>
    </row>
    <row r="4640" spans="7:8" x14ac:dyDescent="0.3">
      <c r="G4640" s="47"/>
      <c r="H4640" s="47"/>
    </row>
    <row r="4641" spans="7:8" x14ac:dyDescent="0.3">
      <c r="G4641" s="47"/>
      <c r="H4641" s="47"/>
    </row>
    <row r="4642" spans="7:8" x14ac:dyDescent="0.3">
      <c r="G4642" s="47"/>
      <c r="H4642" s="47"/>
    </row>
    <row r="4643" spans="7:8" x14ac:dyDescent="0.3">
      <c r="G4643" s="47"/>
      <c r="H4643" s="47"/>
    </row>
    <row r="4644" spans="7:8" x14ac:dyDescent="0.3">
      <c r="G4644" s="47"/>
      <c r="H4644" s="47"/>
    </row>
    <row r="4645" spans="7:8" x14ac:dyDescent="0.3">
      <c r="G4645" s="47"/>
      <c r="H4645" s="47"/>
    </row>
    <row r="4646" spans="7:8" x14ac:dyDescent="0.3">
      <c r="G4646" s="47"/>
      <c r="H4646" s="47"/>
    </row>
    <row r="4647" spans="7:8" x14ac:dyDescent="0.3">
      <c r="G4647" s="47"/>
      <c r="H4647" s="47"/>
    </row>
    <row r="4648" spans="7:8" x14ac:dyDescent="0.3">
      <c r="G4648" s="47"/>
      <c r="H4648" s="47"/>
    </row>
    <row r="4649" spans="7:8" x14ac:dyDescent="0.3">
      <c r="G4649" s="47"/>
      <c r="H4649" s="47"/>
    </row>
    <row r="4650" spans="7:8" x14ac:dyDescent="0.3">
      <c r="G4650" s="47"/>
      <c r="H4650" s="47"/>
    </row>
    <row r="4651" spans="7:8" x14ac:dyDescent="0.3">
      <c r="G4651" s="47"/>
      <c r="H4651" s="47"/>
    </row>
    <row r="4652" spans="7:8" x14ac:dyDescent="0.3">
      <c r="G4652" s="47"/>
      <c r="H4652" s="47"/>
    </row>
    <row r="4653" spans="7:8" x14ac:dyDescent="0.3">
      <c r="G4653" s="47"/>
      <c r="H4653" s="47"/>
    </row>
    <row r="4654" spans="7:8" x14ac:dyDescent="0.3">
      <c r="G4654" s="47"/>
      <c r="H4654" s="47"/>
    </row>
    <row r="4655" spans="7:8" x14ac:dyDescent="0.3">
      <c r="G4655" s="47"/>
      <c r="H4655" s="47"/>
    </row>
    <row r="4656" spans="7:8" x14ac:dyDescent="0.3">
      <c r="G4656" s="47"/>
      <c r="H4656" s="47"/>
    </row>
    <row r="4657" spans="7:8" x14ac:dyDescent="0.3">
      <c r="G4657" s="47"/>
      <c r="H4657" s="47"/>
    </row>
    <row r="4658" spans="7:8" x14ac:dyDescent="0.3">
      <c r="G4658" s="47"/>
      <c r="H4658" s="47"/>
    </row>
    <row r="4659" spans="7:8" x14ac:dyDescent="0.3">
      <c r="G4659" s="47"/>
      <c r="H4659" s="47"/>
    </row>
    <row r="4660" spans="7:8" x14ac:dyDescent="0.3">
      <c r="G4660" s="47"/>
      <c r="H4660" s="47"/>
    </row>
    <row r="4661" spans="7:8" x14ac:dyDescent="0.3">
      <c r="G4661" s="47"/>
      <c r="H4661" s="47"/>
    </row>
    <row r="4662" spans="7:8" x14ac:dyDescent="0.3">
      <c r="G4662" s="47"/>
      <c r="H4662" s="47"/>
    </row>
    <row r="4663" spans="7:8" x14ac:dyDescent="0.3">
      <c r="G4663" s="47"/>
      <c r="H4663" s="47"/>
    </row>
    <row r="4664" spans="7:8" x14ac:dyDescent="0.3">
      <c r="G4664" s="47"/>
      <c r="H4664" s="47"/>
    </row>
    <row r="4665" spans="7:8" x14ac:dyDescent="0.3">
      <c r="G4665" s="47"/>
      <c r="H4665" s="47"/>
    </row>
    <row r="4666" spans="7:8" x14ac:dyDescent="0.3">
      <c r="G4666" s="47"/>
      <c r="H4666" s="47"/>
    </row>
    <row r="4667" spans="7:8" x14ac:dyDescent="0.3">
      <c r="G4667" s="47"/>
      <c r="H4667" s="47"/>
    </row>
    <row r="4668" spans="7:8" x14ac:dyDescent="0.3">
      <c r="G4668" s="47"/>
      <c r="H4668" s="47"/>
    </row>
    <row r="4669" spans="7:8" x14ac:dyDescent="0.3">
      <c r="G4669" s="47"/>
      <c r="H4669" s="47"/>
    </row>
    <row r="4670" spans="7:8" x14ac:dyDescent="0.3">
      <c r="G4670" s="47"/>
      <c r="H4670" s="47"/>
    </row>
    <row r="4671" spans="7:8" x14ac:dyDescent="0.3">
      <c r="G4671" s="47"/>
      <c r="H4671" s="47"/>
    </row>
    <row r="4672" spans="7:8" x14ac:dyDescent="0.3">
      <c r="G4672" s="47"/>
      <c r="H4672" s="47"/>
    </row>
    <row r="4673" spans="7:8" x14ac:dyDescent="0.3">
      <c r="G4673" s="47"/>
      <c r="H4673" s="47"/>
    </row>
    <row r="4674" spans="7:8" x14ac:dyDescent="0.3">
      <c r="G4674" s="47"/>
      <c r="H4674" s="47"/>
    </row>
    <row r="4675" spans="7:8" x14ac:dyDescent="0.3">
      <c r="G4675" s="47"/>
      <c r="H4675" s="47"/>
    </row>
    <row r="4676" spans="7:8" x14ac:dyDescent="0.3">
      <c r="G4676" s="47"/>
      <c r="H4676" s="47"/>
    </row>
    <row r="4677" spans="7:8" x14ac:dyDescent="0.3">
      <c r="G4677" s="47"/>
      <c r="H4677" s="47"/>
    </row>
    <row r="4678" spans="7:8" x14ac:dyDescent="0.3">
      <c r="G4678" s="47"/>
      <c r="H4678" s="47"/>
    </row>
    <row r="4679" spans="7:8" x14ac:dyDescent="0.3">
      <c r="G4679" s="47"/>
      <c r="H4679" s="47"/>
    </row>
    <row r="4680" spans="7:8" x14ac:dyDescent="0.3">
      <c r="G4680" s="47"/>
      <c r="H4680" s="47"/>
    </row>
    <row r="4681" spans="7:8" x14ac:dyDescent="0.3">
      <c r="G4681" s="47"/>
      <c r="H4681" s="47"/>
    </row>
    <row r="4682" spans="7:8" x14ac:dyDescent="0.3">
      <c r="G4682" s="47"/>
      <c r="H4682" s="47"/>
    </row>
    <row r="4683" spans="7:8" x14ac:dyDescent="0.3">
      <c r="G4683" s="47"/>
      <c r="H4683" s="47"/>
    </row>
    <row r="4684" spans="7:8" x14ac:dyDescent="0.3">
      <c r="G4684" s="47"/>
      <c r="H4684" s="47"/>
    </row>
    <row r="4685" spans="7:8" x14ac:dyDescent="0.3">
      <c r="G4685" s="47"/>
      <c r="H4685" s="47"/>
    </row>
    <row r="4686" spans="7:8" x14ac:dyDescent="0.3">
      <c r="G4686" s="47"/>
      <c r="H4686" s="47"/>
    </row>
    <row r="4687" spans="7:8" x14ac:dyDescent="0.3">
      <c r="G4687" s="47"/>
      <c r="H4687" s="47"/>
    </row>
    <row r="4688" spans="7:8" x14ac:dyDescent="0.3">
      <c r="G4688" s="47"/>
      <c r="H4688" s="47"/>
    </row>
    <row r="4689" spans="7:8" x14ac:dyDescent="0.3">
      <c r="G4689" s="47"/>
      <c r="H4689" s="47"/>
    </row>
    <row r="4690" spans="7:8" x14ac:dyDescent="0.3">
      <c r="G4690" s="47"/>
      <c r="H4690" s="47"/>
    </row>
    <row r="4691" spans="7:8" x14ac:dyDescent="0.3">
      <c r="G4691" s="47"/>
      <c r="H4691" s="47"/>
    </row>
    <row r="4692" spans="7:8" x14ac:dyDescent="0.3">
      <c r="G4692" s="47"/>
      <c r="H4692" s="47"/>
    </row>
    <row r="4693" spans="7:8" x14ac:dyDescent="0.3">
      <c r="G4693" s="47"/>
      <c r="H4693" s="47"/>
    </row>
    <row r="4694" spans="7:8" x14ac:dyDescent="0.3">
      <c r="G4694" s="47"/>
      <c r="H4694" s="47"/>
    </row>
    <row r="4695" spans="7:8" x14ac:dyDescent="0.3">
      <c r="G4695" s="47"/>
      <c r="H4695" s="47"/>
    </row>
    <row r="4696" spans="7:8" x14ac:dyDescent="0.3">
      <c r="G4696" s="47"/>
      <c r="H4696" s="47"/>
    </row>
    <row r="4697" spans="7:8" x14ac:dyDescent="0.3">
      <c r="G4697" s="47"/>
      <c r="H4697" s="47"/>
    </row>
    <row r="4698" spans="7:8" x14ac:dyDescent="0.3">
      <c r="G4698" s="47"/>
      <c r="H4698" s="47"/>
    </row>
    <row r="4699" spans="7:8" x14ac:dyDescent="0.3">
      <c r="G4699" s="47"/>
      <c r="H4699" s="47"/>
    </row>
    <row r="4700" spans="7:8" x14ac:dyDescent="0.3">
      <c r="G4700" s="47"/>
      <c r="H4700" s="47"/>
    </row>
    <row r="4701" spans="7:8" x14ac:dyDescent="0.3">
      <c r="G4701" s="47"/>
      <c r="H4701" s="47"/>
    </row>
    <row r="4702" spans="7:8" x14ac:dyDescent="0.3">
      <c r="G4702" s="47"/>
      <c r="H4702" s="47"/>
    </row>
    <row r="4703" spans="7:8" x14ac:dyDescent="0.3">
      <c r="G4703" s="47"/>
      <c r="H4703" s="47"/>
    </row>
    <row r="4704" spans="7:8" x14ac:dyDescent="0.3">
      <c r="G4704" s="47"/>
      <c r="H4704" s="47"/>
    </row>
    <row r="4705" spans="7:8" x14ac:dyDescent="0.3">
      <c r="G4705" s="47"/>
      <c r="H4705" s="47"/>
    </row>
    <row r="4706" spans="7:8" x14ac:dyDescent="0.3">
      <c r="G4706" s="47"/>
      <c r="H4706" s="47"/>
    </row>
    <row r="4707" spans="7:8" x14ac:dyDescent="0.3">
      <c r="G4707" s="47"/>
      <c r="H4707" s="47"/>
    </row>
    <row r="4708" spans="7:8" x14ac:dyDescent="0.3">
      <c r="G4708" s="47"/>
      <c r="H4708" s="47"/>
    </row>
    <row r="4709" spans="7:8" x14ac:dyDescent="0.3">
      <c r="G4709" s="47"/>
      <c r="H4709" s="47"/>
    </row>
    <row r="4710" spans="7:8" x14ac:dyDescent="0.3">
      <c r="G4710" s="47"/>
      <c r="H4710" s="47"/>
    </row>
    <row r="4711" spans="7:8" x14ac:dyDescent="0.3">
      <c r="G4711" s="47"/>
      <c r="H4711" s="47"/>
    </row>
    <row r="4712" spans="7:8" x14ac:dyDescent="0.3">
      <c r="G4712" s="47"/>
      <c r="H4712" s="47"/>
    </row>
    <row r="4713" spans="7:8" x14ac:dyDescent="0.3">
      <c r="G4713" s="47"/>
      <c r="H4713" s="47"/>
    </row>
    <row r="4714" spans="7:8" x14ac:dyDescent="0.3">
      <c r="G4714" s="47"/>
      <c r="H4714" s="47"/>
    </row>
    <row r="4715" spans="7:8" x14ac:dyDescent="0.3">
      <c r="G4715" s="47"/>
      <c r="H4715" s="47"/>
    </row>
    <row r="4716" spans="7:8" x14ac:dyDescent="0.3">
      <c r="G4716" s="47"/>
      <c r="H4716" s="47"/>
    </row>
    <row r="4717" spans="7:8" x14ac:dyDescent="0.3">
      <c r="G4717" s="47"/>
      <c r="H4717" s="47"/>
    </row>
    <row r="4718" spans="7:8" x14ac:dyDescent="0.3">
      <c r="G4718" s="47"/>
      <c r="H4718" s="47"/>
    </row>
    <row r="4719" spans="7:8" x14ac:dyDescent="0.3">
      <c r="G4719" s="47"/>
      <c r="H4719" s="47"/>
    </row>
    <row r="4720" spans="7:8" x14ac:dyDescent="0.3">
      <c r="G4720" s="47"/>
      <c r="H4720" s="47"/>
    </row>
    <row r="4721" spans="7:8" x14ac:dyDescent="0.3">
      <c r="G4721" s="47"/>
      <c r="H4721" s="47"/>
    </row>
    <row r="4722" spans="7:8" x14ac:dyDescent="0.3">
      <c r="G4722" s="47"/>
      <c r="H4722" s="47"/>
    </row>
    <row r="4723" spans="7:8" x14ac:dyDescent="0.3">
      <c r="G4723" s="47"/>
      <c r="H4723" s="47"/>
    </row>
    <row r="4724" spans="7:8" x14ac:dyDescent="0.3">
      <c r="G4724" s="47"/>
      <c r="H4724" s="47"/>
    </row>
    <row r="4725" spans="7:8" x14ac:dyDescent="0.3">
      <c r="G4725" s="47"/>
      <c r="H4725" s="47"/>
    </row>
    <row r="4726" spans="7:8" x14ac:dyDescent="0.3">
      <c r="G4726" s="47"/>
      <c r="H4726" s="47"/>
    </row>
    <row r="4727" spans="7:8" x14ac:dyDescent="0.3">
      <c r="G4727" s="47"/>
      <c r="H4727" s="47"/>
    </row>
    <row r="4728" spans="7:8" x14ac:dyDescent="0.3">
      <c r="G4728" s="47"/>
      <c r="H4728" s="47"/>
    </row>
    <row r="4729" spans="7:8" x14ac:dyDescent="0.3">
      <c r="G4729" s="47"/>
      <c r="H4729" s="47"/>
    </row>
    <row r="4730" spans="7:8" x14ac:dyDescent="0.3">
      <c r="G4730" s="47"/>
      <c r="H4730" s="47"/>
    </row>
    <row r="4731" spans="7:8" x14ac:dyDescent="0.3">
      <c r="G4731" s="47"/>
      <c r="H4731" s="47"/>
    </row>
    <row r="4732" spans="7:8" x14ac:dyDescent="0.3">
      <c r="G4732" s="47"/>
      <c r="H4732" s="47"/>
    </row>
    <row r="4733" spans="7:8" x14ac:dyDescent="0.3">
      <c r="G4733" s="47"/>
      <c r="H4733" s="47"/>
    </row>
    <row r="4734" spans="7:8" x14ac:dyDescent="0.3">
      <c r="G4734" s="47"/>
      <c r="H4734" s="47"/>
    </row>
    <row r="4735" spans="7:8" x14ac:dyDescent="0.3">
      <c r="G4735" s="47"/>
      <c r="H4735" s="47"/>
    </row>
    <row r="4736" spans="7:8" x14ac:dyDescent="0.3">
      <c r="G4736" s="47"/>
      <c r="H4736" s="47"/>
    </row>
    <row r="4737" spans="7:8" x14ac:dyDescent="0.3">
      <c r="G4737" s="47"/>
      <c r="H4737" s="47"/>
    </row>
    <row r="4738" spans="7:8" x14ac:dyDescent="0.3">
      <c r="G4738" s="47"/>
      <c r="H4738" s="47"/>
    </row>
    <row r="4739" spans="7:8" x14ac:dyDescent="0.3">
      <c r="G4739" s="47"/>
      <c r="H4739" s="47"/>
    </row>
    <row r="4740" spans="7:8" x14ac:dyDescent="0.3">
      <c r="G4740" s="47"/>
      <c r="H4740" s="47"/>
    </row>
    <row r="4741" spans="7:8" x14ac:dyDescent="0.3">
      <c r="G4741" s="47"/>
      <c r="H4741" s="47"/>
    </row>
    <row r="4742" spans="7:8" x14ac:dyDescent="0.3">
      <c r="G4742" s="47"/>
      <c r="H4742" s="47"/>
    </row>
    <row r="4743" spans="7:8" x14ac:dyDescent="0.3">
      <c r="G4743" s="47"/>
      <c r="H4743" s="47"/>
    </row>
    <row r="4744" spans="7:8" x14ac:dyDescent="0.3">
      <c r="G4744" s="47"/>
      <c r="H4744" s="47"/>
    </row>
    <row r="4745" spans="7:8" x14ac:dyDescent="0.3">
      <c r="G4745" s="47"/>
      <c r="H4745" s="47"/>
    </row>
    <row r="4746" spans="7:8" x14ac:dyDescent="0.3">
      <c r="G4746" s="47"/>
      <c r="H4746" s="47"/>
    </row>
    <row r="4747" spans="7:8" x14ac:dyDescent="0.3">
      <c r="G4747" s="47"/>
      <c r="H4747" s="47"/>
    </row>
    <row r="4748" spans="7:8" x14ac:dyDescent="0.3">
      <c r="G4748" s="47"/>
      <c r="H4748" s="47"/>
    </row>
    <row r="4749" spans="7:8" x14ac:dyDescent="0.3">
      <c r="G4749" s="47"/>
      <c r="H4749" s="47"/>
    </row>
    <row r="4750" spans="7:8" x14ac:dyDescent="0.3">
      <c r="G4750" s="47"/>
      <c r="H4750" s="47"/>
    </row>
    <row r="4751" spans="7:8" x14ac:dyDescent="0.3">
      <c r="G4751" s="47"/>
      <c r="H4751" s="47"/>
    </row>
    <row r="4752" spans="7:8" x14ac:dyDescent="0.3">
      <c r="G4752" s="47"/>
      <c r="H4752" s="47"/>
    </row>
    <row r="4753" spans="7:8" x14ac:dyDescent="0.3">
      <c r="G4753" s="47"/>
      <c r="H4753" s="47"/>
    </row>
    <row r="4754" spans="7:8" x14ac:dyDescent="0.3">
      <c r="G4754" s="47"/>
      <c r="H4754" s="47"/>
    </row>
    <row r="4755" spans="7:8" x14ac:dyDescent="0.3">
      <c r="G4755" s="47"/>
      <c r="H4755" s="47"/>
    </row>
    <row r="4756" spans="7:8" x14ac:dyDescent="0.3">
      <c r="G4756" s="47"/>
      <c r="H4756" s="47"/>
    </row>
    <row r="4757" spans="7:8" x14ac:dyDescent="0.3">
      <c r="G4757" s="47"/>
      <c r="H4757" s="47"/>
    </row>
    <row r="4758" spans="7:8" x14ac:dyDescent="0.3">
      <c r="G4758" s="47"/>
      <c r="H4758" s="47"/>
    </row>
    <row r="4759" spans="7:8" x14ac:dyDescent="0.3">
      <c r="G4759" s="47"/>
      <c r="H4759" s="47"/>
    </row>
    <row r="4760" spans="7:8" x14ac:dyDescent="0.3">
      <c r="G4760" s="47"/>
      <c r="H4760" s="47"/>
    </row>
    <row r="4761" spans="7:8" x14ac:dyDescent="0.3">
      <c r="G4761" s="47"/>
      <c r="H4761" s="47"/>
    </row>
    <row r="4762" spans="7:8" x14ac:dyDescent="0.3">
      <c r="G4762" s="47"/>
      <c r="H4762" s="47"/>
    </row>
    <row r="4763" spans="7:8" x14ac:dyDescent="0.3">
      <c r="G4763" s="47"/>
      <c r="H4763" s="47"/>
    </row>
    <row r="4764" spans="7:8" x14ac:dyDescent="0.3">
      <c r="G4764" s="47"/>
      <c r="H4764" s="47"/>
    </row>
    <row r="4765" spans="7:8" x14ac:dyDescent="0.3">
      <c r="G4765" s="47"/>
      <c r="H4765" s="47"/>
    </row>
    <row r="4766" spans="7:8" x14ac:dyDescent="0.3">
      <c r="G4766" s="47"/>
      <c r="H4766" s="47"/>
    </row>
    <row r="4767" spans="7:8" x14ac:dyDescent="0.3">
      <c r="G4767" s="47"/>
      <c r="H4767" s="47"/>
    </row>
    <row r="4768" spans="7:8" x14ac:dyDescent="0.3">
      <c r="G4768" s="47"/>
      <c r="H4768" s="47"/>
    </row>
    <row r="4769" spans="7:8" x14ac:dyDescent="0.3">
      <c r="G4769" s="47"/>
      <c r="H4769" s="47"/>
    </row>
    <row r="4770" spans="7:8" x14ac:dyDescent="0.3">
      <c r="G4770" s="47"/>
      <c r="H4770" s="47"/>
    </row>
    <row r="4771" spans="7:8" x14ac:dyDescent="0.3">
      <c r="G4771" s="47"/>
      <c r="H4771" s="47"/>
    </row>
    <row r="4772" spans="7:8" x14ac:dyDescent="0.3">
      <c r="G4772" s="47"/>
      <c r="H4772" s="47"/>
    </row>
    <row r="4773" spans="7:8" x14ac:dyDescent="0.3">
      <c r="G4773" s="47"/>
      <c r="H4773" s="47"/>
    </row>
    <row r="4774" spans="7:8" x14ac:dyDescent="0.3">
      <c r="G4774" s="47"/>
      <c r="H4774" s="47"/>
    </row>
    <row r="4775" spans="7:8" x14ac:dyDescent="0.3">
      <c r="G4775" s="47"/>
      <c r="H4775" s="47"/>
    </row>
    <row r="4776" spans="7:8" x14ac:dyDescent="0.3">
      <c r="G4776" s="47"/>
      <c r="H4776" s="47"/>
    </row>
    <row r="4777" spans="7:8" x14ac:dyDescent="0.3">
      <c r="G4777" s="47"/>
      <c r="H4777" s="47"/>
    </row>
    <row r="4778" spans="7:8" x14ac:dyDescent="0.3">
      <c r="G4778" s="47"/>
      <c r="H4778" s="47"/>
    </row>
    <row r="4779" spans="7:8" x14ac:dyDescent="0.3">
      <c r="G4779" s="47"/>
      <c r="H4779" s="47"/>
    </row>
    <row r="4780" spans="7:8" x14ac:dyDescent="0.3">
      <c r="G4780" s="47"/>
      <c r="H4780" s="47"/>
    </row>
    <row r="4781" spans="7:8" x14ac:dyDescent="0.3">
      <c r="G4781" s="47"/>
      <c r="H4781" s="47"/>
    </row>
    <row r="4782" spans="7:8" x14ac:dyDescent="0.3">
      <c r="G4782" s="47"/>
      <c r="H4782" s="47"/>
    </row>
    <row r="4783" spans="7:8" x14ac:dyDescent="0.3">
      <c r="G4783" s="47"/>
      <c r="H4783" s="47"/>
    </row>
    <row r="4784" spans="7:8" x14ac:dyDescent="0.3">
      <c r="G4784" s="47"/>
      <c r="H4784" s="47"/>
    </row>
    <row r="4785" spans="7:8" x14ac:dyDescent="0.3">
      <c r="G4785" s="47"/>
      <c r="H4785" s="47"/>
    </row>
    <row r="4786" spans="7:8" x14ac:dyDescent="0.3">
      <c r="G4786" s="47"/>
      <c r="H4786" s="47"/>
    </row>
    <row r="4787" spans="7:8" x14ac:dyDescent="0.3">
      <c r="G4787" s="47"/>
      <c r="H4787" s="47"/>
    </row>
    <row r="4788" spans="7:8" x14ac:dyDescent="0.3">
      <c r="G4788" s="47"/>
      <c r="H4788" s="47"/>
    </row>
    <row r="4789" spans="7:8" x14ac:dyDescent="0.3">
      <c r="G4789" s="47"/>
      <c r="H4789" s="47"/>
    </row>
    <row r="4790" spans="7:8" x14ac:dyDescent="0.3">
      <c r="G4790" s="47"/>
      <c r="H4790" s="47"/>
    </row>
    <row r="4791" spans="7:8" x14ac:dyDescent="0.3">
      <c r="G4791" s="47"/>
      <c r="H4791" s="47"/>
    </row>
    <row r="4792" spans="7:8" x14ac:dyDescent="0.3">
      <c r="G4792" s="47"/>
      <c r="H4792" s="47"/>
    </row>
    <row r="4793" spans="7:8" x14ac:dyDescent="0.3">
      <c r="G4793" s="47"/>
      <c r="H4793" s="47"/>
    </row>
    <row r="4794" spans="7:8" x14ac:dyDescent="0.3">
      <c r="G4794" s="47"/>
      <c r="H4794" s="47"/>
    </row>
    <row r="4795" spans="7:8" x14ac:dyDescent="0.3">
      <c r="G4795" s="47"/>
      <c r="H4795" s="47"/>
    </row>
    <row r="4796" spans="7:8" x14ac:dyDescent="0.3">
      <c r="G4796" s="47"/>
      <c r="H4796" s="47"/>
    </row>
    <row r="4797" spans="7:8" x14ac:dyDescent="0.3">
      <c r="G4797" s="47"/>
      <c r="H4797" s="47"/>
    </row>
    <row r="4798" spans="7:8" x14ac:dyDescent="0.3">
      <c r="G4798" s="47"/>
      <c r="H4798" s="47"/>
    </row>
    <row r="4799" spans="7:8" x14ac:dyDescent="0.3">
      <c r="G4799" s="47"/>
      <c r="H4799" s="47"/>
    </row>
    <row r="4800" spans="7:8" x14ac:dyDescent="0.3">
      <c r="G4800" s="47"/>
      <c r="H4800" s="47"/>
    </row>
    <row r="4801" spans="7:8" x14ac:dyDescent="0.3">
      <c r="G4801" s="47"/>
      <c r="H4801" s="47"/>
    </row>
    <row r="4802" spans="7:8" x14ac:dyDescent="0.3">
      <c r="G4802" s="47"/>
      <c r="H4802" s="47"/>
    </row>
    <row r="4803" spans="7:8" x14ac:dyDescent="0.3">
      <c r="G4803" s="47"/>
      <c r="H4803" s="47"/>
    </row>
    <row r="4804" spans="7:8" x14ac:dyDescent="0.3">
      <c r="G4804" s="47"/>
      <c r="H4804" s="47"/>
    </row>
    <row r="4805" spans="7:8" x14ac:dyDescent="0.3">
      <c r="G4805" s="47"/>
      <c r="H4805" s="47"/>
    </row>
    <row r="4806" spans="7:8" x14ac:dyDescent="0.3">
      <c r="G4806" s="47"/>
      <c r="H4806" s="47"/>
    </row>
    <row r="4807" spans="7:8" x14ac:dyDescent="0.3">
      <c r="G4807" s="47"/>
      <c r="H4807" s="47"/>
    </row>
    <row r="4808" spans="7:8" x14ac:dyDescent="0.3">
      <c r="G4808" s="47"/>
      <c r="H4808" s="47"/>
    </row>
    <row r="4809" spans="7:8" x14ac:dyDescent="0.3">
      <c r="G4809" s="47"/>
      <c r="H4809" s="47"/>
    </row>
    <row r="4810" spans="7:8" x14ac:dyDescent="0.3">
      <c r="G4810" s="47"/>
      <c r="H4810" s="47"/>
    </row>
    <row r="4811" spans="7:8" x14ac:dyDescent="0.3">
      <c r="G4811" s="47"/>
      <c r="H4811" s="47"/>
    </row>
    <row r="4812" spans="7:8" x14ac:dyDescent="0.3">
      <c r="G4812" s="47"/>
      <c r="H4812" s="47"/>
    </row>
    <row r="4813" spans="7:8" x14ac:dyDescent="0.3">
      <c r="G4813" s="47"/>
      <c r="H4813" s="47"/>
    </row>
    <row r="4814" spans="7:8" x14ac:dyDescent="0.3">
      <c r="G4814" s="47"/>
      <c r="H4814" s="47"/>
    </row>
    <row r="4815" spans="7:8" x14ac:dyDescent="0.3">
      <c r="G4815" s="47"/>
      <c r="H4815" s="47"/>
    </row>
    <row r="4816" spans="7:8" x14ac:dyDescent="0.3">
      <c r="G4816" s="47"/>
      <c r="H4816" s="47"/>
    </row>
    <row r="4817" spans="7:8" x14ac:dyDescent="0.3">
      <c r="G4817" s="47"/>
      <c r="H4817" s="47"/>
    </row>
    <row r="4818" spans="7:8" x14ac:dyDescent="0.3">
      <c r="G4818" s="47"/>
      <c r="H4818" s="47"/>
    </row>
    <row r="4819" spans="7:8" x14ac:dyDescent="0.3">
      <c r="G4819" s="47"/>
      <c r="H4819" s="47"/>
    </row>
    <row r="4820" spans="7:8" x14ac:dyDescent="0.3">
      <c r="G4820" s="47"/>
      <c r="H4820" s="47"/>
    </row>
    <row r="4821" spans="7:8" x14ac:dyDescent="0.3">
      <c r="G4821" s="47"/>
      <c r="H4821" s="47"/>
    </row>
    <row r="4822" spans="7:8" x14ac:dyDescent="0.3">
      <c r="G4822" s="47"/>
      <c r="H4822" s="47"/>
    </row>
    <row r="4823" spans="7:8" x14ac:dyDescent="0.3">
      <c r="G4823" s="47"/>
      <c r="H4823" s="47"/>
    </row>
    <row r="4824" spans="7:8" x14ac:dyDescent="0.3">
      <c r="G4824" s="47"/>
      <c r="H4824" s="47"/>
    </row>
    <row r="4825" spans="7:8" x14ac:dyDescent="0.3">
      <c r="G4825" s="47"/>
      <c r="H4825" s="47"/>
    </row>
    <row r="4826" spans="7:8" x14ac:dyDescent="0.3">
      <c r="G4826" s="47"/>
      <c r="H4826" s="47"/>
    </row>
    <row r="4827" spans="7:8" x14ac:dyDescent="0.3">
      <c r="G4827" s="47"/>
      <c r="H4827" s="47"/>
    </row>
    <row r="4828" spans="7:8" x14ac:dyDescent="0.3">
      <c r="G4828" s="47"/>
      <c r="H4828" s="47"/>
    </row>
    <row r="4829" spans="7:8" x14ac:dyDescent="0.3">
      <c r="G4829" s="47"/>
      <c r="H4829" s="47"/>
    </row>
    <row r="4830" spans="7:8" x14ac:dyDescent="0.3">
      <c r="G4830" s="47"/>
      <c r="H4830" s="47"/>
    </row>
    <row r="4831" spans="7:8" x14ac:dyDescent="0.3">
      <c r="G4831" s="47"/>
      <c r="H4831" s="47"/>
    </row>
    <row r="4832" spans="7:8" x14ac:dyDescent="0.3">
      <c r="G4832" s="47"/>
      <c r="H4832" s="47"/>
    </row>
    <row r="4833" spans="7:8" x14ac:dyDescent="0.3">
      <c r="G4833" s="47"/>
      <c r="H4833" s="47"/>
    </row>
    <row r="4834" spans="7:8" x14ac:dyDescent="0.3">
      <c r="G4834" s="47"/>
      <c r="H4834" s="47"/>
    </row>
    <row r="4835" spans="7:8" x14ac:dyDescent="0.3">
      <c r="G4835" s="47"/>
      <c r="H4835" s="47"/>
    </row>
    <row r="4836" spans="7:8" x14ac:dyDescent="0.3">
      <c r="G4836" s="47"/>
      <c r="H4836" s="47"/>
    </row>
    <row r="4837" spans="7:8" x14ac:dyDescent="0.3">
      <c r="G4837" s="47"/>
      <c r="H4837" s="47"/>
    </row>
    <row r="4838" spans="7:8" x14ac:dyDescent="0.3">
      <c r="G4838" s="47"/>
      <c r="H4838" s="47"/>
    </row>
    <row r="4839" spans="7:8" x14ac:dyDescent="0.3">
      <c r="G4839" s="47"/>
      <c r="H4839" s="47"/>
    </row>
    <row r="4840" spans="7:8" x14ac:dyDescent="0.3">
      <c r="G4840" s="47"/>
      <c r="H4840" s="47"/>
    </row>
    <row r="4841" spans="7:8" x14ac:dyDescent="0.3">
      <c r="G4841" s="47"/>
      <c r="H4841" s="47"/>
    </row>
    <row r="4842" spans="7:8" x14ac:dyDescent="0.3">
      <c r="G4842" s="47"/>
      <c r="H4842" s="47"/>
    </row>
    <row r="4843" spans="7:8" x14ac:dyDescent="0.3">
      <c r="G4843" s="47"/>
      <c r="H4843" s="47"/>
    </row>
    <row r="4844" spans="7:8" x14ac:dyDescent="0.3">
      <c r="G4844" s="47"/>
      <c r="H4844" s="47"/>
    </row>
    <row r="4845" spans="7:8" x14ac:dyDescent="0.3">
      <c r="G4845" s="47"/>
      <c r="H4845" s="47"/>
    </row>
    <row r="4846" spans="7:8" x14ac:dyDescent="0.3">
      <c r="G4846" s="47"/>
      <c r="H4846" s="47"/>
    </row>
    <row r="4847" spans="7:8" x14ac:dyDescent="0.3">
      <c r="G4847" s="47"/>
      <c r="H4847" s="47"/>
    </row>
    <row r="4848" spans="7:8" x14ac:dyDescent="0.3">
      <c r="G4848" s="47"/>
      <c r="H4848" s="47"/>
    </row>
    <row r="4849" spans="7:8" x14ac:dyDescent="0.3">
      <c r="G4849" s="47"/>
      <c r="H4849" s="47"/>
    </row>
    <row r="4850" spans="7:8" x14ac:dyDescent="0.3">
      <c r="G4850" s="47"/>
      <c r="H4850" s="47"/>
    </row>
    <row r="4851" spans="7:8" x14ac:dyDescent="0.3">
      <c r="G4851" s="47"/>
      <c r="H4851" s="47"/>
    </row>
    <row r="4852" spans="7:8" x14ac:dyDescent="0.3">
      <c r="G4852" s="47"/>
      <c r="H4852" s="47"/>
    </row>
    <row r="4853" spans="7:8" x14ac:dyDescent="0.3">
      <c r="G4853" s="47"/>
      <c r="H4853" s="47"/>
    </row>
    <row r="4854" spans="7:8" x14ac:dyDescent="0.3">
      <c r="G4854" s="47"/>
      <c r="H4854" s="47"/>
    </row>
    <row r="4855" spans="7:8" x14ac:dyDescent="0.3">
      <c r="G4855" s="47"/>
      <c r="H4855" s="47"/>
    </row>
    <row r="4856" spans="7:8" x14ac:dyDescent="0.3">
      <c r="G4856" s="47"/>
      <c r="H4856" s="47"/>
    </row>
    <row r="4857" spans="7:8" x14ac:dyDescent="0.3">
      <c r="G4857" s="47"/>
      <c r="H4857" s="47"/>
    </row>
    <row r="4858" spans="7:8" x14ac:dyDescent="0.3">
      <c r="G4858" s="47"/>
      <c r="H4858" s="47"/>
    </row>
    <row r="4859" spans="7:8" x14ac:dyDescent="0.3">
      <c r="G4859" s="47"/>
      <c r="H4859" s="47"/>
    </row>
    <row r="4860" spans="7:8" x14ac:dyDescent="0.3">
      <c r="G4860" s="47"/>
      <c r="H4860" s="47"/>
    </row>
    <row r="4861" spans="7:8" x14ac:dyDescent="0.3">
      <c r="G4861" s="47"/>
      <c r="H4861" s="47"/>
    </row>
    <row r="4862" spans="7:8" x14ac:dyDescent="0.3">
      <c r="G4862" s="47"/>
      <c r="H4862" s="47"/>
    </row>
    <row r="4863" spans="7:8" x14ac:dyDescent="0.3">
      <c r="G4863" s="47"/>
      <c r="H4863" s="47"/>
    </row>
    <row r="4864" spans="7:8" x14ac:dyDescent="0.3">
      <c r="G4864" s="47"/>
      <c r="H4864" s="47"/>
    </row>
    <row r="4865" spans="7:8" x14ac:dyDescent="0.3">
      <c r="G4865" s="47"/>
      <c r="H4865" s="47"/>
    </row>
    <row r="4866" spans="7:8" x14ac:dyDescent="0.3">
      <c r="G4866" s="47"/>
      <c r="H4866" s="47"/>
    </row>
    <row r="4867" spans="7:8" x14ac:dyDescent="0.3">
      <c r="G4867" s="47"/>
      <c r="H4867" s="47"/>
    </row>
    <row r="4868" spans="7:8" x14ac:dyDescent="0.3">
      <c r="G4868" s="47"/>
      <c r="H4868" s="47"/>
    </row>
    <row r="4869" spans="7:8" x14ac:dyDescent="0.3">
      <c r="G4869" s="47"/>
      <c r="H4869" s="47"/>
    </row>
    <row r="4870" spans="7:8" x14ac:dyDescent="0.3">
      <c r="G4870" s="47"/>
      <c r="H4870" s="47"/>
    </row>
    <row r="4871" spans="7:8" x14ac:dyDescent="0.3">
      <c r="G4871" s="47"/>
      <c r="H4871" s="47"/>
    </row>
    <row r="4872" spans="7:8" x14ac:dyDescent="0.3">
      <c r="G4872" s="47"/>
      <c r="H4872" s="47"/>
    </row>
    <row r="4873" spans="7:8" x14ac:dyDescent="0.3">
      <c r="G4873" s="47"/>
      <c r="H4873" s="47"/>
    </row>
    <row r="4874" spans="7:8" x14ac:dyDescent="0.3">
      <c r="G4874" s="47"/>
      <c r="H4874" s="47"/>
    </row>
    <row r="4875" spans="7:8" x14ac:dyDescent="0.3">
      <c r="G4875" s="47"/>
      <c r="H4875" s="47"/>
    </row>
    <row r="4876" spans="7:8" x14ac:dyDescent="0.3">
      <c r="G4876" s="47"/>
      <c r="H4876" s="47"/>
    </row>
    <row r="4877" spans="7:8" x14ac:dyDescent="0.3">
      <c r="G4877" s="47"/>
      <c r="H4877" s="47"/>
    </row>
    <row r="4878" spans="7:8" x14ac:dyDescent="0.3">
      <c r="G4878" s="47"/>
      <c r="H4878" s="47"/>
    </row>
    <row r="4879" spans="7:8" x14ac:dyDescent="0.3">
      <c r="G4879" s="47"/>
      <c r="H4879" s="47"/>
    </row>
    <row r="4880" spans="7:8" x14ac:dyDescent="0.3">
      <c r="G4880" s="47"/>
      <c r="H4880" s="47"/>
    </row>
    <row r="4881" spans="7:8" x14ac:dyDescent="0.3">
      <c r="G4881" s="47"/>
      <c r="H4881" s="47"/>
    </row>
    <row r="4882" spans="7:8" x14ac:dyDescent="0.3">
      <c r="G4882" s="47"/>
      <c r="H4882" s="47"/>
    </row>
    <row r="4883" spans="7:8" x14ac:dyDescent="0.3">
      <c r="G4883" s="47"/>
      <c r="H4883" s="47"/>
    </row>
    <row r="4884" spans="7:8" x14ac:dyDescent="0.3">
      <c r="G4884" s="47"/>
      <c r="H4884" s="47"/>
    </row>
    <row r="4885" spans="7:8" x14ac:dyDescent="0.3">
      <c r="G4885" s="47"/>
      <c r="H4885" s="47"/>
    </row>
    <row r="4886" spans="7:8" x14ac:dyDescent="0.3">
      <c r="G4886" s="47"/>
      <c r="H4886" s="47"/>
    </row>
    <row r="4887" spans="7:8" x14ac:dyDescent="0.3">
      <c r="G4887" s="47"/>
      <c r="H4887" s="47"/>
    </row>
    <row r="4888" spans="7:8" x14ac:dyDescent="0.3">
      <c r="G4888" s="47"/>
      <c r="H4888" s="47"/>
    </row>
    <row r="4889" spans="7:8" x14ac:dyDescent="0.3">
      <c r="G4889" s="47"/>
      <c r="H4889" s="47"/>
    </row>
    <row r="4890" spans="7:8" x14ac:dyDescent="0.3">
      <c r="G4890" s="47"/>
      <c r="H4890" s="47"/>
    </row>
    <row r="4891" spans="7:8" x14ac:dyDescent="0.3">
      <c r="G4891" s="47"/>
      <c r="H4891" s="47"/>
    </row>
    <row r="4892" spans="7:8" x14ac:dyDescent="0.3">
      <c r="G4892" s="47"/>
      <c r="H4892" s="47"/>
    </row>
    <row r="4893" spans="7:8" x14ac:dyDescent="0.3">
      <c r="G4893" s="47"/>
      <c r="H4893" s="47"/>
    </row>
    <row r="4894" spans="7:8" x14ac:dyDescent="0.3">
      <c r="G4894" s="47"/>
      <c r="H4894" s="47"/>
    </row>
    <row r="4895" spans="7:8" x14ac:dyDescent="0.3">
      <c r="G4895" s="47"/>
      <c r="H4895" s="47"/>
    </row>
    <row r="4896" spans="7:8" x14ac:dyDescent="0.3">
      <c r="G4896" s="47"/>
      <c r="H4896" s="47"/>
    </row>
    <row r="4897" spans="7:8" x14ac:dyDescent="0.3">
      <c r="G4897" s="47"/>
      <c r="H4897" s="47"/>
    </row>
    <row r="4898" spans="7:8" x14ac:dyDescent="0.3">
      <c r="G4898" s="47"/>
      <c r="H4898" s="47"/>
    </row>
    <row r="4899" spans="7:8" x14ac:dyDescent="0.3">
      <c r="G4899" s="47"/>
      <c r="H4899" s="47"/>
    </row>
    <row r="4900" spans="7:8" x14ac:dyDescent="0.3">
      <c r="G4900" s="47"/>
      <c r="H4900" s="47"/>
    </row>
    <row r="4901" spans="7:8" x14ac:dyDescent="0.3">
      <c r="G4901" s="47"/>
      <c r="H4901" s="47"/>
    </row>
    <row r="4902" spans="7:8" x14ac:dyDescent="0.3">
      <c r="G4902" s="47"/>
      <c r="H4902" s="47"/>
    </row>
    <row r="4903" spans="7:8" x14ac:dyDescent="0.3">
      <c r="G4903" s="47"/>
      <c r="H4903" s="47"/>
    </row>
    <row r="4904" spans="7:8" x14ac:dyDescent="0.3">
      <c r="G4904" s="47"/>
      <c r="H4904" s="47"/>
    </row>
    <row r="4905" spans="7:8" x14ac:dyDescent="0.3">
      <c r="G4905" s="47"/>
      <c r="H4905" s="47"/>
    </row>
    <row r="4906" spans="7:8" x14ac:dyDescent="0.3">
      <c r="G4906" s="47"/>
      <c r="H4906" s="47"/>
    </row>
    <row r="4907" spans="7:8" x14ac:dyDescent="0.3">
      <c r="G4907" s="47"/>
      <c r="H4907" s="47"/>
    </row>
    <row r="4908" spans="7:8" x14ac:dyDescent="0.3">
      <c r="G4908" s="47"/>
      <c r="H4908" s="47"/>
    </row>
    <row r="4909" spans="7:8" x14ac:dyDescent="0.3">
      <c r="G4909" s="47"/>
      <c r="H4909" s="47"/>
    </row>
    <row r="4910" spans="7:8" x14ac:dyDescent="0.3">
      <c r="G4910" s="47"/>
      <c r="H4910" s="47"/>
    </row>
    <row r="4911" spans="7:8" x14ac:dyDescent="0.3">
      <c r="G4911" s="47"/>
      <c r="H4911" s="47"/>
    </row>
    <row r="4912" spans="7:8" x14ac:dyDescent="0.3">
      <c r="G4912" s="47"/>
      <c r="H4912" s="47"/>
    </row>
    <row r="4913" spans="7:8" x14ac:dyDescent="0.3">
      <c r="G4913" s="47"/>
      <c r="H4913" s="47"/>
    </row>
    <row r="4914" spans="7:8" x14ac:dyDescent="0.3">
      <c r="G4914" s="47"/>
      <c r="H4914" s="47"/>
    </row>
    <row r="4915" spans="7:8" x14ac:dyDescent="0.3">
      <c r="G4915" s="47"/>
      <c r="H4915" s="47"/>
    </row>
    <row r="4916" spans="7:8" x14ac:dyDescent="0.3">
      <c r="G4916" s="47"/>
      <c r="H4916" s="47"/>
    </row>
    <row r="4917" spans="7:8" x14ac:dyDescent="0.3">
      <c r="G4917" s="47"/>
      <c r="H4917" s="47"/>
    </row>
    <row r="4918" spans="7:8" x14ac:dyDescent="0.3">
      <c r="G4918" s="47"/>
      <c r="H4918" s="47"/>
    </row>
    <row r="4919" spans="7:8" x14ac:dyDescent="0.3">
      <c r="G4919" s="47"/>
      <c r="H4919" s="47"/>
    </row>
    <row r="4920" spans="7:8" x14ac:dyDescent="0.3">
      <c r="G4920" s="47"/>
      <c r="H4920" s="47"/>
    </row>
    <row r="4921" spans="7:8" x14ac:dyDescent="0.3">
      <c r="G4921" s="47"/>
      <c r="H4921" s="47"/>
    </row>
    <row r="4922" spans="7:8" x14ac:dyDescent="0.3">
      <c r="G4922" s="47"/>
      <c r="H4922" s="47"/>
    </row>
    <row r="4923" spans="7:8" x14ac:dyDescent="0.3">
      <c r="G4923" s="47"/>
      <c r="H4923" s="47"/>
    </row>
    <row r="4924" spans="7:8" x14ac:dyDescent="0.3">
      <c r="G4924" s="47"/>
      <c r="H4924" s="47"/>
    </row>
    <row r="4925" spans="7:8" x14ac:dyDescent="0.3">
      <c r="G4925" s="47"/>
      <c r="H4925" s="47"/>
    </row>
    <row r="4926" spans="7:8" x14ac:dyDescent="0.3">
      <c r="G4926" s="47"/>
      <c r="H4926" s="47"/>
    </row>
    <row r="4927" spans="7:8" x14ac:dyDescent="0.3">
      <c r="G4927" s="47"/>
      <c r="H4927" s="47"/>
    </row>
    <row r="4928" spans="7:8" x14ac:dyDescent="0.3">
      <c r="G4928" s="47"/>
      <c r="H4928" s="47"/>
    </row>
    <row r="4929" spans="7:8" x14ac:dyDescent="0.3">
      <c r="G4929" s="47"/>
      <c r="H4929" s="47"/>
    </row>
    <row r="4930" spans="7:8" x14ac:dyDescent="0.3">
      <c r="G4930" s="47"/>
      <c r="H4930" s="47"/>
    </row>
    <row r="4931" spans="7:8" x14ac:dyDescent="0.3">
      <c r="G4931" s="47"/>
      <c r="H4931" s="47"/>
    </row>
    <row r="4932" spans="7:8" x14ac:dyDescent="0.3">
      <c r="G4932" s="47"/>
      <c r="H4932" s="47"/>
    </row>
    <row r="4933" spans="7:8" x14ac:dyDescent="0.3">
      <c r="G4933" s="47"/>
      <c r="H4933" s="47"/>
    </row>
    <row r="4934" spans="7:8" x14ac:dyDescent="0.3">
      <c r="G4934" s="47"/>
      <c r="H4934" s="47"/>
    </row>
    <row r="4935" spans="7:8" x14ac:dyDescent="0.3">
      <c r="G4935" s="47"/>
      <c r="H4935" s="47"/>
    </row>
    <row r="4936" spans="7:8" x14ac:dyDescent="0.3">
      <c r="G4936" s="47"/>
      <c r="H4936" s="47"/>
    </row>
    <row r="4937" spans="7:8" x14ac:dyDescent="0.3">
      <c r="G4937" s="47"/>
      <c r="H4937" s="47"/>
    </row>
    <row r="4938" spans="7:8" x14ac:dyDescent="0.3">
      <c r="G4938" s="47"/>
      <c r="H4938" s="47"/>
    </row>
    <row r="4939" spans="7:8" x14ac:dyDescent="0.3">
      <c r="G4939" s="47"/>
      <c r="H4939" s="47"/>
    </row>
    <row r="4940" spans="7:8" x14ac:dyDescent="0.3">
      <c r="G4940" s="47"/>
      <c r="H4940" s="47"/>
    </row>
    <row r="4941" spans="7:8" x14ac:dyDescent="0.3">
      <c r="G4941" s="47"/>
      <c r="H4941" s="47"/>
    </row>
    <row r="4942" spans="7:8" x14ac:dyDescent="0.3">
      <c r="G4942" s="47"/>
      <c r="H4942" s="47"/>
    </row>
    <row r="4943" spans="7:8" x14ac:dyDescent="0.3">
      <c r="G4943" s="47"/>
      <c r="H4943" s="47"/>
    </row>
    <row r="4944" spans="7:8" x14ac:dyDescent="0.3">
      <c r="G4944" s="47"/>
      <c r="H4944" s="47"/>
    </row>
    <row r="4945" spans="7:8" x14ac:dyDescent="0.3">
      <c r="G4945" s="47"/>
      <c r="H4945" s="47"/>
    </row>
    <row r="4946" spans="7:8" x14ac:dyDescent="0.3">
      <c r="G4946" s="47"/>
      <c r="H4946" s="47"/>
    </row>
    <row r="4947" spans="7:8" x14ac:dyDescent="0.3">
      <c r="G4947" s="47"/>
      <c r="H4947" s="47"/>
    </row>
    <row r="4948" spans="7:8" x14ac:dyDescent="0.3">
      <c r="G4948" s="47"/>
      <c r="H4948" s="47"/>
    </row>
    <row r="4949" spans="7:8" x14ac:dyDescent="0.3">
      <c r="G4949" s="47"/>
      <c r="H4949" s="47"/>
    </row>
    <row r="4950" spans="7:8" x14ac:dyDescent="0.3">
      <c r="G4950" s="47"/>
      <c r="H4950" s="47"/>
    </row>
    <row r="4951" spans="7:8" x14ac:dyDescent="0.3">
      <c r="G4951" s="47"/>
      <c r="H4951" s="47"/>
    </row>
    <row r="4952" spans="7:8" x14ac:dyDescent="0.3">
      <c r="G4952" s="47"/>
      <c r="H4952" s="47"/>
    </row>
    <row r="4953" spans="7:8" x14ac:dyDescent="0.3">
      <c r="G4953" s="47"/>
      <c r="H4953" s="47"/>
    </row>
    <row r="4954" spans="7:8" x14ac:dyDescent="0.3">
      <c r="G4954" s="47"/>
      <c r="H4954" s="47"/>
    </row>
    <row r="4955" spans="7:8" x14ac:dyDescent="0.3">
      <c r="G4955" s="47"/>
      <c r="H4955" s="47"/>
    </row>
    <row r="4956" spans="7:8" x14ac:dyDescent="0.3">
      <c r="G4956" s="47"/>
      <c r="H4956" s="47"/>
    </row>
    <row r="4957" spans="7:8" x14ac:dyDescent="0.3">
      <c r="G4957" s="47"/>
      <c r="H4957" s="47"/>
    </row>
    <row r="4958" spans="7:8" x14ac:dyDescent="0.3">
      <c r="G4958" s="47"/>
      <c r="H4958" s="47"/>
    </row>
    <row r="4959" spans="7:8" x14ac:dyDescent="0.3">
      <c r="G4959" s="47"/>
      <c r="H4959" s="47"/>
    </row>
    <row r="4960" spans="7:8" x14ac:dyDescent="0.3">
      <c r="G4960" s="47"/>
      <c r="H4960" s="47"/>
    </row>
    <row r="4961" spans="7:8" x14ac:dyDescent="0.3">
      <c r="G4961" s="47"/>
      <c r="H4961" s="47"/>
    </row>
    <row r="4962" spans="7:8" x14ac:dyDescent="0.3">
      <c r="G4962" s="47"/>
      <c r="H4962" s="47"/>
    </row>
    <row r="4963" spans="7:8" x14ac:dyDescent="0.3">
      <c r="G4963" s="47"/>
      <c r="H4963" s="47"/>
    </row>
    <row r="4964" spans="7:8" x14ac:dyDescent="0.3">
      <c r="G4964" s="47"/>
      <c r="H4964" s="47"/>
    </row>
    <row r="4965" spans="7:8" x14ac:dyDescent="0.3">
      <c r="G4965" s="47"/>
      <c r="H4965" s="47"/>
    </row>
    <row r="4966" spans="7:8" x14ac:dyDescent="0.3">
      <c r="G4966" s="47"/>
      <c r="H4966" s="47"/>
    </row>
    <row r="4967" spans="7:8" x14ac:dyDescent="0.3">
      <c r="G4967" s="47"/>
      <c r="H4967" s="47"/>
    </row>
    <row r="4968" spans="7:8" x14ac:dyDescent="0.3">
      <c r="G4968" s="47"/>
      <c r="H4968" s="47"/>
    </row>
    <row r="4969" spans="7:8" x14ac:dyDescent="0.3">
      <c r="G4969" s="47"/>
      <c r="H4969" s="47"/>
    </row>
    <row r="4970" spans="7:8" x14ac:dyDescent="0.3">
      <c r="G4970" s="47"/>
      <c r="H4970" s="47"/>
    </row>
    <row r="4971" spans="7:8" x14ac:dyDescent="0.3">
      <c r="G4971" s="47"/>
      <c r="H4971" s="47"/>
    </row>
    <row r="4972" spans="7:8" x14ac:dyDescent="0.3">
      <c r="G4972" s="47"/>
      <c r="H4972" s="47"/>
    </row>
    <row r="4973" spans="7:8" x14ac:dyDescent="0.3">
      <c r="G4973" s="47"/>
      <c r="H4973" s="47"/>
    </row>
    <row r="4974" spans="7:8" x14ac:dyDescent="0.3">
      <c r="G4974" s="47"/>
      <c r="H4974" s="47"/>
    </row>
    <row r="4975" spans="7:8" x14ac:dyDescent="0.3">
      <c r="G4975" s="47"/>
      <c r="H4975" s="47"/>
    </row>
    <row r="4976" spans="7:8" x14ac:dyDescent="0.3">
      <c r="G4976" s="47"/>
      <c r="H4976" s="47"/>
    </row>
    <row r="4977" spans="7:8" x14ac:dyDescent="0.3">
      <c r="G4977" s="47"/>
      <c r="H4977" s="47"/>
    </row>
    <row r="4978" spans="7:8" x14ac:dyDescent="0.3">
      <c r="G4978" s="47"/>
      <c r="H4978" s="47"/>
    </row>
    <row r="4979" spans="7:8" x14ac:dyDescent="0.3">
      <c r="G4979" s="47"/>
      <c r="H4979" s="47"/>
    </row>
    <row r="4980" spans="7:8" x14ac:dyDescent="0.3">
      <c r="G4980" s="47"/>
      <c r="H4980" s="47"/>
    </row>
    <row r="4981" spans="7:8" x14ac:dyDescent="0.3">
      <c r="G4981" s="47"/>
      <c r="H4981" s="47"/>
    </row>
    <row r="4982" spans="7:8" x14ac:dyDescent="0.3">
      <c r="G4982" s="47"/>
      <c r="H4982" s="47"/>
    </row>
    <row r="4983" spans="7:8" x14ac:dyDescent="0.3">
      <c r="G4983" s="47"/>
      <c r="H4983" s="47"/>
    </row>
    <row r="4984" spans="7:8" x14ac:dyDescent="0.3">
      <c r="G4984" s="47"/>
      <c r="H4984" s="47"/>
    </row>
    <row r="4985" spans="7:8" x14ac:dyDescent="0.3">
      <c r="G4985" s="47"/>
      <c r="H4985" s="47"/>
    </row>
    <row r="4986" spans="7:8" x14ac:dyDescent="0.3">
      <c r="G4986" s="47"/>
      <c r="H4986" s="47"/>
    </row>
    <row r="4987" spans="7:8" x14ac:dyDescent="0.3">
      <c r="G4987" s="47"/>
      <c r="H4987" s="47"/>
    </row>
    <row r="4988" spans="7:8" x14ac:dyDescent="0.3">
      <c r="G4988" s="47"/>
      <c r="H4988" s="47"/>
    </row>
    <row r="4989" spans="7:8" x14ac:dyDescent="0.3">
      <c r="G4989" s="47"/>
      <c r="H4989" s="47"/>
    </row>
    <row r="4990" spans="7:8" x14ac:dyDescent="0.3">
      <c r="G4990" s="47"/>
      <c r="H4990" s="47"/>
    </row>
    <row r="4991" spans="7:8" x14ac:dyDescent="0.3">
      <c r="G4991" s="47"/>
      <c r="H4991" s="47"/>
    </row>
    <row r="4992" spans="7:8" x14ac:dyDescent="0.3">
      <c r="G4992" s="47"/>
      <c r="H4992" s="47"/>
    </row>
    <row r="4993" spans="7:8" x14ac:dyDescent="0.3">
      <c r="G4993" s="47"/>
      <c r="H4993" s="47"/>
    </row>
    <row r="4994" spans="7:8" x14ac:dyDescent="0.3">
      <c r="G4994" s="47"/>
      <c r="H4994" s="47"/>
    </row>
    <row r="4995" spans="7:8" x14ac:dyDescent="0.3">
      <c r="G4995" s="47"/>
      <c r="H4995" s="47"/>
    </row>
    <row r="4996" spans="7:8" x14ac:dyDescent="0.3">
      <c r="G4996" s="47"/>
      <c r="H4996" s="47"/>
    </row>
    <row r="4997" spans="7:8" x14ac:dyDescent="0.3">
      <c r="G4997" s="47"/>
      <c r="H4997" s="47"/>
    </row>
    <row r="4998" spans="7:8" x14ac:dyDescent="0.3">
      <c r="G4998" s="47"/>
      <c r="H4998" s="47"/>
    </row>
    <row r="4999" spans="7:8" x14ac:dyDescent="0.3">
      <c r="G4999" s="47"/>
      <c r="H4999" s="47"/>
    </row>
    <row r="5000" spans="7:8" x14ac:dyDescent="0.3">
      <c r="G5000" s="47"/>
      <c r="H5000" s="47"/>
    </row>
    <row r="5001" spans="7:8" x14ac:dyDescent="0.3">
      <c r="G5001" s="47"/>
      <c r="H5001" s="47"/>
    </row>
    <row r="5002" spans="7:8" x14ac:dyDescent="0.3">
      <c r="G5002" s="47"/>
      <c r="H5002" s="47"/>
    </row>
    <row r="5003" spans="7:8" x14ac:dyDescent="0.3">
      <c r="G5003" s="47"/>
      <c r="H5003" s="47"/>
    </row>
    <row r="5004" spans="7:8" x14ac:dyDescent="0.3">
      <c r="G5004" s="47"/>
      <c r="H5004" s="47"/>
    </row>
    <row r="5005" spans="7:8" x14ac:dyDescent="0.3">
      <c r="G5005" s="47"/>
      <c r="H5005" s="47"/>
    </row>
    <row r="5006" spans="7:8" x14ac:dyDescent="0.3">
      <c r="G5006" s="47"/>
      <c r="H5006" s="47"/>
    </row>
    <row r="5007" spans="7:8" x14ac:dyDescent="0.3">
      <c r="G5007" s="47"/>
      <c r="H5007" s="47"/>
    </row>
    <row r="5008" spans="7:8" x14ac:dyDescent="0.3">
      <c r="G5008" s="47"/>
      <c r="H5008" s="47"/>
    </row>
    <row r="5009" spans="7:8" x14ac:dyDescent="0.3">
      <c r="G5009" s="47"/>
      <c r="H5009" s="47"/>
    </row>
    <row r="5010" spans="7:8" x14ac:dyDescent="0.3">
      <c r="G5010" s="47"/>
      <c r="H5010" s="47"/>
    </row>
    <row r="5011" spans="7:8" x14ac:dyDescent="0.3">
      <c r="G5011" s="47"/>
      <c r="H5011" s="47"/>
    </row>
    <row r="5012" spans="7:8" x14ac:dyDescent="0.3">
      <c r="G5012" s="47"/>
      <c r="H5012" s="47"/>
    </row>
    <row r="5013" spans="7:8" x14ac:dyDescent="0.3">
      <c r="G5013" s="47"/>
      <c r="H5013" s="47"/>
    </row>
    <row r="5014" spans="7:8" x14ac:dyDescent="0.3">
      <c r="G5014" s="47"/>
      <c r="H5014" s="47"/>
    </row>
    <row r="5015" spans="7:8" x14ac:dyDescent="0.3">
      <c r="G5015" s="47"/>
      <c r="H5015" s="47"/>
    </row>
    <row r="5016" spans="7:8" x14ac:dyDescent="0.3">
      <c r="G5016" s="47"/>
      <c r="H5016" s="47"/>
    </row>
    <row r="5017" spans="7:8" x14ac:dyDescent="0.3">
      <c r="G5017" s="47"/>
      <c r="H5017" s="47"/>
    </row>
    <row r="5018" spans="7:8" x14ac:dyDescent="0.3">
      <c r="G5018" s="47"/>
      <c r="H5018" s="47"/>
    </row>
    <row r="5019" spans="7:8" x14ac:dyDescent="0.3">
      <c r="G5019" s="47"/>
      <c r="H5019" s="47"/>
    </row>
    <row r="5020" spans="7:8" x14ac:dyDescent="0.3">
      <c r="G5020" s="47"/>
      <c r="H5020" s="47"/>
    </row>
    <row r="5021" spans="7:8" x14ac:dyDescent="0.3">
      <c r="G5021" s="47"/>
      <c r="H5021" s="47"/>
    </row>
    <row r="5022" spans="7:8" x14ac:dyDescent="0.3">
      <c r="G5022" s="47"/>
      <c r="H5022" s="47"/>
    </row>
    <row r="5023" spans="7:8" x14ac:dyDescent="0.3">
      <c r="G5023" s="47"/>
      <c r="H5023" s="47"/>
    </row>
    <row r="5024" spans="7:8" x14ac:dyDescent="0.3">
      <c r="G5024" s="47"/>
      <c r="H5024" s="47"/>
    </row>
    <row r="5025" spans="7:8" x14ac:dyDescent="0.3">
      <c r="G5025" s="47"/>
      <c r="H5025" s="47"/>
    </row>
    <row r="5026" spans="7:8" x14ac:dyDescent="0.3">
      <c r="G5026" s="47"/>
      <c r="H5026" s="47"/>
    </row>
    <row r="5027" spans="7:8" x14ac:dyDescent="0.3">
      <c r="G5027" s="47"/>
      <c r="H5027" s="47"/>
    </row>
    <row r="5028" spans="7:8" x14ac:dyDescent="0.3">
      <c r="G5028" s="47"/>
      <c r="H5028" s="47"/>
    </row>
    <row r="5029" spans="7:8" x14ac:dyDescent="0.3">
      <c r="G5029" s="47"/>
      <c r="H5029" s="47"/>
    </row>
    <row r="5030" spans="7:8" x14ac:dyDescent="0.3">
      <c r="G5030" s="47"/>
      <c r="H5030" s="47"/>
    </row>
    <row r="5031" spans="7:8" x14ac:dyDescent="0.3">
      <c r="G5031" s="47"/>
      <c r="H5031" s="47"/>
    </row>
    <row r="5032" spans="7:8" x14ac:dyDescent="0.3">
      <c r="G5032" s="47"/>
      <c r="H5032" s="47"/>
    </row>
    <row r="5033" spans="7:8" x14ac:dyDescent="0.3">
      <c r="G5033" s="47"/>
      <c r="H5033" s="47"/>
    </row>
    <row r="5034" spans="7:8" x14ac:dyDescent="0.3">
      <c r="G5034" s="47"/>
      <c r="H5034" s="47"/>
    </row>
    <row r="5035" spans="7:8" x14ac:dyDescent="0.3">
      <c r="G5035" s="47"/>
      <c r="H5035" s="47"/>
    </row>
    <row r="5036" spans="7:8" x14ac:dyDescent="0.3">
      <c r="G5036" s="47"/>
      <c r="H5036" s="47"/>
    </row>
    <row r="5037" spans="7:8" x14ac:dyDescent="0.3">
      <c r="G5037" s="47"/>
      <c r="H5037" s="47"/>
    </row>
    <row r="5038" spans="7:8" x14ac:dyDescent="0.3">
      <c r="G5038" s="47"/>
      <c r="H5038" s="47"/>
    </row>
    <row r="5039" spans="7:8" x14ac:dyDescent="0.3">
      <c r="G5039" s="47"/>
      <c r="H5039" s="47"/>
    </row>
    <row r="5040" spans="7:8" x14ac:dyDescent="0.3">
      <c r="G5040" s="47"/>
      <c r="H5040" s="47"/>
    </row>
    <row r="5041" spans="7:8" x14ac:dyDescent="0.3">
      <c r="G5041" s="47"/>
      <c r="H5041" s="47"/>
    </row>
    <row r="5042" spans="7:8" x14ac:dyDescent="0.3">
      <c r="G5042" s="47"/>
      <c r="H5042" s="47"/>
    </row>
    <row r="5043" spans="7:8" x14ac:dyDescent="0.3">
      <c r="G5043" s="47"/>
      <c r="H5043" s="47"/>
    </row>
    <row r="5044" spans="7:8" x14ac:dyDescent="0.3">
      <c r="G5044" s="47"/>
      <c r="H5044" s="47"/>
    </row>
    <row r="5045" spans="7:8" x14ac:dyDescent="0.3">
      <c r="G5045" s="47"/>
      <c r="H5045" s="47"/>
    </row>
    <row r="5046" spans="7:8" x14ac:dyDescent="0.3">
      <c r="G5046" s="47"/>
      <c r="H5046" s="47"/>
    </row>
    <row r="5047" spans="7:8" x14ac:dyDescent="0.3">
      <c r="G5047" s="47"/>
      <c r="H5047" s="47"/>
    </row>
    <row r="5048" spans="7:8" x14ac:dyDescent="0.3">
      <c r="G5048" s="47"/>
      <c r="H5048" s="47"/>
    </row>
    <row r="5049" spans="7:8" x14ac:dyDescent="0.3">
      <c r="G5049" s="47"/>
      <c r="H5049" s="47"/>
    </row>
    <row r="5050" spans="7:8" x14ac:dyDescent="0.3">
      <c r="G5050" s="47"/>
      <c r="H5050" s="47"/>
    </row>
    <row r="5051" spans="7:8" x14ac:dyDescent="0.3">
      <c r="G5051" s="47"/>
      <c r="H5051" s="47"/>
    </row>
    <row r="5052" spans="7:8" x14ac:dyDescent="0.3">
      <c r="G5052" s="47"/>
      <c r="H5052" s="47"/>
    </row>
    <row r="5053" spans="7:8" x14ac:dyDescent="0.3">
      <c r="G5053" s="47"/>
      <c r="H5053" s="47"/>
    </row>
    <row r="5054" spans="7:8" x14ac:dyDescent="0.3">
      <c r="G5054" s="47"/>
      <c r="H5054" s="47"/>
    </row>
    <row r="5055" spans="7:8" x14ac:dyDescent="0.3">
      <c r="G5055" s="47"/>
      <c r="H5055" s="47"/>
    </row>
    <row r="5056" spans="7:8" x14ac:dyDescent="0.3">
      <c r="G5056" s="47"/>
      <c r="H5056" s="47"/>
    </row>
    <row r="5057" spans="7:8" x14ac:dyDescent="0.3">
      <c r="G5057" s="47"/>
      <c r="H5057" s="47"/>
    </row>
    <row r="5058" spans="7:8" x14ac:dyDescent="0.3">
      <c r="G5058" s="47"/>
      <c r="H5058" s="47"/>
    </row>
    <row r="5059" spans="7:8" x14ac:dyDescent="0.3">
      <c r="G5059" s="47"/>
      <c r="H5059" s="47"/>
    </row>
    <row r="5060" spans="7:8" x14ac:dyDescent="0.3">
      <c r="G5060" s="47"/>
      <c r="H5060" s="47"/>
    </row>
    <row r="5061" spans="7:8" x14ac:dyDescent="0.3">
      <c r="G5061" s="47"/>
      <c r="H5061" s="47"/>
    </row>
    <row r="5062" spans="7:8" x14ac:dyDescent="0.3">
      <c r="G5062" s="47"/>
      <c r="H5062" s="47"/>
    </row>
    <row r="5063" spans="7:8" x14ac:dyDescent="0.3">
      <c r="G5063" s="47"/>
      <c r="H5063" s="47"/>
    </row>
    <row r="5064" spans="7:8" x14ac:dyDescent="0.3">
      <c r="G5064" s="47"/>
      <c r="H5064" s="47"/>
    </row>
    <row r="5065" spans="7:8" x14ac:dyDescent="0.3">
      <c r="G5065" s="47"/>
      <c r="H5065" s="47"/>
    </row>
    <row r="5066" spans="7:8" x14ac:dyDescent="0.3">
      <c r="G5066" s="47"/>
      <c r="H5066" s="47"/>
    </row>
    <row r="5067" spans="7:8" x14ac:dyDescent="0.3">
      <c r="G5067" s="47"/>
      <c r="H5067" s="47"/>
    </row>
    <row r="5068" spans="7:8" x14ac:dyDescent="0.3">
      <c r="G5068" s="47"/>
      <c r="H5068" s="47"/>
    </row>
    <row r="5069" spans="7:8" x14ac:dyDescent="0.3">
      <c r="G5069" s="47"/>
      <c r="H5069" s="47"/>
    </row>
    <row r="5070" spans="7:8" x14ac:dyDescent="0.3">
      <c r="G5070" s="47"/>
      <c r="H5070" s="47"/>
    </row>
    <row r="5071" spans="7:8" x14ac:dyDescent="0.3">
      <c r="G5071" s="47"/>
      <c r="H5071" s="47"/>
    </row>
    <row r="5072" spans="7:8" x14ac:dyDescent="0.3">
      <c r="G5072" s="47"/>
      <c r="H5072" s="47"/>
    </row>
    <row r="5073" spans="7:8" x14ac:dyDescent="0.3">
      <c r="G5073" s="47"/>
      <c r="H5073" s="47"/>
    </row>
    <row r="5074" spans="7:8" x14ac:dyDescent="0.3">
      <c r="G5074" s="47"/>
      <c r="H5074" s="47"/>
    </row>
    <row r="5075" spans="7:8" x14ac:dyDescent="0.3">
      <c r="G5075" s="47"/>
      <c r="H5075" s="47"/>
    </row>
    <row r="5076" spans="7:8" x14ac:dyDescent="0.3">
      <c r="G5076" s="47"/>
      <c r="H5076" s="47"/>
    </row>
    <row r="5077" spans="7:8" x14ac:dyDescent="0.3">
      <c r="G5077" s="47"/>
      <c r="H5077" s="47"/>
    </row>
    <row r="5078" spans="7:8" x14ac:dyDescent="0.3">
      <c r="G5078" s="47"/>
      <c r="H5078" s="47"/>
    </row>
    <row r="5079" spans="7:8" x14ac:dyDescent="0.3">
      <c r="G5079" s="47"/>
      <c r="H5079" s="47"/>
    </row>
    <row r="5080" spans="7:8" x14ac:dyDescent="0.3">
      <c r="G5080" s="47"/>
      <c r="H5080" s="47"/>
    </row>
    <row r="5081" spans="7:8" x14ac:dyDescent="0.3">
      <c r="G5081" s="47"/>
      <c r="H5081" s="47"/>
    </row>
    <row r="5082" spans="7:8" x14ac:dyDescent="0.3">
      <c r="G5082" s="47"/>
      <c r="H5082" s="47"/>
    </row>
    <row r="5083" spans="7:8" x14ac:dyDescent="0.3">
      <c r="G5083" s="47"/>
      <c r="H5083" s="47"/>
    </row>
    <row r="5084" spans="7:8" x14ac:dyDescent="0.3">
      <c r="G5084" s="47"/>
      <c r="H5084" s="47"/>
    </row>
    <row r="5085" spans="7:8" x14ac:dyDescent="0.3">
      <c r="G5085" s="47"/>
      <c r="H5085" s="47"/>
    </row>
    <row r="5086" spans="7:8" x14ac:dyDescent="0.3">
      <c r="G5086" s="47"/>
      <c r="H5086" s="47"/>
    </row>
    <row r="5087" spans="7:8" x14ac:dyDescent="0.3">
      <c r="G5087" s="47"/>
      <c r="H5087" s="47"/>
    </row>
    <row r="5088" spans="7:8" x14ac:dyDescent="0.3">
      <c r="G5088" s="47"/>
      <c r="H5088" s="47"/>
    </row>
    <row r="5089" spans="7:8" x14ac:dyDescent="0.3">
      <c r="G5089" s="47"/>
      <c r="H5089" s="47"/>
    </row>
    <row r="5090" spans="7:8" x14ac:dyDescent="0.3">
      <c r="G5090" s="47"/>
      <c r="H5090" s="47"/>
    </row>
    <row r="5091" spans="7:8" x14ac:dyDescent="0.3">
      <c r="G5091" s="47"/>
      <c r="H5091" s="47"/>
    </row>
    <row r="5092" spans="7:8" x14ac:dyDescent="0.3">
      <c r="G5092" s="47"/>
      <c r="H5092" s="47"/>
    </row>
    <row r="5093" spans="7:8" x14ac:dyDescent="0.3">
      <c r="G5093" s="47"/>
      <c r="H5093" s="47"/>
    </row>
    <row r="5094" spans="7:8" x14ac:dyDescent="0.3">
      <c r="G5094" s="47"/>
      <c r="H5094" s="47"/>
    </row>
    <row r="5095" spans="7:8" x14ac:dyDescent="0.3">
      <c r="G5095" s="47"/>
      <c r="H5095" s="47"/>
    </row>
    <row r="5096" spans="7:8" x14ac:dyDescent="0.3">
      <c r="G5096" s="47"/>
      <c r="H5096" s="47"/>
    </row>
    <row r="5097" spans="7:8" x14ac:dyDescent="0.3">
      <c r="G5097" s="47"/>
      <c r="H5097" s="47"/>
    </row>
    <row r="5098" spans="7:8" x14ac:dyDescent="0.3">
      <c r="G5098" s="47"/>
      <c r="H5098" s="47"/>
    </row>
    <row r="5099" spans="7:8" x14ac:dyDescent="0.3">
      <c r="G5099" s="47"/>
      <c r="H5099" s="47"/>
    </row>
    <row r="5100" spans="7:8" x14ac:dyDescent="0.3">
      <c r="G5100" s="47"/>
      <c r="H5100" s="47"/>
    </row>
    <row r="5101" spans="7:8" x14ac:dyDescent="0.3">
      <c r="G5101" s="47"/>
      <c r="H5101" s="47"/>
    </row>
    <row r="5102" spans="7:8" x14ac:dyDescent="0.3">
      <c r="G5102" s="47"/>
      <c r="H5102" s="47"/>
    </row>
    <row r="5103" spans="7:8" x14ac:dyDescent="0.3">
      <c r="G5103" s="47"/>
      <c r="H5103" s="47"/>
    </row>
    <row r="5104" spans="7:8" x14ac:dyDescent="0.3">
      <c r="G5104" s="47"/>
      <c r="H5104" s="47"/>
    </row>
    <row r="5105" spans="7:8" x14ac:dyDescent="0.3">
      <c r="G5105" s="47"/>
      <c r="H5105" s="47"/>
    </row>
    <row r="5106" spans="7:8" x14ac:dyDescent="0.3">
      <c r="G5106" s="47"/>
      <c r="H5106" s="47"/>
    </row>
    <row r="5107" spans="7:8" x14ac:dyDescent="0.3">
      <c r="G5107" s="47"/>
      <c r="H5107" s="47"/>
    </row>
    <row r="5108" spans="7:8" x14ac:dyDescent="0.3">
      <c r="G5108" s="47"/>
      <c r="H5108" s="47"/>
    </row>
    <row r="5109" spans="7:8" x14ac:dyDescent="0.3">
      <c r="G5109" s="47"/>
      <c r="H5109" s="47"/>
    </row>
    <row r="5110" spans="7:8" x14ac:dyDescent="0.3">
      <c r="G5110" s="47"/>
      <c r="H5110" s="47"/>
    </row>
    <row r="5111" spans="7:8" x14ac:dyDescent="0.3">
      <c r="G5111" s="47"/>
      <c r="H5111" s="47"/>
    </row>
    <row r="5112" spans="7:8" x14ac:dyDescent="0.3">
      <c r="G5112" s="47"/>
      <c r="H5112" s="47"/>
    </row>
    <row r="5113" spans="7:8" x14ac:dyDescent="0.3">
      <c r="G5113" s="47"/>
      <c r="H5113" s="47"/>
    </row>
    <row r="5114" spans="7:8" x14ac:dyDescent="0.3">
      <c r="G5114" s="47"/>
      <c r="H5114" s="47"/>
    </row>
    <row r="5115" spans="7:8" x14ac:dyDescent="0.3">
      <c r="G5115" s="47"/>
      <c r="H5115" s="47"/>
    </row>
    <row r="5116" spans="7:8" x14ac:dyDescent="0.3">
      <c r="G5116" s="47"/>
      <c r="H5116" s="47"/>
    </row>
    <row r="5117" spans="7:8" x14ac:dyDescent="0.3">
      <c r="G5117" s="47"/>
      <c r="H5117" s="47"/>
    </row>
    <row r="5118" spans="7:8" x14ac:dyDescent="0.3">
      <c r="G5118" s="47"/>
      <c r="H5118" s="47"/>
    </row>
    <row r="5119" spans="7:8" x14ac:dyDescent="0.3">
      <c r="G5119" s="47"/>
      <c r="H5119" s="47"/>
    </row>
    <row r="5120" spans="7:8" x14ac:dyDescent="0.3">
      <c r="G5120" s="47"/>
      <c r="H5120" s="47"/>
    </row>
    <row r="5121" spans="7:8" x14ac:dyDescent="0.3">
      <c r="G5121" s="47"/>
      <c r="H5121" s="47"/>
    </row>
    <row r="5122" spans="7:8" x14ac:dyDescent="0.3">
      <c r="G5122" s="47"/>
      <c r="H5122" s="47"/>
    </row>
    <row r="5123" spans="7:8" x14ac:dyDescent="0.3">
      <c r="G5123" s="47"/>
      <c r="H5123" s="47"/>
    </row>
    <row r="5124" spans="7:8" x14ac:dyDescent="0.3">
      <c r="G5124" s="47"/>
      <c r="H5124" s="47"/>
    </row>
    <row r="5125" spans="7:8" x14ac:dyDescent="0.3">
      <c r="G5125" s="47"/>
      <c r="H5125" s="47"/>
    </row>
    <row r="5126" spans="7:8" x14ac:dyDescent="0.3">
      <c r="G5126" s="47"/>
      <c r="H5126" s="47"/>
    </row>
    <row r="5127" spans="7:8" x14ac:dyDescent="0.3">
      <c r="G5127" s="47"/>
      <c r="H5127" s="47"/>
    </row>
    <row r="5128" spans="7:8" x14ac:dyDescent="0.3">
      <c r="G5128" s="47"/>
      <c r="H5128" s="47"/>
    </row>
    <row r="5129" spans="7:8" x14ac:dyDescent="0.3">
      <c r="G5129" s="47"/>
      <c r="H5129" s="47"/>
    </row>
    <row r="5130" spans="7:8" x14ac:dyDescent="0.3">
      <c r="G5130" s="47"/>
      <c r="H5130" s="47"/>
    </row>
    <row r="5131" spans="7:8" x14ac:dyDescent="0.3">
      <c r="G5131" s="47"/>
      <c r="H5131" s="47"/>
    </row>
    <row r="5132" spans="7:8" x14ac:dyDescent="0.3">
      <c r="G5132" s="47"/>
      <c r="H5132" s="47"/>
    </row>
    <row r="5133" spans="7:8" x14ac:dyDescent="0.3">
      <c r="G5133" s="47"/>
      <c r="H5133" s="47"/>
    </row>
    <row r="5134" spans="7:8" x14ac:dyDescent="0.3">
      <c r="G5134" s="47"/>
      <c r="H5134" s="47"/>
    </row>
    <row r="5135" spans="7:8" x14ac:dyDescent="0.3">
      <c r="G5135" s="47"/>
      <c r="H5135" s="47"/>
    </row>
    <row r="5136" spans="7:8" x14ac:dyDescent="0.3">
      <c r="G5136" s="47"/>
      <c r="H5136" s="47"/>
    </row>
    <row r="5137" spans="7:8" x14ac:dyDescent="0.3">
      <c r="G5137" s="47"/>
      <c r="H5137" s="47"/>
    </row>
    <row r="5138" spans="7:8" x14ac:dyDescent="0.3">
      <c r="G5138" s="47"/>
      <c r="H5138" s="47"/>
    </row>
    <row r="5139" spans="7:8" x14ac:dyDescent="0.3">
      <c r="G5139" s="47"/>
      <c r="H5139" s="47"/>
    </row>
    <row r="5140" spans="7:8" x14ac:dyDescent="0.3">
      <c r="G5140" s="47"/>
      <c r="H5140" s="47"/>
    </row>
    <row r="5141" spans="7:8" x14ac:dyDescent="0.3">
      <c r="G5141" s="47"/>
      <c r="H5141" s="47"/>
    </row>
    <row r="5142" spans="7:8" x14ac:dyDescent="0.3">
      <c r="G5142" s="47"/>
      <c r="H5142" s="47"/>
    </row>
    <row r="5143" spans="7:8" x14ac:dyDescent="0.3">
      <c r="G5143" s="47"/>
      <c r="H5143" s="47"/>
    </row>
    <row r="5144" spans="7:8" x14ac:dyDescent="0.3">
      <c r="G5144" s="47"/>
      <c r="H5144" s="47"/>
    </row>
    <row r="5145" spans="7:8" x14ac:dyDescent="0.3">
      <c r="G5145" s="47"/>
      <c r="H5145" s="47"/>
    </row>
    <row r="5146" spans="7:8" x14ac:dyDescent="0.3">
      <c r="G5146" s="47"/>
      <c r="H5146" s="47"/>
    </row>
    <row r="5147" spans="7:8" x14ac:dyDescent="0.3">
      <c r="G5147" s="47"/>
      <c r="H5147" s="47"/>
    </row>
    <row r="5148" spans="7:8" x14ac:dyDescent="0.3">
      <c r="G5148" s="47"/>
      <c r="H5148" s="47"/>
    </row>
    <row r="5149" spans="7:8" x14ac:dyDescent="0.3">
      <c r="G5149" s="47"/>
      <c r="H5149" s="47"/>
    </row>
    <row r="5150" spans="7:8" x14ac:dyDescent="0.3">
      <c r="G5150" s="47"/>
      <c r="H5150" s="47"/>
    </row>
    <row r="5151" spans="7:8" x14ac:dyDescent="0.3">
      <c r="G5151" s="47"/>
      <c r="H5151" s="47"/>
    </row>
    <row r="5152" spans="7:8" x14ac:dyDescent="0.3">
      <c r="G5152" s="47"/>
      <c r="H5152" s="47"/>
    </row>
    <row r="5153" spans="7:8" x14ac:dyDescent="0.3">
      <c r="G5153" s="47"/>
      <c r="H5153" s="47"/>
    </row>
    <row r="5154" spans="7:8" x14ac:dyDescent="0.3">
      <c r="G5154" s="47"/>
      <c r="H5154" s="47"/>
    </row>
    <row r="5155" spans="7:8" x14ac:dyDescent="0.3">
      <c r="G5155" s="47"/>
      <c r="H5155" s="47"/>
    </row>
    <row r="5156" spans="7:8" x14ac:dyDescent="0.3">
      <c r="G5156" s="47"/>
      <c r="H5156" s="47"/>
    </row>
    <row r="5157" spans="7:8" x14ac:dyDescent="0.3">
      <c r="G5157" s="47"/>
      <c r="H5157" s="47"/>
    </row>
    <row r="5158" spans="7:8" x14ac:dyDescent="0.3">
      <c r="G5158" s="47"/>
      <c r="H5158" s="47"/>
    </row>
    <row r="5159" spans="7:8" x14ac:dyDescent="0.3">
      <c r="G5159" s="47"/>
      <c r="H5159" s="47"/>
    </row>
    <row r="5160" spans="7:8" x14ac:dyDescent="0.3">
      <c r="G5160" s="47"/>
      <c r="H5160" s="47"/>
    </row>
    <row r="5161" spans="7:8" x14ac:dyDescent="0.3">
      <c r="G5161" s="47"/>
      <c r="H5161" s="47"/>
    </row>
    <row r="5162" spans="7:8" x14ac:dyDescent="0.3">
      <c r="G5162" s="47"/>
      <c r="H5162" s="47"/>
    </row>
    <row r="5163" spans="7:8" x14ac:dyDescent="0.3">
      <c r="G5163" s="47"/>
      <c r="H5163" s="47"/>
    </row>
    <row r="5164" spans="7:8" x14ac:dyDescent="0.3">
      <c r="G5164" s="47"/>
      <c r="H5164" s="47"/>
    </row>
    <row r="5165" spans="7:8" x14ac:dyDescent="0.3">
      <c r="G5165" s="47"/>
      <c r="H5165" s="47"/>
    </row>
    <row r="5166" spans="7:8" x14ac:dyDescent="0.3">
      <c r="G5166" s="47"/>
      <c r="H5166" s="47"/>
    </row>
    <row r="5167" spans="7:8" x14ac:dyDescent="0.3">
      <c r="G5167" s="47"/>
      <c r="H5167" s="47"/>
    </row>
    <row r="5168" spans="7:8" x14ac:dyDescent="0.3">
      <c r="G5168" s="47"/>
      <c r="H5168" s="47"/>
    </row>
    <row r="5169" spans="7:8" x14ac:dyDescent="0.3">
      <c r="G5169" s="47"/>
      <c r="H5169" s="47"/>
    </row>
    <row r="5170" spans="7:8" x14ac:dyDescent="0.3">
      <c r="G5170" s="47"/>
      <c r="H5170" s="47"/>
    </row>
    <row r="5171" spans="7:8" x14ac:dyDescent="0.3">
      <c r="G5171" s="47"/>
      <c r="H5171" s="47"/>
    </row>
    <row r="5172" spans="7:8" x14ac:dyDescent="0.3">
      <c r="G5172" s="47"/>
      <c r="H5172" s="47"/>
    </row>
    <row r="5173" spans="7:8" x14ac:dyDescent="0.3">
      <c r="G5173" s="47"/>
      <c r="H5173" s="47"/>
    </row>
    <row r="5174" spans="7:8" x14ac:dyDescent="0.3">
      <c r="G5174" s="47"/>
      <c r="H5174" s="47"/>
    </row>
    <row r="5175" spans="7:8" x14ac:dyDescent="0.3">
      <c r="G5175" s="47"/>
      <c r="H5175" s="47"/>
    </row>
    <row r="5176" spans="7:8" x14ac:dyDescent="0.3">
      <c r="G5176" s="47"/>
      <c r="H5176" s="47"/>
    </row>
    <row r="5177" spans="7:8" x14ac:dyDescent="0.3">
      <c r="G5177" s="47"/>
      <c r="H5177" s="47"/>
    </row>
    <row r="5178" spans="7:8" x14ac:dyDescent="0.3">
      <c r="G5178" s="47"/>
      <c r="H5178" s="47"/>
    </row>
    <row r="5179" spans="7:8" x14ac:dyDescent="0.3">
      <c r="G5179" s="47"/>
      <c r="H5179" s="47"/>
    </row>
    <row r="5180" spans="7:8" x14ac:dyDescent="0.3">
      <c r="G5180" s="47"/>
      <c r="H5180" s="47"/>
    </row>
    <row r="5181" spans="7:8" x14ac:dyDescent="0.3">
      <c r="G5181" s="47"/>
      <c r="H5181" s="47"/>
    </row>
    <row r="5182" spans="7:8" x14ac:dyDescent="0.3">
      <c r="G5182" s="47"/>
      <c r="H5182" s="47"/>
    </row>
    <row r="5183" spans="7:8" x14ac:dyDescent="0.3">
      <c r="G5183" s="47"/>
      <c r="H5183" s="47"/>
    </row>
    <row r="5184" spans="7:8" x14ac:dyDescent="0.3">
      <c r="G5184" s="47"/>
      <c r="H5184" s="47"/>
    </row>
    <row r="5185" spans="7:8" x14ac:dyDescent="0.3">
      <c r="G5185" s="47"/>
      <c r="H5185" s="47"/>
    </row>
    <row r="5186" spans="7:8" x14ac:dyDescent="0.3">
      <c r="G5186" s="47"/>
      <c r="H5186" s="47"/>
    </row>
    <row r="5187" spans="7:8" x14ac:dyDescent="0.3">
      <c r="G5187" s="47"/>
      <c r="H5187" s="47"/>
    </row>
    <row r="5188" spans="7:8" x14ac:dyDescent="0.3">
      <c r="G5188" s="47"/>
      <c r="H5188" s="47"/>
    </row>
    <row r="5189" spans="7:8" x14ac:dyDescent="0.3">
      <c r="G5189" s="47"/>
      <c r="H5189" s="47"/>
    </row>
    <row r="5190" spans="7:8" x14ac:dyDescent="0.3">
      <c r="G5190" s="47"/>
      <c r="H5190" s="47"/>
    </row>
    <row r="5191" spans="7:8" x14ac:dyDescent="0.3">
      <c r="G5191" s="47"/>
      <c r="H5191" s="47"/>
    </row>
    <row r="5192" spans="7:8" x14ac:dyDescent="0.3">
      <c r="G5192" s="47"/>
      <c r="H5192" s="47"/>
    </row>
    <row r="5193" spans="7:8" x14ac:dyDescent="0.3">
      <c r="G5193" s="47"/>
      <c r="H5193" s="47"/>
    </row>
    <row r="5194" spans="7:8" x14ac:dyDescent="0.3">
      <c r="G5194" s="47"/>
      <c r="H5194" s="47"/>
    </row>
    <row r="5195" spans="7:8" x14ac:dyDescent="0.3">
      <c r="G5195" s="47"/>
      <c r="H5195" s="47"/>
    </row>
    <row r="5196" spans="7:8" x14ac:dyDescent="0.3">
      <c r="G5196" s="47"/>
      <c r="H5196" s="47"/>
    </row>
    <row r="5197" spans="7:8" x14ac:dyDescent="0.3">
      <c r="G5197" s="47"/>
      <c r="H5197" s="47"/>
    </row>
    <row r="5198" spans="7:8" x14ac:dyDescent="0.3">
      <c r="G5198" s="47"/>
      <c r="H5198" s="47"/>
    </row>
    <row r="5199" spans="7:8" x14ac:dyDescent="0.3">
      <c r="G5199" s="47"/>
      <c r="H5199" s="47"/>
    </row>
    <row r="5200" spans="7:8" x14ac:dyDescent="0.3">
      <c r="G5200" s="47"/>
      <c r="H5200" s="47"/>
    </row>
    <row r="5201" spans="7:8" x14ac:dyDescent="0.3">
      <c r="G5201" s="47"/>
      <c r="H5201" s="47"/>
    </row>
    <row r="5202" spans="7:8" x14ac:dyDescent="0.3">
      <c r="G5202" s="47"/>
      <c r="H5202" s="47"/>
    </row>
    <row r="5203" spans="7:8" x14ac:dyDescent="0.3">
      <c r="G5203" s="47"/>
      <c r="H5203" s="47"/>
    </row>
    <row r="5204" spans="7:8" x14ac:dyDescent="0.3">
      <c r="G5204" s="47"/>
      <c r="H5204" s="47"/>
    </row>
    <row r="5205" spans="7:8" x14ac:dyDescent="0.3">
      <c r="G5205" s="47"/>
      <c r="H5205" s="47"/>
    </row>
    <row r="5206" spans="7:8" x14ac:dyDescent="0.3">
      <c r="G5206" s="47"/>
      <c r="H5206" s="47"/>
    </row>
    <row r="5207" spans="7:8" x14ac:dyDescent="0.3">
      <c r="G5207" s="47"/>
      <c r="H5207" s="47"/>
    </row>
    <row r="5208" spans="7:8" x14ac:dyDescent="0.3">
      <c r="G5208" s="47"/>
      <c r="H5208" s="47"/>
    </row>
    <row r="5209" spans="7:8" x14ac:dyDescent="0.3">
      <c r="G5209" s="47"/>
      <c r="H5209" s="47"/>
    </row>
    <row r="5210" spans="7:8" x14ac:dyDescent="0.3">
      <c r="G5210" s="47"/>
      <c r="H5210" s="47"/>
    </row>
    <row r="5211" spans="7:8" x14ac:dyDescent="0.3">
      <c r="G5211" s="47"/>
      <c r="H5211" s="47"/>
    </row>
    <row r="5212" spans="7:8" x14ac:dyDescent="0.3">
      <c r="G5212" s="47"/>
      <c r="H5212" s="47"/>
    </row>
    <row r="5213" spans="7:8" x14ac:dyDescent="0.3">
      <c r="G5213" s="47"/>
      <c r="H5213" s="47"/>
    </row>
    <row r="5214" spans="7:8" x14ac:dyDescent="0.3">
      <c r="G5214" s="47"/>
      <c r="H5214" s="47"/>
    </row>
    <row r="5215" spans="7:8" x14ac:dyDescent="0.3">
      <c r="G5215" s="47"/>
      <c r="H5215" s="47"/>
    </row>
    <row r="5216" spans="7:8" x14ac:dyDescent="0.3">
      <c r="G5216" s="47"/>
      <c r="H5216" s="47"/>
    </row>
    <row r="5217" spans="7:8" x14ac:dyDescent="0.3">
      <c r="G5217" s="47"/>
      <c r="H5217" s="47"/>
    </row>
    <row r="5218" spans="7:8" x14ac:dyDescent="0.3">
      <c r="G5218" s="47"/>
      <c r="H5218" s="47"/>
    </row>
    <row r="5219" spans="7:8" x14ac:dyDescent="0.3">
      <c r="G5219" s="47"/>
      <c r="H5219" s="47"/>
    </row>
    <row r="5220" spans="7:8" x14ac:dyDescent="0.3">
      <c r="G5220" s="47"/>
      <c r="H5220" s="47"/>
    </row>
    <row r="5221" spans="7:8" x14ac:dyDescent="0.3">
      <c r="G5221" s="47"/>
      <c r="H5221" s="47"/>
    </row>
    <row r="5222" spans="7:8" x14ac:dyDescent="0.3">
      <c r="G5222" s="47"/>
      <c r="H5222" s="47"/>
    </row>
    <row r="5223" spans="7:8" x14ac:dyDescent="0.3">
      <c r="G5223" s="47"/>
      <c r="H5223" s="47"/>
    </row>
    <row r="5224" spans="7:8" x14ac:dyDescent="0.3">
      <c r="G5224" s="47"/>
      <c r="H5224" s="47"/>
    </row>
    <row r="5225" spans="7:8" x14ac:dyDescent="0.3">
      <c r="G5225" s="47"/>
      <c r="H5225" s="47"/>
    </row>
    <row r="5226" spans="7:8" x14ac:dyDescent="0.3">
      <c r="G5226" s="47"/>
      <c r="H5226" s="47"/>
    </row>
    <row r="5227" spans="7:8" x14ac:dyDescent="0.3">
      <c r="G5227" s="47"/>
      <c r="H5227" s="47"/>
    </row>
    <row r="5228" spans="7:8" x14ac:dyDescent="0.3">
      <c r="G5228" s="47"/>
      <c r="H5228" s="47"/>
    </row>
    <row r="5229" spans="7:8" x14ac:dyDescent="0.3">
      <c r="G5229" s="47"/>
      <c r="H5229" s="47"/>
    </row>
    <row r="5230" spans="7:8" x14ac:dyDescent="0.3">
      <c r="G5230" s="47"/>
      <c r="H5230" s="47"/>
    </row>
    <row r="5231" spans="7:8" x14ac:dyDescent="0.3">
      <c r="G5231" s="47"/>
      <c r="H5231" s="47"/>
    </row>
    <row r="5232" spans="7:8" x14ac:dyDescent="0.3">
      <c r="G5232" s="47"/>
      <c r="H5232" s="47"/>
    </row>
    <row r="5233" spans="7:8" x14ac:dyDescent="0.3">
      <c r="G5233" s="47"/>
      <c r="H5233" s="47"/>
    </row>
    <row r="5234" spans="7:8" x14ac:dyDescent="0.3">
      <c r="G5234" s="47"/>
      <c r="H5234" s="47"/>
    </row>
    <row r="5235" spans="7:8" x14ac:dyDescent="0.3">
      <c r="G5235" s="47"/>
      <c r="H5235" s="47"/>
    </row>
    <row r="5236" spans="7:8" x14ac:dyDescent="0.3">
      <c r="G5236" s="47"/>
      <c r="H5236" s="47"/>
    </row>
    <row r="5237" spans="7:8" x14ac:dyDescent="0.3">
      <c r="G5237" s="47"/>
      <c r="H5237" s="47"/>
    </row>
    <row r="5238" spans="7:8" x14ac:dyDescent="0.3">
      <c r="G5238" s="47"/>
      <c r="H5238" s="47"/>
    </row>
    <row r="5239" spans="7:8" x14ac:dyDescent="0.3">
      <c r="G5239" s="47"/>
      <c r="H5239" s="47"/>
    </row>
    <row r="5240" spans="7:8" x14ac:dyDescent="0.3">
      <c r="G5240" s="47"/>
      <c r="H5240" s="47"/>
    </row>
    <row r="5241" spans="7:8" x14ac:dyDescent="0.3">
      <c r="G5241" s="47"/>
      <c r="H5241" s="47"/>
    </row>
    <row r="5242" spans="7:8" x14ac:dyDescent="0.3">
      <c r="G5242" s="47"/>
      <c r="H5242" s="47"/>
    </row>
    <row r="5243" spans="7:8" x14ac:dyDescent="0.3">
      <c r="G5243" s="47"/>
      <c r="H5243" s="47"/>
    </row>
    <row r="5244" spans="7:8" x14ac:dyDescent="0.3">
      <c r="G5244" s="47"/>
      <c r="H5244" s="47"/>
    </row>
    <row r="5245" spans="7:8" x14ac:dyDescent="0.3">
      <c r="G5245" s="47"/>
      <c r="H5245" s="47"/>
    </row>
    <row r="5246" spans="7:8" x14ac:dyDescent="0.3">
      <c r="G5246" s="47"/>
      <c r="H5246" s="47"/>
    </row>
    <row r="5247" spans="7:8" x14ac:dyDescent="0.3">
      <c r="G5247" s="47"/>
      <c r="H5247" s="47"/>
    </row>
    <row r="5248" spans="7:8" x14ac:dyDescent="0.3">
      <c r="G5248" s="47"/>
      <c r="H5248" s="47"/>
    </row>
    <row r="5249" spans="7:8" x14ac:dyDescent="0.3">
      <c r="G5249" s="47"/>
      <c r="H5249" s="47"/>
    </row>
    <row r="5250" spans="7:8" x14ac:dyDescent="0.3">
      <c r="G5250" s="47"/>
      <c r="H5250" s="47"/>
    </row>
    <row r="5251" spans="7:8" x14ac:dyDescent="0.3">
      <c r="G5251" s="47"/>
      <c r="H5251" s="47"/>
    </row>
    <row r="5252" spans="7:8" x14ac:dyDescent="0.3">
      <c r="G5252" s="47"/>
      <c r="H5252" s="47"/>
    </row>
    <row r="5253" spans="7:8" x14ac:dyDescent="0.3">
      <c r="G5253" s="47"/>
      <c r="H5253" s="47"/>
    </row>
    <row r="5254" spans="7:8" x14ac:dyDescent="0.3">
      <c r="G5254" s="47"/>
      <c r="H5254" s="47"/>
    </row>
    <row r="5255" spans="7:8" x14ac:dyDescent="0.3">
      <c r="G5255" s="47"/>
      <c r="H5255" s="47"/>
    </row>
    <row r="5256" spans="7:8" x14ac:dyDescent="0.3">
      <c r="G5256" s="47"/>
      <c r="H5256" s="47"/>
    </row>
    <row r="5257" spans="7:8" x14ac:dyDescent="0.3">
      <c r="G5257" s="47"/>
      <c r="H5257" s="47"/>
    </row>
    <row r="5258" spans="7:8" x14ac:dyDescent="0.3">
      <c r="G5258" s="47"/>
      <c r="H5258" s="47"/>
    </row>
    <row r="5259" spans="7:8" x14ac:dyDescent="0.3">
      <c r="G5259" s="47"/>
      <c r="H5259" s="47"/>
    </row>
    <row r="5260" spans="7:8" x14ac:dyDescent="0.3">
      <c r="G5260" s="47"/>
      <c r="H5260" s="47"/>
    </row>
    <row r="5261" spans="7:8" x14ac:dyDescent="0.3">
      <c r="G5261" s="47"/>
      <c r="H5261" s="47"/>
    </row>
    <row r="5262" spans="7:8" x14ac:dyDescent="0.3">
      <c r="G5262" s="47"/>
      <c r="H5262" s="47"/>
    </row>
    <row r="5263" spans="7:8" x14ac:dyDescent="0.3">
      <c r="G5263" s="47"/>
      <c r="H5263" s="47"/>
    </row>
    <row r="5264" spans="7:8" x14ac:dyDescent="0.3">
      <c r="G5264" s="47"/>
      <c r="H5264" s="47"/>
    </row>
    <row r="5265" spans="7:8" x14ac:dyDescent="0.3">
      <c r="G5265" s="47"/>
      <c r="H5265" s="47"/>
    </row>
    <row r="5266" spans="7:8" x14ac:dyDescent="0.3">
      <c r="G5266" s="47"/>
      <c r="H5266" s="47"/>
    </row>
    <row r="5267" spans="7:8" x14ac:dyDescent="0.3">
      <c r="G5267" s="47"/>
      <c r="H5267" s="47"/>
    </row>
    <row r="5268" spans="7:8" x14ac:dyDescent="0.3">
      <c r="G5268" s="47"/>
      <c r="H5268" s="47"/>
    </row>
    <row r="5269" spans="7:8" x14ac:dyDescent="0.3">
      <c r="G5269" s="47"/>
      <c r="H5269" s="47"/>
    </row>
    <row r="5270" spans="7:8" x14ac:dyDescent="0.3">
      <c r="G5270" s="47"/>
      <c r="H5270" s="47"/>
    </row>
    <row r="5271" spans="7:8" x14ac:dyDescent="0.3">
      <c r="G5271" s="47"/>
      <c r="H5271" s="47"/>
    </row>
    <row r="5272" spans="7:8" x14ac:dyDescent="0.3">
      <c r="G5272" s="47"/>
      <c r="H5272" s="47"/>
    </row>
    <row r="5273" spans="7:8" x14ac:dyDescent="0.3">
      <c r="G5273" s="47"/>
      <c r="H5273" s="47"/>
    </row>
    <row r="5274" spans="7:8" x14ac:dyDescent="0.3">
      <c r="G5274" s="47"/>
      <c r="H5274" s="47"/>
    </row>
    <row r="5275" spans="7:8" x14ac:dyDescent="0.3">
      <c r="G5275" s="47"/>
      <c r="H5275" s="47"/>
    </row>
    <row r="5276" spans="7:8" x14ac:dyDescent="0.3">
      <c r="G5276" s="47"/>
      <c r="H5276" s="47"/>
    </row>
    <row r="5277" spans="7:8" x14ac:dyDescent="0.3">
      <c r="G5277" s="47"/>
      <c r="H5277" s="47"/>
    </row>
    <row r="5278" spans="7:8" x14ac:dyDescent="0.3">
      <c r="G5278" s="47"/>
      <c r="H5278" s="47"/>
    </row>
    <row r="5279" spans="7:8" x14ac:dyDescent="0.3">
      <c r="G5279" s="47"/>
      <c r="H5279" s="47"/>
    </row>
    <row r="5280" spans="7:8" x14ac:dyDescent="0.3">
      <c r="G5280" s="47"/>
      <c r="H5280" s="47"/>
    </row>
    <row r="5281" spans="7:8" x14ac:dyDescent="0.3">
      <c r="G5281" s="47"/>
      <c r="H5281" s="47"/>
    </row>
    <row r="5282" spans="7:8" x14ac:dyDescent="0.3">
      <c r="G5282" s="47"/>
      <c r="H5282" s="47"/>
    </row>
    <row r="5283" spans="7:8" x14ac:dyDescent="0.3">
      <c r="G5283" s="47"/>
      <c r="H5283" s="47"/>
    </row>
    <row r="5284" spans="7:8" x14ac:dyDescent="0.3">
      <c r="G5284" s="47"/>
      <c r="H5284" s="47"/>
    </row>
    <row r="5285" spans="7:8" x14ac:dyDescent="0.3">
      <c r="G5285" s="47"/>
      <c r="H5285" s="47"/>
    </row>
    <row r="5286" spans="7:8" x14ac:dyDescent="0.3">
      <c r="G5286" s="47"/>
      <c r="H5286" s="47"/>
    </row>
    <row r="5287" spans="7:8" x14ac:dyDescent="0.3">
      <c r="G5287" s="47"/>
      <c r="H5287" s="47"/>
    </row>
    <row r="5288" spans="7:8" x14ac:dyDescent="0.3">
      <c r="G5288" s="47"/>
      <c r="H5288" s="47"/>
    </row>
    <row r="5289" spans="7:8" x14ac:dyDescent="0.3">
      <c r="G5289" s="47"/>
      <c r="H5289" s="47"/>
    </row>
    <row r="5290" spans="7:8" x14ac:dyDescent="0.3">
      <c r="G5290" s="47"/>
      <c r="H5290" s="47"/>
    </row>
    <row r="5291" spans="7:8" x14ac:dyDescent="0.3">
      <c r="G5291" s="47"/>
      <c r="H5291" s="47"/>
    </row>
    <row r="5292" spans="7:8" x14ac:dyDescent="0.3">
      <c r="G5292" s="47"/>
      <c r="H5292" s="47"/>
    </row>
    <row r="5293" spans="7:8" x14ac:dyDescent="0.3">
      <c r="G5293" s="47"/>
      <c r="H5293" s="47"/>
    </row>
    <row r="5294" spans="7:8" x14ac:dyDescent="0.3">
      <c r="G5294" s="47"/>
      <c r="H5294" s="47"/>
    </row>
    <row r="5295" spans="7:8" x14ac:dyDescent="0.3">
      <c r="G5295" s="47"/>
      <c r="H5295" s="47"/>
    </row>
    <row r="5296" spans="7:8" x14ac:dyDescent="0.3">
      <c r="G5296" s="47"/>
      <c r="H5296" s="47"/>
    </row>
    <row r="5297" spans="7:8" x14ac:dyDescent="0.3">
      <c r="G5297" s="47"/>
      <c r="H5297" s="47"/>
    </row>
    <row r="5298" spans="7:8" x14ac:dyDescent="0.3">
      <c r="G5298" s="47"/>
      <c r="H5298" s="47"/>
    </row>
    <row r="5299" spans="7:8" x14ac:dyDescent="0.3">
      <c r="G5299" s="47"/>
      <c r="H5299" s="47"/>
    </row>
    <row r="5300" spans="7:8" x14ac:dyDescent="0.3">
      <c r="G5300" s="47"/>
      <c r="H5300" s="47"/>
    </row>
    <row r="5301" spans="7:8" x14ac:dyDescent="0.3">
      <c r="G5301" s="47"/>
      <c r="H5301" s="47"/>
    </row>
    <row r="5302" spans="7:8" x14ac:dyDescent="0.3">
      <c r="G5302" s="47"/>
      <c r="H5302" s="47"/>
    </row>
    <row r="5303" spans="7:8" x14ac:dyDescent="0.3">
      <c r="G5303" s="47"/>
      <c r="H5303" s="47"/>
    </row>
    <row r="5304" spans="7:8" x14ac:dyDescent="0.3">
      <c r="G5304" s="47"/>
      <c r="H5304" s="47"/>
    </row>
    <row r="5305" spans="7:8" x14ac:dyDescent="0.3">
      <c r="G5305" s="47"/>
      <c r="H5305" s="47"/>
    </row>
    <row r="5306" spans="7:8" x14ac:dyDescent="0.3">
      <c r="G5306" s="47"/>
      <c r="H5306" s="47"/>
    </row>
    <row r="5307" spans="7:8" x14ac:dyDescent="0.3">
      <c r="G5307" s="47"/>
      <c r="H5307" s="47"/>
    </row>
    <row r="5308" spans="7:8" x14ac:dyDescent="0.3">
      <c r="G5308" s="47"/>
      <c r="H5308" s="47"/>
    </row>
    <row r="5309" spans="7:8" x14ac:dyDescent="0.3">
      <c r="G5309" s="47"/>
      <c r="H5309" s="47"/>
    </row>
    <row r="5310" spans="7:8" x14ac:dyDescent="0.3">
      <c r="G5310" s="47"/>
      <c r="H5310" s="47"/>
    </row>
    <row r="5311" spans="7:8" x14ac:dyDescent="0.3">
      <c r="G5311" s="47"/>
      <c r="H5311" s="47"/>
    </row>
    <row r="5312" spans="7:8" x14ac:dyDescent="0.3">
      <c r="G5312" s="47"/>
      <c r="H5312" s="47"/>
    </row>
    <row r="5313" spans="7:8" x14ac:dyDescent="0.3">
      <c r="G5313" s="47"/>
      <c r="H5313" s="47"/>
    </row>
    <row r="5314" spans="7:8" x14ac:dyDescent="0.3">
      <c r="G5314" s="47"/>
      <c r="H5314" s="47"/>
    </row>
    <row r="5315" spans="7:8" x14ac:dyDescent="0.3">
      <c r="G5315" s="47"/>
      <c r="H5315" s="47"/>
    </row>
    <row r="5316" spans="7:8" x14ac:dyDescent="0.3">
      <c r="G5316" s="47"/>
      <c r="H5316" s="47"/>
    </row>
    <row r="5317" spans="7:8" x14ac:dyDescent="0.3">
      <c r="G5317" s="47"/>
      <c r="H5317" s="47"/>
    </row>
    <row r="5318" spans="7:8" x14ac:dyDescent="0.3">
      <c r="G5318" s="47"/>
      <c r="H5318" s="47"/>
    </row>
    <row r="5319" spans="7:8" x14ac:dyDescent="0.3">
      <c r="G5319" s="47"/>
      <c r="H5319" s="47"/>
    </row>
    <row r="5320" spans="7:8" x14ac:dyDescent="0.3">
      <c r="G5320" s="47"/>
      <c r="H5320" s="47"/>
    </row>
    <row r="5321" spans="7:8" x14ac:dyDescent="0.3">
      <c r="G5321" s="47"/>
      <c r="H5321" s="47"/>
    </row>
    <row r="5322" spans="7:8" x14ac:dyDescent="0.3">
      <c r="G5322" s="47"/>
      <c r="H5322" s="47"/>
    </row>
    <row r="5323" spans="7:8" x14ac:dyDescent="0.3">
      <c r="G5323" s="47"/>
      <c r="H5323" s="47"/>
    </row>
    <row r="5324" spans="7:8" x14ac:dyDescent="0.3">
      <c r="G5324" s="47"/>
      <c r="H5324" s="47"/>
    </row>
    <row r="5325" spans="7:8" x14ac:dyDescent="0.3">
      <c r="G5325" s="47"/>
      <c r="H5325" s="47"/>
    </row>
    <row r="5326" spans="7:8" x14ac:dyDescent="0.3">
      <c r="G5326" s="47"/>
      <c r="H5326" s="47"/>
    </row>
    <row r="5327" spans="7:8" x14ac:dyDescent="0.3">
      <c r="G5327" s="47"/>
      <c r="H5327" s="47"/>
    </row>
    <row r="5328" spans="7:8" x14ac:dyDescent="0.3">
      <c r="G5328" s="47"/>
      <c r="H5328" s="47"/>
    </row>
    <row r="5329" spans="7:8" x14ac:dyDescent="0.3">
      <c r="G5329" s="47"/>
      <c r="H5329" s="47"/>
    </row>
    <row r="5330" spans="7:8" x14ac:dyDescent="0.3">
      <c r="G5330" s="47"/>
      <c r="H5330" s="47"/>
    </row>
    <row r="5331" spans="7:8" x14ac:dyDescent="0.3">
      <c r="G5331" s="47"/>
      <c r="H5331" s="47"/>
    </row>
    <row r="5332" spans="7:8" x14ac:dyDescent="0.3">
      <c r="G5332" s="47"/>
      <c r="H5332" s="47"/>
    </row>
    <row r="5333" spans="7:8" x14ac:dyDescent="0.3">
      <c r="G5333" s="47"/>
      <c r="H5333" s="47"/>
    </row>
    <row r="5334" spans="7:8" x14ac:dyDescent="0.3">
      <c r="G5334" s="47"/>
      <c r="H5334" s="47"/>
    </row>
    <row r="5335" spans="7:8" x14ac:dyDescent="0.3">
      <c r="G5335" s="47"/>
      <c r="H5335" s="47"/>
    </row>
    <row r="5336" spans="7:8" x14ac:dyDescent="0.3">
      <c r="G5336" s="47"/>
      <c r="H5336" s="47"/>
    </row>
    <row r="5337" spans="7:8" x14ac:dyDescent="0.3">
      <c r="G5337" s="47"/>
      <c r="H5337" s="47"/>
    </row>
    <row r="5338" spans="7:8" x14ac:dyDescent="0.3">
      <c r="G5338" s="47"/>
      <c r="H5338" s="47"/>
    </row>
    <row r="5339" spans="7:8" x14ac:dyDescent="0.3">
      <c r="G5339" s="47"/>
      <c r="H5339" s="47"/>
    </row>
    <row r="5340" spans="7:8" x14ac:dyDescent="0.3">
      <c r="G5340" s="47"/>
      <c r="H5340" s="47"/>
    </row>
    <row r="5341" spans="7:8" x14ac:dyDescent="0.3">
      <c r="G5341" s="47"/>
      <c r="H5341" s="47"/>
    </row>
    <row r="5342" spans="7:8" x14ac:dyDescent="0.3">
      <c r="G5342" s="47"/>
      <c r="H5342" s="47"/>
    </row>
    <row r="5343" spans="7:8" x14ac:dyDescent="0.3">
      <c r="G5343" s="47"/>
      <c r="H5343" s="47"/>
    </row>
    <row r="5344" spans="7:8" x14ac:dyDescent="0.3">
      <c r="G5344" s="47"/>
      <c r="H5344" s="47"/>
    </row>
    <row r="5345" spans="7:8" x14ac:dyDescent="0.3">
      <c r="G5345" s="47"/>
      <c r="H5345" s="47"/>
    </row>
    <row r="5346" spans="7:8" x14ac:dyDescent="0.3">
      <c r="G5346" s="47"/>
      <c r="H5346" s="47"/>
    </row>
    <row r="5347" spans="7:8" x14ac:dyDescent="0.3">
      <c r="G5347" s="47"/>
      <c r="H5347" s="47"/>
    </row>
    <row r="5348" spans="7:8" x14ac:dyDescent="0.3">
      <c r="G5348" s="47"/>
      <c r="H5348" s="47"/>
    </row>
    <row r="5349" spans="7:8" x14ac:dyDescent="0.3">
      <c r="G5349" s="47"/>
      <c r="H5349" s="47"/>
    </row>
    <row r="5350" spans="7:8" x14ac:dyDescent="0.3">
      <c r="G5350" s="47"/>
      <c r="H5350" s="47"/>
    </row>
    <row r="5351" spans="7:8" x14ac:dyDescent="0.3">
      <c r="G5351" s="47"/>
      <c r="H5351" s="47"/>
    </row>
    <row r="5352" spans="7:8" x14ac:dyDescent="0.3">
      <c r="G5352" s="47"/>
      <c r="H5352" s="47"/>
    </row>
    <row r="5353" spans="7:8" x14ac:dyDescent="0.3">
      <c r="G5353" s="47"/>
      <c r="H5353" s="47"/>
    </row>
    <row r="5354" spans="7:8" x14ac:dyDescent="0.3">
      <c r="G5354" s="47"/>
      <c r="H5354" s="47"/>
    </row>
    <row r="5355" spans="7:8" x14ac:dyDescent="0.3">
      <c r="G5355" s="47"/>
      <c r="H5355" s="47"/>
    </row>
    <row r="5356" spans="7:8" x14ac:dyDescent="0.3">
      <c r="G5356" s="47"/>
      <c r="H5356" s="47"/>
    </row>
    <row r="5357" spans="7:8" x14ac:dyDescent="0.3">
      <c r="G5357" s="47"/>
      <c r="H5357" s="47"/>
    </row>
    <row r="5358" spans="7:8" x14ac:dyDescent="0.3">
      <c r="G5358" s="47"/>
      <c r="H5358" s="47"/>
    </row>
    <row r="5359" spans="7:8" x14ac:dyDescent="0.3">
      <c r="G5359" s="47"/>
      <c r="H5359" s="47"/>
    </row>
    <row r="5360" spans="7:8" x14ac:dyDescent="0.3">
      <c r="G5360" s="47"/>
      <c r="H5360" s="47"/>
    </row>
    <row r="5361" spans="7:8" x14ac:dyDescent="0.3">
      <c r="G5361" s="47"/>
      <c r="H5361" s="47"/>
    </row>
    <row r="5362" spans="7:8" x14ac:dyDescent="0.3">
      <c r="G5362" s="47"/>
      <c r="H5362" s="47"/>
    </row>
    <row r="5363" spans="7:8" x14ac:dyDescent="0.3">
      <c r="G5363" s="47"/>
      <c r="H5363" s="47"/>
    </row>
    <row r="5364" spans="7:8" x14ac:dyDescent="0.3">
      <c r="G5364" s="47"/>
      <c r="H5364" s="47"/>
    </row>
    <row r="5365" spans="7:8" x14ac:dyDescent="0.3">
      <c r="G5365" s="47"/>
      <c r="H5365" s="47"/>
    </row>
    <row r="5366" spans="7:8" x14ac:dyDescent="0.3">
      <c r="G5366" s="47"/>
      <c r="H5366" s="47"/>
    </row>
    <row r="5367" spans="7:8" x14ac:dyDescent="0.3">
      <c r="G5367" s="47"/>
      <c r="H5367" s="47"/>
    </row>
    <row r="5368" spans="7:8" x14ac:dyDescent="0.3">
      <c r="G5368" s="47"/>
      <c r="H5368" s="47"/>
    </row>
    <row r="5369" spans="7:8" x14ac:dyDescent="0.3">
      <c r="G5369" s="47"/>
      <c r="H5369" s="47"/>
    </row>
    <row r="5370" spans="7:8" x14ac:dyDescent="0.3">
      <c r="G5370" s="47"/>
      <c r="H5370" s="47"/>
    </row>
    <row r="5371" spans="7:8" x14ac:dyDescent="0.3">
      <c r="G5371" s="47"/>
      <c r="H5371" s="47"/>
    </row>
    <row r="5372" spans="7:8" x14ac:dyDescent="0.3">
      <c r="G5372" s="47"/>
      <c r="H5372" s="47"/>
    </row>
    <row r="5373" spans="7:8" x14ac:dyDescent="0.3">
      <c r="G5373" s="47"/>
      <c r="H5373" s="47"/>
    </row>
    <row r="5374" spans="7:8" x14ac:dyDescent="0.3">
      <c r="G5374" s="47"/>
      <c r="H5374" s="47"/>
    </row>
    <row r="5375" spans="7:8" x14ac:dyDescent="0.3">
      <c r="G5375" s="47"/>
      <c r="H5375" s="47"/>
    </row>
    <row r="5376" spans="7:8" x14ac:dyDescent="0.3">
      <c r="G5376" s="47"/>
      <c r="H5376" s="47"/>
    </row>
    <row r="5377" spans="7:8" x14ac:dyDescent="0.3">
      <c r="G5377" s="47"/>
      <c r="H5377" s="47"/>
    </row>
    <row r="5378" spans="7:8" x14ac:dyDescent="0.3">
      <c r="G5378" s="47"/>
      <c r="H5378" s="47"/>
    </row>
    <row r="5379" spans="7:8" x14ac:dyDescent="0.3">
      <c r="G5379" s="47"/>
      <c r="H5379" s="47"/>
    </row>
    <row r="5380" spans="7:8" x14ac:dyDescent="0.3">
      <c r="G5380" s="47"/>
      <c r="H5380" s="47"/>
    </row>
    <row r="5381" spans="7:8" x14ac:dyDescent="0.3">
      <c r="G5381" s="47"/>
      <c r="H5381" s="47"/>
    </row>
    <row r="5382" spans="7:8" x14ac:dyDescent="0.3">
      <c r="G5382" s="47"/>
      <c r="H5382" s="47"/>
    </row>
    <row r="5383" spans="7:8" x14ac:dyDescent="0.3">
      <c r="G5383" s="47"/>
      <c r="H5383" s="47"/>
    </row>
    <row r="5384" spans="7:8" x14ac:dyDescent="0.3">
      <c r="G5384" s="47"/>
      <c r="H5384" s="47"/>
    </row>
    <row r="5385" spans="7:8" x14ac:dyDescent="0.3">
      <c r="G5385" s="47"/>
      <c r="H5385" s="47"/>
    </row>
    <row r="5386" spans="7:8" x14ac:dyDescent="0.3">
      <c r="G5386" s="47"/>
      <c r="H5386" s="47"/>
    </row>
    <row r="5387" spans="7:8" x14ac:dyDescent="0.3">
      <c r="G5387" s="47"/>
      <c r="H5387" s="47"/>
    </row>
    <row r="5388" spans="7:8" x14ac:dyDescent="0.3">
      <c r="G5388" s="47"/>
      <c r="H5388" s="47"/>
    </row>
    <row r="5389" spans="7:8" x14ac:dyDescent="0.3">
      <c r="G5389" s="47"/>
      <c r="H5389" s="47"/>
    </row>
    <row r="5390" spans="7:8" x14ac:dyDescent="0.3">
      <c r="G5390" s="47"/>
      <c r="H5390" s="47"/>
    </row>
    <row r="5391" spans="7:8" x14ac:dyDescent="0.3">
      <c r="G5391" s="47"/>
      <c r="H5391" s="47"/>
    </row>
    <row r="5392" spans="7:8" x14ac:dyDescent="0.3">
      <c r="G5392" s="47"/>
      <c r="H5392" s="47"/>
    </row>
    <row r="5393" spans="7:8" x14ac:dyDescent="0.3">
      <c r="G5393" s="47"/>
      <c r="H5393" s="47"/>
    </row>
    <row r="5394" spans="7:8" x14ac:dyDescent="0.3">
      <c r="G5394" s="47"/>
      <c r="H5394" s="47"/>
    </row>
    <row r="5395" spans="7:8" x14ac:dyDescent="0.3">
      <c r="G5395" s="47"/>
      <c r="H5395" s="47"/>
    </row>
    <row r="5396" spans="7:8" x14ac:dyDescent="0.3">
      <c r="G5396" s="47"/>
      <c r="H5396" s="47"/>
    </row>
    <row r="5397" spans="7:8" x14ac:dyDescent="0.3">
      <c r="G5397" s="47"/>
      <c r="H5397" s="47"/>
    </row>
    <row r="5398" spans="7:8" x14ac:dyDescent="0.3">
      <c r="G5398" s="47"/>
      <c r="H5398" s="47"/>
    </row>
    <row r="5399" spans="7:8" x14ac:dyDescent="0.3">
      <c r="G5399" s="47"/>
      <c r="H5399" s="47"/>
    </row>
    <row r="5400" spans="7:8" x14ac:dyDescent="0.3">
      <c r="G5400" s="47"/>
      <c r="H5400" s="47"/>
    </row>
    <row r="5401" spans="7:8" x14ac:dyDescent="0.3">
      <c r="G5401" s="47"/>
      <c r="H5401" s="47"/>
    </row>
    <row r="5402" spans="7:8" x14ac:dyDescent="0.3">
      <c r="G5402" s="47"/>
      <c r="H5402" s="47"/>
    </row>
    <row r="5403" spans="7:8" x14ac:dyDescent="0.3">
      <c r="G5403" s="47"/>
      <c r="H5403" s="47"/>
    </row>
    <row r="5404" spans="7:8" x14ac:dyDescent="0.3">
      <c r="G5404" s="47"/>
      <c r="H5404" s="47"/>
    </row>
    <row r="5405" spans="7:8" x14ac:dyDescent="0.3">
      <c r="G5405" s="47"/>
      <c r="H5405" s="47"/>
    </row>
    <row r="5406" spans="7:8" x14ac:dyDescent="0.3">
      <c r="G5406" s="47"/>
      <c r="H5406" s="47"/>
    </row>
    <row r="5407" spans="7:8" x14ac:dyDescent="0.3">
      <c r="G5407" s="47"/>
      <c r="H5407" s="47"/>
    </row>
    <row r="5408" spans="7:8" x14ac:dyDescent="0.3">
      <c r="G5408" s="47"/>
      <c r="H5408" s="47"/>
    </row>
    <row r="5409" spans="7:8" x14ac:dyDescent="0.3">
      <c r="G5409" s="47"/>
      <c r="H5409" s="47"/>
    </row>
    <row r="5410" spans="7:8" x14ac:dyDescent="0.3">
      <c r="G5410" s="47"/>
      <c r="H5410" s="47"/>
    </row>
    <row r="5411" spans="7:8" x14ac:dyDescent="0.3">
      <c r="G5411" s="47"/>
      <c r="H5411" s="47"/>
    </row>
    <row r="5412" spans="7:8" x14ac:dyDescent="0.3">
      <c r="G5412" s="47"/>
      <c r="H5412" s="47"/>
    </row>
    <row r="5413" spans="7:8" x14ac:dyDescent="0.3">
      <c r="G5413" s="47"/>
      <c r="H5413" s="47"/>
    </row>
    <row r="5414" spans="7:8" x14ac:dyDescent="0.3">
      <c r="G5414" s="47"/>
      <c r="H5414" s="47"/>
    </row>
    <row r="5415" spans="7:8" x14ac:dyDescent="0.3">
      <c r="G5415" s="47"/>
      <c r="H5415" s="47"/>
    </row>
    <row r="5416" spans="7:8" x14ac:dyDescent="0.3">
      <c r="G5416" s="47"/>
      <c r="H5416" s="47"/>
    </row>
    <row r="5417" spans="7:8" x14ac:dyDescent="0.3">
      <c r="G5417" s="47"/>
      <c r="H5417" s="47"/>
    </row>
    <row r="5418" spans="7:8" x14ac:dyDescent="0.3">
      <c r="G5418" s="47"/>
      <c r="H5418" s="47"/>
    </row>
    <row r="5419" spans="7:8" x14ac:dyDescent="0.3">
      <c r="G5419" s="47"/>
      <c r="H5419" s="47"/>
    </row>
    <row r="5420" spans="7:8" x14ac:dyDescent="0.3">
      <c r="G5420" s="47"/>
      <c r="H5420" s="47"/>
    </row>
    <row r="5421" spans="7:8" x14ac:dyDescent="0.3">
      <c r="G5421" s="47"/>
      <c r="H5421" s="47"/>
    </row>
    <row r="5422" spans="7:8" x14ac:dyDescent="0.3">
      <c r="G5422" s="47"/>
      <c r="H5422" s="47"/>
    </row>
    <row r="5423" spans="7:8" x14ac:dyDescent="0.3">
      <c r="G5423" s="47"/>
      <c r="H5423" s="47"/>
    </row>
    <row r="5424" spans="7:8" x14ac:dyDescent="0.3">
      <c r="G5424" s="47"/>
      <c r="H5424" s="47"/>
    </row>
    <row r="5425" spans="7:8" x14ac:dyDescent="0.3">
      <c r="G5425" s="47"/>
      <c r="H5425" s="47"/>
    </row>
    <row r="5426" spans="7:8" x14ac:dyDescent="0.3">
      <c r="G5426" s="47"/>
      <c r="H5426" s="47"/>
    </row>
    <row r="5427" spans="7:8" x14ac:dyDescent="0.3">
      <c r="G5427" s="47"/>
      <c r="H5427" s="47"/>
    </row>
    <row r="5428" spans="7:8" x14ac:dyDescent="0.3">
      <c r="G5428" s="47"/>
      <c r="H5428" s="47"/>
    </row>
    <row r="5429" spans="7:8" x14ac:dyDescent="0.3">
      <c r="G5429" s="47"/>
      <c r="H5429" s="47"/>
    </row>
    <row r="5430" spans="7:8" x14ac:dyDescent="0.3">
      <c r="G5430" s="47"/>
      <c r="H5430" s="47"/>
    </row>
    <row r="5431" spans="7:8" x14ac:dyDescent="0.3">
      <c r="G5431" s="47"/>
      <c r="H5431" s="47"/>
    </row>
    <row r="5432" spans="7:8" x14ac:dyDescent="0.3">
      <c r="G5432" s="47"/>
      <c r="H5432" s="47"/>
    </row>
    <row r="5433" spans="7:8" x14ac:dyDescent="0.3">
      <c r="G5433" s="47"/>
      <c r="H5433" s="47"/>
    </row>
    <row r="5434" spans="7:8" x14ac:dyDescent="0.3">
      <c r="G5434" s="47"/>
      <c r="H5434" s="47"/>
    </row>
    <row r="5435" spans="7:8" x14ac:dyDescent="0.3">
      <c r="G5435" s="47"/>
      <c r="H5435" s="47"/>
    </row>
    <row r="5436" spans="7:8" x14ac:dyDescent="0.3">
      <c r="G5436" s="47"/>
      <c r="H5436" s="47"/>
    </row>
    <row r="5437" spans="7:8" x14ac:dyDescent="0.3">
      <c r="G5437" s="47"/>
      <c r="H5437" s="47"/>
    </row>
    <row r="5438" spans="7:8" x14ac:dyDescent="0.3">
      <c r="G5438" s="47"/>
      <c r="H5438" s="47"/>
    </row>
    <row r="5439" spans="7:8" x14ac:dyDescent="0.3">
      <c r="G5439" s="47"/>
      <c r="H5439" s="47"/>
    </row>
    <row r="5440" spans="7:8" x14ac:dyDescent="0.3">
      <c r="G5440" s="47"/>
      <c r="H5440" s="47"/>
    </row>
    <row r="5441" spans="7:8" x14ac:dyDescent="0.3">
      <c r="G5441" s="47"/>
      <c r="H5441" s="47"/>
    </row>
    <row r="5442" spans="7:8" x14ac:dyDescent="0.3">
      <c r="G5442" s="47"/>
      <c r="H5442" s="47"/>
    </row>
    <row r="5443" spans="7:8" x14ac:dyDescent="0.3">
      <c r="G5443" s="47"/>
      <c r="H5443" s="47"/>
    </row>
    <row r="5444" spans="7:8" x14ac:dyDescent="0.3">
      <c r="G5444" s="47"/>
      <c r="H5444" s="47"/>
    </row>
    <row r="5445" spans="7:8" x14ac:dyDescent="0.3">
      <c r="G5445" s="47"/>
      <c r="H5445" s="47"/>
    </row>
    <row r="5446" spans="7:8" x14ac:dyDescent="0.3">
      <c r="G5446" s="47"/>
      <c r="H5446" s="47"/>
    </row>
    <row r="5447" spans="7:8" x14ac:dyDescent="0.3">
      <c r="G5447" s="47"/>
      <c r="H5447" s="47"/>
    </row>
    <row r="5448" spans="7:8" x14ac:dyDescent="0.3">
      <c r="G5448" s="47"/>
      <c r="H5448" s="47"/>
    </row>
    <row r="5449" spans="7:8" x14ac:dyDescent="0.3">
      <c r="G5449" s="47"/>
      <c r="H5449" s="47"/>
    </row>
    <row r="5450" spans="7:8" x14ac:dyDescent="0.3">
      <c r="G5450" s="47"/>
      <c r="H5450" s="47"/>
    </row>
    <row r="5451" spans="7:8" x14ac:dyDescent="0.3">
      <c r="G5451" s="47"/>
      <c r="H5451" s="47"/>
    </row>
    <row r="5452" spans="7:8" x14ac:dyDescent="0.3">
      <c r="G5452" s="47"/>
      <c r="H5452" s="47"/>
    </row>
    <row r="5453" spans="7:8" x14ac:dyDescent="0.3">
      <c r="G5453" s="47"/>
      <c r="H5453" s="47"/>
    </row>
    <row r="5454" spans="7:8" x14ac:dyDescent="0.3">
      <c r="G5454" s="47"/>
      <c r="H5454" s="47"/>
    </row>
    <row r="5455" spans="7:8" x14ac:dyDescent="0.3">
      <c r="G5455" s="47"/>
      <c r="H5455" s="47"/>
    </row>
    <row r="5456" spans="7:8" x14ac:dyDescent="0.3">
      <c r="G5456" s="47"/>
      <c r="H5456" s="47"/>
    </row>
    <row r="5457" spans="7:8" x14ac:dyDescent="0.3">
      <c r="G5457" s="47"/>
      <c r="H5457" s="47"/>
    </row>
    <row r="5458" spans="7:8" x14ac:dyDescent="0.3">
      <c r="G5458" s="47"/>
      <c r="H5458" s="47"/>
    </row>
    <row r="5459" spans="7:8" x14ac:dyDescent="0.3">
      <c r="G5459" s="47"/>
      <c r="H5459" s="47"/>
    </row>
    <row r="5460" spans="7:8" x14ac:dyDescent="0.3">
      <c r="G5460" s="47"/>
      <c r="H5460" s="47"/>
    </row>
    <row r="5461" spans="7:8" x14ac:dyDescent="0.3">
      <c r="G5461" s="47"/>
      <c r="H5461" s="47"/>
    </row>
    <row r="5462" spans="7:8" x14ac:dyDescent="0.3">
      <c r="G5462" s="47"/>
      <c r="H5462" s="47"/>
    </row>
    <row r="5463" spans="7:8" x14ac:dyDescent="0.3">
      <c r="G5463" s="47"/>
      <c r="H5463" s="47"/>
    </row>
    <row r="5464" spans="7:8" x14ac:dyDescent="0.3">
      <c r="G5464" s="47"/>
      <c r="H5464" s="47"/>
    </row>
    <row r="5465" spans="7:8" x14ac:dyDescent="0.3">
      <c r="G5465" s="47"/>
      <c r="H5465" s="47"/>
    </row>
    <row r="5466" spans="7:8" x14ac:dyDescent="0.3">
      <c r="G5466" s="47"/>
      <c r="H5466" s="47"/>
    </row>
    <row r="5467" spans="7:8" x14ac:dyDescent="0.3">
      <c r="G5467" s="47"/>
      <c r="H5467" s="47"/>
    </row>
    <row r="5468" spans="7:8" x14ac:dyDescent="0.3">
      <c r="G5468" s="47"/>
      <c r="H5468" s="47"/>
    </row>
    <row r="5469" spans="7:8" x14ac:dyDescent="0.3">
      <c r="G5469" s="47"/>
      <c r="H5469" s="47"/>
    </row>
    <row r="5470" spans="7:8" x14ac:dyDescent="0.3">
      <c r="G5470" s="47"/>
      <c r="H5470" s="47"/>
    </row>
    <row r="5471" spans="7:8" x14ac:dyDescent="0.3">
      <c r="G5471" s="47"/>
      <c r="H5471" s="47"/>
    </row>
    <row r="5472" spans="7:8" x14ac:dyDescent="0.3">
      <c r="G5472" s="47"/>
      <c r="H5472" s="47"/>
    </row>
    <row r="5473" spans="7:8" x14ac:dyDescent="0.3">
      <c r="G5473" s="47"/>
      <c r="H5473" s="47"/>
    </row>
    <row r="5474" spans="7:8" x14ac:dyDescent="0.3">
      <c r="G5474" s="47"/>
      <c r="H5474" s="47"/>
    </row>
    <row r="5475" spans="7:8" x14ac:dyDescent="0.3">
      <c r="G5475" s="47"/>
      <c r="H5475" s="47"/>
    </row>
    <row r="5476" spans="7:8" x14ac:dyDescent="0.3">
      <c r="G5476" s="47"/>
      <c r="H5476" s="47"/>
    </row>
    <row r="5477" spans="7:8" x14ac:dyDescent="0.3">
      <c r="G5477" s="47"/>
      <c r="H5477" s="47"/>
    </row>
    <row r="5478" spans="7:8" x14ac:dyDescent="0.3">
      <c r="G5478" s="47"/>
      <c r="H5478" s="47"/>
    </row>
    <row r="5479" spans="7:8" x14ac:dyDescent="0.3">
      <c r="G5479" s="47"/>
      <c r="H5479" s="47"/>
    </row>
    <row r="5480" spans="7:8" x14ac:dyDescent="0.3">
      <c r="G5480" s="47"/>
      <c r="H5480" s="47"/>
    </row>
    <row r="5481" spans="7:8" x14ac:dyDescent="0.3">
      <c r="G5481" s="47"/>
      <c r="H5481" s="47"/>
    </row>
    <row r="5482" spans="7:8" x14ac:dyDescent="0.3">
      <c r="G5482" s="47"/>
      <c r="H5482" s="47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04"/>
  <sheetViews>
    <sheetView topLeftCell="A278" zoomScale="85" zoomScaleNormal="85" workbookViewId="0">
      <selection activeCell="F295" sqref="F295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6930</v>
      </c>
      <c r="J1" t="s">
        <v>7267</v>
      </c>
    </row>
    <row r="2" spans="1:10" x14ac:dyDescent="0.3">
      <c r="A2" s="1">
        <v>46096</v>
      </c>
      <c r="B2" t="s">
        <v>2465</v>
      </c>
      <c r="C2" t="s">
        <v>8</v>
      </c>
      <c r="D2" t="s">
        <v>2463</v>
      </c>
      <c r="E2" t="s">
        <v>47</v>
      </c>
      <c r="F2" t="s">
        <v>48</v>
      </c>
      <c r="G2">
        <v>4656.6000000000004</v>
      </c>
      <c r="H2">
        <v>5355.09</v>
      </c>
      <c r="I2" t="s">
        <v>6931</v>
      </c>
      <c r="J2" s="26">
        <f ca="1">TODAY()-Table16[[#This Row],[documentDate]]</f>
        <v>163</v>
      </c>
    </row>
    <row r="3" spans="1:10" x14ac:dyDescent="0.3">
      <c r="A3" s="1">
        <v>46096</v>
      </c>
      <c r="B3" t="s">
        <v>2464</v>
      </c>
      <c r="C3" t="s">
        <v>8</v>
      </c>
      <c r="D3" t="s">
        <v>2463</v>
      </c>
      <c r="E3" t="s">
        <v>47</v>
      </c>
      <c r="F3" t="s">
        <v>48</v>
      </c>
      <c r="G3">
        <v>2250</v>
      </c>
      <c r="H3">
        <v>2587.5</v>
      </c>
      <c r="I3" t="s">
        <v>6931</v>
      </c>
      <c r="J3" s="26">
        <f ca="1">TODAY()-Table16[[#This Row],[documentDate]]</f>
        <v>163</v>
      </c>
    </row>
    <row r="4" spans="1:10" x14ac:dyDescent="0.3">
      <c r="A4" s="1">
        <v>46097</v>
      </c>
      <c r="B4" t="s">
        <v>2466</v>
      </c>
      <c r="C4" t="s">
        <v>8</v>
      </c>
      <c r="D4" t="s">
        <v>2463</v>
      </c>
      <c r="E4" t="s">
        <v>47</v>
      </c>
      <c r="F4" t="s">
        <v>48</v>
      </c>
      <c r="G4">
        <v>1785.03</v>
      </c>
      <c r="H4">
        <v>2052.7844</v>
      </c>
      <c r="I4" t="s">
        <v>6931</v>
      </c>
      <c r="J4" s="26">
        <f ca="1">TODAY()-Table16[[#This Row],[documentDate]]</f>
        <v>162</v>
      </c>
    </row>
    <row r="5" spans="1:10" x14ac:dyDescent="0.3">
      <c r="A5" s="1">
        <v>46149</v>
      </c>
      <c r="B5" t="s">
        <v>2471</v>
      </c>
      <c r="C5" t="s">
        <v>8</v>
      </c>
      <c r="D5" t="s">
        <v>2460</v>
      </c>
      <c r="E5" t="s">
        <v>2472</v>
      </c>
      <c r="F5" t="s">
        <v>2473</v>
      </c>
      <c r="G5">
        <v>319.92</v>
      </c>
      <c r="H5">
        <v>367.90800000000002</v>
      </c>
      <c r="I5" t="s">
        <v>6931</v>
      </c>
      <c r="J5" s="26">
        <f ca="1">TODAY()-Table16[[#This Row],[documentDate]]</f>
        <v>110</v>
      </c>
    </row>
    <row r="6" spans="1:10" x14ac:dyDescent="0.3">
      <c r="A6" s="1">
        <v>46184</v>
      </c>
      <c r="B6" t="s">
        <v>4631</v>
      </c>
      <c r="C6" t="s">
        <v>8</v>
      </c>
      <c r="D6" t="s">
        <v>2467</v>
      </c>
      <c r="E6" t="s">
        <v>2241</v>
      </c>
      <c r="F6" t="s">
        <v>2474</v>
      </c>
      <c r="G6">
        <v>437.99993999999998</v>
      </c>
      <c r="H6">
        <v>503.69992000000002</v>
      </c>
      <c r="I6" t="s">
        <v>6931</v>
      </c>
      <c r="J6" s="26">
        <f ca="1">TODAY()-Table16[[#This Row],[documentDate]]</f>
        <v>75</v>
      </c>
    </row>
    <row r="7" spans="1:10" x14ac:dyDescent="0.3">
      <c r="A7" s="1">
        <v>46188</v>
      </c>
      <c r="B7" t="s">
        <v>4919</v>
      </c>
      <c r="C7" t="s">
        <v>8</v>
      </c>
      <c r="D7" t="s">
        <v>2463</v>
      </c>
      <c r="E7" t="s">
        <v>173</v>
      </c>
      <c r="F7" t="s">
        <v>174</v>
      </c>
      <c r="G7">
        <v>120</v>
      </c>
      <c r="H7">
        <v>138</v>
      </c>
      <c r="I7" t="s">
        <v>6931</v>
      </c>
      <c r="J7" s="26">
        <f ca="1">TODAY()-Table16[[#This Row],[documentDate]]</f>
        <v>71</v>
      </c>
    </row>
    <row r="8" spans="1:10" x14ac:dyDescent="0.3">
      <c r="A8" s="1">
        <v>46188</v>
      </c>
      <c r="B8" t="s">
        <v>4923</v>
      </c>
      <c r="C8" t="s">
        <v>8</v>
      </c>
      <c r="D8" t="s">
        <v>2460</v>
      </c>
      <c r="E8" t="s">
        <v>173</v>
      </c>
      <c r="F8" t="s">
        <v>174</v>
      </c>
      <c r="G8">
        <v>542.4</v>
      </c>
      <c r="H8">
        <v>623.76</v>
      </c>
      <c r="I8" t="s">
        <v>6931</v>
      </c>
      <c r="J8" s="26">
        <f ca="1">TODAY()-Table16[[#This Row],[documentDate]]</f>
        <v>71</v>
      </c>
    </row>
    <row r="9" spans="1:10" x14ac:dyDescent="0.3">
      <c r="A9" s="1">
        <v>46189</v>
      </c>
      <c r="B9" t="s">
        <v>4992</v>
      </c>
      <c r="C9" t="s">
        <v>8</v>
      </c>
      <c r="D9" t="s">
        <v>2460</v>
      </c>
      <c r="E9" t="s">
        <v>34</v>
      </c>
      <c r="F9" t="s">
        <v>35</v>
      </c>
      <c r="G9">
        <v>3174.5693000000001</v>
      </c>
      <c r="H9">
        <v>3650.7546000000002</v>
      </c>
      <c r="I9" t="s">
        <v>6931</v>
      </c>
      <c r="J9" s="26">
        <f ca="1">TODAY()-Table16[[#This Row],[documentDate]]</f>
        <v>70</v>
      </c>
    </row>
    <row r="10" spans="1:10" x14ac:dyDescent="0.3">
      <c r="A10" s="1">
        <v>46194</v>
      </c>
      <c r="B10" t="s">
        <v>6028</v>
      </c>
      <c r="C10" t="s">
        <v>8</v>
      </c>
      <c r="D10" t="s">
        <v>2460</v>
      </c>
      <c r="E10" t="s">
        <v>841</v>
      </c>
      <c r="F10" t="s">
        <v>842</v>
      </c>
      <c r="G10">
        <v>60</v>
      </c>
      <c r="H10">
        <v>69</v>
      </c>
      <c r="I10" t="s">
        <v>6931</v>
      </c>
      <c r="J10" s="26">
        <f ca="1">TODAY()-Table16[[#This Row],[documentDate]]</f>
        <v>65</v>
      </c>
    </row>
    <row r="11" spans="1:10" x14ac:dyDescent="0.3">
      <c r="A11" s="1">
        <v>46195</v>
      </c>
      <c r="B11" t="s">
        <v>6029</v>
      </c>
      <c r="C11" t="s">
        <v>8</v>
      </c>
      <c r="D11" t="s">
        <v>2460</v>
      </c>
      <c r="E11" t="s">
        <v>116</v>
      </c>
      <c r="F11" t="s">
        <v>117</v>
      </c>
      <c r="G11">
        <v>3550.8910000000001</v>
      </c>
      <c r="H11">
        <v>4083.5246999999999</v>
      </c>
      <c r="I11" t="s">
        <v>6931</v>
      </c>
      <c r="J11" s="26">
        <f ca="1">TODAY()-Table16[[#This Row],[documentDate]]</f>
        <v>64</v>
      </c>
    </row>
    <row r="12" spans="1:10" x14ac:dyDescent="0.3">
      <c r="A12" s="1">
        <v>46197</v>
      </c>
      <c r="B12" t="s">
        <v>6031</v>
      </c>
      <c r="C12" t="s">
        <v>8</v>
      </c>
      <c r="D12" t="s">
        <v>2460</v>
      </c>
      <c r="E12" t="s">
        <v>111</v>
      </c>
      <c r="F12" t="s">
        <v>112</v>
      </c>
      <c r="G12">
        <v>209.00004999999999</v>
      </c>
      <c r="H12">
        <v>240.35005000000001</v>
      </c>
      <c r="I12" t="s">
        <v>6931</v>
      </c>
      <c r="J12" s="26">
        <f ca="1">TODAY()-Table16[[#This Row],[documentDate]]</f>
        <v>62</v>
      </c>
    </row>
    <row r="13" spans="1:10" x14ac:dyDescent="0.3">
      <c r="A13" s="1">
        <v>46197</v>
      </c>
      <c r="B13" t="s">
        <v>6030</v>
      </c>
      <c r="C13" t="s">
        <v>8</v>
      </c>
      <c r="D13" t="s">
        <v>2460</v>
      </c>
      <c r="E13" t="s">
        <v>73</v>
      </c>
      <c r="F13" t="s">
        <v>74</v>
      </c>
      <c r="G13">
        <v>575.41020000000003</v>
      </c>
      <c r="H13">
        <v>661.72180000000003</v>
      </c>
      <c r="I13" t="s">
        <v>6931</v>
      </c>
      <c r="J13" s="26">
        <f ca="1">TODAY()-Table16[[#This Row],[documentDate]]</f>
        <v>62</v>
      </c>
    </row>
    <row r="14" spans="1:10" x14ac:dyDescent="0.3">
      <c r="A14" s="1">
        <v>46202</v>
      </c>
      <c r="B14" t="s">
        <v>6312</v>
      </c>
      <c r="C14" t="s">
        <v>8</v>
      </c>
      <c r="D14" t="s">
        <v>2460</v>
      </c>
      <c r="E14" t="s">
        <v>73</v>
      </c>
      <c r="F14" t="s">
        <v>74</v>
      </c>
      <c r="G14">
        <v>156</v>
      </c>
      <c r="H14">
        <v>179.4</v>
      </c>
      <c r="I14" t="s">
        <v>6931</v>
      </c>
      <c r="J14">
        <f ca="1">TODAY()-Table16[[#This Row],[documentDate]]</f>
        <v>57</v>
      </c>
    </row>
    <row r="15" spans="1:10" x14ac:dyDescent="0.3">
      <c r="A15" s="1">
        <v>46203</v>
      </c>
      <c r="B15" t="s">
        <v>6378</v>
      </c>
      <c r="C15" t="s">
        <v>8</v>
      </c>
      <c r="D15" t="s">
        <v>2463</v>
      </c>
      <c r="E15" t="s">
        <v>173</v>
      </c>
      <c r="F15" t="s">
        <v>174</v>
      </c>
      <c r="G15">
        <v>2.5</v>
      </c>
      <c r="H15">
        <v>2.875</v>
      </c>
      <c r="I15" t="s">
        <v>6931</v>
      </c>
      <c r="J15">
        <f ca="1">TODAY()-Table16[[#This Row],[documentDate]]</f>
        <v>56</v>
      </c>
    </row>
    <row r="16" spans="1:10" x14ac:dyDescent="0.3">
      <c r="A16" s="1">
        <v>46203</v>
      </c>
      <c r="B16" t="s">
        <v>6377</v>
      </c>
      <c r="C16" t="s">
        <v>8</v>
      </c>
      <c r="D16" t="s">
        <v>2460</v>
      </c>
      <c r="E16" t="s">
        <v>767</v>
      </c>
      <c r="F16" t="s">
        <v>768</v>
      </c>
      <c r="G16">
        <v>73.5</v>
      </c>
      <c r="H16">
        <v>84.525000000000006</v>
      </c>
      <c r="I16" t="s">
        <v>6931</v>
      </c>
      <c r="J16">
        <f ca="1">TODAY()-Table16[[#This Row],[documentDate]]</f>
        <v>56</v>
      </c>
    </row>
    <row r="17" spans="1:10" x14ac:dyDescent="0.3">
      <c r="A17" s="1">
        <v>46204</v>
      </c>
      <c r="B17" t="s">
        <v>6384</v>
      </c>
      <c r="C17" t="s">
        <v>8</v>
      </c>
      <c r="D17" t="s">
        <v>2460</v>
      </c>
      <c r="E17" t="s">
        <v>4616</v>
      </c>
      <c r="F17" t="s">
        <v>4617</v>
      </c>
      <c r="G17">
        <v>2869.5</v>
      </c>
      <c r="H17">
        <v>3299.9250000000002</v>
      </c>
      <c r="I17" t="s">
        <v>6931</v>
      </c>
      <c r="J17">
        <f ca="1">TODAY()-Table16[[#This Row],[documentDate]]</f>
        <v>55</v>
      </c>
    </row>
    <row r="18" spans="1:10" x14ac:dyDescent="0.3">
      <c r="A18" s="1">
        <v>46204</v>
      </c>
      <c r="B18" t="s">
        <v>4118</v>
      </c>
      <c r="C18" t="s">
        <v>8</v>
      </c>
      <c r="D18" t="s">
        <v>2463</v>
      </c>
      <c r="E18" t="s">
        <v>4119</v>
      </c>
      <c r="F18" t="s">
        <v>4120</v>
      </c>
      <c r="G18">
        <v>42</v>
      </c>
      <c r="H18">
        <v>48.3</v>
      </c>
      <c r="I18" t="s">
        <v>6931</v>
      </c>
      <c r="J18">
        <f ca="1">TODAY()-Table16[[#This Row],[documentDate]]</f>
        <v>55</v>
      </c>
    </row>
    <row r="19" spans="1:10" x14ac:dyDescent="0.3">
      <c r="A19" s="1">
        <v>46204</v>
      </c>
      <c r="B19" t="s">
        <v>6381</v>
      </c>
      <c r="C19" t="s">
        <v>8</v>
      </c>
      <c r="D19" t="s">
        <v>2460</v>
      </c>
      <c r="E19" t="s">
        <v>534</v>
      </c>
      <c r="F19" t="s">
        <v>535</v>
      </c>
      <c r="G19">
        <v>15467.739</v>
      </c>
      <c r="H19">
        <v>17787.900000000001</v>
      </c>
      <c r="I19" t="s">
        <v>6931</v>
      </c>
      <c r="J19">
        <f ca="1">TODAY()-Table16[[#This Row],[documentDate]]</f>
        <v>55</v>
      </c>
    </row>
    <row r="20" spans="1:10" x14ac:dyDescent="0.3">
      <c r="A20" s="1">
        <v>46205</v>
      </c>
      <c r="B20" t="s">
        <v>6992</v>
      </c>
      <c r="C20" t="s">
        <v>8</v>
      </c>
      <c r="D20" t="s">
        <v>2460</v>
      </c>
      <c r="E20" t="s">
        <v>710</v>
      </c>
      <c r="F20" t="s">
        <v>711</v>
      </c>
      <c r="G20">
        <v>243.6</v>
      </c>
      <c r="H20">
        <v>280.14</v>
      </c>
      <c r="I20" t="s">
        <v>6931</v>
      </c>
      <c r="J20">
        <f ca="1">TODAY()-Table16[[#This Row],[documentDate]]</f>
        <v>54</v>
      </c>
    </row>
    <row r="21" spans="1:10" x14ac:dyDescent="0.3">
      <c r="A21" s="1">
        <v>46207</v>
      </c>
      <c r="B21" t="s">
        <v>6993</v>
      </c>
      <c r="C21" t="s">
        <v>8</v>
      </c>
      <c r="D21" t="s">
        <v>2460</v>
      </c>
      <c r="E21" t="s">
        <v>2461</v>
      </c>
      <c r="F21" t="s">
        <v>2462</v>
      </c>
      <c r="G21">
        <v>71.5</v>
      </c>
      <c r="H21">
        <v>82.224999999999994</v>
      </c>
      <c r="I21" t="s">
        <v>6931</v>
      </c>
      <c r="J21">
        <f ca="1">TODAY()-Table16[[#This Row],[documentDate]]</f>
        <v>52</v>
      </c>
    </row>
    <row r="22" spans="1:10" x14ac:dyDescent="0.3">
      <c r="A22" s="1">
        <v>46209</v>
      </c>
      <c r="B22" t="s">
        <v>6994</v>
      </c>
      <c r="C22" t="s">
        <v>8</v>
      </c>
      <c r="D22" t="s">
        <v>2460</v>
      </c>
      <c r="E22" t="s">
        <v>2260</v>
      </c>
      <c r="F22" t="s">
        <v>2261</v>
      </c>
      <c r="G22">
        <v>4055.64</v>
      </c>
      <c r="H22">
        <v>4663.9859999999999</v>
      </c>
      <c r="I22" t="s">
        <v>6931</v>
      </c>
      <c r="J22">
        <f ca="1">TODAY()-Table16[[#This Row],[documentDate]]</f>
        <v>50</v>
      </c>
    </row>
    <row r="23" spans="1:10" x14ac:dyDescent="0.3">
      <c r="A23" s="1">
        <v>46210</v>
      </c>
      <c r="B23" t="s">
        <v>6995</v>
      </c>
      <c r="C23" t="s">
        <v>8</v>
      </c>
      <c r="D23" t="s">
        <v>2460</v>
      </c>
      <c r="E23" t="s">
        <v>4244</v>
      </c>
      <c r="F23" t="s">
        <v>4245</v>
      </c>
      <c r="G23">
        <v>233.75</v>
      </c>
      <c r="H23">
        <v>268.8125</v>
      </c>
      <c r="I23" t="s">
        <v>6931</v>
      </c>
      <c r="J23">
        <f ca="1">TODAY()-Table16[[#This Row],[documentDate]]</f>
        <v>49</v>
      </c>
    </row>
    <row r="24" spans="1:10" x14ac:dyDescent="0.3">
      <c r="A24" s="1">
        <v>46210</v>
      </c>
      <c r="B24" t="s">
        <v>6996</v>
      </c>
      <c r="C24" t="s">
        <v>8</v>
      </c>
      <c r="D24" t="s">
        <v>2460</v>
      </c>
      <c r="E24" t="s">
        <v>3686</v>
      </c>
      <c r="F24" t="s">
        <v>3687</v>
      </c>
      <c r="G24">
        <v>550</v>
      </c>
      <c r="H24">
        <v>632.5</v>
      </c>
      <c r="I24" t="s">
        <v>6931</v>
      </c>
      <c r="J24">
        <f ca="1">TODAY()-Table16[[#This Row],[documentDate]]</f>
        <v>49</v>
      </c>
    </row>
    <row r="25" spans="1:10" x14ac:dyDescent="0.3">
      <c r="A25" s="1">
        <v>46211</v>
      </c>
      <c r="B25" t="s">
        <v>6997</v>
      </c>
      <c r="C25" t="s">
        <v>8</v>
      </c>
      <c r="D25" t="s">
        <v>2463</v>
      </c>
      <c r="E25" t="s">
        <v>4119</v>
      </c>
      <c r="F25" t="s">
        <v>4120</v>
      </c>
      <c r="G25">
        <v>20</v>
      </c>
      <c r="H25">
        <v>23</v>
      </c>
      <c r="I25" t="s">
        <v>6931</v>
      </c>
      <c r="J25">
        <f ca="1">TODAY()-Table16[[#This Row],[documentDate]]</f>
        <v>48</v>
      </c>
    </row>
    <row r="26" spans="1:10" x14ac:dyDescent="0.3">
      <c r="A26" s="1">
        <v>46212</v>
      </c>
      <c r="B26" t="s">
        <v>7000</v>
      </c>
      <c r="C26" t="s">
        <v>8</v>
      </c>
      <c r="D26" t="s">
        <v>2460</v>
      </c>
      <c r="E26" t="s">
        <v>31</v>
      </c>
      <c r="F26" t="s">
        <v>32</v>
      </c>
      <c r="G26">
        <v>257.7</v>
      </c>
      <c r="H26">
        <v>296.35500000000002</v>
      </c>
      <c r="I26" t="s">
        <v>6931</v>
      </c>
      <c r="J26">
        <f ca="1">TODAY()-Table16[[#This Row],[documentDate]]</f>
        <v>47</v>
      </c>
    </row>
    <row r="27" spans="1:10" x14ac:dyDescent="0.3">
      <c r="A27" s="1">
        <v>46212</v>
      </c>
      <c r="B27" t="s">
        <v>6998</v>
      </c>
      <c r="C27" t="s">
        <v>8</v>
      </c>
      <c r="D27" t="s">
        <v>2460</v>
      </c>
      <c r="E27" t="s">
        <v>111</v>
      </c>
      <c r="F27" t="s">
        <v>112</v>
      </c>
      <c r="G27">
        <v>469.952</v>
      </c>
      <c r="H27">
        <v>540.44479999999999</v>
      </c>
      <c r="I27" t="s">
        <v>6931</v>
      </c>
      <c r="J27">
        <f ca="1">TODAY()-Table16[[#This Row],[documentDate]]</f>
        <v>47</v>
      </c>
    </row>
    <row r="28" spans="1:10" x14ac:dyDescent="0.3">
      <c r="A28" s="1">
        <v>46216</v>
      </c>
      <c r="B28" t="s">
        <v>7416</v>
      </c>
      <c r="C28" t="s">
        <v>8</v>
      </c>
      <c r="D28" t="s">
        <v>2460</v>
      </c>
      <c r="E28" t="s">
        <v>704</v>
      </c>
      <c r="F28" t="s">
        <v>705</v>
      </c>
      <c r="G28">
        <v>3375.6</v>
      </c>
      <c r="H28">
        <v>3881.94</v>
      </c>
      <c r="I28" t="s">
        <v>6931</v>
      </c>
      <c r="J28">
        <f ca="1">TODAY()-Table16[[#This Row],[documentDate]]</f>
        <v>43</v>
      </c>
    </row>
    <row r="29" spans="1:10" x14ac:dyDescent="0.3">
      <c r="A29" s="1">
        <v>46217</v>
      </c>
      <c r="B29" t="s">
        <v>7535</v>
      </c>
      <c r="C29" t="s">
        <v>8</v>
      </c>
      <c r="D29" t="s">
        <v>2460</v>
      </c>
      <c r="E29" t="s">
        <v>2260</v>
      </c>
      <c r="F29" t="s">
        <v>2261</v>
      </c>
      <c r="G29">
        <v>9041.6299999999992</v>
      </c>
      <c r="H29">
        <v>10397.874</v>
      </c>
      <c r="I29" t="s">
        <v>6931</v>
      </c>
      <c r="J29">
        <f ca="1">TODAY()-Table16[[#This Row],[documentDate]]</f>
        <v>42</v>
      </c>
    </row>
    <row r="30" spans="1:10" x14ac:dyDescent="0.3">
      <c r="A30" s="1">
        <v>46217</v>
      </c>
      <c r="B30" t="s">
        <v>7536</v>
      </c>
      <c r="C30" t="s">
        <v>8</v>
      </c>
      <c r="D30" t="s">
        <v>2467</v>
      </c>
      <c r="E30" t="s">
        <v>2241</v>
      </c>
      <c r="F30" t="s">
        <v>2474</v>
      </c>
      <c r="G30">
        <v>10410</v>
      </c>
      <c r="H30">
        <v>11971.5</v>
      </c>
      <c r="I30" t="s">
        <v>6931</v>
      </c>
      <c r="J30">
        <f ca="1">TODAY()-Table16[[#This Row],[documentDate]]</f>
        <v>42</v>
      </c>
    </row>
    <row r="31" spans="1:10" x14ac:dyDescent="0.3">
      <c r="A31" s="1">
        <v>46219</v>
      </c>
      <c r="B31" t="s">
        <v>7722</v>
      </c>
      <c r="C31" t="s">
        <v>8</v>
      </c>
      <c r="D31" t="s">
        <v>2460</v>
      </c>
      <c r="E31" t="s">
        <v>164</v>
      </c>
      <c r="F31" t="s">
        <v>165</v>
      </c>
      <c r="G31">
        <v>612</v>
      </c>
      <c r="H31">
        <v>703.8</v>
      </c>
      <c r="I31" t="s">
        <v>6931</v>
      </c>
      <c r="J31">
        <f ca="1">TODAY()-Table16[[#This Row],[documentDate]]</f>
        <v>40</v>
      </c>
    </row>
    <row r="32" spans="1:10" x14ac:dyDescent="0.3">
      <c r="A32" s="1">
        <v>46221</v>
      </c>
      <c r="B32" t="s">
        <v>7721</v>
      </c>
      <c r="C32" t="s">
        <v>8</v>
      </c>
      <c r="D32" t="s">
        <v>2460</v>
      </c>
      <c r="E32" t="s">
        <v>6375</v>
      </c>
      <c r="F32" t="s">
        <v>6376</v>
      </c>
      <c r="G32">
        <v>144.92660000000001</v>
      </c>
      <c r="H32">
        <v>166.66559000000001</v>
      </c>
      <c r="I32" t="s">
        <v>6931</v>
      </c>
      <c r="J32">
        <f ca="1">TODAY()-Table16[[#This Row],[documentDate]]</f>
        <v>38</v>
      </c>
    </row>
    <row r="33" spans="1:10" x14ac:dyDescent="0.3">
      <c r="A33" s="1">
        <v>46223</v>
      </c>
      <c r="B33" t="s">
        <v>7966</v>
      </c>
      <c r="C33" t="s">
        <v>8</v>
      </c>
      <c r="D33" t="s">
        <v>2460</v>
      </c>
      <c r="E33" t="s">
        <v>615</v>
      </c>
      <c r="F33" t="s">
        <v>616</v>
      </c>
      <c r="G33">
        <v>231.03984</v>
      </c>
      <c r="H33">
        <v>265.69583</v>
      </c>
      <c r="I33" t="s">
        <v>6931</v>
      </c>
      <c r="J33">
        <f ca="1">TODAY()-Table16[[#This Row],[documentDate]]</f>
        <v>36</v>
      </c>
    </row>
    <row r="34" spans="1:10" x14ac:dyDescent="0.3">
      <c r="A34" s="1">
        <v>46223</v>
      </c>
      <c r="B34" t="s">
        <v>7967</v>
      </c>
      <c r="C34" t="s">
        <v>8</v>
      </c>
      <c r="D34" t="s">
        <v>2460</v>
      </c>
      <c r="E34" t="s">
        <v>148</v>
      </c>
      <c r="F34" t="s">
        <v>149</v>
      </c>
      <c r="G34">
        <v>200.00014999999999</v>
      </c>
      <c r="H34">
        <v>230.00018</v>
      </c>
      <c r="I34" t="s">
        <v>6931</v>
      </c>
      <c r="J34">
        <f ca="1">TODAY()-Table16[[#This Row],[documentDate]]</f>
        <v>36</v>
      </c>
    </row>
    <row r="35" spans="1:10" x14ac:dyDescent="0.3">
      <c r="A35" s="1">
        <v>46225</v>
      </c>
      <c r="B35" t="s">
        <v>8306</v>
      </c>
      <c r="C35" t="s">
        <v>8</v>
      </c>
      <c r="D35" t="s">
        <v>2460</v>
      </c>
      <c r="E35" t="s">
        <v>7538</v>
      </c>
      <c r="F35" t="s">
        <v>7914</v>
      </c>
      <c r="G35">
        <v>311.47199999999998</v>
      </c>
      <c r="H35">
        <v>358.19279999999998</v>
      </c>
      <c r="I35" t="s">
        <v>6931</v>
      </c>
      <c r="J35">
        <f ca="1">TODAY()-Table16[[#This Row],[documentDate]]</f>
        <v>34</v>
      </c>
    </row>
    <row r="36" spans="1:10" x14ac:dyDescent="0.3">
      <c r="A36" s="1">
        <v>46226</v>
      </c>
      <c r="B36" t="s">
        <v>8370</v>
      </c>
      <c r="C36" t="s">
        <v>8</v>
      </c>
      <c r="D36" t="s">
        <v>2460</v>
      </c>
      <c r="E36" t="s">
        <v>5151</v>
      </c>
      <c r="F36" t="s">
        <v>5152</v>
      </c>
      <c r="G36">
        <v>3831</v>
      </c>
      <c r="H36">
        <v>4405.6499999999996</v>
      </c>
      <c r="I36" t="s">
        <v>6931</v>
      </c>
      <c r="J36">
        <f ca="1">TODAY()-Table16[[#This Row],[documentDate]]</f>
        <v>33</v>
      </c>
    </row>
    <row r="37" spans="1:10" x14ac:dyDescent="0.3">
      <c r="A37" s="1">
        <v>46226</v>
      </c>
      <c r="B37" t="s">
        <v>8369</v>
      </c>
      <c r="C37" t="s">
        <v>8</v>
      </c>
      <c r="D37" t="s">
        <v>2463</v>
      </c>
      <c r="E37" t="s">
        <v>5151</v>
      </c>
      <c r="F37" t="s">
        <v>5152</v>
      </c>
      <c r="G37">
        <v>2087.8000000000002</v>
      </c>
      <c r="H37">
        <v>2400.9699999999998</v>
      </c>
      <c r="I37" t="s">
        <v>6931</v>
      </c>
      <c r="J37">
        <f ca="1">TODAY()-Table16[[#This Row],[documentDate]]</f>
        <v>33</v>
      </c>
    </row>
    <row r="38" spans="1:10" x14ac:dyDescent="0.3">
      <c r="A38" s="1">
        <v>46226</v>
      </c>
      <c r="B38" t="s">
        <v>8371</v>
      </c>
      <c r="C38" t="s">
        <v>8</v>
      </c>
      <c r="D38" t="s">
        <v>2460</v>
      </c>
      <c r="E38" t="s">
        <v>2292</v>
      </c>
      <c r="F38" t="s">
        <v>2293</v>
      </c>
      <c r="G38">
        <v>468</v>
      </c>
      <c r="H38">
        <v>538.20000000000005</v>
      </c>
      <c r="I38" t="s">
        <v>6931</v>
      </c>
      <c r="J38">
        <f ca="1">TODAY()-Table16[[#This Row],[documentDate]]</f>
        <v>33</v>
      </c>
    </row>
    <row r="39" spans="1:10" x14ac:dyDescent="0.3">
      <c r="A39" s="1">
        <v>46228</v>
      </c>
      <c r="B39" t="s">
        <v>8419</v>
      </c>
      <c r="C39" t="s">
        <v>8</v>
      </c>
      <c r="D39" t="s">
        <v>2460</v>
      </c>
      <c r="E39" t="s">
        <v>16</v>
      </c>
      <c r="F39" t="s">
        <v>17</v>
      </c>
      <c r="G39">
        <v>8789.7000000000007</v>
      </c>
      <c r="H39">
        <v>10108.155000000001</v>
      </c>
      <c r="I39" t="s">
        <v>6931</v>
      </c>
      <c r="J39">
        <f ca="1">TODAY()-Table16[[#This Row],[documentDate]]</f>
        <v>31</v>
      </c>
    </row>
    <row r="40" spans="1:10" x14ac:dyDescent="0.3">
      <c r="A40" s="1">
        <v>46229</v>
      </c>
      <c r="B40" t="s">
        <v>8429</v>
      </c>
      <c r="C40" t="s">
        <v>8</v>
      </c>
      <c r="D40" t="s">
        <v>2460</v>
      </c>
      <c r="E40" t="s">
        <v>8372</v>
      </c>
      <c r="F40" t="s">
        <v>8373</v>
      </c>
      <c r="G40">
        <v>480.5</v>
      </c>
      <c r="H40">
        <v>552.57500000000005</v>
      </c>
      <c r="I40" t="s">
        <v>6931</v>
      </c>
      <c r="J40">
        <f ca="1">TODAY()-Table16[[#This Row],[documentDate]]</f>
        <v>30</v>
      </c>
    </row>
    <row r="41" spans="1:10" x14ac:dyDescent="0.3">
      <c r="A41" s="1">
        <v>46229</v>
      </c>
      <c r="B41" t="s">
        <v>8481</v>
      </c>
      <c r="C41" t="s">
        <v>8</v>
      </c>
      <c r="D41" t="s">
        <v>2460</v>
      </c>
      <c r="E41" t="s">
        <v>2260</v>
      </c>
      <c r="F41" t="s">
        <v>2261</v>
      </c>
      <c r="G41">
        <v>1031.22</v>
      </c>
      <c r="H41">
        <v>1185.903</v>
      </c>
      <c r="I41" t="s">
        <v>6931</v>
      </c>
      <c r="J41">
        <f ca="1">TODAY()-Table16[[#This Row],[documentDate]]</f>
        <v>30</v>
      </c>
    </row>
    <row r="42" spans="1:10" x14ac:dyDescent="0.3">
      <c r="A42" s="1">
        <v>46229</v>
      </c>
      <c r="B42" t="s">
        <v>8438</v>
      </c>
      <c r="C42" t="s">
        <v>8</v>
      </c>
      <c r="D42" t="s">
        <v>2460</v>
      </c>
      <c r="E42" t="s">
        <v>8372</v>
      </c>
      <c r="F42" t="s">
        <v>8373</v>
      </c>
      <c r="G42">
        <v>21</v>
      </c>
      <c r="H42">
        <v>24.15</v>
      </c>
      <c r="I42" t="s">
        <v>6931</v>
      </c>
      <c r="J42">
        <f ca="1">TODAY()-Table16[[#This Row],[documentDate]]</f>
        <v>30</v>
      </c>
    </row>
    <row r="43" spans="1:10" x14ac:dyDescent="0.3">
      <c r="A43" s="1">
        <v>46229</v>
      </c>
      <c r="B43" t="s">
        <v>8442</v>
      </c>
      <c r="C43" t="s">
        <v>8</v>
      </c>
      <c r="D43" t="s">
        <v>2460</v>
      </c>
      <c r="E43" t="s">
        <v>710</v>
      </c>
      <c r="F43" t="s">
        <v>711</v>
      </c>
      <c r="G43">
        <v>1033.5</v>
      </c>
      <c r="H43">
        <v>1188.5250000000001</v>
      </c>
      <c r="I43" t="s">
        <v>6931</v>
      </c>
      <c r="J43">
        <f ca="1">TODAY()-Table16[[#This Row],[documentDate]]</f>
        <v>30</v>
      </c>
    </row>
    <row r="44" spans="1:10" x14ac:dyDescent="0.3">
      <c r="A44" s="1">
        <v>46229</v>
      </c>
      <c r="B44" t="s">
        <v>8482</v>
      </c>
      <c r="C44" t="s">
        <v>8</v>
      </c>
      <c r="D44" t="s">
        <v>2467</v>
      </c>
      <c r="E44" t="s">
        <v>49</v>
      </c>
      <c r="F44" t="s">
        <v>50</v>
      </c>
      <c r="G44">
        <v>1143.2</v>
      </c>
      <c r="H44">
        <v>1314.68</v>
      </c>
      <c r="I44" t="s">
        <v>6931</v>
      </c>
      <c r="J44">
        <f ca="1">TODAY()-Table16[[#This Row],[documentDate]]</f>
        <v>30</v>
      </c>
    </row>
    <row r="45" spans="1:10" x14ac:dyDescent="0.3">
      <c r="A45" s="1">
        <v>46230</v>
      </c>
      <c r="B45" t="s">
        <v>8546</v>
      </c>
      <c r="C45" t="s">
        <v>8</v>
      </c>
      <c r="D45" t="s">
        <v>2460</v>
      </c>
      <c r="E45" t="s">
        <v>2383</v>
      </c>
      <c r="F45" t="s">
        <v>2384</v>
      </c>
      <c r="G45">
        <v>7336.4</v>
      </c>
      <c r="H45">
        <v>8436.86</v>
      </c>
      <c r="I45" t="s">
        <v>6931</v>
      </c>
      <c r="J45">
        <f ca="1">TODAY()-Table16[[#This Row],[documentDate]]</f>
        <v>29</v>
      </c>
    </row>
    <row r="46" spans="1:10" x14ac:dyDescent="0.3">
      <c r="A46" s="1">
        <v>46231</v>
      </c>
      <c r="B46" t="s">
        <v>8643</v>
      </c>
      <c r="C46" t="s">
        <v>8</v>
      </c>
      <c r="D46" t="s">
        <v>2460</v>
      </c>
      <c r="E46" t="s">
        <v>71</v>
      </c>
      <c r="F46" t="s">
        <v>72</v>
      </c>
      <c r="G46">
        <v>309.74400000000003</v>
      </c>
      <c r="H46">
        <v>356.2056</v>
      </c>
      <c r="I46" t="s">
        <v>6931</v>
      </c>
      <c r="J46">
        <f ca="1">TODAY()-Table16[[#This Row],[documentDate]]</f>
        <v>28</v>
      </c>
    </row>
    <row r="47" spans="1:10" x14ac:dyDescent="0.3">
      <c r="A47" s="1">
        <v>46231</v>
      </c>
      <c r="B47" t="s">
        <v>8644</v>
      </c>
      <c r="C47" t="s">
        <v>8</v>
      </c>
      <c r="D47" t="s">
        <v>2463</v>
      </c>
      <c r="E47" t="s">
        <v>111</v>
      </c>
      <c r="F47" t="s">
        <v>112</v>
      </c>
      <c r="G47">
        <v>2391.9994999999999</v>
      </c>
      <c r="H47">
        <v>2750.7993000000001</v>
      </c>
      <c r="I47" t="s">
        <v>6931</v>
      </c>
      <c r="J47">
        <f ca="1">TODAY()-Table16[[#This Row],[documentDate]]</f>
        <v>28</v>
      </c>
    </row>
    <row r="48" spans="1:10" x14ac:dyDescent="0.3">
      <c r="A48" s="1">
        <v>46232</v>
      </c>
      <c r="B48" t="s">
        <v>8692</v>
      </c>
      <c r="C48" t="s">
        <v>8</v>
      </c>
      <c r="D48" t="s">
        <v>2463</v>
      </c>
      <c r="E48" t="s">
        <v>358</v>
      </c>
      <c r="F48" t="s">
        <v>359</v>
      </c>
      <c r="G48">
        <v>450</v>
      </c>
      <c r="H48">
        <v>517.5</v>
      </c>
      <c r="I48" t="s">
        <v>6931</v>
      </c>
      <c r="J48">
        <f ca="1">TODAY()-Table16[[#This Row],[documentDate]]</f>
        <v>27</v>
      </c>
    </row>
    <row r="49" spans="1:10" x14ac:dyDescent="0.3">
      <c r="A49" s="1">
        <v>46232</v>
      </c>
      <c r="B49" t="s">
        <v>8691</v>
      </c>
      <c r="C49" t="s">
        <v>8</v>
      </c>
      <c r="D49" t="s">
        <v>2460</v>
      </c>
      <c r="E49" t="s">
        <v>8641</v>
      </c>
      <c r="F49" t="s">
        <v>8642</v>
      </c>
      <c r="G49">
        <v>246.54</v>
      </c>
      <c r="H49">
        <v>283.52100000000002</v>
      </c>
      <c r="I49" t="s">
        <v>6931</v>
      </c>
      <c r="J49">
        <f ca="1">TODAY()-Table16[[#This Row],[documentDate]]</f>
        <v>27</v>
      </c>
    </row>
    <row r="50" spans="1:10" x14ac:dyDescent="0.3">
      <c r="A50" s="1">
        <v>46232</v>
      </c>
      <c r="B50" t="s">
        <v>8690</v>
      </c>
      <c r="C50" t="s">
        <v>8</v>
      </c>
      <c r="D50" t="s">
        <v>2460</v>
      </c>
      <c r="E50" t="s">
        <v>19</v>
      </c>
      <c r="F50" t="s">
        <v>20</v>
      </c>
      <c r="G50">
        <v>120.96</v>
      </c>
      <c r="H50">
        <v>139.10400000000001</v>
      </c>
      <c r="I50" t="s">
        <v>6931</v>
      </c>
      <c r="J50">
        <f ca="1">TODAY()-Table16[[#This Row],[documentDate]]</f>
        <v>27</v>
      </c>
    </row>
    <row r="51" spans="1:10" x14ac:dyDescent="0.3">
      <c r="A51" s="1">
        <v>46232</v>
      </c>
      <c r="B51" t="s">
        <v>8783</v>
      </c>
      <c r="C51" t="s">
        <v>8</v>
      </c>
      <c r="D51" t="s">
        <v>2460</v>
      </c>
      <c r="E51" t="s">
        <v>73</v>
      </c>
      <c r="F51" t="s">
        <v>74</v>
      </c>
      <c r="G51">
        <v>64</v>
      </c>
      <c r="H51">
        <v>73.599999999999994</v>
      </c>
      <c r="I51" t="s">
        <v>6931</v>
      </c>
      <c r="J51">
        <f ca="1">TODAY()-Table16[[#This Row],[documentDate]]</f>
        <v>27</v>
      </c>
    </row>
    <row r="52" spans="1:10" x14ac:dyDescent="0.3">
      <c r="A52" s="1">
        <v>46232</v>
      </c>
      <c r="B52" t="s">
        <v>8780</v>
      </c>
      <c r="C52" t="s">
        <v>8</v>
      </c>
      <c r="D52" t="s">
        <v>2460</v>
      </c>
      <c r="E52" t="s">
        <v>111</v>
      </c>
      <c r="F52" t="s">
        <v>112</v>
      </c>
      <c r="G52">
        <v>668.00005999999996</v>
      </c>
      <c r="H52">
        <v>768.20010000000002</v>
      </c>
      <c r="I52" t="s">
        <v>6931</v>
      </c>
      <c r="J52">
        <f ca="1">TODAY()-Table16[[#This Row],[documentDate]]</f>
        <v>27</v>
      </c>
    </row>
    <row r="53" spans="1:10" x14ac:dyDescent="0.3">
      <c r="A53" s="1">
        <v>46232</v>
      </c>
      <c r="B53" t="s">
        <v>8782</v>
      </c>
      <c r="C53" t="s">
        <v>8</v>
      </c>
      <c r="D53" t="s">
        <v>2460</v>
      </c>
      <c r="E53" t="s">
        <v>34</v>
      </c>
      <c r="F53" t="s">
        <v>35</v>
      </c>
      <c r="G53">
        <v>55.52</v>
      </c>
      <c r="H53">
        <v>63.847999999999999</v>
      </c>
      <c r="I53" t="s">
        <v>6931</v>
      </c>
      <c r="J53">
        <f ca="1">TODAY()-Table16[[#This Row],[documentDate]]</f>
        <v>27</v>
      </c>
    </row>
    <row r="54" spans="1:10" x14ac:dyDescent="0.3">
      <c r="A54" s="1">
        <v>46233</v>
      </c>
      <c r="B54" t="s">
        <v>8898</v>
      </c>
      <c r="C54" t="s">
        <v>8</v>
      </c>
      <c r="D54" t="s">
        <v>2460</v>
      </c>
      <c r="E54" t="s">
        <v>73</v>
      </c>
      <c r="F54" t="s">
        <v>74</v>
      </c>
      <c r="G54">
        <v>64</v>
      </c>
      <c r="H54">
        <v>73.599999999999994</v>
      </c>
      <c r="I54" t="s">
        <v>6931</v>
      </c>
      <c r="J54">
        <f ca="1">TODAY()-Table16[[#This Row],[documentDate]]</f>
        <v>26</v>
      </c>
    </row>
    <row r="55" spans="1:10" x14ac:dyDescent="0.3">
      <c r="A55" s="1">
        <v>46233</v>
      </c>
      <c r="B55" t="s">
        <v>8899</v>
      </c>
      <c r="C55" t="s">
        <v>8</v>
      </c>
      <c r="D55" t="s">
        <v>2460</v>
      </c>
      <c r="E55" t="s">
        <v>8709</v>
      </c>
      <c r="F55" t="s">
        <v>8710</v>
      </c>
      <c r="G55">
        <v>16253.25</v>
      </c>
      <c r="H55">
        <v>18691.238000000001</v>
      </c>
      <c r="I55" t="s">
        <v>6931</v>
      </c>
      <c r="J55">
        <f ca="1">TODAY()-Table16[[#This Row],[documentDate]]</f>
        <v>26</v>
      </c>
    </row>
    <row r="56" spans="1:10" x14ac:dyDescent="0.3">
      <c r="A56" s="1">
        <v>46233</v>
      </c>
      <c r="B56" t="s">
        <v>8901</v>
      </c>
      <c r="C56" t="s">
        <v>8</v>
      </c>
      <c r="D56" t="s">
        <v>2460</v>
      </c>
      <c r="E56" t="s">
        <v>81</v>
      </c>
      <c r="F56" t="s">
        <v>82</v>
      </c>
      <c r="G56">
        <v>46.8</v>
      </c>
      <c r="H56">
        <v>53.82</v>
      </c>
      <c r="I56" t="s">
        <v>6931</v>
      </c>
      <c r="J56">
        <f ca="1">TODAY()-Table16[[#This Row],[documentDate]]</f>
        <v>26</v>
      </c>
    </row>
    <row r="57" spans="1:10" x14ac:dyDescent="0.3">
      <c r="A57" s="1">
        <v>46233</v>
      </c>
      <c r="B57" t="s">
        <v>8900</v>
      </c>
      <c r="C57" t="s">
        <v>8</v>
      </c>
      <c r="D57" t="s">
        <v>2460</v>
      </c>
      <c r="E57" t="s">
        <v>2260</v>
      </c>
      <c r="F57" t="s">
        <v>2261</v>
      </c>
      <c r="G57">
        <v>4231.59</v>
      </c>
      <c r="H57">
        <v>4866.3285999999998</v>
      </c>
      <c r="I57" t="s">
        <v>6931</v>
      </c>
      <c r="J57">
        <f ca="1">TODAY()-Table16[[#This Row],[documentDate]]</f>
        <v>26</v>
      </c>
    </row>
    <row r="58" spans="1:10" x14ac:dyDescent="0.3">
      <c r="A58" s="1">
        <v>46235</v>
      </c>
      <c r="B58" t="s">
        <v>8938</v>
      </c>
      <c r="C58" t="s">
        <v>8</v>
      </c>
      <c r="D58" t="s">
        <v>2460</v>
      </c>
      <c r="E58" t="s">
        <v>7645</v>
      </c>
      <c r="F58" t="s">
        <v>7646</v>
      </c>
      <c r="G58">
        <v>11085</v>
      </c>
      <c r="H58">
        <v>12747.75</v>
      </c>
      <c r="I58" t="s">
        <v>6931</v>
      </c>
      <c r="J58">
        <f ca="1">TODAY()-Table16[[#This Row],[documentDate]]</f>
        <v>24</v>
      </c>
    </row>
    <row r="59" spans="1:10" x14ac:dyDescent="0.3">
      <c r="A59" s="1">
        <v>46235</v>
      </c>
      <c r="B59" t="s">
        <v>8939</v>
      </c>
      <c r="C59" t="s">
        <v>8</v>
      </c>
      <c r="D59" t="s">
        <v>2460</v>
      </c>
      <c r="E59" t="s">
        <v>8896</v>
      </c>
      <c r="F59" t="s">
        <v>8897</v>
      </c>
      <c r="G59">
        <v>571.62</v>
      </c>
      <c r="H59">
        <v>657.36300000000006</v>
      </c>
      <c r="I59" t="s">
        <v>6931</v>
      </c>
      <c r="J59">
        <f ca="1">TODAY()-Table16[[#This Row],[documentDate]]</f>
        <v>24</v>
      </c>
    </row>
    <row r="60" spans="1:10" x14ac:dyDescent="0.3">
      <c r="A60" s="1">
        <v>46235</v>
      </c>
      <c r="B60" t="s">
        <v>8940</v>
      </c>
      <c r="C60" t="s">
        <v>8</v>
      </c>
      <c r="D60" t="s">
        <v>2460</v>
      </c>
      <c r="E60" t="s">
        <v>534</v>
      </c>
      <c r="F60" t="s">
        <v>535</v>
      </c>
      <c r="G60">
        <v>7733.9570000000003</v>
      </c>
      <c r="H60">
        <v>8894.0509999999995</v>
      </c>
      <c r="I60" t="s">
        <v>6931</v>
      </c>
      <c r="J60">
        <f ca="1">TODAY()-Table16[[#This Row],[documentDate]]</f>
        <v>24</v>
      </c>
    </row>
    <row r="61" spans="1:10" x14ac:dyDescent="0.3">
      <c r="A61" s="1">
        <v>46235</v>
      </c>
      <c r="B61" t="s">
        <v>8941</v>
      </c>
      <c r="C61" t="s">
        <v>8</v>
      </c>
      <c r="D61" t="s">
        <v>2460</v>
      </c>
      <c r="E61" t="s">
        <v>111</v>
      </c>
      <c r="F61" t="s">
        <v>112</v>
      </c>
      <c r="G61">
        <v>146</v>
      </c>
      <c r="H61">
        <v>167.9</v>
      </c>
      <c r="I61" t="s">
        <v>6931</v>
      </c>
      <c r="J61">
        <f ca="1">TODAY()-Table16[[#This Row],[documentDate]]</f>
        <v>24</v>
      </c>
    </row>
    <row r="62" spans="1:10" x14ac:dyDescent="0.3">
      <c r="A62" s="1">
        <v>46236</v>
      </c>
      <c r="B62" t="s">
        <v>9046</v>
      </c>
      <c r="C62" t="s">
        <v>8</v>
      </c>
      <c r="D62" t="s">
        <v>2460</v>
      </c>
      <c r="E62" t="s">
        <v>8483</v>
      </c>
      <c r="F62" t="s">
        <v>8484</v>
      </c>
      <c r="G62">
        <v>15.65217</v>
      </c>
      <c r="H62">
        <v>18</v>
      </c>
      <c r="I62" t="s">
        <v>6931</v>
      </c>
      <c r="J62">
        <f ca="1">TODAY()-Table16[[#This Row],[documentDate]]</f>
        <v>23</v>
      </c>
    </row>
    <row r="63" spans="1:10" x14ac:dyDescent="0.3">
      <c r="A63" s="1">
        <v>46236</v>
      </c>
      <c r="B63" t="s">
        <v>9047</v>
      </c>
      <c r="C63" t="s">
        <v>8</v>
      </c>
      <c r="D63" t="s">
        <v>2460</v>
      </c>
      <c r="E63" t="s">
        <v>7129</v>
      </c>
      <c r="F63" t="s">
        <v>7130</v>
      </c>
      <c r="G63">
        <v>30</v>
      </c>
      <c r="H63">
        <v>34.5</v>
      </c>
      <c r="I63" t="s">
        <v>6931</v>
      </c>
      <c r="J63">
        <f ca="1">TODAY()-Table16[[#This Row],[documentDate]]</f>
        <v>23</v>
      </c>
    </row>
    <row r="64" spans="1:10" x14ac:dyDescent="0.3">
      <c r="A64" s="1">
        <v>46237</v>
      </c>
      <c r="B64" t="s">
        <v>9196</v>
      </c>
      <c r="C64" t="s">
        <v>8</v>
      </c>
      <c r="D64" t="s">
        <v>2460</v>
      </c>
      <c r="E64" t="s">
        <v>534</v>
      </c>
      <c r="F64" t="s">
        <v>535</v>
      </c>
      <c r="G64">
        <v>2003.7982999999999</v>
      </c>
      <c r="H64">
        <v>2304.3681999999999</v>
      </c>
      <c r="I64" t="s">
        <v>6931</v>
      </c>
      <c r="J64">
        <f ca="1">TODAY()-Table16[[#This Row],[documentDate]]</f>
        <v>22</v>
      </c>
    </row>
    <row r="65" spans="1:10" x14ac:dyDescent="0.3">
      <c r="A65" s="1">
        <v>46237</v>
      </c>
      <c r="B65" t="s">
        <v>9199</v>
      </c>
      <c r="C65" t="s">
        <v>8</v>
      </c>
      <c r="D65" t="s">
        <v>2460</v>
      </c>
      <c r="E65" t="s">
        <v>3132</v>
      </c>
      <c r="F65" t="s">
        <v>3133</v>
      </c>
      <c r="G65">
        <v>9291.1299999999992</v>
      </c>
      <c r="H65">
        <v>10684.799000000001</v>
      </c>
      <c r="I65" t="s">
        <v>6931</v>
      </c>
      <c r="J65">
        <f ca="1">TODAY()-Table16[[#This Row],[documentDate]]</f>
        <v>22</v>
      </c>
    </row>
    <row r="66" spans="1:10" x14ac:dyDescent="0.3">
      <c r="A66" s="1">
        <v>46237</v>
      </c>
      <c r="B66" t="s">
        <v>9198</v>
      </c>
      <c r="C66" t="s">
        <v>8</v>
      </c>
      <c r="D66" t="s">
        <v>2460</v>
      </c>
      <c r="E66" t="s">
        <v>2478</v>
      </c>
      <c r="F66" t="s">
        <v>2479</v>
      </c>
      <c r="G66">
        <v>263.17500000000001</v>
      </c>
      <c r="H66">
        <v>263.17500000000001</v>
      </c>
      <c r="I66" t="s">
        <v>6931</v>
      </c>
      <c r="J66">
        <f ca="1">TODAY()-Table16[[#This Row],[documentDate]]</f>
        <v>22</v>
      </c>
    </row>
    <row r="67" spans="1:10" x14ac:dyDescent="0.3">
      <c r="A67" s="1">
        <v>46237</v>
      </c>
      <c r="B67" t="s">
        <v>9197</v>
      </c>
      <c r="C67" t="s">
        <v>8</v>
      </c>
      <c r="D67" t="s">
        <v>2460</v>
      </c>
      <c r="E67" t="s">
        <v>2478</v>
      </c>
      <c r="F67" t="s">
        <v>2479</v>
      </c>
      <c r="G67">
        <v>685.85</v>
      </c>
      <c r="H67">
        <v>685.85</v>
      </c>
      <c r="I67" t="s">
        <v>6931</v>
      </c>
      <c r="J67">
        <f ca="1">TODAY()-Table16[[#This Row],[documentDate]]</f>
        <v>22</v>
      </c>
    </row>
    <row r="68" spans="1:10" x14ac:dyDescent="0.3">
      <c r="A68" s="1">
        <v>46238</v>
      </c>
      <c r="B68" t="s">
        <v>9255</v>
      </c>
      <c r="C68" t="s">
        <v>8</v>
      </c>
      <c r="D68" t="s">
        <v>2460</v>
      </c>
      <c r="E68" t="s">
        <v>7645</v>
      </c>
      <c r="F68" t="s">
        <v>7646</v>
      </c>
      <c r="G68">
        <v>7122.2849999999999</v>
      </c>
      <c r="H68">
        <v>8190.6279999999997</v>
      </c>
      <c r="I68" t="s">
        <v>6931</v>
      </c>
      <c r="J68">
        <f ca="1">TODAY()-Table16[[#This Row],[documentDate]]</f>
        <v>21</v>
      </c>
    </row>
    <row r="69" spans="1:10" x14ac:dyDescent="0.3">
      <c r="A69" s="1">
        <v>46238</v>
      </c>
      <c r="B69" t="s">
        <v>9256</v>
      </c>
      <c r="C69" t="s">
        <v>8</v>
      </c>
      <c r="D69" t="s">
        <v>2460</v>
      </c>
      <c r="E69" t="s">
        <v>362</v>
      </c>
      <c r="F69" t="s">
        <v>363</v>
      </c>
      <c r="G69">
        <v>3499</v>
      </c>
      <c r="H69">
        <v>4023.85</v>
      </c>
      <c r="I69" t="s">
        <v>6931</v>
      </c>
      <c r="J69">
        <f ca="1">TODAY()-Table16[[#This Row],[documentDate]]</f>
        <v>21</v>
      </c>
    </row>
    <row r="70" spans="1:10" x14ac:dyDescent="0.3">
      <c r="A70" s="1">
        <v>46238</v>
      </c>
      <c r="B70" t="s">
        <v>9257</v>
      </c>
      <c r="C70" t="s">
        <v>8</v>
      </c>
      <c r="D70" t="s">
        <v>2460</v>
      </c>
      <c r="E70" t="s">
        <v>8641</v>
      </c>
      <c r="F70" t="s">
        <v>8642</v>
      </c>
      <c r="G70">
        <v>117.12</v>
      </c>
      <c r="H70">
        <v>134.68799999999999</v>
      </c>
      <c r="I70" t="s">
        <v>6931</v>
      </c>
      <c r="J70">
        <f ca="1">TODAY()-Table16[[#This Row],[documentDate]]</f>
        <v>21</v>
      </c>
    </row>
    <row r="71" spans="1:10" x14ac:dyDescent="0.3">
      <c r="A71" s="1">
        <v>46238</v>
      </c>
      <c r="B71" t="s">
        <v>9254</v>
      </c>
      <c r="C71" t="s">
        <v>8</v>
      </c>
      <c r="D71" t="s">
        <v>2460</v>
      </c>
      <c r="E71" t="s">
        <v>173</v>
      </c>
      <c r="F71" t="s">
        <v>174</v>
      </c>
      <c r="G71">
        <v>181.2</v>
      </c>
      <c r="H71">
        <v>208.38</v>
      </c>
      <c r="I71" t="s">
        <v>6931</v>
      </c>
      <c r="J71">
        <f ca="1">TODAY()-Table16[[#This Row],[documentDate]]</f>
        <v>21</v>
      </c>
    </row>
    <row r="72" spans="1:10" x14ac:dyDescent="0.3">
      <c r="A72" s="1">
        <v>46239</v>
      </c>
      <c r="B72" t="s">
        <v>9330</v>
      </c>
      <c r="C72" t="s">
        <v>8</v>
      </c>
      <c r="D72" t="s">
        <v>2463</v>
      </c>
      <c r="E72" t="s">
        <v>448</v>
      </c>
      <c r="F72" t="s">
        <v>449</v>
      </c>
      <c r="G72">
        <v>525</v>
      </c>
      <c r="H72">
        <v>603.75</v>
      </c>
      <c r="I72" t="s">
        <v>6931</v>
      </c>
      <c r="J72">
        <f ca="1">TODAY()-Table16[[#This Row],[documentDate]]</f>
        <v>20</v>
      </c>
    </row>
    <row r="73" spans="1:10" x14ac:dyDescent="0.3">
      <c r="A73" s="1">
        <v>46239</v>
      </c>
      <c r="B73" t="s">
        <v>9329</v>
      </c>
      <c r="C73" t="s">
        <v>8</v>
      </c>
      <c r="D73" t="s">
        <v>2460</v>
      </c>
      <c r="E73" t="s">
        <v>9327</v>
      </c>
      <c r="F73" t="s">
        <v>9328</v>
      </c>
      <c r="G73">
        <v>4256</v>
      </c>
      <c r="H73">
        <v>4894.3999999999996</v>
      </c>
      <c r="I73" t="s">
        <v>6931</v>
      </c>
      <c r="J73">
        <f ca="1">TODAY()-Table16[[#This Row],[documentDate]]</f>
        <v>20</v>
      </c>
    </row>
    <row r="74" spans="1:10" x14ac:dyDescent="0.3">
      <c r="A74" s="1">
        <v>46239</v>
      </c>
      <c r="B74" t="s">
        <v>9331</v>
      </c>
      <c r="C74" t="s">
        <v>8</v>
      </c>
      <c r="D74" t="s">
        <v>2460</v>
      </c>
      <c r="E74" t="s">
        <v>9327</v>
      </c>
      <c r="F74" t="s">
        <v>9328</v>
      </c>
      <c r="G74">
        <v>96</v>
      </c>
      <c r="H74">
        <v>110.4</v>
      </c>
      <c r="I74" t="s">
        <v>6931</v>
      </c>
      <c r="J74">
        <f ca="1">TODAY()-Table16[[#This Row],[documentDate]]</f>
        <v>20</v>
      </c>
    </row>
    <row r="75" spans="1:10" x14ac:dyDescent="0.3">
      <c r="A75" s="1">
        <v>46239</v>
      </c>
      <c r="B75" t="s">
        <v>9332</v>
      </c>
      <c r="C75" t="s">
        <v>8</v>
      </c>
      <c r="D75" t="s">
        <v>2467</v>
      </c>
      <c r="E75" t="s">
        <v>49</v>
      </c>
      <c r="F75" t="s">
        <v>50</v>
      </c>
      <c r="G75">
        <v>1538.44</v>
      </c>
      <c r="H75">
        <v>1769.2059999999999</v>
      </c>
      <c r="I75" t="s">
        <v>6931</v>
      </c>
      <c r="J75">
        <f ca="1">TODAY()-Table16[[#This Row],[documentDate]]</f>
        <v>20</v>
      </c>
    </row>
    <row r="76" spans="1:10" x14ac:dyDescent="0.3">
      <c r="A76" s="1">
        <v>46239</v>
      </c>
      <c r="B76" t="s">
        <v>9259</v>
      </c>
      <c r="C76" t="s">
        <v>8</v>
      </c>
      <c r="D76" t="s">
        <v>2460</v>
      </c>
      <c r="E76" t="s">
        <v>8641</v>
      </c>
      <c r="F76" t="s">
        <v>8642</v>
      </c>
      <c r="G76">
        <v>84.8</v>
      </c>
      <c r="H76">
        <v>97.52</v>
      </c>
      <c r="I76" t="s">
        <v>6931</v>
      </c>
      <c r="J76">
        <f ca="1">TODAY()-Table16[[#This Row],[documentDate]]</f>
        <v>20</v>
      </c>
    </row>
    <row r="77" spans="1:10" x14ac:dyDescent="0.3">
      <c r="A77" s="1">
        <v>46239</v>
      </c>
      <c r="B77" t="s">
        <v>9333</v>
      </c>
      <c r="C77" t="s">
        <v>8</v>
      </c>
      <c r="D77" t="s">
        <v>2460</v>
      </c>
      <c r="E77" t="s">
        <v>8709</v>
      </c>
      <c r="F77" t="s">
        <v>8710</v>
      </c>
      <c r="G77">
        <v>7248.75</v>
      </c>
      <c r="H77">
        <v>8336.0625</v>
      </c>
      <c r="I77" t="s">
        <v>6931</v>
      </c>
      <c r="J77">
        <f ca="1">TODAY()-Table16[[#This Row],[documentDate]]</f>
        <v>20</v>
      </c>
    </row>
    <row r="78" spans="1:10" x14ac:dyDescent="0.3">
      <c r="A78" s="1">
        <v>46240</v>
      </c>
      <c r="B78" t="s">
        <v>9390</v>
      </c>
      <c r="C78" t="s">
        <v>8</v>
      </c>
      <c r="D78" t="s">
        <v>2467</v>
      </c>
      <c r="E78" t="s">
        <v>9200</v>
      </c>
      <c r="F78" t="s">
        <v>9201</v>
      </c>
      <c r="G78">
        <v>153.5</v>
      </c>
      <c r="H78">
        <v>176.52500000000001</v>
      </c>
      <c r="I78" t="s">
        <v>6931</v>
      </c>
      <c r="J78">
        <f ca="1">TODAY()-Table16[[#This Row],[documentDate]]</f>
        <v>19</v>
      </c>
    </row>
    <row r="79" spans="1:10" x14ac:dyDescent="0.3">
      <c r="A79" s="1">
        <v>46240</v>
      </c>
      <c r="B79" t="s">
        <v>9391</v>
      </c>
      <c r="C79" t="s">
        <v>8</v>
      </c>
      <c r="D79" t="s">
        <v>2460</v>
      </c>
      <c r="E79" t="s">
        <v>470</v>
      </c>
      <c r="F79" t="s">
        <v>471</v>
      </c>
      <c r="G79">
        <v>77.902500000000003</v>
      </c>
      <c r="H79">
        <v>77.902500000000003</v>
      </c>
      <c r="I79" t="s">
        <v>6931</v>
      </c>
      <c r="J79">
        <f ca="1">TODAY()-Table16[[#This Row],[documentDate]]</f>
        <v>19</v>
      </c>
    </row>
    <row r="80" spans="1:10" x14ac:dyDescent="0.3">
      <c r="A80" s="1">
        <v>46240</v>
      </c>
      <c r="B80" t="s">
        <v>9392</v>
      </c>
      <c r="C80" t="s">
        <v>8</v>
      </c>
      <c r="D80" t="s">
        <v>2467</v>
      </c>
      <c r="E80" t="s">
        <v>2241</v>
      </c>
      <c r="F80" t="s">
        <v>2474</v>
      </c>
      <c r="G80">
        <v>1925.0001999999999</v>
      </c>
      <c r="H80">
        <v>2213.7501999999999</v>
      </c>
      <c r="I80" t="s">
        <v>6931</v>
      </c>
      <c r="J80">
        <f ca="1">TODAY()-Table16[[#This Row],[documentDate]]</f>
        <v>19</v>
      </c>
    </row>
    <row r="81" spans="1:10" x14ac:dyDescent="0.3">
      <c r="A81" s="1">
        <v>46242</v>
      </c>
      <c r="B81" t="s">
        <v>9393</v>
      </c>
      <c r="C81" t="s">
        <v>8</v>
      </c>
      <c r="D81" t="s">
        <v>2460</v>
      </c>
      <c r="E81" t="s">
        <v>164</v>
      </c>
      <c r="F81" t="s">
        <v>165</v>
      </c>
      <c r="G81">
        <v>378</v>
      </c>
      <c r="H81">
        <v>434.7</v>
      </c>
      <c r="I81" t="s">
        <v>6931</v>
      </c>
      <c r="J81">
        <f ca="1">TODAY()-Table16[[#This Row],[documentDate]]</f>
        <v>17</v>
      </c>
    </row>
    <row r="82" spans="1:10" x14ac:dyDescent="0.3">
      <c r="A82" s="1">
        <v>46242</v>
      </c>
      <c r="B82" t="s">
        <v>9394</v>
      </c>
      <c r="C82" t="s">
        <v>8</v>
      </c>
      <c r="D82" t="s">
        <v>2460</v>
      </c>
      <c r="E82" t="s">
        <v>2294</v>
      </c>
      <c r="F82" t="s">
        <v>2295</v>
      </c>
      <c r="G82">
        <v>149.6</v>
      </c>
      <c r="H82">
        <v>172.04</v>
      </c>
      <c r="I82" t="s">
        <v>6931</v>
      </c>
      <c r="J82">
        <f ca="1">TODAY()-Table16[[#This Row],[documentDate]]</f>
        <v>17</v>
      </c>
    </row>
    <row r="83" spans="1:10" x14ac:dyDescent="0.3">
      <c r="A83" s="1">
        <v>46242</v>
      </c>
      <c r="B83" t="s">
        <v>9395</v>
      </c>
      <c r="C83" t="s">
        <v>8</v>
      </c>
      <c r="D83" t="s">
        <v>2467</v>
      </c>
      <c r="E83" t="s">
        <v>2241</v>
      </c>
      <c r="F83" t="s">
        <v>2474</v>
      </c>
      <c r="G83">
        <v>1841.9996000000001</v>
      </c>
      <c r="H83">
        <v>2118.2995999999998</v>
      </c>
      <c r="I83" t="s">
        <v>6931</v>
      </c>
      <c r="J83">
        <f ca="1">TODAY()-Table16[[#This Row],[documentDate]]</f>
        <v>17</v>
      </c>
    </row>
    <row r="84" spans="1:10" x14ac:dyDescent="0.3">
      <c r="A84" s="1">
        <v>46243</v>
      </c>
      <c r="B84" t="s">
        <v>9486</v>
      </c>
      <c r="C84" t="s">
        <v>8</v>
      </c>
      <c r="D84" t="s">
        <v>2463</v>
      </c>
      <c r="E84" t="s">
        <v>8397</v>
      </c>
      <c r="F84" t="s">
        <v>8398</v>
      </c>
      <c r="G84">
        <v>1038.9000000000001</v>
      </c>
      <c r="H84">
        <v>1194.7349999999999</v>
      </c>
      <c r="I84" t="s">
        <v>6931</v>
      </c>
      <c r="J84">
        <f ca="1">TODAY()-Table16[[#This Row],[documentDate]]</f>
        <v>16</v>
      </c>
    </row>
    <row r="85" spans="1:10" x14ac:dyDescent="0.3">
      <c r="A85" s="1">
        <v>46243</v>
      </c>
      <c r="B85" t="s">
        <v>9590</v>
      </c>
      <c r="C85" t="s">
        <v>8</v>
      </c>
      <c r="D85" t="s">
        <v>2460</v>
      </c>
      <c r="E85" t="s">
        <v>9591</v>
      </c>
      <c r="F85" t="s">
        <v>9592</v>
      </c>
      <c r="G85">
        <v>79</v>
      </c>
      <c r="H85">
        <v>90.85</v>
      </c>
      <c r="I85" t="s">
        <v>6931</v>
      </c>
      <c r="J85">
        <f ca="1">TODAY()-Table16[[#This Row],[documentDate]]</f>
        <v>16</v>
      </c>
    </row>
    <row r="86" spans="1:10" x14ac:dyDescent="0.3">
      <c r="A86" s="1">
        <v>46243</v>
      </c>
      <c r="B86" t="s">
        <v>9488</v>
      </c>
      <c r="C86" t="s">
        <v>8</v>
      </c>
      <c r="D86" t="s">
        <v>2460</v>
      </c>
      <c r="E86" t="s">
        <v>573</v>
      </c>
      <c r="F86" t="s">
        <v>574</v>
      </c>
      <c r="G86">
        <v>1383.72</v>
      </c>
      <c r="H86">
        <v>1591.278</v>
      </c>
      <c r="I86" t="s">
        <v>6931</v>
      </c>
      <c r="J86">
        <f ca="1">TODAY()-Table16[[#This Row],[documentDate]]</f>
        <v>16</v>
      </c>
    </row>
    <row r="87" spans="1:10" x14ac:dyDescent="0.3">
      <c r="A87" s="1">
        <v>46243</v>
      </c>
      <c r="B87" t="s">
        <v>9487</v>
      </c>
      <c r="C87" t="s">
        <v>8</v>
      </c>
      <c r="D87" t="s">
        <v>2460</v>
      </c>
      <c r="E87" t="s">
        <v>7129</v>
      </c>
      <c r="F87" t="s">
        <v>7130</v>
      </c>
      <c r="G87">
        <v>99</v>
      </c>
      <c r="H87">
        <v>113.85</v>
      </c>
      <c r="I87" t="s">
        <v>6931</v>
      </c>
      <c r="J87">
        <f ca="1">TODAY()-Table16[[#This Row],[documentDate]]</f>
        <v>16</v>
      </c>
    </row>
    <row r="88" spans="1:10" x14ac:dyDescent="0.3">
      <c r="A88" s="1">
        <v>46243</v>
      </c>
      <c r="B88" t="s">
        <v>9489</v>
      </c>
      <c r="C88" t="s">
        <v>8</v>
      </c>
      <c r="D88" t="s">
        <v>2460</v>
      </c>
      <c r="E88" t="s">
        <v>9462</v>
      </c>
      <c r="F88" t="s">
        <v>9463</v>
      </c>
      <c r="G88">
        <v>1519</v>
      </c>
      <c r="H88">
        <v>1746.85</v>
      </c>
      <c r="I88" t="s">
        <v>6931</v>
      </c>
      <c r="J88">
        <f ca="1">TODAY()-Table16[[#This Row],[documentDate]]</f>
        <v>16</v>
      </c>
    </row>
    <row r="89" spans="1:10" x14ac:dyDescent="0.3">
      <c r="A89" s="1">
        <v>46244</v>
      </c>
      <c r="B89" t="s">
        <v>9679</v>
      </c>
      <c r="C89" t="s">
        <v>8</v>
      </c>
      <c r="D89" t="s">
        <v>2463</v>
      </c>
      <c r="E89" t="s">
        <v>111</v>
      </c>
      <c r="F89" t="s">
        <v>112</v>
      </c>
      <c r="G89">
        <v>165.99995000000001</v>
      </c>
      <c r="H89">
        <v>190.89994999999999</v>
      </c>
      <c r="I89" t="s">
        <v>6931</v>
      </c>
      <c r="J89">
        <f ca="1">TODAY()-Table16[[#This Row],[documentDate]]</f>
        <v>15</v>
      </c>
    </row>
    <row r="90" spans="1:10" x14ac:dyDescent="0.3">
      <c r="A90" s="1">
        <v>46244</v>
      </c>
      <c r="B90" t="s">
        <v>9682</v>
      </c>
      <c r="C90" t="s">
        <v>8</v>
      </c>
      <c r="D90" t="s">
        <v>2460</v>
      </c>
      <c r="E90" t="s">
        <v>362</v>
      </c>
      <c r="F90" t="s">
        <v>363</v>
      </c>
      <c r="G90">
        <v>385</v>
      </c>
      <c r="H90">
        <v>442.75</v>
      </c>
      <c r="I90" t="s">
        <v>6931</v>
      </c>
      <c r="J90">
        <f ca="1">TODAY()-Table16[[#This Row],[documentDate]]</f>
        <v>15</v>
      </c>
    </row>
    <row r="91" spans="1:10" x14ac:dyDescent="0.3">
      <c r="A91" s="1">
        <v>46244</v>
      </c>
      <c r="B91" t="s">
        <v>9683</v>
      </c>
      <c r="C91" t="s">
        <v>8</v>
      </c>
      <c r="D91" t="s">
        <v>2460</v>
      </c>
      <c r="E91" t="s">
        <v>615</v>
      </c>
      <c r="F91" t="s">
        <v>616</v>
      </c>
      <c r="G91">
        <v>204.54012</v>
      </c>
      <c r="H91">
        <v>235.22114999999999</v>
      </c>
      <c r="I91" t="s">
        <v>6931</v>
      </c>
      <c r="J91">
        <f ca="1">TODAY()-Table16[[#This Row],[documentDate]]</f>
        <v>15</v>
      </c>
    </row>
    <row r="92" spans="1:10" x14ac:dyDescent="0.3">
      <c r="A92" s="1">
        <v>46244</v>
      </c>
      <c r="B92" t="s">
        <v>9680</v>
      </c>
      <c r="C92" t="s">
        <v>8</v>
      </c>
      <c r="D92" t="s">
        <v>2460</v>
      </c>
      <c r="E92" t="s">
        <v>769</v>
      </c>
      <c r="F92" t="s">
        <v>770</v>
      </c>
      <c r="G92">
        <v>324</v>
      </c>
      <c r="H92">
        <v>372.6</v>
      </c>
      <c r="I92" t="s">
        <v>6931</v>
      </c>
      <c r="J92">
        <f ca="1">TODAY()-Table16[[#This Row],[documentDate]]</f>
        <v>15</v>
      </c>
    </row>
    <row r="93" spans="1:10" x14ac:dyDescent="0.3">
      <c r="A93" s="1">
        <v>46244</v>
      </c>
      <c r="B93" t="s">
        <v>9681</v>
      </c>
      <c r="C93" t="s">
        <v>8</v>
      </c>
      <c r="D93" t="s">
        <v>2460</v>
      </c>
      <c r="E93" t="s">
        <v>111</v>
      </c>
      <c r="F93" t="s">
        <v>112</v>
      </c>
      <c r="G93">
        <v>696.99994000000004</v>
      </c>
      <c r="H93">
        <v>801.54989999999998</v>
      </c>
      <c r="I93" t="s">
        <v>6931</v>
      </c>
      <c r="J93">
        <f ca="1">TODAY()-Table16[[#This Row],[documentDate]]</f>
        <v>15</v>
      </c>
    </row>
    <row r="94" spans="1:10" x14ac:dyDescent="0.3">
      <c r="A94" s="1">
        <v>46244</v>
      </c>
      <c r="B94" t="s">
        <v>9685</v>
      </c>
      <c r="C94" t="s">
        <v>8</v>
      </c>
      <c r="D94" t="s">
        <v>2463</v>
      </c>
      <c r="E94" t="s">
        <v>508</v>
      </c>
      <c r="F94" t="s">
        <v>509</v>
      </c>
      <c r="G94">
        <v>1200</v>
      </c>
      <c r="H94">
        <v>1380</v>
      </c>
      <c r="I94" t="s">
        <v>6931</v>
      </c>
      <c r="J94">
        <f ca="1">TODAY()-Table16[[#This Row],[documentDate]]</f>
        <v>15</v>
      </c>
    </row>
    <row r="95" spans="1:10" x14ac:dyDescent="0.3">
      <c r="A95" s="1">
        <v>46244</v>
      </c>
      <c r="B95" t="s">
        <v>9684</v>
      </c>
      <c r="C95" t="s">
        <v>8</v>
      </c>
      <c r="D95" t="s">
        <v>2460</v>
      </c>
      <c r="E95" t="s">
        <v>2289</v>
      </c>
      <c r="F95" t="s">
        <v>5554</v>
      </c>
      <c r="G95">
        <v>216</v>
      </c>
      <c r="H95">
        <v>248.4</v>
      </c>
      <c r="I95" t="s">
        <v>6931</v>
      </c>
      <c r="J95">
        <f ca="1">TODAY()-Table16[[#This Row],[documentDate]]</f>
        <v>15</v>
      </c>
    </row>
    <row r="96" spans="1:10" x14ac:dyDescent="0.3">
      <c r="A96" s="1">
        <v>46245</v>
      </c>
      <c r="B96" t="s">
        <v>9771</v>
      </c>
      <c r="C96" t="s">
        <v>8</v>
      </c>
      <c r="D96" t="s">
        <v>2460</v>
      </c>
      <c r="E96" t="s">
        <v>9595</v>
      </c>
      <c r="F96" t="s">
        <v>9768</v>
      </c>
      <c r="G96">
        <v>85.566000000000003</v>
      </c>
      <c r="H96">
        <v>98.400899999999993</v>
      </c>
      <c r="I96" t="s">
        <v>6931</v>
      </c>
      <c r="J96">
        <f ca="1">TODAY()-Table16[[#This Row],[documentDate]]</f>
        <v>14</v>
      </c>
    </row>
    <row r="97" spans="1:10" x14ac:dyDescent="0.3">
      <c r="A97" s="1">
        <v>46245</v>
      </c>
      <c r="B97" t="s">
        <v>9772</v>
      </c>
      <c r="C97" t="s">
        <v>8</v>
      </c>
      <c r="D97" t="s">
        <v>2460</v>
      </c>
      <c r="E97" t="s">
        <v>8641</v>
      </c>
      <c r="F97" t="s">
        <v>8642</v>
      </c>
      <c r="G97">
        <v>119.4</v>
      </c>
      <c r="H97">
        <v>137.31</v>
      </c>
      <c r="I97" t="s">
        <v>6931</v>
      </c>
      <c r="J97">
        <f ca="1">TODAY()-Table16[[#This Row],[documentDate]]</f>
        <v>14</v>
      </c>
    </row>
    <row r="98" spans="1:10" x14ac:dyDescent="0.3">
      <c r="A98" s="1">
        <v>46245</v>
      </c>
      <c r="B98" t="s">
        <v>9770</v>
      </c>
      <c r="C98" t="s">
        <v>8</v>
      </c>
      <c r="D98" t="s">
        <v>2463</v>
      </c>
      <c r="E98" t="s">
        <v>154</v>
      </c>
      <c r="F98" t="s">
        <v>155</v>
      </c>
      <c r="G98">
        <v>877.4</v>
      </c>
      <c r="H98">
        <v>1009.01</v>
      </c>
      <c r="I98" t="s">
        <v>6931</v>
      </c>
      <c r="J98">
        <f ca="1">TODAY()-Table16[[#This Row],[documentDate]]</f>
        <v>14</v>
      </c>
    </row>
    <row r="99" spans="1:10" x14ac:dyDescent="0.3">
      <c r="A99" s="1">
        <v>46245</v>
      </c>
      <c r="B99" t="s">
        <v>9776</v>
      </c>
      <c r="C99" t="s">
        <v>8</v>
      </c>
      <c r="D99" t="s">
        <v>2460</v>
      </c>
      <c r="E99" t="s">
        <v>154</v>
      </c>
      <c r="F99" t="s">
        <v>155</v>
      </c>
      <c r="G99">
        <v>12026.089</v>
      </c>
      <c r="H99">
        <v>13830.002</v>
      </c>
      <c r="I99" t="s">
        <v>6931</v>
      </c>
      <c r="J99">
        <f ca="1">TODAY()-Table16[[#This Row],[documentDate]]</f>
        <v>14</v>
      </c>
    </row>
    <row r="100" spans="1:10" x14ac:dyDescent="0.3">
      <c r="A100" s="1">
        <v>46245</v>
      </c>
      <c r="B100" t="s">
        <v>9777</v>
      </c>
      <c r="C100" t="s">
        <v>8</v>
      </c>
      <c r="D100" t="s">
        <v>2460</v>
      </c>
      <c r="E100" t="s">
        <v>154</v>
      </c>
      <c r="F100" t="s">
        <v>155</v>
      </c>
      <c r="G100">
        <v>6655.4146000000001</v>
      </c>
      <c r="H100">
        <v>7653.7269999999999</v>
      </c>
      <c r="I100" t="s">
        <v>6931</v>
      </c>
      <c r="J100">
        <f ca="1">TODAY()-Table16[[#This Row],[documentDate]]</f>
        <v>14</v>
      </c>
    </row>
    <row r="101" spans="1:10" x14ac:dyDescent="0.3">
      <c r="A101" s="1">
        <v>46245</v>
      </c>
      <c r="B101" t="s">
        <v>9769</v>
      </c>
      <c r="C101" t="s">
        <v>8</v>
      </c>
      <c r="D101" t="s">
        <v>2467</v>
      </c>
      <c r="E101" t="s">
        <v>2241</v>
      </c>
      <c r="F101" t="s">
        <v>2474</v>
      </c>
      <c r="G101">
        <v>5357.0005000000001</v>
      </c>
      <c r="H101">
        <v>6160.5510000000004</v>
      </c>
      <c r="I101" t="s">
        <v>6931</v>
      </c>
      <c r="J101">
        <f ca="1">TODAY()-Table16[[#This Row],[documentDate]]</f>
        <v>14</v>
      </c>
    </row>
    <row r="102" spans="1:10" x14ac:dyDescent="0.3">
      <c r="A102" s="1">
        <v>46245</v>
      </c>
      <c r="B102" t="s">
        <v>9774</v>
      </c>
      <c r="C102" t="s">
        <v>8</v>
      </c>
      <c r="D102" t="s">
        <v>2460</v>
      </c>
      <c r="E102" t="s">
        <v>148</v>
      </c>
      <c r="F102" t="s">
        <v>149</v>
      </c>
      <c r="G102">
        <v>1128</v>
      </c>
      <c r="H102">
        <v>1297.2</v>
      </c>
      <c r="I102" t="s">
        <v>6931</v>
      </c>
      <c r="J102">
        <f ca="1">TODAY()-Table16[[#This Row],[documentDate]]</f>
        <v>14</v>
      </c>
    </row>
    <row r="103" spans="1:10" x14ac:dyDescent="0.3">
      <c r="A103" s="1">
        <v>46245</v>
      </c>
      <c r="B103" t="s">
        <v>9773</v>
      </c>
      <c r="C103" t="s">
        <v>8</v>
      </c>
      <c r="D103" t="s">
        <v>2460</v>
      </c>
      <c r="E103" t="s">
        <v>9483</v>
      </c>
      <c r="F103" t="s">
        <v>9484</v>
      </c>
      <c r="G103">
        <v>4354</v>
      </c>
      <c r="H103">
        <v>5007.1000000000004</v>
      </c>
      <c r="I103" t="s">
        <v>6931</v>
      </c>
      <c r="J103">
        <f ca="1">TODAY()-Table16[[#This Row],[documentDate]]</f>
        <v>14</v>
      </c>
    </row>
    <row r="104" spans="1:10" x14ac:dyDescent="0.3">
      <c r="A104" s="1">
        <v>46245</v>
      </c>
      <c r="B104" t="s">
        <v>9775</v>
      </c>
      <c r="C104" t="s">
        <v>8</v>
      </c>
      <c r="D104" t="s">
        <v>2460</v>
      </c>
      <c r="E104" t="s">
        <v>148</v>
      </c>
      <c r="F104" t="s">
        <v>149</v>
      </c>
      <c r="G104">
        <v>180</v>
      </c>
      <c r="H104">
        <v>207</v>
      </c>
      <c r="I104" t="s">
        <v>6931</v>
      </c>
      <c r="J104">
        <f ca="1">TODAY()-Table16[[#This Row],[documentDate]]</f>
        <v>14</v>
      </c>
    </row>
    <row r="105" spans="1:10" x14ac:dyDescent="0.3">
      <c r="A105" s="1">
        <v>46246</v>
      </c>
      <c r="B105" t="s">
        <v>9915</v>
      </c>
      <c r="C105" t="s">
        <v>8</v>
      </c>
      <c r="D105" t="s">
        <v>2460</v>
      </c>
      <c r="E105" t="s">
        <v>6375</v>
      </c>
      <c r="F105" t="s">
        <v>6376</v>
      </c>
      <c r="G105">
        <v>32422.5</v>
      </c>
      <c r="H105">
        <v>37285.875</v>
      </c>
      <c r="I105" t="s">
        <v>6931</v>
      </c>
      <c r="J105">
        <f ca="1">TODAY()-Table16[[#This Row],[documentDate]]</f>
        <v>13</v>
      </c>
    </row>
    <row r="106" spans="1:10" x14ac:dyDescent="0.3">
      <c r="A106" s="1">
        <v>46246</v>
      </c>
      <c r="B106" t="s">
        <v>9914</v>
      </c>
      <c r="C106" t="s">
        <v>8</v>
      </c>
      <c r="D106" t="s">
        <v>2460</v>
      </c>
      <c r="E106" t="s">
        <v>73</v>
      </c>
      <c r="F106" t="s">
        <v>74</v>
      </c>
      <c r="G106">
        <v>35</v>
      </c>
      <c r="H106">
        <v>40.25</v>
      </c>
      <c r="I106" t="s">
        <v>6931</v>
      </c>
      <c r="J106">
        <f ca="1">TODAY()-Table16[[#This Row],[documentDate]]</f>
        <v>13</v>
      </c>
    </row>
    <row r="107" spans="1:10" x14ac:dyDescent="0.3">
      <c r="A107" s="1">
        <v>46246</v>
      </c>
      <c r="B107" t="s">
        <v>9916</v>
      </c>
      <c r="C107" t="s">
        <v>8</v>
      </c>
      <c r="D107" t="s">
        <v>2460</v>
      </c>
      <c r="E107" t="s">
        <v>9050</v>
      </c>
      <c r="F107" t="s">
        <v>9258</v>
      </c>
      <c r="G107">
        <v>92.17</v>
      </c>
      <c r="H107">
        <v>105.99550000000001</v>
      </c>
      <c r="I107" t="s">
        <v>6931</v>
      </c>
      <c r="J107">
        <f ca="1">TODAY()-Table16[[#This Row],[documentDate]]</f>
        <v>13</v>
      </c>
    </row>
    <row r="108" spans="1:10" x14ac:dyDescent="0.3">
      <c r="A108" s="1">
        <v>46246</v>
      </c>
      <c r="B108" t="s">
        <v>9917</v>
      </c>
      <c r="C108" t="s">
        <v>8</v>
      </c>
      <c r="D108" t="s">
        <v>2460</v>
      </c>
      <c r="E108" t="s">
        <v>6375</v>
      </c>
      <c r="F108" t="s">
        <v>6376</v>
      </c>
      <c r="G108">
        <v>21724.799999999999</v>
      </c>
      <c r="H108">
        <v>24983.52</v>
      </c>
      <c r="I108" t="s">
        <v>6931</v>
      </c>
      <c r="J108">
        <f ca="1">TODAY()-Table16[[#This Row],[documentDate]]</f>
        <v>13</v>
      </c>
    </row>
    <row r="109" spans="1:10" x14ac:dyDescent="0.3">
      <c r="A109" s="1">
        <v>46246</v>
      </c>
      <c r="B109" t="s">
        <v>9918</v>
      </c>
      <c r="C109" t="s">
        <v>8</v>
      </c>
      <c r="D109" t="s">
        <v>2460</v>
      </c>
      <c r="E109" t="s">
        <v>6375</v>
      </c>
      <c r="F109" t="s">
        <v>6376</v>
      </c>
      <c r="G109">
        <v>139066.34</v>
      </c>
      <c r="H109">
        <v>159926.29999999999</v>
      </c>
      <c r="I109" t="s">
        <v>6931</v>
      </c>
      <c r="J109">
        <f ca="1">TODAY()-Table16[[#This Row],[documentDate]]</f>
        <v>13</v>
      </c>
    </row>
    <row r="110" spans="1:10" x14ac:dyDescent="0.3">
      <c r="A110" s="1">
        <v>46246</v>
      </c>
      <c r="B110" t="s">
        <v>9827</v>
      </c>
      <c r="C110" t="s">
        <v>8</v>
      </c>
      <c r="D110" t="s">
        <v>2460</v>
      </c>
      <c r="E110" t="s">
        <v>8640</v>
      </c>
      <c r="F110" t="s">
        <v>8781</v>
      </c>
      <c r="G110">
        <v>4361.2114000000001</v>
      </c>
      <c r="H110">
        <v>4361.2114000000001</v>
      </c>
      <c r="I110" t="s">
        <v>6931</v>
      </c>
      <c r="J110">
        <f ca="1">TODAY()-Table16[[#This Row],[documentDate]]</f>
        <v>13</v>
      </c>
    </row>
    <row r="111" spans="1:10" x14ac:dyDescent="0.3">
      <c r="A111" s="1">
        <v>46246</v>
      </c>
      <c r="B111" t="s">
        <v>9828</v>
      </c>
      <c r="C111" t="s">
        <v>8</v>
      </c>
      <c r="D111" t="s">
        <v>2460</v>
      </c>
      <c r="E111" t="s">
        <v>9764</v>
      </c>
      <c r="F111" t="s">
        <v>9765</v>
      </c>
      <c r="G111">
        <v>852.99980000000005</v>
      </c>
      <c r="H111">
        <v>980.94979999999998</v>
      </c>
      <c r="I111" t="s">
        <v>6931</v>
      </c>
      <c r="J111">
        <f ca="1">TODAY()-Table16[[#This Row],[documentDate]]</f>
        <v>13</v>
      </c>
    </row>
    <row r="112" spans="1:10" x14ac:dyDescent="0.3">
      <c r="A112" s="1">
        <v>46246</v>
      </c>
      <c r="B112" t="s">
        <v>9919</v>
      </c>
      <c r="C112" t="s">
        <v>8</v>
      </c>
      <c r="D112" t="s">
        <v>2460</v>
      </c>
      <c r="E112" t="s">
        <v>3686</v>
      </c>
      <c r="F112" t="s">
        <v>3687</v>
      </c>
      <c r="G112">
        <v>419.5652</v>
      </c>
      <c r="H112">
        <v>482.49997000000002</v>
      </c>
      <c r="I112" t="s">
        <v>6931</v>
      </c>
      <c r="J112">
        <f ca="1">TODAY()-Table16[[#This Row],[documentDate]]</f>
        <v>13</v>
      </c>
    </row>
    <row r="113" spans="1:10" x14ac:dyDescent="0.3">
      <c r="A113" s="1">
        <v>46246</v>
      </c>
      <c r="B113" t="s">
        <v>9920</v>
      </c>
      <c r="C113" t="s">
        <v>8</v>
      </c>
      <c r="D113" t="s">
        <v>2460</v>
      </c>
      <c r="E113" t="s">
        <v>3686</v>
      </c>
      <c r="F113" t="s">
        <v>3687</v>
      </c>
      <c r="G113">
        <v>1090.173</v>
      </c>
      <c r="H113">
        <v>1253.6990000000001</v>
      </c>
      <c r="I113" t="s">
        <v>6931</v>
      </c>
      <c r="J113">
        <f ca="1">TODAY()-Table16[[#This Row],[documentDate]]</f>
        <v>13</v>
      </c>
    </row>
    <row r="114" spans="1:10" x14ac:dyDescent="0.3">
      <c r="A114" s="1">
        <v>46247</v>
      </c>
      <c r="B114" t="s">
        <v>10068</v>
      </c>
      <c r="C114" t="s">
        <v>8</v>
      </c>
      <c r="D114" t="s">
        <v>2460</v>
      </c>
      <c r="E114" t="s">
        <v>9829</v>
      </c>
      <c r="F114" t="s">
        <v>9973</v>
      </c>
      <c r="G114">
        <v>528</v>
      </c>
      <c r="H114">
        <v>607.20000000000005</v>
      </c>
      <c r="I114" t="s">
        <v>6931</v>
      </c>
      <c r="J114">
        <f ca="1">TODAY()-Table16[[#This Row],[documentDate]]</f>
        <v>12</v>
      </c>
    </row>
    <row r="115" spans="1:10" x14ac:dyDescent="0.3">
      <c r="A115" s="1">
        <v>46247</v>
      </c>
      <c r="B115" t="s">
        <v>10069</v>
      </c>
      <c r="C115" t="s">
        <v>8</v>
      </c>
      <c r="D115" t="s">
        <v>2460</v>
      </c>
      <c r="E115" t="s">
        <v>2260</v>
      </c>
      <c r="F115" t="s">
        <v>2261</v>
      </c>
      <c r="G115">
        <v>981.25</v>
      </c>
      <c r="H115">
        <v>1128.4375</v>
      </c>
      <c r="I115" t="s">
        <v>6931</v>
      </c>
      <c r="J115">
        <f ca="1">TODAY()-Table16[[#This Row],[documentDate]]</f>
        <v>12</v>
      </c>
    </row>
    <row r="116" spans="1:10" x14ac:dyDescent="0.3">
      <c r="A116" s="1">
        <v>46247</v>
      </c>
      <c r="B116" t="s">
        <v>10066</v>
      </c>
      <c r="C116" t="s">
        <v>8</v>
      </c>
      <c r="D116" t="s">
        <v>2460</v>
      </c>
      <c r="E116" t="s">
        <v>9766</v>
      </c>
      <c r="F116" t="s">
        <v>9767</v>
      </c>
      <c r="G116">
        <v>4973.8109999999997</v>
      </c>
      <c r="H116">
        <v>5719.8829999999998</v>
      </c>
      <c r="I116" t="s">
        <v>6931</v>
      </c>
      <c r="J116">
        <f ca="1">TODAY()-Table16[[#This Row],[documentDate]]</f>
        <v>12</v>
      </c>
    </row>
    <row r="117" spans="1:10" x14ac:dyDescent="0.3">
      <c r="A117" s="1">
        <v>46247</v>
      </c>
      <c r="B117" t="s">
        <v>10067</v>
      </c>
      <c r="C117" t="s">
        <v>8</v>
      </c>
      <c r="D117" t="s">
        <v>2460</v>
      </c>
      <c r="E117" t="s">
        <v>9829</v>
      </c>
      <c r="F117" t="s">
        <v>9973</v>
      </c>
      <c r="G117">
        <v>276</v>
      </c>
      <c r="H117">
        <v>317.39999999999998</v>
      </c>
      <c r="I117" t="s">
        <v>6931</v>
      </c>
      <c r="J117">
        <f ca="1">TODAY()-Table16[[#This Row],[documentDate]]</f>
        <v>12</v>
      </c>
    </row>
    <row r="118" spans="1:10" x14ac:dyDescent="0.3">
      <c r="A118" s="1">
        <v>46247</v>
      </c>
      <c r="B118" t="s">
        <v>9965</v>
      </c>
      <c r="C118" t="s">
        <v>8</v>
      </c>
      <c r="D118" t="s">
        <v>2460</v>
      </c>
      <c r="E118" t="s">
        <v>2289</v>
      </c>
      <c r="F118" t="s">
        <v>5554</v>
      </c>
      <c r="G118">
        <v>2176.6799999999998</v>
      </c>
      <c r="H118">
        <v>2503.1819999999998</v>
      </c>
      <c r="I118" t="s">
        <v>6931</v>
      </c>
      <c r="J118">
        <f ca="1">TODAY()-Table16[[#This Row],[documentDate]]</f>
        <v>12</v>
      </c>
    </row>
    <row r="119" spans="1:10" x14ac:dyDescent="0.3">
      <c r="A119" s="1">
        <v>46247</v>
      </c>
      <c r="B119" t="s">
        <v>10070</v>
      </c>
      <c r="C119" t="s">
        <v>8</v>
      </c>
      <c r="D119" t="s">
        <v>2460</v>
      </c>
      <c r="E119" t="s">
        <v>5416</v>
      </c>
      <c r="F119" t="s">
        <v>5417</v>
      </c>
      <c r="G119">
        <v>66.956519999999998</v>
      </c>
      <c r="H119">
        <v>77</v>
      </c>
      <c r="I119" t="s">
        <v>6931</v>
      </c>
      <c r="J119">
        <f ca="1">TODAY()-Table16[[#This Row],[documentDate]]</f>
        <v>12</v>
      </c>
    </row>
    <row r="120" spans="1:10" x14ac:dyDescent="0.3">
      <c r="A120" s="1">
        <v>46247</v>
      </c>
      <c r="B120" t="s">
        <v>9969</v>
      </c>
      <c r="C120" t="s">
        <v>8</v>
      </c>
      <c r="D120" t="s">
        <v>2460</v>
      </c>
      <c r="E120" t="s">
        <v>7645</v>
      </c>
      <c r="F120" t="s">
        <v>7646</v>
      </c>
      <c r="G120">
        <v>12910.5</v>
      </c>
      <c r="H120">
        <v>14847.075000000001</v>
      </c>
      <c r="I120" t="s">
        <v>6931</v>
      </c>
      <c r="J120">
        <f ca="1">TODAY()-Table16[[#This Row],[documentDate]]</f>
        <v>12</v>
      </c>
    </row>
    <row r="121" spans="1:10" x14ac:dyDescent="0.3">
      <c r="A121" s="1">
        <v>46247</v>
      </c>
      <c r="B121" t="s">
        <v>9966</v>
      </c>
      <c r="C121" t="s">
        <v>8</v>
      </c>
      <c r="D121" t="s">
        <v>2460</v>
      </c>
      <c r="E121" t="s">
        <v>2367</v>
      </c>
      <c r="F121" t="s">
        <v>2368</v>
      </c>
      <c r="G121">
        <v>2347.8119999999999</v>
      </c>
      <c r="H121">
        <v>2699.9839999999999</v>
      </c>
      <c r="I121" t="s">
        <v>6931</v>
      </c>
      <c r="J121">
        <f ca="1">TODAY()-Table16[[#This Row],[documentDate]]</f>
        <v>12</v>
      </c>
    </row>
    <row r="122" spans="1:10" x14ac:dyDescent="0.3">
      <c r="A122" s="1">
        <v>46247</v>
      </c>
      <c r="B122" t="s">
        <v>9968</v>
      </c>
      <c r="C122" t="s">
        <v>8</v>
      </c>
      <c r="D122" t="s">
        <v>2460</v>
      </c>
      <c r="E122" t="s">
        <v>2348</v>
      </c>
      <c r="F122" t="s">
        <v>9260</v>
      </c>
      <c r="G122">
        <v>102.8</v>
      </c>
      <c r="H122">
        <v>102.8</v>
      </c>
      <c r="I122" t="s">
        <v>6931</v>
      </c>
      <c r="J122">
        <f ca="1">TODAY()-Table16[[#This Row],[documentDate]]</f>
        <v>12</v>
      </c>
    </row>
    <row r="123" spans="1:10" x14ac:dyDescent="0.3">
      <c r="A123" s="1">
        <v>46247</v>
      </c>
      <c r="B123" t="s">
        <v>9967</v>
      </c>
      <c r="C123" t="s">
        <v>8</v>
      </c>
      <c r="D123" t="s">
        <v>2460</v>
      </c>
      <c r="E123" t="s">
        <v>2478</v>
      </c>
      <c r="F123" t="s">
        <v>2479</v>
      </c>
      <c r="G123">
        <v>1116.8</v>
      </c>
      <c r="H123">
        <v>1116.8</v>
      </c>
      <c r="I123" t="s">
        <v>6931</v>
      </c>
      <c r="J123">
        <f ca="1">TODAY()-Table16[[#This Row],[documentDate]]</f>
        <v>12</v>
      </c>
    </row>
    <row r="124" spans="1:10" x14ac:dyDescent="0.3">
      <c r="A124" s="1">
        <v>46247</v>
      </c>
      <c r="B124" t="s">
        <v>10071</v>
      </c>
      <c r="C124" t="s">
        <v>8</v>
      </c>
      <c r="D124" t="s">
        <v>2460</v>
      </c>
      <c r="E124" t="s">
        <v>2319</v>
      </c>
      <c r="F124" t="s">
        <v>2320</v>
      </c>
      <c r="G124">
        <v>1767.19</v>
      </c>
      <c r="H124">
        <v>2032.2686000000001</v>
      </c>
      <c r="I124" t="s">
        <v>6931</v>
      </c>
      <c r="J124">
        <f ca="1">TODAY()-Table16[[#This Row],[documentDate]]</f>
        <v>12</v>
      </c>
    </row>
    <row r="125" spans="1:10" x14ac:dyDescent="0.3">
      <c r="A125" s="1">
        <v>46247</v>
      </c>
      <c r="B125" t="s">
        <v>10073</v>
      </c>
      <c r="C125" t="s">
        <v>8</v>
      </c>
      <c r="D125" t="s">
        <v>2460</v>
      </c>
      <c r="E125" t="s">
        <v>148</v>
      </c>
      <c r="F125" t="s">
        <v>149</v>
      </c>
      <c r="G125">
        <v>88.000020000000006</v>
      </c>
      <c r="H125">
        <v>101.20001999999999</v>
      </c>
      <c r="I125" t="s">
        <v>6931</v>
      </c>
      <c r="J125">
        <f ca="1">TODAY()-Table16[[#This Row],[documentDate]]</f>
        <v>12</v>
      </c>
    </row>
    <row r="126" spans="1:10" x14ac:dyDescent="0.3">
      <c r="A126" s="1">
        <v>46247</v>
      </c>
      <c r="B126" t="s">
        <v>10072</v>
      </c>
      <c r="C126" t="s">
        <v>8</v>
      </c>
      <c r="D126" t="s">
        <v>2460</v>
      </c>
      <c r="E126" t="s">
        <v>156</v>
      </c>
      <c r="F126" t="s">
        <v>157</v>
      </c>
      <c r="G126">
        <v>2731.8262</v>
      </c>
      <c r="H126">
        <v>3141.6</v>
      </c>
      <c r="I126" t="s">
        <v>6931</v>
      </c>
      <c r="J126">
        <f ca="1">TODAY()-Table16[[#This Row],[documentDate]]</f>
        <v>12</v>
      </c>
    </row>
    <row r="127" spans="1:10" x14ac:dyDescent="0.3">
      <c r="A127" s="1">
        <v>46249</v>
      </c>
      <c r="B127" t="s">
        <v>10319</v>
      </c>
      <c r="C127" t="s">
        <v>8</v>
      </c>
      <c r="D127" t="s">
        <v>2467</v>
      </c>
      <c r="E127" t="s">
        <v>75</v>
      </c>
      <c r="F127" t="s">
        <v>76</v>
      </c>
      <c r="G127">
        <v>21708</v>
      </c>
      <c r="H127">
        <v>24964.2</v>
      </c>
      <c r="I127" t="s">
        <v>6931</v>
      </c>
      <c r="J127">
        <f ca="1">TODAY()-Table16[[#This Row],[documentDate]]</f>
        <v>10</v>
      </c>
    </row>
    <row r="128" spans="1:10" x14ac:dyDescent="0.3">
      <c r="A128" s="1">
        <v>46249</v>
      </c>
      <c r="B128" t="s">
        <v>10320</v>
      </c>
      <c r="C128" t="s">
        <v>8</v>
      </c>
      <c r="D128" t="s">
        <v>2467</v>
      </c>
      <c r="E128" t="s">
        <v>9971</v>
      </c>
      <c r="F128" t="s">
        <v>9972</v>
      </c>
      <c r="G128">
        <v>318.24</v>
      </c>
      <c r="H128">
        <v>365.976</v>
      </c>
      <c r="I128" t="s">
        <v>6931</v>
      </c>
      <c r="J128">
        <f ca="1">TODAY()-Table16[[#This Row],[documentDate]]</f>
        <v>10</v>
      </c>
    </row>
    <row r="129" spans="1:10" x14ac:dyDescent="0.3">
      <c r="A129" s="1">
        <v>46249</v>
      </c>
      <c r="B129" t="s">
        <v>10324</v>
      </c>
      <c r="C129" t="s">
        <v>8</v>
      </c>
      <c r="D129" t="s">
        <v>2460</v>
      </c>
      <c r="E129" t="s">
        <v>148</v>
      </c>
      <c r="F129" t="s">
        <v>149</v>
      </c>
      <c r="G129">
        <v>176.00004999999999</v>
      </c>
      <c r="H129">
        <v>202.40004999999999</v>
      </c>
      <c r="I129" t="s">
        <v>6931</v>
      </c>
      <c r="J129">
        <f ca="1">TODAY()-Table16[[#This Row],[documentDate]]</f>
        <v>10</v>
      </c>
    </row>
    <row r="130" spans="1:10" x14ac:dyDescent="0.3">
      <c r="A130" s="1">
        <v>46249</v>
      </c>
      <c r="B130" t="s">
        <v>10323</v>
      </c>
      <c r="C130" t="s">
        <v>8</v>
      </c>
      <c r="D130" t="s">
        <v>2460</v>
      </c>
      <c r="E130" t="s">
        <v>6375</v>
      </c>
      <c r="F130" t="s">
        <v>6376</v>
      </c>
      <c r="G130">
        <v>1164.24</v>
      </c>
      <c r="H130">
        <v>1338.876</v>
      </c>
      <c r="I130" t="s">
        <v>6931</v>
      </c>
      <c r="J130">
        <f ca="1">TODAY()-Table16[[#This Row],[documentDate]]</f>
        <v>10</v>
      </c>
    </row>
    <row r="131" spans="1:10" x14ac:dyDescent="0.3">
      <c r="A131" s="1">
        <v>46249</v>
      </c>
      <c r="B131" t="s">
        <v>10325</v>
      </c>
      <c r="C131" t="s">
        <v>8</v>
      </c>
      <c r="D131" t="s">
        <v>2460</v>
      </c>
      <c r="E131" t="s">
        <v>160</v>
      </c>
      <c r="F131" t="s">
        <v>161</v>
      </c>
      <c r="G131">
        <v>762.6</v>
      </c>
      <c r="H131">
        <v>876.99</v>
      </c>
      <c r="I131" t="s">
        <v>6931</v>
      </c>
      <c r="J131">
        <f ca="1">TODAY()-Table16[[#This Row],[documentDate]]</f>
        <v>10</v>
      </c>
    </row>
    <row r="132" spans="1:10" x14ac:dyDescent="0.3">
      <c r="A132" s="1">
        <v>46249</v>
      </c>
      <c r="B132" t="s">
        <v>10321</v>
      </c>
      <c r="C132" t="s">
        <v>8</v>
      </c>
      <c r="D132" t="s">
        <v>2460</v>
      </c>
      <c r="E132" t="s">
        <v>2461</v>
      </c>
      <c r="F132" t="s">
        <v>2462</v>
      </c>
      <c r="G132">
        <v>201</v>
      </c>
      <c r="H132">
        <v>231.15</v>
      </c>
      <c r="I132" t="s">
        <v>6931</v>
      </c>
      <c r="J132">
        <f ca="1">TODAY()-Table16[[#This Row],[documentDate]]</f>
        <v>10</v>
      </c>
    </row>
    <row r="133" spans="1:10" x14ac:dyDescent="0.3">
      <c r="A133" s="1">
        <v>46249</v>
      </c>
      <c r="B133" t="s">
        <v>2459</v>
      </c>
      <c r="C133" t="s">
        <v>8</v>
      </c>
      <c r="D133" t="s">
        <v>2460</v>
      </c>
      <c r="E133" t="s">
        <v>2461</v>
      </c>
      <c r="F133" t="s">
        <v>2462</v>
      </c>
      <c r="G133">
        <v>37</v>
      </c>
      <c r="H133">
        <v>42.55</v>
      </c>
      <c r="I133" t="s">
        <v>6931</v>
      </c>
      <c r="J133">
        <f ca="1">TODAY()-Table16[[#This Row],[documentDate]]</f>
        <v>10</v>
      </c>
    </row>
    <row r="134" spans="1:10" x14ac:dyDescent="0.3">
      <c r="A134" s="1">
        <v>46249</v>
      </c>
      <c r="B134" t="s">
        <v>10322</v>
      </c>
      <c r="C134" t="s">
        <v>8</v>
      </c>
      <c r="D134" t="s">
        <v>2460</v>
      </c>
      <c r="E134" t="s">
        <v>2461</v>
      </c>
      <c r="F134" t="s">
        <v>2462</v>
      </c>
      <c r="G134">
        <v>35</v>
      </c>
      <c r="H134">
        <v>40.25</v>
      </c>
      <c r="I134" t="s">
        <v>6931</v>
      </c>
      <c r="J134">
        <f ca="1">TODAY()-Table16[[#This Row],[documentDate]]</f>
        <v>10</v>
      </c>
    </row>
    <row r="135" spans="1:10" x14ac:dyDescent="0.3">
      <c r="A135" s="1">
        <v>46249</v>
      </c>
      <c r="B135" t="s">
        <v>10316</v>
      </c>
      <c r="C135" t="s">
        <v>8</v>
      </c>
      <c r="D135" t="s">
        <v>2460</v>
      </c>
      <c r="E135" t="s">
        <v>73</v>
      </c>
      <c r="F135" t="s">
        <v>74</v>
      </c>
      <c r="G135">
        <v>2415</v>
      </c>
      <c r="H135">
        <v>2777.25</v>
      </c>
      <c r="I135" t="s">
        <v>6931</v>
      </c>
      <c r="J135">
        <f ca="1">TODAY()-Table16[[#This Row],[documentDate]]</f>
        <v>10</v>
      </c>
    </row>
    <row r="136" spans="1:10" x14ac:dyDescent="0.3">
      <c r="A136" s="1">
        <v>46249</v>
      </c>
      <c r="B136" t="s">
        <v>10317</v>
      </c>
      <c r="C136" t="s">
        <v>8</v>
      </c>
      <c r="D136" t="s">
        <v>2460</v>
      </c>
      <c r="E136" t="s">
        <v>148</v>
      </c>
      <c r="F136" t="s">
        <v>149</v>
      </c>
      <c r="G136">
        <v>528.00009999999997</v>
      </c>
      <c r="H136">
        <v>607.20012999999994</v>
      </c>
      <c r="I136" t="s">
        <v>6931</v>
      </c>
      <c r="J136">
        <f ca="1">TODAY()-Table16[[#This Row],[documentDate]]</f>
        <v>10</v>
      </c>
    </row>
    <row r="137" spans="1:10" x14ac:dyDescent="0.3">
      <c r="A137" s="1">
        <v>46249</v>
      </c>
      <c r="B137" t="s">
        <v>10318</v>
      </c>
      <c r="C137" t="s">
        <v>8</v>
      </c>
      <c r="D137" t="s">
        <v>2467</v>
      </c>
      <c r="E137" t="s">
        <v>75</v>
      </c>
      <c r="F137" t="s">
        <v>76</v>
      </c>
      <c r="G137">
        <v>3295</v>
      </c>
      <c r="H137">
        <v>3789.2501999999999</v>
      </c>
      <c r="I137" t="s">
        <v>6931</v>
      </c>
      <c r="J137">
        <f ca="1">TODAY()-Table16[[#This Row],[documentDate]]</f>
        <v>10</v>
      </c>
    </row>
    <row r="138" spans="1:10" x14ac:dyDescent="0.3">
      <c r="A138" s="1">
        <v>46250</v>
      </c>
      <c r="B138" t="s">
        <v>10327</v>
      </c>
      <c r="C138" t="s">
        <v>8</v>
      </c>
      <c r="D138" t="s">
        <v>2463</v>
      </c>
      <c r="E138" t="s">
        <v>444</v>
      </c>
      <c r="F138" t="s">
        <v>445</v>
      </c>
      <c r="G138">
        <v>270.24</v>
      </c>
      <c r="H138">
        <v>310.77600000000001</v>
      </c>
      <c r="I138" t="s">
        <v>6931</v>
      </c>
      <c r="J138">
        <f ca="1">TODAY()-Table16[[#This Row],[documentDate]]</f>
        <v>9</v>
      </c>
    </row>
    <row r="139" spans="1:10" x14ac:dyDescent="0.3">
      <c r="A139" s="1">
        <v>46250</v>
      </c>
      <c r="B139" t="s">
        <v>10330</v>
      </c>
      <c r="C139" t="s">
        <v>8</v>
      </c>
      <c r="D139" t="s">
        <v>2460</v>
      </c>
      <c r="E139" t="s">
        <v>173</v>
      </c>
      <c r="F139" t="s">
        <v>174</v>
      </c>
      <c r="G139">
        <v>149.75</v>
      </c>
      <c r="H139">
        <v>172.21250000000001</v>
      </c>
      <c r="I139" t="s">
        <v>6931</v>
      </c>
      <c r="J139">
        <f ca="1">TODAY()-Table16[[#This Row],[documentDate]]</f>
        <v>9</v>
      </c>
    </row>
    <row r="140" spans="1:10" x14ac:dyDescent="0.3">
      <c r="A140" s="1">
        <v>46250</v>
      </c>
      <c r="B140" t="s">
        <v>10329</v>
      </c>
      <c r="C140" t="s">
        <v>8</v>
      </c>
      <c r="D140" t="s">
        <v>2460</v>
      </c>
      <c r="E140" t="s">
        <v>2461</v>
      </c>
      <c r="F140" t="s">
        <v>2462</v>
      </c>
      <c r="G140">
        <v>71.5</v>
      </c>
      <c r="H140">
        <v>82.224999999999994</v>
      </c>
      <c r="I140" t="s">
        <v>6931</v>
      </c>
      <c r="J140">
        <f ca="1">TODAY()-Table16[[#This Row],[documentDate]]</f>
        <v>9</v>
      </c>
    </row>
    <row r="141" spans="1:10" x14ac:dyDescent="0.3">
      <c r="A141" s="1">
        <v>46250</v>
      </c>
      <c r="B141" t="s">
        <v>10328</v>
      </c>
      <c r="C141" t="s">
        <v>8</v>
      </c>
      <c r="D141" t="s">
        <v>2460</v>
      </c>
      <c r="E141" t="s">
        <v>73</v>
      </c>
      <c r="F141" t="s">
        <v>74</v>
      </c>
      <c r="G141">
        <v>39</v>
      </c>
      <c r="H141">
        <v>44.85</v>
      </c>
      <c r="I141" t="s">
        <v>6931</v>
      </c>
      <c r="J141">
        <f ca="1">TODAY()-Table16[[#This Row],[documentDate]]</f>
        <v>9</v>
      </c>
    </row>
    <row r="142" spans="1:10" x14ac:dyDescent="0.3">
      <c r="A142" s="1">
        <v>46250</v>
      </c>
      <c r="B142" t="s">
        <v>10326</v>
      </c>
      <c r="C142" t="s">
        <v>8</v>
      </c>
      <c r="D142" t="s">
        <v>2460</v>
      </c>
      <c r="E142" t="s">
        <v>10075</v>
      </c>
      <c r="F142" t="s">
        <v>10076</v>
      </c>
      <c r="G142">
        <v>1032</v>
      </c>
      <c r="H142">
        <v>1186.8</v>
      </c>
      <c r="I142" t="s">
        <v>6931</v>
      </c>
      <c r="J142">
        <f ca="1">TODAY()-Table16[[#This Row],[documentDate]]</f>
        <v>9</v>
      </c>
    </row>
    <row r="143" spans="1:10" x14ac:dyDescent="0.3">
      <c r="A143" s="1">
        <v>46251</v>
      </c>
      <c r="B143" t="s">
        <v>10433</v>
      </c>
      <c r="C143" t="s">
        <v>8</v>
      </c>
      <c r="D143" t="s">
        <v>2460</v>
      </c>
      <c r="E143" t="s">
        <v>9050</v>
      </c>
      <c r="F143" t="s">
        <v>9258</v>
      </c>
      <c r="G143">
        <v>117162.94</v>
      </c>
      <c r="H143">
        <v>134737.38</v>
      </c>
      <c r="I143" t="s">
        <v>6931</v>
      </c>
      <c r="J143">
        <f ca="1">TODAY()-Table16[[#This Row],[documentDate]]</f>
        <v>8</v>
      </c>
    </row>
    <row r="144" spans="1:10" x14ac:dyDescent="0.3">
      <c r="A144" s="1">
        <v>46251</v>
      </c>
      <c r="B144" t="s">
        <v>10432</v>
      </c>
      <c r="C144" t="s">
        <v>8</v>
      </c>
      <c r="D144" t="s">
        <v>2460</v>
      </c>
      <c r="E144" t="s">
        <v>73</v>
      </c>
      <c r="F144" t="s">
        <v>74</v>
      </c>
      <c r="G144">
        <v>1857</v>
      </c>
      <c r="H144">
        <v>2135.5500000000002</v>
      </c>
      <c r="I144" t="s">
        <v>6931</v>
      </c>
      <c r="J144">
        <f ca="1">TODAY()-Table16[[#This Row],[documentDate]]</f>
        <v>8</v>
      </c>
    </row>
    <row r="145" spans="1:10" x14ac:dyDescent="0.3">
      <c r="A145" s="1">
        <v>46251</v>
      </c>
      <c r="B145" t="s">
        <v>10434</v>
      </c>
      <c r="C145" t="s">
        <v>8</v>
      </c>
      <c r="D145" t="s">
        <v>2463</v>
      </c>
      <c r="E145" t="s">
        <v>448</v>
      </c>
      <c r="F145" t="s">
        <v>449</v>
      </c>
      <c r="G145">
        <v>1967.8125</v>
      </c>
      <c r="H145">
        <v>2262.9843999999998</v>
      </c>
      <c r="I145" t="s">
        <v>6931</v>
      </c>
      <c r="J145">
        <f ca="1">TODAY()-Table16[[#This Row],[documentDate]]</f>
        <v>8</v>
      </c>
    </row>
    <row r="146" spans="1:10" x14ac:dyDescent="0.3">
      <c r="A146" s="1">
        <v>46251</v>
      </c>
      <c r="B146" t="s">
        <v>4845</v>
      </c>
      <c r="C146" t="s">
        <v>8</v>
      </c>
      <c r="D146" t="s">
        <v>2460</v>
      </c>
      <c r="E146" t="s">
        <v>1989</v>
      </c>
      <c r="F146" t="s">
        <v>2477</v>
      </c>
      <c r="G146">
        <v>130767.05499999999</v>
      </c>
      <c r="H146">
        <v>150382.10999999999</v>
      </c>
      <c r="I146" t="s">
        <v>6931</v>
      </c>
      <c r="J146">
        <f ca="1">TODAY()-Table16[[#This Row],[documentDate]]</f>
        <v>8</v>
      </c>
    </row>
    <row r="147" spans="1:10" x14ac:dyDescent="0.3">
      <c r="A147" s="1">
        <v>46251</v>
      </c>
      <c r="B147" t="s">
        <v>10444</v>
      </c>
      <c r="C147" t="s">
        <v>8</v>
      </c>
      <c r="D147" t="s">
        <v>2460</v>
      </c>
      <c r="E147" t="s">
        <v>9483</v>
      </c>
      <c r="F147" t="s">
        <v>9484</v>
      </c>
      <c r="G147">
        <v>820.00080000000003</v>
      </c>
      <c r="H147">
        <v>943.0009</v>
      </c>
      <c r="I147" t="s">
        <v>6931</v>
      </c>
      <c r="J147">
        <f ca="1">TODAY()-Table16[[#This Row],[documentDate]]</f>
        <v>8</v>
      </c>
    </row>
    <row r="148" spans="1:10" x14ac:dyDescent="0.3">
      <c r="A148" s="1">
        <v>46251</v>
      </c>
      <c r="B148" t="s">
        <v>10440</v>
      </c>
      <c r="C148" t="s">
        <v>8</v>
      </c>
      <c r="D148" t="s">
        <v>2460</v>
      </c>
      <c r="E148" t="s">
        <v>173</v>
      </c>
      <c r="F148" t="s">
        <v>174</v>
      </c>
      <c r="G148">
        <v>1569.44</v>
      </c>
      <c r="H148">
        <v>1804.856</v>
      </c>
      <c r="I148" t="s">
        <v>6931</v>
      </c>
      <c r="J148">
        <f ca="1">TODAY()-Table16[[#This Row],[documentDate]]</f>
        <v>8</v>
      </c>
    </row>
    <row r="149" spans="1:10" x14ac:dyDescent="0.3">
      <c r="A149" s="1">
        <v>46251</v>
      </c>
      <c r="B149" t="s">
        <v>10443</v>
      </c>
      <c r="C149" t="s">
        <v>8</v>
      </c>
      <c r="D149" t="s">
        <v>2463</v>
      </c>
      <c r="E149" t="s">
        <v>9053</v>
      </c>
      <c r="F149" t="s">
        <v>9054</v>
      </c>
      <c r="G149">
        <v>122.85996</v>
      </c>
      <c r="H149">
        <v>141.28896</v>
      </c>
      <c r="I149" t="s">
        <v>6931</v>
      </c>
      <c r="J149">
        <f ca="1">TODAY()-Table16[[#This Row],[documentDate]]</f>
        <v>8</v>
      </c>
    </row>
    <row r="150" spans="1:10" x14ac:dyDescent="0.3">
      <c r="A150" s="1">
        <v>46251</v>
      </c>
      <c r="B150" t="s">
        <v>10441</v>
      </c>
      <c r="C150" t="s">
        <v>8</v>
      </c>
      <c r="D150" t="s">
        <v>2460</v>
      </c>
      <c r="E150" t="s">
        <v>9483</v>
      </c>
      <c r="F150" t="s">
        <v>9484</v>
      </c>
      <c r="G150">
        <v>6275.2617</v>
      </c>
      <c r="H150">
        <v>7216.5513000000001</v>
      </c>
      <c r="I150" t="s">
        <v>6931</v>
      </c>
      <c r="J150">
        <f ca="1">TODAY()-Table16[[#This Row],[documentDate]]</f>
        <v>8</v>
      </c>
    </row>
    <row r="151" spans="1:10" x14ac:dyDescent="0.3">
      <c r="A151" s="1">
        <v>46251</v>
      </c>
      <c r="B151" t="s">
        <v>10442</v>
      </c>
      <c r="C151" t="s">
        <v>8</v>
      </c>
      <c r="D151" t="s">
        <v>2460</v>
      </c>
      <c r="E151" t="s">
        <v>2319</v>
      </c>
      <c r="F151" t="s">
        <v>2320</v>
      </c>
      <c r="G151">
        <v>24.39</v>
      </c>
      <c r="H151">
        <v>28.048500000000001</v>
      </c>
      <c r="I151" t="s">
        <v>6931</v>
      </c>
      <c r="J151">
        <f ca="1">TODAY()-Table16[[#This Row],[documentDate]]</f>
        <v>8</v>
      </c>
    </row>
    <row r="152" spans="1:10" x14ac:dyDescent="0.3">
      <c r="A152" s="1">
        <v>46251</v>
      </c>
      <c r="B152" t="s">
        <v>10439</v>
      </c>
      <c r="C152" t="s">
        <v>8</v>
      </c>
      <c r="D152" t="s">
        <v>2463</v>
      </c>
      <c r="E152" t="s">
        <v>9483</v>
      </c>
      <c r="F152" t="s">
        <v>9484</v>
      </c>
      <c r="G152">
        <v>906.8501</v>
      </c>
      <c r="H152">
        <v>1042.8777</v>
      </c>
      <c r="I152" t="s">
        <v>6931</v>
      </c>
      <c r="J152">
        <f ca="1">TODAY()-Table16[[#This Row],[documentDate]]</f>
        <v>8</v>
      </c>
    </row>
    <row r="153" spans="1:10" x14ac:dyDescent="0.3">
      <c r="A153" s="1">
        <v>46251</v>
      </c>
      <c r="B153" t="s">
        <v>10438</v>
      </c>
      <c r="C153" t="s">
        <v>8</v>
      </c>
      <c r="D153" t="s">
        <v>2460</v>
      </c>
      <c r="E153" t="s">
        <v>10172</v>
      </c>
      <c r="F153" t="s">
        <v>10173</v>
      </c>
      <c r="G153">
        <v>40</v>
      </c>
      <c r="H153">
        <v>46</v>
      </c>
      <c r="I153" t="s">
        <v>6931</v>
      </c>
      <c r="J153">
        <f ca="1">TODAY()-Table16[[#This Row],[documentDate]]</f>
        <v>8</v>
      </c>
    </row>
    <row r="154" spans="1:10" x14ac:dyDescent="0.3">
      <c r="A154" s="1">
        <v>46251</v>
      </c>
      <c r="B154" t="s">
        <v>10436</v>
      </c>
      <c r="C154" t="s">
        <v>8</v>
      </c>
      <c r="D154" t="s">
        <v>2460</v>
      </c>
      <c r="E154" t="s">
        <v>177</v>
      </c>
      <c r="F154" t="s">
        <v>178</v>
      </c>
      <c r="G154">
        <v>17240.002</v>
      </c>
      <c r="H154">
        <v>19826.002</v>
      </c>
      <c r="I154" t="s">
        <v>6931</v>
      </c>
      <c r="J154">
        <f ca="1">TODAY()-Table16[[#This Row],[documentDate]]</f>
        <v>8</v>
      </c>
    </row>
    <row r="155" spans="1:10" x14ac:dyDescent="0.3">
      <c r="A155" s="1">
        <v>46251</v>
      </c>
      <c r="B155" t="s">
        <v>10437</v>
      </c>
      <c r="C155" t="s">
        <v>8</v>
      </c>
      <c r="D155" t="s">
        <v>2460</v>
      </c>
      <c r="E155" t="s">
        <v>2612</v>
      </c>
      <c r="F155" t="s">
        <v>2613</v>
      </c>
      <c r="G155">
        <v>9493.9989999999998</v>
      </c>
      <c r="H155">
        <v>10918.1</v>
      </c>
      <c r="I155" t="s">
        <v>6931</v>
      </c>
      <c r="J155">
        <f ca="1">TODAY()-Table16[[#This Row],[documentDate]]</f>
        <v>8</v>
      </c>
    </row>
    <row r="156" spans="1:10" x14ac:dyDescent="0.3">
      <c r="A156" s="1">
        <v>46251</v>
      </c>
      <c r="B156" t="s">
        <v>10435</v>
      </c>
      <c r="C156" t="s">
        <v>8</v>
      </c>
      <c r="D156" t="s">
        <v>2460</v>
      </c>
      <c r="E156" t="s">
        <v>7118</v>
      </c>
      <c r="F156" t="s">
        <v>7119</v>
      </c>
      <c r="G156">
        <v>50</v>
      </c>
      <c r="H156">
        <v>57.5</v>
      </c>
      <c r="I156" t="s">
        <v>6931</v>
      </c>
      <c r="J156">
        <f ca="1">TODAY()-Table16[[#This Row],[documentDate]]</f>
        <v>8</v>
      </c>
    </row>
    <row r="157" spans="1:10" x14ac:dyDescent="0.3">
      <c r="A157" s="1">
        <v>46252</v>
      </c>
      <c r="B157" t="s">
        <v>10499</v>
      </c>
      <c r="C157" t="s">
        <v>8</v>
      </c>
      <c r="D157" t="s">
        <v>2460</v>
      </c>
      <c r="E157" t="s">
        <v>9695</v>
      </c>
      <c r="F157" t="s">
        <v>9696</v>
      </c>
      <c r="G157">
        <v>1284.75</v>
      </c>
      <c r="H157">
        <v>1477.4625000000001</v>
      </c>
      <c r="I157" t="s">
        <v>6931</v>
      </c>
      <c r="J157">
        <f ca="1">TODAY()-Table16[[#This Row],[documentDate]]</f>
        <v>7</v>
      </c>
    </row>
    <row r="158" spans="1:10" x14ac:dyDescent="0.3">
      <c r="A158" s="1">
        <v>46252</v>
      </c>
      <c r="B158" t="s">
        <v>10497</v>
      </c>
      <c r="C158" t="s">
        <v>8</v>
      </c>
      <c r="D158" t="s">
        <v>2460</v>
      </c>
      <c r="E158" t="s">
        <v>81</v>
      </c>
      <c r="F158" t="s">
        <v>82</v>
      </c>
      <c r="G158">
        <v>819.9</v>
      </c>
      <c r="H158">
        <v>942.88499999999999</v>
      </c>
      <c r="I158" t="s">
        <v>6931</v>
      </c>
      <c r="J158">
        <f ca="1">TODAY()-Table16[[#This Row],[documentDate]]</f>
        <v>7</v>
      </c>
    </row>
    <row r="159" spans="1:10" x14ac:dyDescent="0.3">
      <c r="A159" s="1">
        <v>46252</v>
      </c>
      <c r="B159" t="s">
        <v>10498</v>
      </c>
      <c r="C159" t="s">
        <v>8</v>
      </c>
      <c r="D159" t="s">
        <v>2460</v>
      </c>
      <c r="E159" t="s">
        <v>81</v>
      </c>
      <c r="F159" t="s">
        <v>82</v>
      </c>
      <c r="G159">
        <v>30014</v>
      </c>
      <c r="H159">
        <v>34516.1</v>
      </c>
      <c r="I159" t="s">
        <v>6931</v>
      </c>
      <c r="J159">
        <f ca="1">TODAY()-Table16[[#This Row],[documentDate]]</f>
        <v>7</v>
      </c>
    </row>
    <row r="160" spans="1:10" x14ac:dyDescent="0.3">
      <c r="A160" s="1">
        <v>46252</v>
      </c>
      <c r="B160" t="s">
        <v>10579</v>
      </c>
      <c r="C160" t="s">
        <v>8</v>
      </c>
      <c r="D160" t="s">
        <v>2460</v>
      </c>
      <c r="E160" t="s">
        <v>297</v>
      </c>
      <c r="F160" t="s">
        <v>298</v>
      </c>
      <c r="G160">
        <v>4309.4399999999996</v>
      </c>
      <c r="H160">
        <v>4955.8559999999998</v>
      </c>
      <c r="I160" t="s">
        <v>6931</v>
      </c>
      <c r="J160">
        <f ca="1">TODAY()-Table16[[#This Row],[documentDate]]</f>
        <v>7</v>
      </c>
    </row>
    <row r="161" spans="1:10" x14ac:dyDescent="0.3">
      <c r="A161" s="1">
        <v>46252</v>
      </c>
      <c r="B161" t="s">
        <v>10501</v>
      </c>
      <c r="C161" t="s">
        <v>8</v>
      </c>
      <c r="D161" t="s">
        <v>2460</v>
      </c>
      <c r="E161" t="s">
        <v>109</v>
      </c>
      <c r="F161" t="s">
        <v>110</v>
      </c>
      <c r="G161">
        <v>313.2</v>
      </c>
      <c r="H161">
        <v>360.18</v>
      </c>
      <c r="I161" t="s">
        <v>6931</v>
      </c>
      <c r="J161">
        <f ca="1">TODAY()-Table16[[#This Row],[documentDate]]</f>
        <v>7</v>
      </c>
    </row>
    <row r="162" spans="1:10" x14ac:dyDescent="0.3">
      <c r="A162" s="1">
        <v>46252</v>
      </c>
      <c r="B162" t="s">
        <v>10500</v>
      </c>
      <c r="C162" t="s">
        <v>8</v>
      </c>
      <c r="D162" t="s">
        <v>2460</v>
      </c>
      <c r="E162" t="s">
        <v>769</v>
      </c>
      <c r="F162" t="s">
        <v>770</v>
      </c>
      <c r="G162">
        <v>3616.8</v>
      </c>
      <c r="H162">
        <v>4159.32</v>
      </c>
      <c r="I162" t="s">
        <v>6931</v>
      </c>
      <c r="J162">
        <f ca="1">TODAY()-Table16[[#This Row],[documentDate]]</f>
        <v>7</v>
      </c>
    </row>
    <row r="163" spans="1:10" x14ac:dyDescent="0.3">
      <c r="A163" s="1">
        <v>46252</v>
      </c>
      <c r="B163" t="s">
        <v>10502</v>
      </c>
      <c r="C163" t="s">
        <v>8</v>
      </c>
      <c r="D163" t="s">
        <v>2460</v>
      </c>
      <c r="E163" t="s">
        <v>25</v>
      </c>
      <c r="F163" t="s">
        <v>26</v>
      </c>
      <c r="G163">
        <v>2928</v>
      </c>
      <c r="H163">
        <v>3367.2</v>
      </c>
      <c r="I163" t="s">
        <v>6931</v>
      </c>
      <c r="J163">
        <f ca="1">TODAY()-Table16[[#This Row],[documentDate]]</f>
        <v>7</v>
      </c>
    </row>
    <row r="164" spans="1:10" x14ac:dyDescent="0.3">
      <c r="A164" s="1">
        <v>46252</v>
      </c>
      <c r="B164" t="s">
        <v>10503</v>
      </c>
      <c r="C164" t="s">
        <v>8</v>
      </c>
      <c r="D164" t="s">
        <v>2460</v>
      </c>
      <c r="E164" t="s">
        <v>81</v>
      </c>
      <c r="F164" t="s">
        <v>82</v>
      </c>
      <c r="G164">
        <v>256.27</v>
      </c>
      <c r="H164">
        <v>294.71050000000002</v>
      </c>
      <c r="I164" t="s">
        <v>6931</v>
      </c>
      <c r="J164">
        <f ca="1">TODAY()-Table16[[#This Row],[documentDate]]</f>
        <v>7</v>
      </c>
    </row>
    <row r="165" spans="1:10" x14ac:dyDescent="0.3">
      <c r="A165" s="1">
        <v>46252</v>
      </c>
      <c r="B165" t="s">
        <v>10506</v>
      </c>
      <c r="C165" t="s">
        <v>8</v>
      </c>
      <c r="D165" t="s">
        <v>2460</v>
      </c>
      <c r="E165" t="s">
        <v>77</v>
      </c>
      <c r="F165" t="s">
        <v>78</v>
      </c>
      <c r="G165">
        <v>1875</v>
      </c>
      <c r="H165">
        <v>2156.25</v>
      </c>
      <c r="I165" t="s">
        <v>6931</v>
      </c>
      <c r="J165">
        <f ca="1">TODAY()-Table16[[#This Row],[documentDate]]</f>
        <v>7</v>
      </c>
    </row>
    <row r="166" spans="1:10" x14ac:dyDescent="0.3">
      <c r="A166" s="1">
        <v>46252</v>
      </c>
      <c r="B166" t="s">
        <v>10505</v>
      </c>
      <c r="C166" t="s">
        <v>8</v>
      </c>
      <c r="D166" t="s">
        <v>2460</v>
      </c>
      <c r="E166" t="s">
        <v>863</v>
      </c>
      <c r="F166" t="s">
        <v>864</v>
      </c>
      <c r="G166">
        <v>6397.2160000000003</v>
      </c>
      <c r="H166">
        <v>7099.3984</v>
      </c>
      <c r="I166" t="s">
        <v>6931</v>
      </c>
      <c r="J166">
        <f ca="1">TODAY()-Table16[[#This Row],[documentDate]]</f>
        <v>7</v>
      </c>
    </row>
    <row r="167" spans="1:10" x14ac:dyDescent="0.3">
      <c r="A167" s="1">
        <v>46252</v>
      </c>
      <c r="B167" t="s">
        <v>10504</v>
      </c>
      <c r="C167" t="s">
        <v>8</v>
      </c>
      <c r="D167" t="s">
        <v>2460</v>
      </c>
      <c r="E167" t="s">
        <v>362</v>
      </c>
      <c r="F167" t="s">
        <v>363</v>
      </c>
      <c r="G167">
        <v>579</v>
      </c>
      <c r="H167">
        <v>665.85</v>
      </c>
      <c r="I167" t="s">
        <v>6931</v>
      </c>
      <c r="J167">
        <f ca="1">TODAY()-Table16[[#This Row],[documentDate]]</f>
        <v>7</v>
      </c>
    </row>
    <row r="168" spans="1:10" x14ac:dyDescent="0.3">
      <c r="A168" s="1">
        <v>46252</v>
      </c>
      <c r="B168" t="s">
        <v>10509</v>
      </c>
      <c r="C168" t="s">
        <v>8</v>
      </c>
      <c r="D168" t="s">
        <v>2460</v>
      </c>
      <c r="E168" t="s">
        <v>5159</v>
      </c>
      <c r="F168" t="s">
        <v>5160</v>
      </c>
      <c r="G168">
        <v>138.80243999999999</v>
      </c>
      <c r="H168">
        <v>159.62280000000001</v>
      </c>
      <c r="I168" t="s">
        <v>6931</v>
      </c>
      <c r="J168">
        <f ca="1">TODAY()-Table16[[#This Row],[documentDate]]</f>
        <v>7</v>
      </c>
    </row>
    <row r="169" spans="1:10" x14ac:dyDescent="0.3">
      <c r="A169" s="1">
        <v>46252</v>
      </c>
      <c r="B169" t="s">
        <v>10507</v>
      </c>
      <c r="C169" t="s">
        <v>8</v>
      </c>
      <c r="D169" t="s">
        <v>2460</v>
      </c>
      <c r="E169" t="s">
        <v>2497</v>
      </c>
      <c r="F169" t="s">
        <v>2498</v>
      </c>
      <c r="G169">
        <v>972</v>
      </c>
      <c r="H169">
        <v>1117.8</v>
      </c>
      <c r="I169" t="s">
        <v>6931</v>
      </c>
      <c r="J169">
        <f ca="1">TODAY()-Table16[[#This Row],[documentDate]]</f>
        <v>7</v>
      </c>
    </row>
    <row r="170" spans="1:10" x14ac:dyDescent="0.3">
      <c r="A170" s="1">
        <v>46252</v>
      </c>
      <c r="B170" t="s">
        <v>10512</v>
      </c>
      <c r="C170" t="s">
        <v>8</v>
      </c>
      <c r="D170" t="s">
        <v>2460</v>
      </c>
      <c r="E170" t="s">
        <v>10335</v>
      </c>
      <c r="F170" t="s">
        <v>10336</v>
      </c>
      <c r="G170">
        <v>1148.8</v>
      </c>
      <c r="H170">
        <v>1321.12</v>
      </c>
      <c r="I170" t="s">
        <v>6931</v>
      </c>
      <c r="J170">
        <f ca="1">TODAY()-Table16[[#This Row],[documentDate]]</f>
        <v>7</v>
      </c>
    </row>
    <row r="171" spans="1:10" x14ac:dyDescent="0.3">
      <c r="A171" s="1">
        <v>46252</v>
      </c>
      <c r="B171" t="s">
        <v>10508</v>
      </c>
      <c r="C171" t="s">
        <v>8</v>
      </c>
      <c r="D171" t="s">
        <v>2460</v>
      </c>
      <c r="E171" t="s">
        <v>130</v>
      </c>
      <c r="F171" t="s">
        <v>131</v>
      </c>
      <c r="G171">
        <v>1564</v>
      </c>
      <c r="H171">
        <v>1798.6</v>
      </c>
      <c r="I171" t="s">
        <v>6931</v>
      </c>
      <c r="J171">
        <f ca="1">TODAY()-Table16[[#This Row],[documentDate]]</f>
        <v>7</v>
      </c>
    </row>
    <row r="172" spans="1:10" x14ac:dyDescent="0.3">
      <c r="A172" s="1">
        <v>46252</v>
      </c>
      <c r="B172" t="s">
        <v>10510</v>
      </c>
      <c r="C172" t="s">
        <v>8</v>
      </c>
      <c r="D172" t="s">
        <v>2460</v>
      </c>
      <c r="E172" t="s">
        <v>2334</v>
      </c>
      <c r="F172" t="s">
        <v>2335</v>
      </c>
      <c r="G172">
        <v>534.6</v>
      </c>
      <c r="H172">
        <v>614.79</v>
      </c>
      <c r="I172" t="s">
        <v>6931</v>
      </c>
      <c r="J172">
        <f ca="1">TODAY()-Table16[[#This Row],[documentDate]]</f>
        <v>7</v>
      </c>
    </row>
    <row r="173" spans="1:10" x14ac:dyDescent="0.3">
      <c r="A173" s="1">
        <v>46252</v>
      </c>
      <c r="B173" t="s">
        <v>10511</v>
      </c>
      <c r="C173" t="s">
        <v>8</v>
      </c>
      <c r="D173" t="s">
        <v>2460</v>
      </c>
      <c r="E173" t="s">
        <v>9483</v>
      </c>
      <c r="F173" t="s">
        <v>9484</v>
      </c>
      <c r="G173">
        <v>10169.6</v>
      </c>
      <c r="H173">
        <v>11695.04</v>
      </c>
      <c r="I173" t="s">
        <v>6931</v>
      </c>
      <c r="J173">
        <f ca="1">TODAY()-Table16[[#This Row],[documentDate]]</f>
        <v>7</v>
      </c>
    </row>
    <row r="174" spans="1:10" x14ac:dyDescent="0.3">
      <c r="A174" s="1">
        <v>46253</v>
      </c>
      <c r="B174" t="s">
        <v>10723</v>
      </c>
      <c r="C174" t="s">
        <v>8</v>
      </c>
      <c r="D174" t="s">
        <v>2467</v>
      </c>
      <c r="E174" t="s">
        <v>9200</v>
      </c>
      <c r="F174" t="s">
        <v>9201</v>
      </c>
      <c r="G174">
        <v>388.8</v>
      </c>
      <c r="H174">
        <v>447.12</v>
      </c>
      <c r="I174" t="s">
        <v>6931</v>
      </c>
      <c r="J174">
        <f ca="1">TODAY()-Table16[[#This Row],[documentDate]]</f>
        <v>6</v>
      </c>
    </row>
    <row r="175" spans="1:10" x14ac:dyDescent="0.3">
      <c r="A175" s="1">
        <v>46253</v>
      </c>
      <c r="B175" t="s">
        <v>10721</v>
      </c>
      <c r="C175" t="s">
        <v>8</v>
      </c>
      <c r="D175" t="s">
        <v>2460</v>
      </c>
      <c r="E175" t="s">
        <v>3814</v>
      </c>
      <c r="F175" t="s">
        <v>3815</v>
      </c>
      <c r="G175">
        <v>478.5</v>
      </c>
      <c r="H175">
        <v>550.27499999999998</v>
      </c>
      <c r="I175" t="s">
        <v>6931</v>
      </c>
      <c r="J175">
        <f ca="1">TODAY()-Table16[[#This Row],[documentDate]]</f>
        <v>6</v>
      </c>
    </row>
    <row r="176" spans="1:10" x14ac:dyDescent="0.3">
      <c r="A176" s="1">
        <v>46253</v>
      </c>
      <c r="B176" t="s">
        <v>10724</v>
      </c>
      <c r="C176" t="s">
        <v>8</v>
      </c>
      <c r="D176" t="s">
        <v>2460</v>
      </c>
      <c r="E176" t="s">
        <v>10446</v>
      </c>
      <c r="F176" t="s">
        <v>10447</v>
      </c>
      <c r="G176">
        <v>3768.3829999999998</v>
      </c>
      <c r="H176">
        <v>4333.6405999999997</v>
      </c>
      <c r="I176" t="s">
        <v>6931</v>
      </c>
      <c r="J176">
        <f ca="1">TODAY()-Table16[[#This Row],[documentDate]]</f>
        <v>6</v>
      </c>
    </row>
    <row r="177" spans="1:10" x14ac:dyDescent="0.3">
      <c r="A177" s="1">
        <v>46253</v>
      </c>
      <c r="B177" t="s">
        <v>10722</v>
      </c>
      <c r="C177" t="s">
        <v>8</v>
      </c>
      <c r="D177" t="s">
        <v>2460</v>
      </c>
      <c r="E177" t="s">
        <v>39</v>
      </c>
      <c r="F177" t="s">
        <v>40</v>
      </c>
      <c r="G177">
        <v>3300</v>
      </c>
      <c r="H177">
        <v>3795</v>
      </c>
      <c r="I177" t="s">
        <v>6931</v>
      </c>
      <c r="J177">
        <f ca="1">TODAY()-Table16[[#This Row],[documentDate]]</f>
        <v>6</v>
      </c>
    </row>
    <row r="178" spans="1:10" x14ac:dyDescent="0.3">
      <c r="A178" s="1">
        <v>46253</v>
      </c>
      <c r="B178" t="s">
        <v>10725</v>
      </c>
      <c r="C178" t="s">
        <v>8</v>
      </c>
      <c r="D178" t="s">
        <v>2460</v>
      </c>
      <c r="E178" t="s">
        <v>4762</v>
      </c>
      <c r="F178" t="s">
        <v>4763</v>
      </c>
      <c r="G178">
        <v>1308</v>
      </c>
      <c r="H178">
        <v>1504.2</v>
      </c>
      <c r="I178" t="s">
        <v>6931</v>
      </c>
      <c r="J178">
        <f ca="1">TODAY()-Table16[[#This Row],[documentDate]]</f>
        <v>6</v>
      </c>
    </row>
    <row r="179" spans="1:10" x14ac:dyDescent="0.3">
      <c r="A179" s="1">
        <v>46253</v>
      </c>
      <c r="B179" t="s">
        <v>10729</v>
      </c>
      <c r="C179" t="s">
        <v>8</v>
      </c>
      <c r="D179" t="s">
        <v>2460</v>
      </c>
      <c r="E179" t="s">
        <v>10448</v>
      </c>
      <c r="F179" t="s">
        <v>10449</v>
      </c>
      <c r="G179">
        <v>187.53</v>
      </c>
      <c r="H179">
        <v>187.53</v>
      </c>
      <c r="I179" t="s">
        <v>6931</v>
      </c>
      <c r="J179">
        <f ca="1">TODAY()-Table16[[#This Row],[documentDate]]</f>
        <v>6</v>
      </c>
    </row>
    <row r="180" spans="1:10" x14ac:dyDescent="0.3">
      <c r="A180" s="1">
        <v>46253</v>
      </c>
      <c r="B180" t="s">
        <v>10728</v>
      </c>
      <c r="C180" t="s">
        <v>8</v>
      </c>
      <c r="D180" t="s">
        <v>2460</v>
      </c>
      <c r="E180" t="s">
        <v>173</v>
      </c>
      <c r="F180" t="s">
        <v>174</v>
      </c>
      <c r="G180">
        <v>408</v>
      </c>
      <c r="H180">
        <v>469.2</v>
      </c>
      <c r="I180" t="s">
        <v>6931</v>
      </c>
      <c r="J180">
        <f ca="1">TODAY()-Table16[[#This Row],[documentDate]]</f>
        <v>6</v>
      </c>
    </row>
    <row r="181" spans="1:10" x14ac:dyDescent="0.3">
      <c r="A181" s="1">
        <v>46253</v>
      </c>
      <c r="B181" t="s">
        <v>10726</v>
      </c>
      <c r="C181" t="s">
        <v>8</v>
      </c>
      <c r="D181" t="s">
        <v>2467</v>
      </c>
      <c r="E181" t="s">
        <v>2241</v>
      </c>
      <c r="F181" t="s">
        <v>2474</v>
      </c>
      <c r="G181">
        <v>7102.9404000000004</v>
      </c>
      <c r="H181">
        <v>8168.3813</v>
      </c>
      <c r="I181" t="s">
        <v>6931</v>
      </c>
      <c r="J181">
        <f ca="1">TODAY()-Table16[[#This Row],[documentDate]]</f>
        <v>6</v>
      </c>
    </row>
    <row r="182" spans="1:10" x14ac:dyDescent="0.3">
      <c r="A182" s="1">
        <v>46253</v>
      </c>
      <c r="B182" t="s">
        <v>10727</v>
      </c>
      <c r="C182" t="s">
        <v>8</v>
      </c>
      <c r="D182" t="s">
        <v>2460</v>
      </c>
      <c r="E182" t="s">
        <v>3803</v>
      </c>
      <c r="F182" t="s">
        <v>3804</v>
      </c>
      <c r="G182">
        <v>242.08</v>
      </c>
      <c r="H182">
        <v>278.392</v>
      </c>
      <c r="I182" t="s">
        <v>6931</v>
      </c>
      <c r="J182">
        <f ca="1">TODAY()-Table16[[#This Row],[documentDate]]</f>
        <v>6</v>
      </c>
    </row>
    <row r="183" spans="1:10" x14ac:dyDescent="0.3">
      <c r="A183" s="1">
        <v>46253</v>
      </c>
      <c r="B183" t="s">
        <v>10730</v>
      </c>
      <c r="C183" t="s">
        <v>8</v>
      </c>
      <c r="D183" t="s">
        <v>2460</v>
      </c>
      <c r="E183" t="s">
        <v>561</v>
      </c>
      <c r="F183" t="s">
        <v>593</v>
      </c>
      <c r="G183">
        <v>1120</v>
      </c>
      <c r="H183">
        <v>1288</v>
      </c>
      <c r="I183" t="s">
        <v>6931</v>
      </c>
      <c r="J183">
        <f ca="1">TODAY()-Table16[[#This Row],[documentDate]]</f>
        <v>6</v>
      </c>
    </row>
    <row r="184" spans="1:10" x14ac:dyDescent="0.3">
      <c r="A184" s="1">
        <v>46253</v>
      </c>
      <c r="B184" t="s">
        <v>10736</v>
      </c>
      <c r="C184" t="s">
        <v>8</v>
      </c>
      <c r="D184" t="s">
        <v>2460</v>
      </c>
      <c r="E184" t="s">
        <v>464</v>
      </c>
      <c r="F184" t="s">
        <v>465</v>
      </c>
      <c r="G184">
        <v>534.71</v>
      </c>
      <c r="H184">
        <v>614.91650000000004</v>
      </c>
      <c r="I184" t="s">
        <v>6931</v>
      </c>
      <c r="J184">
        <f ca="1">TODAY()-Table16[[#This Row],[documentDate]]</f>
        <v>6</v>
      </c>
    </row>
    <row r="185" spans="1:10" x14ac:dyDescent="0.3">
      <c r="A185" s="1">
        <v>46253</v>
      </c>
      <c r="B185" t="s">
        <v>10732</v>
      </c>
      <c r="C185" t="s">
        <v>8</v>
      </c>
      <c r="D185" t="s">
        <v>2460</v>
      </c>
      <c r="E185" t="s">
        <v>470</v>
      </c>
      <c r="F185" t="s">
        <v>471</v>
      </c>
      <c r="G185">
        <v>8353.7999999999993</v>
      </c>
      <c r="H185">
        <v>9606.8700000000008</v>
      </c>
      <c r="I185" t="s">
        <v>6931</v>
      </c>
      <c r="J185">
        <f ca="1">TODAY()-Table16[[#This Row],[documentDate]]</f>
        <v>6</v>
      </c>
    </row>
    <row r="186" spans="1:10" x14ac:dyDescent="0.3">
      <c r="A186" s="1">
        <v>46253</v>
      </c>
      <c r="B186" t="s">
        <v>10731</v>
      </c>
      <c r="C186" t="s">
        <v>8</v>
      </c>
      <c r="D186" t="s">
        <v>2460</v>
      </c>
      <c r="E186" t="s">
        <v>470</v>
      </c>
      <c r="F186" t="s">
        <v>471</v>
      </c>
      <c r="G186">
        <v>887.4</v>
      </c>
      <c r="H186">
        <v>1020.51</v>
      </c>
      <c r="I186" t="s">
        <v>6931</v>
      </c>
      <c r="J186">
        <f ca="1">TODAY()-Table16[[#This Row],[documentDate]]</f>
        <v>6</v>
      </c>
    </row>
    <row r="187" spans="1:10" x14ac:dyDescent="0.3">
      <c r="A187" s="1">
        <v>46253</v>
      </c>
      <c r="B187" t="s">
        <v>10738</v>
      </c>
      <c r="C187" t="s">
        <v>8</v>
      </c>
      <c r="D187" t="s">
        <v>2460</v>
      </c>
      <c r="E187" t="s">
        <v>301</v>
      </c>
      <c r="F187" t="s">
        <v>370</v>
      </c>
      <c r="G187">
        <v>102</v>
      </c>
      <c r="H187">
        <v>117.3</v>
      </c>
      <c r="I187" t="s">
        <v>6931</v>
      </c>
      <c r="J187">
        <f ca="1">TODAY()-Table16[[#This Row],[documentDate]]</f>
        <v>6</v>
      </c>
    </row>
    <row r="188" spans="1:10" x14ac:dyDescent="0.3">
      <c r="A188" s="1">
        <v>46253</v>
      </c>
      <c r="B188" t="s">
        <v>10737</v>
      </c>
      <c r="C188" t="s">
        <v>8</v>
      </c>
      <c r="D188" t="s">
        <v>2460</v>
      </c>
      <c r="E188" t="s">
        <v>304</v>
      </c>
      <c r="F188" t="s">
        <v>307</v>
      </c>
      <c r="G188">
        <v>6065</v>
      </c>
      <c r="H188">
        <v>6974.75</v>
      </c>
      <c r="I188" t="s">
        <v>6931</v>
      </c>
      <c r="J188">
        <f ca="1">TODAY()-Table16[[#This Row],[documentDate]]</f>
        <v>6</v>
      </c>
    </row>
    <row r="189" spans="1:10" x14ac:dyDescent="0.3">
      <c r="A189" s="1">
        <v>46253</v>
      </c>
      <c r="B189" t="s">
        <v>10733</v>
      </c>
      <c r="C189" t="s">
        <v>8</v>
      </c>
      <c r="D189" t="s">
        <v>2460</v>
      </c>
      <c r="E189" t="s">
        <v>2264</v>
      </c>
      <c r="F189" t="s">
        <v>3072</v>
      </c>
      <c r="G189">
        <v>158.26</v>
      </c>
      <c r="H189">
        <v>181.999</v>
      </c>
      <c r="I189" t="s">
        <v>6931</v>
      </c>
      <c r="J189">
        <f ca="1">TODAY()-Table16[[#This Row],[documentDate]]</f>
        <v>6</v>
      </c>
    </row>
    <row r="190" spans="1:10" x14ac:dyDescent="0.3">
      <c r="A190" s="1">
        <v>46253</v>
      </c>
      <c r="B190" t="s">
        <v>10734</v>
      </c>
      <c r="C190" t="s">
        <v>8</v>
      </c>
      <c r="D190" t="s">
        <v>2460</v>
      </c>
      <c r="E190" t="s">
        <v>464</v>
      </c>
      <c r="F190" t="s">
        <v>465</v>
      </c>
      <c r="G190">
        <v>1134.03</v>
      </c>
      <c r="H190">
        <v>1304.1344999999999</v>
      </c>
      <c r="I190" t="s">
        <v>6931</v>
      </c>
      <c r="J190">
        <f ca="1">TODAY()-Table16[[#This Row],[documentDate]]</f>
        <v>6</v>
      </c>
    </row>
    <row r="191" spans="1:10" x14ac:dyDescent="0.3">
      <c r="A191" s="1">
        <v>46253</v>
      </c>
      <c r="B191" t="s">
        <v>10741</v>
      </c>
      <c r="C191" t="s">
        <v>8</v>
      </c>
      <c r="D191" t="s">
        <v>2467</v>
      </c>
      <c r="E191" t="s">
        <v>135</v>
      </c>
      <c r="F191" t="s">
        <v>136</v>
      </c>
      <c r="G191">
        <v>26700</v>
      </c>
      <c r="H191">
        <v>30705</v>
      </c>
      <c r="I191" t="s">
        <v>6931</v>
      </c>
      <c r="J191">
        <f ca="1">TODAY()-Table16[[#This Row],[documentDate]]</f>
        <v>6</v>
      </c>
    </row>
    <row r="192" spans="1:10" x14ac:dyDescent="0.3">
      <c r="A192" s="1">
        <v>46253</v>
      </c>
      <c r="B192" t="s">
        <v>10740</v>
      </c>
      <c r="C192" t="s">
        <v>8</v>
      </c>
      <c r="D192" t="s">
        <v>2460</v>
      </c>
      <c r="E192" t="s">
        <v>464</v>
      </c>
      <c r="F192" t="s">
        <v>465</v>
      </c>
      <c r="G192">
        <v>1161.6600000000001</v>
      </c>
      <c r="H192">
        <v>1335.9090000000001</v>
      </c>
      <c r="I192" t="s">
        <v>6931</v>
      </c>
      <c r="J192">
        <f ca="1">TODAY()-Table16[[#This Row],[documentDate]]</f>
        <v>6</v>
      </c>
    </row>
    <row r="193" spans="1:10" x14ac:dyDescent="0.3">
      <c r="A193" s="1">
        <v>46254</v>
      </c>
      <c r="B193" t="s">
        <v>10889</v>
      </c>
      <c r="C193" t="s">
        <v>8</v>
      </c>
      <c r="D193" t="s">
        <v>2460</v>
      </c>
      <c r="E193" t="s">
        <v>9050</v>
      </c>
      <c r="F193" t="s">
        <v>9258</v>
      </c>
      <c r="G193">
        <v>3688.8591000000001</v>
      </c>
      <c r="H193">
        <v>4242.1880000000001</v>
      </c>
      <c r="I193" t="s">
        <v>6931</v>
      </c>
      <c r="J193">
        <f ca="1">TODAY()-Table16[[#This Row],[documentDate]]</f>
        <v>5</v>
      </c>
    </row>
    <row r="194" spans="1:10" x14ac:dyDescent="0.3">
      <c r="A194" s="1">
        <v>46254</v>
      </c>
      <c r="B194" t="s">
        <v>10886</v>
      </c>
      <c r="C194" t="s">
        <v>8</v>
      </c>
      <c r="D194" t="s">
        <v>2460</v>
      </c>
      <c r="E194" t="s">
        <v>9483</v>
      </c>
      <c r="F194" t="s">
        <v>9484</v>
      </c>
      <c r="G194">
        <v>1312.0011999999999</v>
      </c>
      <c r="H194">
        <v>1508.8015</v>
      </c>
      <c r="I194" t="s">
        <v>6931</v>
      </c>
      <c r="J194">
        <f ca="1">TODAY()-Table16[[#This Row],[documentDate]]</f>
        <v>5</v>
      </c>
    </row>
    <row r="195" spans="1:10" x14ac:dyDescent="0.3">
      <c r="A195" s="1">
        <v>46254</v>
      </c>
      <c r="B195" t="s">
        <v>10891</v>
      </c>
      <c r="C195" t="s">
        <v>8</v>
      </c>
      <c r="D195" t="s">
        <v>2460</v>
      </c>
      <c r="E195" t="s">
        <v>7912</v>
      </c>
      <c r="F195" t="s">
        <v>7913</v>
      </c>
      <c r="G195">
        <v>630</v>
      </c>
      <c r="H195">
        <v>724.5</v>
      </c>
      <c r="I195" t="s">
        <v>6931</v>
      </c>
      <c r="J195">
        <f ca="1">TODAY()-Table16[[#This Row],[documentDate]]</f>
        <v>5</v>
      </c>
    </row>
    <row r="196" spans="1:10" x14ac:dyDescent="0.3">
      <c r="A196" s="1">
        <v>46254</v>
      </c>
      <c r="B196" t="s">
        <v>10885</v>
      </c>
      <c r="C196" t="s">
        <v>8</v>
      </c>
      <c r="D196" t="s">
        <v>10868</v>
      </c>
      <c r="E196" t="s">
        <v>10863</v>
      </c>
      <c r="F196" t="s">
        <v>10864</v>
      </c>
      <c r="G196">
        <v>2621.6752999999999</v>
      </c>
      <c r="H196">
        <v>2621.6752999999999</v>
      </c>
      <c r="I196" t="s">
        <v>6931</v>
      </c>
      <c r="J196">
        <f ca="1">TODAY()-Table16[[#This Row],[documentDate]]</f>
        <v>5</v>
      </c>
    </row>
    <row r="197" spans="1:10" x14ac:dyDescent="0.3">
      <c r="A197" s="1">
        <v>46254</v>
      </c>
      <c r="B197" t="s">
        <v>10888</v>
      </c>
      <c r="C197" t="s">
        <v>8</v>
      </c>
      <c r="D197" t="s">
        <v>2460</v>
      </c>
      <c r="E197" t="s">
        <v>9829</v>
      </c>
      <c r="F197" t="s">
        <v>9973</v>
      </c>
      <c r="G197">
        <v>106.2</v>
      </c>
      <c r="H197">
        <v>122.13</v>
      </c>
      <c r="I197" t="s">
        <v>6931</v>
      </c>
      <c r="J197">
        <f ca="1">TODAY()-Table16[[#This Row],[documentDate]]</f>
        <v>5</v>
      </c>
    </row>
    <row r="198" spans="1:10" x14ac:dyDescent="0.3">
      <c r="A198" s="1">
        <v>46254</v>
      </c>
      <c r="B198" t="s">
        <v>10887</v>
      </c>
      <c r="C198" t="s">
        <v>8</v>
      </c>
      <c r="D198" t="s">
        <v>2467</v>
      </c>
      <c r="E198" t="s">
        <v>9361</v>
      </c>
      <c r="F198" t="s">
        <v>9362</v>
      </c>
      <c r="G198">
        <v>66.61</v>
      </c>
      <c r="H198">
        <v>76.601500000000001</v>
      </c>
      <c r="I198" t="s">
        <v>6931</v>
      </c>
      <c r="J198">
        <f ca="1">TODAY()-Table16[[#This Row],[documentDate]]</f>
        <v>5</v>
      </c>
    </row>
    <row r="199" spans="1:10" x14ac:dyDescent="0.3">
      <c r="A199" s="1">
        <v>46254</v>
      </c>
      <c r="B199" t="s">
        <v>10884</v>
      </c>
      <c r="C199" t="s">
        <v>8</v>
      </c>
      <c r="D199" t="s">
        <v>10868</v>
      </c>
      <c r="E199" t="s">
        <v>10863</v>
      </c>
      <c r="F199" t="s">
        <v>10864</v>
      </c>
      <c r="G199">
        <v>15010.72</v>
      </c>
      <c r="H199">
        <v>15010.72</v>
      </c>
      <c r="I199" t="s">
        <v>6931</v>
      </c>
      <c r="J199">
        <f ca="1">TODAY()-Table16[[#This Row],[documentDate]]</f>
        <v>5</v>
      </c>
    </row>
    <row r="200" spans="1:10" x14ac:dyDescent="0.3">
      <c r="A200" s="1">
        <v>46254</v>
      </c>
      <c r="B200" t="s">
        <v>10883</v>
      </c>
      <c r="C200" t="s">
        <v>8</v>
      </c>
      <c r="D200" t="s">
        <v>10868</v>
      </c>
      <c r="E200" t="s">
        <v>10863</v>
      </c>
      <c r="F200" t="s">
        <v>10864</v>
      </c>
      <c r="G200">
        <v>32590.17</v>
      </c>
      <c r="H200">
        <v>32590.17</v>
      </c>
      <c r="I200" t="s">
        <v>6931</v>
      </c>
      <c r="J200">
        <f ca="1">TODAY()-Table16[[#This Row],[documentDate]]</f>
        <v>5</v>
      </c>
    </row>
    <row r="201" spans="1:10" x14ac:dyDescent="0.3">
      <c r="A201" s="1">
        <v>46254</v>
      </c>
      <c r="B201" t="s">
        <v>10735</v>
      </c>
      <c r="C201" t="s">
        <v>8</v>
      </c>
      <c r="D201" t="s">
        <v>2460</v>
      </c>
      <c r="E201" t="s">
        <v>8641</v>
      </c>
      <c r="F201" t="s">
        <v>8642</v>
      </c>
      <c r="G201">
        <v>29832.12</v>
      </c>
      <c r="H201">
        <v>34306.938000000002</v>
      </c>
      <c r="I201" t="s">
        <v>6931</v>
      </c>
      <c r="J201">
        <f ca="1">TODAY()-Table16[[#This Row],[documentDate]]</f>
        <v>5</v>
      </c>
    </row>
    <row r="202" spans="1:10" x14ac:dyDescent="0.3">
      <c r="A202" s="1">
        <v>46254</v>
      </c>
      <c r="B202" t="s">
        <v>10875</v>
      </c>
      <c r="C202" t="s">
        <v>8</v>
      </c>
      <c r="D202" t="s">
        <v>2467</v>
      </c>
      <c r="E202" t="s">
        <v>2326</v>
      </c>
      <c r="F202" t="s">
        <v>2327</v>
      </c>
      <c r="G202">
        <v>3635</v>
      </c>
      <c r="H202">
        <v>4180.25</v>
      </c>
      <c r="I202" t="s">
        <v>6931</v>
      </c>
      <c r="J202">
        <f ca="1">TODAY()-Table16[[#This Row],[documentDate]]</f>
        <v>5</v>
      </c>
    </row>
    <row r="203" spans="1:10" x14ac:dyDescent="0.3">
      <c r="A203" s="1">
        <v>46254</v>
      </c>
      <c r="B203" t="s">
        <v>10874</v>
      </c>
      <c r="C203" t="s">
        <v>8</v>
      </c>
      <c r="D203" t="s">
        <v>10868</v>
      </c>
      <c r="E203" t="s">
        <v>10863</v>
      </c>
      <c r="F203" t="s">
        <v>10864</v>
      </c>
      <c r="G203">
        <v>32799.71</v>
      </c>
      <c r="H203">
        <v>33020.707000000002</v>
      </c>
      <c r="I203" t="s">
        <v>6931</v>
      </c>
      <c r="J203">
        <f ca="1">TODAY()-Table16[[#This Row],[documentDate]]</f>
        <v>5</v>
      </c>
    </row>
    <row r="204" spans="1:10" x14ac:dyDescent="0.3">
      <c r="A204" s="1">
        <v>46254</v>
      </c>
      <c r="B204" t="s">
        <v>10873</v>
      </c>
      <c r="C204" t="s">
        <v>8</v>
      </c>
      <c r="D204" t="s">
        <v>2460</v>
      </c>
      <c r="E204" t="s">
        <v>8397</v>
      </c>
      <c r="F204" t="s">
        <v>8398</v>
      </c>
      <c r="G204">
        <v>2344</v>
      </c>
      <c r="H204">
        <v>2695.6</v>
      </c>
      <c r="I204" t="s">
        <v>6931</v>
      </c>
      <c r="J204">
        <f ca="1">TODAY()-Table16[[#This Row],[documentDate]]</f>
        <v>5</v>
      </c>
    </row>
    <row r="205" spans="1:10" x14ac:dyDescent="0.3">
      <c r="A205" s="1">
        <v>46254</v>
      </c>
      <c r="B205" t="s">
        <v>10871</v>
      </c>
      <c r="C205" t="s">
        <v>8</v>
      </c>
      <c r="D205" t="s">
        <v>2463</v>
      </c>
      <c r="E205" t="s">
        <v>75</v>
      </c>
      <c r="F205" t="s">
        <v>76</v>
      </c>
      <c r="G205">
        <v>927</v>
      </c>
      <c r="H205">
        <v>1066.05</v>
      </c>
      <c r="I205" t="s">
        <v>6931</v>
      </c>
      <c r="J205">
        <f ca="1">TODAY()-Table16[[#This Row],[documentDate]]</f>
        <v>5</v>
      </c>
    </row>
    <row r="206" spans="1:10" x14ac:dyDescent="0.3">
      <c r="A206" s="1">
        <v>46254</v>
      </c>
      <c r="B206" t="s">
        <v>10872</v>
      </c>
      <c r="C206" t="s">
        <v>8</v>
      </c>
      <c r="D206" t="s">
        <v>2460</v>
      </c>
      <c r="E206" t="s">
        <v>177</v>
      </c>
      <c r="F206" t="s">
        <v>178</v>
      </c>
      <c r="G206">
        <v>2070</v>
      </c>
      <c r="H206">
        <v>2380.5</v>
      </c>
      <c r="I206" t="s">
        <v>6931</v>
      </c>
      <c r="J206">
        <f ca="1">TODAY()-Table16[[#This Row],[documentDate]]</f>
        <v>5</v>
      </c>
    </row>
    <row r="207" spans="1:10" x14ac:dyDescent="0.3">
      <c r="A207" s="1">
        <v>46254</v>
      </c>
      <c r="B207" t="s">
        <v>10866</v>
      </c>
      <c r="C207" t="s">
        <v>8</v>
      </c>
      <c r="D207" t="s">
        <v>2460</v>
      </c>
      <c r="E207" t="s">
        <v>7912</v>
      </c>
      <c r="F207" t="s">
        <v>7913</v>
      </c>
      <c r="G207">
        <v>76.88</v>
      </c>
      <c r="H207">
        <v>88.412000000000006</v>
      </c>
      <c r="I207" t="s">
        <v>6931</v>
      </c>
      <c r="J207">
        <f ca="1">TODAY()-Table16[[#This Row],[documentDate]]</f>
        <v>5</v>
      </c>
    </row>
    <row r="208" spans="1:10" x14ac:dyDescent="0.3">
      <c r="A208" s="1">
        <v>46254</v>
      </c>
      <c r="B208" t="s">
        <v>10867</v>
      </c>
      <c r="C208" t="s">
        <v>8</v>
      </c>
      <c r="D208" t="s">
        <v>10868</v>
      </c>
      <c r="E208" t="s">
        <v>10869</v>
      </c>
      <c r="F208" t="s">
        <v>10870</v>
      </c>
      <c r="G208">
        <v>152.62</v>
      </c>
      <c r="H208">
        <v>152.62</v>
      </c>
      <c r="I208" t="s">
        <v>6931</v>
      </c>
      <c r="J208">
        <f ca="1">TODAY()-Table16[[#This Row],[documentDate]]</f>
        <v>5</v>
      </c>
    </row>
    <row r="209" spans="1:10" x14ac:dyDescent="0.3">
      <c r="A209" s="1">
        <v>46254</v>
      </c>
      <c r="B209" t="s">
        <v>10881</v>
      </c>
      <c r="C209" t="s">
        <v>8</v>
      </c>
      <c r="D209" t="s">
        <v>10868</v>
      </c>
      <c r="E209" t="s">
        <v>10863</v>
      </c>
      <c r="F209" t="s">
        <v>10864</v>
      </c>
      <c r="G209">
        <v>51437.188000000002</v>
      </c>
      <c r="H209">
        <v>51437.188000000002</v>
      </c>
      <c r="I209" t="s">
        <v>6931</v>
      </c>
      <c r="J209">
        <f ca="1">TODAY()-Table16[[#This Row],[documentDate]]</f>
        <v>5</v>
      </c>
    </row>
    <row r="210" spans="1:10" x14ac:dyDescent="0.3">
      <c r="A210" s="1">
        <v>46254</v>
      </c>
      <c r="B210" t="s">
        <v>10877</v>
      </c>
      <c r="C210" t="s">
        <v>8</v>
      </c>
      <c r="D210" t="s">
        <v>2460</v>
      </c>
      <c r="E210" t="s">
        <v>197</v>
      </c>
      <c r="F210" t="s">
        <v>198</v>
      </c>
      <c r="G210">
        <v>90</v>
      </c>
      <c r="H210">
        <v>103.5</v>
      </c>
      <c r="I210" t="s">
        <v>6931</v>
      </c>
      <c r="J210">
        <f ca="1">TODAY()-Table16[[#This Row],[documentDate]]</f>
        <v>5</v>
      </c>
    </row>
    <row r="211" spans="1:10" x14ac:dyDescent="0.3">
      <c r="A211" s="1">
        <v>46254</v>
      </c>
      <c r="B211" t="s">
        <v>10739</v>
      </c>
      <c r="C211" t="s">
        <v>8</v>
      </c>
      <c r="D211" t="s">
        <v>2460</v>
      </c>
      <c r="E211" t="s">
        <v>8641</v>
      </c>
      <c r="F211" t="s">
        <v>8642</v>
      </c>
      <c r="G211">
        <v>8359.36</v>
      </c>
      <c r="H211">
        <v>9613.2639999999992</v>
      </c>
      <c r="I211" t="s">
        <v>6931</v>
      </c>
      <c r="J211">
        <f ca="1">TODAY()-Table16[[#This Row],[documentDate]]</f>
        <v>5</v>
      </c>
    </row>
    <row r="212" spans="1:10" x14ac:dyDescent="0.3">
      <c r="A212" s="1">
        <v>46254</v>
      </c>
      <c r="B212" t="s">
        <v>10879</v>
      </c>
      <c r="C212" t="s">
        <v>8</v>
      </c>
      <c r="D212" t="s">
        <v>10868</v>
      </c>
      <c r="E212" t="s">
        <v>10863</v>
      </c>
      <c r="F212" t="s">
        <v>10864</v>
      </c>
      <c r="G212">
        <v>12144.035</v>
      </c>
      <c r="H212">
        <v>12144.035</v>
      </c>
      <c r="I212" t="s">
        <v>6931</v>
      </c>
      <c r="J212">
        <f ca="1">TODAY()-Table16[[#This Row],[documentDate]]</f>
        <v>5</v>
      </c>
    </row>
    <row r="213" spans="1:10" x14ac:dyDescent="0.3">
      <c r="A213" s="1">
        <v>46254</v>
      </c>
      <c r="B213" t="s">
        <v>10882</v>
      </c>
      <c r="C213" t="s">
        <v>8</v>
      </c>
      <c r="D213" t="s">
        <v>2463</v>
      </c>
      <c r="E213" t="s">
        <v>75</v>
      </c>
      <c r="F213" t="s">
        <v>76</v>
      </c>
      <c r="G213">
        <v>1759.9983</v>
      </c>
      <c r="H213">
        <v>2023.9979000000001</v>
      </c>
      <c r="I213" t="s">
        <v>6931</v>
      </c>
      <c r="J213">
        <f ca="1">TODAY()-Table16[[#This Row],[documentDate]]</f>
        <v>5</v>
      </c>
    </row>
    <row r="214" spans="1:10" x14ac:dyDescent="0.3">
      <c r="A214" s="1">
        <v>46254</v>
      </c>
      <c r="B214" t="s">
        <v>10878</v>
      </c>
      <c r="C214" t="s">
        <v>8</v>
      </c>
      <c r="D214" t="s">
        <v>10868</v>
      </c>
      <c r="E214" t="s">
        <v>10863</v>
      </c>
      <c r="F214" t="s">
        <v>10864</v>
      </c>
      <c r="G214">
        <v>5140.8554999999997</v>
      </c>
      <c r="H214">
        <v>5140.8554999999997</v>
      </c>
      <c r="I214" t="s">
        <v>6931</v>
      </c>
      <c r="J214">
        <f ca="1">TODAY()-Table16[[#This Row],[documentDate]]</f>
        <v>5</v>
      </c>
    </row>
    <row r="215" spans="1:10" x14ac:dyDescent="0.3">
      <c r="A215" s="1">
        <v>46254</v>
      </c>
      <c r="B215" t="s">
        <v>10880</v>
      </c>
      <c r="C215" t="s">
        <v>8</v>
      </c>
      <c r="D215" t="s">
        <v>10868</v>
      </c>
      <c r="E215" t="s">
        <v>10863</v>
      </c>
      <c r="F215" t="s">
        <v>10864</v>
      </c>
      <c r="G215">
        <v>16993.328000000001</v>
      </c>
      <c r="H215">
        <v>16993.328000000001</v>
      </c>
      <c r="I215" t="s">
        <v>6931</v>
      </c>
      <c r="J215">
        <f ca="1">TODAY()-Table16[[#This Row],[documentDate]]</f>
        <v>5</v>
      </c>
    </row>
    <row r="216" spans="1:10" x14ac:dyDescent="0.3">
      <c r="A216" s="1">
        <v>46256</v>
      </c>
      <c r="B216" t="s">
        <v>11074</v>
      </c>
      <c r="C216" t="s">
        <v>8</v>
      </c>
      <c r="D216" t="s">
        <v>2467</v>
      </c>
      <c r="E216" t="s">
        <v>75</v>
      </c>
      <c r="F216" t="s">
        <v>76</v>
      </c>
      <c r="G216">
        <v>73980</v>
      </c>
      <c r="H216">
        <v>85077</v>
      </c>
      <c r="I216" t="s">
        <v>6931</v>
      </c>
      <c r="J216">
        <f ca="1">TODAY()-Table16[[#This Row],[documentDate]]</f>
        <v>3</v>
      </c>
    </row>
    <row r="217" spans="1:10" x14ac:dyDescent="0.3">
      <c r="A217" s="1">
        <v>46256</v>
      </c>
      <c r="B217" t="s">
        <v>11071</v>
      </c>
      <c r="C217" t="s">
        <v>8</v>
      </c>
      <c r="D217" t="s">
        <v>2460</v>
      </c>
      <c r="E217" t="s">
        <v>5437</v>
      </c>
      <c r="F217" t="s">
        <v>5438</v>
      </c>
      <c r="G217">
        <v>79.129919999999998</v>
      </c>
      <c r="H217">
        <v>90.999409999999997</v>
      </c>
      <c r="I217" t="s">
        <v>6931</v>
      </c>
      <c r="J217">
        <f ca="1">TODAY()-Table16[[#This Row],[documentDate]]</f>
        <v>3</v>
      </c>
    </row>
    <row r="218" spans="1:10" x14ac:dyDescent="0.3">
      <c r="A218" s="1">
        <v>46256</v>
      </c>
      <c r="B218" t="s">
        <v>11072</v>
      </c>
      <c r="C218" t="s">
        <v>8</v>
      </c>
      <c r="D218" t="s">
        <v>2467</v>
      </c>
      <c r="E218" t="s">
        <v>4365</v>
      </c>
      <c r="F218" t="s">
        <v>4366</v>
      </c>
      <c r="G218">
        <v>600</v>
      </c>
      <c r="H218">
        <v>690</v>
      </c>
      <c r="I218" t="s">
        <v>6931</v>
      </c>
      <c r="J218">
        <f ca="1">TODAY()-Table16[[#This Row],[documentDate]]</f>
        <v>3</v>
      </c>
    </row>
    <row r="219" spans="1:10" x14ac:dyDescent="0.3">
      <c r="A219" s="1">
        <v>46256</v>
      </c>
      <c r="B219" t="s">
        <v>11073</v>
      </c>
      <c r="C219" t="s">
        <v>8</v>
      </c>
      <c r="D219" t="s">
        <v>2460</v>
      </c>
      <c r="E219" t="s">
        <v>911</v>
      </c>
      <c r="F219" t="s">
        <v>912</v>
      </c>
      <c r="G219">
        <v>11.25</v>
      </c>
      <c r="H219">
        <v>12.9375</v>
      </c>
      <c r="I219" t="s">
        <v>6931</v>
      </c>
      <c r="J219">
        <f ca="1">TODAY()-Table16[[#This Row],[documentDate]]</f>
        <v>3</v>
      </c>
    </row>
    <row r="220" spans="1:10" x14ac:dyDescent="0.3">
      <c r="A220" s="1">
        <v>46256</v>
      </c>
      <c r="B220" t="s">
        <v>11075</v>
      </c>
      <c r="C220" t="s">
        <v>8</v>
      </c>
      <c r="D220" t="s">
        <v>2460</v>
      </c>
      <c r="E220" t="s">
        <v>2313</v>
      </c>
      <c r="F220" t="s">
        <v>2314</v>
      </c>
      <c r="G220">
        <v>198</v>
      </c>
      <c r="H220">
        <v>227.7</v>
      </c>
      <c r="I220" t="s">
        <v>6931</v>
      </c>
      <c r="J220">
        <f ca="1">TODAY()-Table16[[#This Row],[documentDate]]</f>
        <v>3</v>
      </c>
    </row>
    <row r="221" spans="1:10" x14ac:dyDescent="0.3">
      <c r="A221" s="1">
        <v>46256</v>
      </c>
      <c r="B221" t="s">
        <v>11069</v>
      </c>
      <c r="C221" t="s">
        <v>8</v>
      </c>
      <c r="D221" t="s">
        <v>2460</v>
      </c>
      <c r="E221" t="s">
        <v>73</v>
      </c>
      <c r="F221" t="s">
        <v>74</v>
      </c>
      <c r="G221">
        <v>3637.4704999999999</v>
      </c>
      <c r="H221">
        <v>4183.0910000000003</v>
      </c>
      <c r="I221" t="s">
        <v>6931</v>
      </c>
      <c r="J221">
        <f ca="1">TODAY()-Table16[[#This Row],[documentDate]]</f>
        <v>3</v>
      </c>
    </row>
    <row r="222" spans="1:10" x14ac:dyDescent="0.3">
      <c r="A222" s="1">
        <v>46256</v>
      </c>
      <c r="B222" t="s">
        <v>11070</v>
      </c>
      <c r="C222" t="s">
        <v>8</v>
      </c>
      <c r="D222" t="s">
        <v>2460</v>
      </c>
      <c r="E222" t="s">
        <v>911</v>
      </c>
      <c r="F222" t="s">
        <v>912</v>
      </c>
      <c r="G222">
        <v>336.6</v>
      </c>
      <c r="H222">
        <v>387.09</v>
      </c>
      <c r="I222" t="s">
        <v>6931</v>
      </c>
      <c r="J222">
        <f ca="1">TODAY()-Table16[[#This Row],[documentDate]]</f>
        <v>3</v>
      </c>
    </row>
    <row r="223" spans="1:10" x14ac:dyDescent="0.3">
      <c r="A223" s="1">
        <v>46256</v>
      </c>
      <c r="B223" t="s">
        <v>11068</v>
      </c>
      <c r="C223" t="s">
        <v>8</v>
      </c>
      <c r="D223" t="s">
        <v>2460</v>
      </c>
      <c r="E223" t="s">
        <v>7645</v>
      </c>
      <c r="F223" t="s">
        <v>7646</v>
      </c>
      <c r="G223">
        <v>29565.705000000002</v>
      </c>
      <c r="H223">
        <v>34000.561999999998</v>
      </c>
      <c r="I223" t="s">
        <v>6931</v>
      </c>
      <c r="J223">
        <f ca="1">TODAY()-Table16[[#This Row],[documentDate]]</f>
        <v>3</v>
      </c>
    </row>
    <row r="224" spans="1:10" x14ac:dyDescent="0.3">
      <c r="A224" s="1">
        <v>46256</v>
      </c>
      <c r="B224" t="s">
        <v>11076</v>
      </c>
      <c r="C224" t="s">
        <v>8</v>
      </c>
      <c r="D224" t="s">
        <v>2467</v>
      </c>
      <c r="E224" t="s">
        <v>422</v>
      </c>
      <c r="F224" t="s">
        <v>490</v>
      </c>
      <c r="G224">
        <v>2704.172</v>
      </c>
      <c r="H224">
        <v>3109.7979999999998</v>
      </c>
      <c r="I224" t="s">
        <v>6931</v>
      </c>
      <c r="J224">
        <f ca="1">TODAY()-Table16[[#This Row],[documentDate]]</f>
        <v>3</v>
      </c>
    </row>
    <row r="225" spans="1:10" x14ac:dyDescent="0.3">
      <c r="A225" s="1">
        <v>46256</v>
      </c>
      <c r="B225" t="s">
        <v>11083</v>
      </c>
      <c r="C225" t="s">
        <v>8</v>
      </c>
      <c r="D225" t="s">
        <v>2460</v>
      </c>
      <c r="E225" t="s">
        <v>911</v>
      </c>
      <c r="F225" t="s">
        <v>912</v>
      </c>
      <c r="G225">
        <v>568.15</v>
      </c>
      <c r="H225">
        <v>653.37249999999995</v>
      </c>
      <c r="I225" t="s">
        <v>6931</v>
      </c>
      <c r="J225">
        <f ca="1">TODAY()-Table16[[#This Row],[documentDate]]</f>
        <v>3</v>
      </c>
    </row>
    <row r="226" spans="1:10" x14ac:dyDescent="0.3">
      <c r="A226" s="1">
        <v>46256</v>
      </c>
      <c r="B226" t="s">
        <v>11078</v>
      </c>
      <c r="C226" t="s">
        <v>8</v>
      </c>
      <c r="D226" t="s">
        <v>2460</v>
      </c>
      <c r="E226" t="s">
        <v>3777</v>
      </c>
      <c r="F226" t="s">
        <v>3778</v>
      </c>
      <c r="G226">
        <v>744.12</v>
      </c>
      <c r="H226">
        <v>855.73800000000006</v>
      </c>
      <c r="I226" t="s">
        <v>6931</v>
      </c>
      <c r="J226">
        <f ca="1">TODAY()-Table16[[#This Row],[documentDate]]</f>
        <v>3</v>
      </c>
    </row>
    <row r="227" spans="1:10" x14ac:dyDescent="0.3">
      <c r="A227" s="1">
        <v>46256</v>
      </c>
      <c r="B227" t="s">
        <v>11079</v>
      </c>
      <c r="C227" t="s">
        <v>8</v>
      </c>
      <c r="D227" t="s">
        <v>2460</v>
      </c>
      <c r="E227" t="s">
        <v>79</v>
      </c>
      <c r="F227" t="s">
        <v>80</v>
      </c>
      <c r="G227">
        <v>2240.5756999999999</v>
      </c>
      <c r="H227">
        <v>2576.6619999999998</v>
      </c>
      <c r="I227" t="s">
        <v>6931</v>
      </c>
      <c r="J227">
        <f ca="1">TODAY()-Table16[[#This Row],[documentDate]]</f>
        <v>3</v>
      </c>
    </row>
    <row r="228" spans="1:10" x14ac:dyDescent="0.3">
      <c r="A228" s="1">
        <v>46256</v>
      </c>
      <c r="B228" t="s">
        <v>11077</v>
      </c>
      <c r="C228" t="s">
        <v>8</v>
      </c>
      <c r="D228" t="s">
        <v>2460</v>
      </c>
      <c r="E228" t="s">
        <v>562</v>
      </c>
      <c r="F228" t="s">
        <v>563</v>
      </c>
      <c r="G228">
        <v>2002.3036</v>
      </c>
      <c r="H228">
        <v>2302.6491999999998</v>
      </c>
      <c r="I228" t="s">
        <v>6931</v>
      </c>
      <c r="J228">
        <f ca="1">TODAY()-Table16[[#This Row],[documentDate]]</f>
        <v>3</v>
      </c>
    </row>
    <row r="229" spans="1:10" x14ac:dyDescent="0.3">
      <c r="A229" s="1">
        <v>46256</v>
      </c>
      <c r="B229" t="s">
        <v>11080</v>
      </c>
      <c r="C229" t="s">
        <v>8</v>
      </c>
      <c r="D229" t="s">
        <v>2460</v>
      </c>
      <c r="E229" t="s">
        <v>16</v>
      </c>
      <c r="F229" t="s">
        <v>17</v>
      </c>
      <c r="G229">
        <v>5074.12</v>
      </c>
      <c r="H229">
        <v>5835.2380000000003</v>
      </c>
      <c r="I229" t="s">
        <v>6931</v>
      </c>
      <c r="J229">
        <f ca="1">TODAY()-Table16[[#This Row],[documentDate]]</f>
        <v>3</v>
      </c>
    </row>
    <row r="230" spans="1:10" x14ac:dyDescent="0.3">
      <c r="A230" s="1">
        <v>46256</v>
      </c>
      <c r="B230" t="s">
        <v>11082</v>
      </c>
      <c r="C230" t="s">
        <v>8</v>
      </c>
      <c r="D230" t="s">
        <v>2460</v>
      </c>
      <c r="E230" t="s">
        <v>2260</v>
      </c>
      <c r="F230" t="s">
        <v>2261</v>
      </c>
      <c r="G230">
        <v>4514.3999999999996</v>
      </c>
      <c r="H230">
        <v>5191.5600000000004</v>
      </c>
      <c r="I230" t="s">
        <v>6931</v>
      </c>
      <c r="J230">
        <f ca="1">TODAY()-Table16[[#This Row],[documentDate]]</f>
        <v>3</v>
      </c>
    </row>
    <row r="231" spans="1:10" x14ac:dyDescent="0.3">
      <c r="A231" s="1">
        <v>46256</v>
      </c>
      <c r="B231" t="s">
        <v>11081</v>
      </c>
      <c r="C231" t="s">
        <v>8</v>
      </c>
      <c r="D231" t="s">
        <v>2460</v>
      </c>
      <c r="E231" t="s">
        <v>931</v>
      </c>
      <c r="F231" t="s">
        <v>1767</v>
      </c>
      <c r="G231">
        <v>675</v>
      </c>
      <c r="H231">
        <v>776.25</v>
      </c>
      <c r="I231" t="s">
        <v>6931</v>
      </c>
      <c r="J231">
        <f ca="1">TODAY()-Table16[[#This Row],[documentDate]]</f>
        <v>3</v>
      </c>
    </row>
    <row r="232" spans="1:10" x14ac:dyDescent="0.3">
      <c r="A232" s="1">
        <v>46256</v>
      </c>
      <c r="B232" t="s">
        <v>11060</v>
      </c>
      <c r="C232" t="s">
        <v>8</v>
      </c>
      <c r="D232" t="s">
        <v>2463</v>
      </c>
      <c r="E232" t="s">
        <v>377</v>
      </c>
      <c r="F232" t="s">
        <v>378</v>
      </c>
      <c r="G232">
        <v>20.399999999999999</v>
      </c>
      <c r="H232">
        <v>23.46</v>
      </c>
      <c r="I232" t="s">
        <v>6931</v>
      </c>
      <c r="J232">
        <f ca="1">TODAY()-Table16[[#This Row],[documentDate]]</f>
        <v>3</v>
      </c>
    </row>
    <row r="233" spans="1:10" x14ac:dyDescent="0.3">
      <c r="A233" s="1">
        <v>46256</v>
      </c>
      <c r="B233" t="s">
        <v>11061</v>
      </c>
      <c r="C233" t="s">
        <v>8</v>
      </c>
      <c r="D233" t="s">
        <v>2460</v>
      </c>
      <c r="E233" t="s">
        <v>422</v>
      </c>
      <c r="F233" t="s">
        <v>490</v>
      </c>
      <c r="G233">
        <v>908.59</v>
      </c>
      <c r="H233">
        <v>1044.8785</v>
      </c>
      <c r="I233" t="s">
        <v>6931</v>
      </c>
      <c r="J233">
        <f ca="1">TODAY()-Table16[[#This Row],[documentDate]]</f>
        <v>3</v>
      </c>
    </row>
    <row r="234" spans="1:10" x14ac:dyDescent="0.3">
      <c r="A234" s="1">
        <v>46256</v>
      </c>
      <c r="B234" t="s">
        <v>11062</v>
      </c>
      <c r="C234" t="s">
        <v>8</v>
      </c>
      <c r="D234" t="s">
        <v>2460</v>
      </c>
      <c r="E234" t="s">
        <v>90</v>
      </c>
      <c r="F234" t="s">
        <v>91</v>
      </c>
      <c r="G234">
        <v>325.56</v>
      </c>
      <c r="H234">
        <v>374.39400000000001</v>
      </c>
      <c r="I234" t="s">
        <v>6931</v>
      </c>
      <c r="J234">
        <f ca="1">TODAY()-Table16[[#This Row],[documentDate]]</f>
        <v>3</v>
      </c>
    </row>
    <row r="235" spans="1:10" x14ac:dyDescent="0.3">
      <c r="A235" s="1">
        <v>46256</v>
      </c>
      <c r="B235" t="s">
        <v>11063</v>
      </c>
      <c r="C235" t="s">
        <v>8</v>
      </c>
      <c r="D235" t="s">
        <v>2460</v>
      </c>
      <c r="E235" t="s">
        <v>8841</v>
      </c>
      <c r="F235" t="s">
        <v>8842</v>
      </c>
      <c r="G235">
        <v>818.86945000000003</v>
      </c>
      <c r="H235">
        <v>941.69989999999996</v>
      </c>
      <c r="I235" t="s">
        <v>6931</v>
      </c>
      <c r="J235">
        <f ca="1">TODAY()-Table16[[#This Row],[documentDate]]</f>
        <v>3</v>
      </c>
    </row>
    <row r="236" spans="1:10" x14ac:dyDescent="0.3">
      <c r="A236" s="1">
        <v>46256</v>
      </c>
      <c r="B236" t="s">
        <v>11065</v>
      </c>
      <c r="C236" t="s">
        <v>8</v>
      </c>
      <c r="D236" t="s">
        <v>2460</v>
      </c>
      <c r="E236" t="s">
        <v>10745</v>
      </c>
      <c r="F236" t="s">
        <v>10746</v>
      </c>
      <c r="G236">
        <v>566.15599999999995</v>
      </c>
      <c r="H236">
        <v>651.07939999999996</v>
      </c>
      <c r="I236" t="s">
        <v>6931</v>
      </c>
      <c r="J236">
        <f ca="1">TODAY()-Table16[[#This Row],[documentDate]]</f>
        <v>3</v>
      </c>
    </row>
    <row r="237" spans="1:10" x14ac:dyDescent="0.3">
      <c r="A237" s="1">
        <v>46256</v>
      </c>
      <c r="B237" t="s">
        <v>11064</v>
      </c>
      <c r="C237" t="s">
        <v>8</v>
      </c>
      <c r="D237" t="s">
        <v>2460</v>
      </c>
      <c r="E237" t="s">
        <v>10861</v>
      </c>
      <c r="F237" t="s">
        <v>10862</v>
      </c>
      <c r="G237">
        <v>18369.912</v>
      </c>
      <c r="H237">
        <v>21125.398000000001</v>
      </c>
      <c r="I237" t="s">
        <v>6931</v>
      </c>
      <c r="J237">
        <f ca="1">TODAY()-Table16[[#This Row],[documentDate]]</f>
        <v>3</v>
      </c>
    </row>
    <row r="238" spans="1:10" x14ac:dyDescent="0.3">
      <c r="A238" s="1">
        <v>46256</v>
      </c>
      <c r="B238" t="s">
        <v>11067</v>
      </c>
      <c r="C238" t="s">
        <v>8</v>
      </c>
      <c r="D238" t="s">
        <v>2460</v>
      </c>
      <c r="E238" t="s">
        <v>31</v>
      </c>
      <c r="F238" t="s">
        <v>32</v>
      </c>
      <c r="G238">
        <v>624</v>
      </c>
      <c r="H238">
        <v>717.6</v>
      </c>
      <c r="I238" t="s">
        <v>6931</v>
      </c>
      <c r="J238">
        <f ca="1">TODAY()-Table16[[#This Row],[documentDate]]</f>
        <v>3</v>
      </c>
    </row>
    <row r="239" spans="1:10" x14ac:dyDescent="0.3">
      <c r="A239" s="1">
        <v>46256</v>
      </c>
      <c r="B239" t="s">
        <v>11066</v>
      </c>
      <c r="C239" t="s">
        <v>8</v>
      </c>
      <c r="D239" t="s">
        <v>2460</v>
      </c>
      <c r="E239" t="s">
        <v>2461</v>
      </c>
      <c r="F239" t="s">
        <v>2462</v>
      </c>
      <c r="G239">
        <v>567</v>
      </c>
      <c r="H239">
        <v>652.04999999999995</v>
      </c>
      <c r="I239" t="s">
        <v>6931</v>
      </c>
      <c r="J239">
        <f ca="1">TODAY()-Table16[[#This Row],[documentDate]]</f>
        <v>3</v>
      </c>
    </row>
    <row r="240" spans="1:10" x14ac:dyDescent="0.3">
      <c r="A240" s="1">
        <v>46257</v>
      </c>
      <c r="B240" t="s">
        <v>10890</v>
      </c>
      <c r="C240" t="s">
        <v>8</v>
      </c>
      <c r="D240" t="s">
        <v>2460</v>
      </c>
      <c r="E240" t="s">
        <v>107</v>
      </c>
      <c r="F240" t="s">
        <v>3864</v>
      </c>
      <c r="G240">
        <v>9139.9989999999998</v>
      </c>
      <c r="H240">
        <v>10510.999</v>
      </c>
      <c r="I240" t="s">
        <v>6931</v>
      </c>
      <c r="J240">
        <f ca="1">TODAY()-Table16[[#This Row],[documentDate]]</f>
        <v>2</v>
      </c>
    </row>
    <row r="241" spans="1:10" x14ac:dyDescent="0.3">
      <c r="A241" s="1">
        <v>46257</v>
      </c>
      <c r="B241" t="s">
        <v>11211</v>
      </c>
      <c r="C241" t="s">
        <v>8</v>
      </c>
      <c r="D241" t="s">
        <v>2463</v>
      </c>
      <c r="E241" t="s">
        <v>776</v>
      </c>
      <c r="F241" t="s">
        <v>777</v>
      </c>
      <c r="G241">
        <v>220.32</v>
      </c>
      <c r="H241">
        <v>253.36799999999999</v>
      </c>
      <c r="I241" t="s">
        <v>6931</v>
      </c>
      <c r="J241">
        <f ca="1">TODAY()-Table16[[#This Row],[documentDate]]</f>
        <v>2</v>
      </c>
    </row>
    <row r="242" spans="1:10" x14ac:dyDescent="0.3">
      <c r="A242" s="1">
        <v>46257</v>
      </c>
      <c r="B242" t="s">
        <v>11212</v>
      </c>
      <c r="C242" t="s">
        <v>8</v>
      </c>
      <c r="D242" t="s">
        <v>2460</v>
      </c>
      <c r="E242" t="s">
        <v>181</v>
      </c>
      <c r="F242" t="s">
        <v>182</v>
      </c>
      <c r="G242">
        <v>54</v>
      </c>
      <c r="H242">
        <v>62.1</v>
      </c>
      <c r="I242" t="s">
        <v>6931</v>
      </c>
      <c r="J242">
        <f ca="1">TODAY()-Table16[[#This Row],[documentDate]]</f>
        <v>2</v>
      </c>
    </row>
    <row r="243" spans="1:10" x14ac:dyDescent="0.3">
      <c r="A243" s="1">
        <v>46257</v>
      </c>
      <c r="B243" t="s">
        <v>11213</v>
      </c>
      <c r="C243" t="s">
        <v>8</v>
      </c>
      <c r="D243" t="s">
        <v>2467</v>
      </c>
      <c r="E243" t="s">
        <v>356</v>
      </c>
      <c r="F243" t="s">
        <v>357</v>
      </c>
      <c r="G243">
        <v>6329.88</v>
      </c>
      <c r="H243">
        <v>7279.3620000000001</v>
      </c>
      <c r="I243" t="s">
        <v>6931</v>
      </c>
      <c r="J243">
        <f ca="1">TODAY()-Table16[[#This Row],[documentDate]]</f>
        <v>2</v>
      </c>
    </row>
    <row r="244" spans="1:10" x14ac:dyDescent="0.3">
      <c r="A244" s="1">
        <v>46257</v>
      </c>
      <c r="B244" t="s">
        <v>11220</v>
      </c>
      <c r="C244" t="s">
        <v>8</v>
      </c>
      <c r="D244" t="s">
        <v>2467</v>
      </c>
      <c r="E244" t="s">
        <v>10742</v>
      </c>
      <c r="F244" t="s">
        <v>11103</v>
      </c>
      <c r="G244">
        <v>21.58</v>
      </c>
      <c r="H244">
        <v>24.817</v>
      </c>
      <c r="I244" t="s">
        <v>6931</v>
      </c>
      <c r="J244">
        <f ca="1">TODAY()-Table16[[#This Row],[documentDate]]</f>
        <v>2</v>
      </c>
    </row>
    <row r="245" spans="1:10" x14ac:dyDescent="0.3">
      <c r="A245" s="1">
        <v>46257</v>
      </c>
      <c r="B245" t="s">
        <v>11216</v>
      </c>
      <c r="C245" t="s">
        <v>8</v>
      </c>
      <c r="D245" t="s">
        <v>2460</v>
      </c>
      <c r="E245" t="s">
        <v>877</v>
      </c>
      <c r="F245" t="s">
        <v>2343</v>
      </c>
      <c r="G245">
        <v>28.826090000000001</v>
      </c>
      <c r="H245">
        <v>33.15</v>
      </c>
      <c r="I245" t="s">
        <v>6931</v>
      </c>
      <c r="J245">
        <f ca="1">TODAY()-Table16[[#This Row],[documentDate]]</f>
        <v>2</v>
      </c>
    </row>
    <row r="246" spans="1:10" x14ac:dyDescent="0.3">
      <c r="A246" s="1">
        <v>46257</v>
      </c>
      <c r="B246" t="s">
        <v>11214</v>
      </c>
      <c r="C246" t="s">
        <v>8</v>
      </c>
      <c r="D246" t="s">
        <v>2460</v>
      </c>
      <c r="E246" t="s">
        <v>1020</v>
      </c>
      <c r="F246" t="s">
        <v>1021</v>
      </c>
      <c r="G246">
        <v>4405.38</v>
      </c>
      <c r="H246">
        <v>5066.1869999999999</v>
      </c>
      <c r="I246" t="s">
        <v>6931</v>
      </c>
      <c r="J246">
        <f ca="1">TODAY()-Table16[[#This Row],[documentDate]]</f>
        <v>2</v>
      </c>
    </row>
    <row r="247" spans="1:10" x14ac:dyDescent="0.3">
      <c r="A247" s="1">
        <v>46257</v>
      </c>
      <c r="B247" t="s">
        <v>11217</v>
      </c>
      <c r="C247" t="s">
        <v>8</v>
      </c>
      <c r="D247" t="s">
        <v>2460</v>
      </c>
      <c r="E247" t="s">
        <v>10897</v>
      </c>
      <c r="F247" t="s">
        <v>10898</v>
      </c>
      <c r="G247">
        <v>3924.2</v>
      </c>
      <c r="H247">
        <v>4512.83</v>
      </c>
      <c r="I247" t="s">
        <v>6931</v>
      </c>
      <c r="J247">
        <f ca="1">TODAY()-Table16[[#This Row],[documentDate]]</f>
        <v>2</v>
      </c>
    </row>
    <row r="248" spans="1:10" x14ac:dyDescent="0.3">
      <c r="A248" s="1">
        <v>46257</v>
      </c>
      <c r="B248" t="s">
        <v>11218</v>
      </c>
      <c r="C248" t="s">
        <v>8</v>
      </c>
      <c r="D248" t="s">
        <v>2460</v>
      </c>
      <c r="E248" t="s">
        <v>10899</v>
      </c>
      <c r="F248" t="s">
        <v>11219</v>
      </c>
      <c r="G248">
        <v>162071.62</v>
      </c>
      <c r="H248">
        <v>186382.38</v>
      </c>
      <c r="I248" t="s">
        <v>6931</v>
      </c>
      <c r="J248">
        <f ca="1">TODAY()-Table16[[#This Row],[documentDate]]</f>
        <v>2</v>
      </c>
    </row>
    <row r="249" spans="1:10" x14ac:dyDescent="0.3">
      <c r="A249" s="1">
        <v>46257</v>
      </c>
      <c r="B249" t="s">
        <v>11215</v>
      </c>
      <c r="C249" t="s">
        <v>8</v>
      </c>
      <c r="D249" t="s">
        <v>2460</v>
      </c>
      <c r="E249" t="s">
        <v>310</v>
      </c>
      <c r="F249" t="s">
        <v>311</v>
      </c>
      <c r="G249">
        <v>3202.0005000000001</v>
      </c>
      <c r="H249">
        <v>3682.3004999999998</v>
      </c>
      <c r="I249" t="s">
        <v>6931</v>
      </c>
      <c r="J249">
        <f ca="1">TODAY()-Table16[[#This Row],[documentDate]]</f>
        <v>2</v>
      </c>
    </row>
    <row r="250" spans="1:10" x14ac:dyDescent="0.3">
      <c r="A250" s="1">
        <v>46257</v>
      </c>
      <c r="B250" t="s">
        <v>11221</v>
      </c>
      <c r="C250" t="s">
        <v>8</v>
      </c>
      <c r="D250" t="s">
        <v>2460</v>
      </c>
      <c r="E250" t="s">
        <v>79</v>
      </c>
      <c r="F250" t="s">
        <v>80</v>
      </c>
      <c r="G250">
        <v>450.39</v>
      </c>
      <c r="H250">
        <v>517.94849999999997</v>
      </c>
      <c r="I250" t="s">
        <v>6931</v>
      </c>
      <c r="J250">
        <f ca="1">TODAY()-Table16[[#This Row],[documentDate]]</f>
        <v>2</v>
      </c>
    </row>
    <row r="251" spans="1:10" x14ac:dyDescent="0.3">
      <c r="A251" s="1">
        <v>46257</v>
      </c>
      <c r="B251" t="s">
        <v>11222</v>
      </c>
      <c r="C251" t="s">
        <v>8</v>
      </c>
      <c r="D251" t="s">
        <v>2460</v>
      </c>
      <c r="E251" t="s">
        <v>423</v>
      </c>
      <c r="F251" t="s">
        <v>424</v>
      </c>
      <c r="G251">
        <v>73862.16</v>
      </c>
      <c r="H251">
        <v>84941.48</v>
      </c>
      <c r="I251" t="s">
        <v>6931</v>
      </c>
      <c r="J251">
        <f ca="1">TODAY()-Table16[[#This Row],[documentDate]]</f>
        <v>2</v>
      </c>
    </row>
    <row r="252" spans="1:10" x14ac:dyDescent="0.3">
      <c r="A252" s="1">
        <v>46257</v>
      </c>
      <c r="B252" t="s">
        <v>11226</v>
      </c>
      <c r="C252" t="s">
        <v>8</v>
      </c>
      <c r="D252" t="s">
        <v>2463</v>
      </c>
      <c r="E252" t="s">
        <v>7388</v>
      </c>
      <c r="F252" t="s">
        <v>7389</v>
      </c>
      <c r="G252">
        <v>146.80000000000001</v>
      </c>
      <c r="H252">
        <v>168.82</v>
      </c>
      <c r="I252" t="s">
        <v>6931</v>
      </c>
      <c r="J252">
        <f ca="1">TODAY()-Table16[[#This Row],[documentDate]]</f>
        <v>2</v>
      </c>
    </row>
    <row r="253" spans="1:10" x14ac:dyDescent="0.3">
      <c r="A253" s="1">
        <v>46257</v>
      </c>
      <c r="B253" t="s">
        <v>11225</v>
      </c>
      <c r="C253" t="s">
        <v>8</v>
      </c>
      <c r="D253" t="s">
        <v>2460</v>
      </c>
      <c r="E253" t="s">
        <v>776</v>
      </c>
      <c r="F253" t="s">
        <v>777</v>
      </c>
      <c r="G253">
        <v>17429.169999999998</v>
      </c>
      <c r="H253">
        <v>20043.544999999998</v>
      </c>
      <c r="I253" t="s">
        <v>6931</v>
      </c>
      <c r="J253">
        <f ca="1">TODAY()-Table16[[#This Row],[documentDate]]</f>
        <v>2</v>
      </c>
    </row>
    <row r="254" spans="1:10" x14ac:dyDescent="0.3">
      <c r="A254" s="1">
        <v>46257</v>
      </c>
      <c r="B254" t="s">
        <v>11223</v>
      </c>
      <c r="C254" t="s">
        <v>8</v>
      </c>
      <c r="D254" t="s">
        <v>2460</v>
      </c>
      <c r="E254" t="s">
        <v>148</v>
      </c>
      <c r="F254" t="s">
        <v>149</v>
      </c>
      <c r="G254">
        <v>371.00002999999998</v>
      </c>
      <c r="H254">
        <v>426.65005000000002</v>
      </c>
      <c r="I254" t="s">
        <v>6931</v>
      </c>
      <c r="J254">
        <f ca="1">TODAY()-Table16[[#This Row],[documentDate]]</f>
        <v>2</v>
      </c>
    </row>
    <row r="255" spans="1:10" x14ac:dyDescent="0.3">
      <c r="A255" s="1">
        <v>46257</v>
      </c>
      <c r="B255" t="s">
        <v>11234</v>
      </c>
      <c r="C255" t="s">
        <v>8</v>
      </c>
      <c r="D255" t="s">
        <v>2460</v>
      </c>
      <c r="E255" t="s">
        <v>10892</v>
      </c>
      <c r="F255" t="s">
        <v>10893</v>
      </c>
      <c r="G255">
        <v>2343.6</v>
      </c>
      <c r="H255">
        <v>2695.14</v>
      </c>
      <c r="I255" t="s">
        <v>6931</v>
      </c>
      <c r="J255">
        <f ca="1">TODAY()-Table16[[#This Row],[documentDate]]</f>
        <v>2</v>
      </c>
    </row>
    <row r="256" spans="1:10" x14ac:dyDescent="0.3">
      <c r="A256" s="1">
        <v>46257</v>
      </c>
      <c r="B256" t="s">
        <v>11227</v>
      </c>
      <c r="C256" t="s">
        <v>8</v>
      </c>
      <c r="D256" t="s">
        <v>2460</v>
      </c>
      <c r="E256" t="s">
        <v>9830</v>
      </c>
      <c r="F256" t="s">
        <v>11228</v>
      </c>
      <c r="G256">
        <v>507.5</v>
      </c>
      <c r="H256">
        <v>507.5</v>
      </c>
      <c r="I256" t="s">
        <v>6931</v>
      </c>
      <c r="J256">
        <f ca="1">TODAY()-Table16[[#This Row],[documentDate]]</f>
        <v>2</v>
      </c>
    </row>
    <row r="257" spans="1:10" x14ac:dyDescent="0.3">
      <c r="A257" s="1">
        <v>46257</v>
      </c>
      <c r="B257" t="s">
        <v>6999</v>
      </c>
      <c r="C257" t="s">
        <v>8</v>
      </c>
      <c r="D257" t="s">
        <v>2463</v>
      </c>
      <c r="E257" t="s">
        <v>358</v>
      </c>
      <c r="F257" t="s">
        <v>359</v>
      </c>
      <c r="G257">
        <v>2898</v>
      </c>
      <c r="H257">
        <v>3332.7</v>
      </c>
      <c r="I257" t="s">
        <v>6931</v>
      </c>
      <c r="J257">
        <f ca="1">TODAY()-Table16[[#This Row],[documentDate]]</f>
        <v>2</v>
      </c>
    </row>
    <row r="258" spans="1:10" x14ac:dyDescent="0.3">
      <c r="A258" s="1">
        <v>46257</v>
      </c>
      <c r="B258" t="s">
        <v>11229</v>
      </c>
      <c r="C258" t="s">
        <v>8</v>
      </c>
      <c r="D258" t="s">
        <v>2460</v>
      </c>
      <c r="E258" t="s">
        <v>2461</v>
      </c>
      <c r="F258" t="s">
        <v>2462</v>
      </c>
      <c r="G258">
        <v>795</v>
      </c>
      <c r="H258">
        <v>914.25</v>
      </c>
      <c r="I258" t="s">
        <v>6931</v>
      </c>
      <c r="J258">
        <f ca="1">TODAY()-Table16[[#This Row],[documentDate]]</f>
        <v>2</v>
      </c>
    </row>
    <row r="259" spans="1:10" x14ac:dyDescent="0.3">
      <c r="A259" s="1">
        <v>46257</v>
      </c>
      <c r="B259" t="s">
        <v>11233</v>
      </c>
      <c r="C259" t="s">
        <v>8</v>
      </c>
      <c r="D259" t="s">
        <v>2460</v>
      </c>
      <c r="E259" t="s">
        <v>151</v>
      </c>
      <c r="F259" t="s">
        <v>152</v>
      </c>
      <c r="G259">
        <v>4071.3</v>
      </c>
      <c r="H259">
        <v>4681.9949999999999</v>
      </c>
      <c r="I259" t="s">
        <v>6931</v>
      </c>
      <c r="J259">
        <f ca="1">TODAY()-Table16[[#This Row],[documentDate]]</f>
        <v>2</v>
      </c>
    </row>
    <row r="260" spans="1:10" x14ac:dyDescent="0.3">
      <c r="A260" s="1">
        <v>46257</v>
      </c>
      <c r="B260" t="s">
        <v>11231</v>
      </c>
      <c r="C260" t="s">
        <v>8</v>
      </c>
      <c r="D260" t="s">
        <v>2460</v>
      </c>
      <c r="E260" t="s">
        <v>146</v>
      </c>
      <c r="F260" t="s">
        <v>147</v>
      </c>
      <c r="G260">
        <v>525.6</v>
      </c>
      <c r="H260">
        <v>604.44000000000005</v>
      </c>
      <c r="I260" t="s">
        <v>6931</v>
      </c>
      <c r="J260">
        <f ca="1">TODAY()-Table16[[#This Row],[documentDate]]</f>
        <v>2</v>
      </c>
    </row>
    <row r="261" spans="1:10" x14ac:dyDescent="0.3">
      <c r="A261" s="1">
        <v>46257</v>
      </c>
      <c r="B261" t="s">
        <v>11232</v>
      </c>
      <c r="C261" t="s">
        <v>8</v>
      </c>
      <c r="D261" t="s">
        <v>2460</v>
      </c>
      <c r="E261" t="s">
        <v>185</v>
      </c>
      <c r="F261" t="s">
        <v>186</v>
      </c>
      <c r="G261">
        <v>40</v>
      </c>
      <c r="H261">
        <v>46</v>
      </c>
      <c r="I261" t="s">
        <v>6931</v>
      </c>
      <c r="J261">
        <f ca="1">TODAY()-Table16[[#This Row],[documentDate]]</f>
        <v>2</v>
      </c>
    </row>
    <row r="262" spans="1:10" x14ac:dyDescent="0.3">
      <c r="A262" s="1">
        <v>46257</v>
      </c>
      <c r="B262" t="s">
        <v>11059</v>
      </c>
      <c r="C262" t="s">
        <v>8</v>
      </c>
      <c r="D262" t="s">
        <v>2460</v>
      </c>
      <c r="E262" t="s">
        <v>1732</v>
      </c>
      <c r="F262" t="s">
        <v>1733</v>
      </c>
      <c r="G262">
        <v>432</v>
      </c>
      <c r="H262">
        <v>496.8</v>
      </c>
      <c r="I262" t="s">
        <v>6931</v>
      </c>
      <c r="J262">
        <f ca="1">TODAY()-Table16[[#This Row],[documentDate]]</f>
        <v>2</v>
      </c>
    </row>
    <row r="263" spans="1:10" x14ac:dyDescent="0.3">
      <c r="A263" s="1">
        <v>46257</v>
      </c>
      <c r="B263" t="s">
        <v>11230</v>
      </c>
      <c r="C263" t="s">
        <v>8</v>
      </c>
      <c r="D263" t="s">
        <v>2460</v>
      </c>
      <c r="E263" t="s">
        <v>177</v>
      </c>
      <c r="F263" t="s">
        <v>178</v>
      </c>
      <c r="G263">
        <v>15755.093000000001</v>
      </c>
      <c r="H263">
        <v>18118.357</v>
      </c>
      <c r="I263" t="s">
        <v>6931</v>
      </c>
      <c r="J263">
        <f ca="1">TODAY()-Table16[[#This Row],[documentDate]]</f>
        <v>2</v>
      </c>
    </row>
    <row r="264" spans="1:10" x14ac:dyDescent="0.3">
      <c r="A264" s="1">
        <v>46257</v>
      </c>
      <c r="B264" t="s">
        <v>11243</v>
      </c>
      <c r="C264" t="s">
        <v>8</v>
      </c>
      <c r="D264" t="s">
        <v>2460</v>
      </c>
      <c r="E264" t="s">
        <v>10895</v>
      </c>
      <c r="F264" t="s">
        <v>10896</v>
      </c>
      <c r="G264">
        <v>1058.4000000000001</v>
      </c>
      <c r="H264">
        <v>1217.1600000000001</v>
      </c>
      <c r="I264" t="s">
        <v>6931</v>
      </c>
      <c r="J264">
        <f ca="1">TODAY()-Table16[[#This Row],[documentDate]]</f>
        <v>2</v>
      </c>
    </row>
    <row r="265" spans="1:10" x14ac:dyDescent="0.3">
      <c r="A265" s="1">
        <v>46257</v>
      </c>
      <c r="B265" t="s">
        <v>11235</v>
      </c>
      <c r="C265" t="s">
        <v>8</v>
      </c>
      <c r="D265" t="s">
        <v>2460</v>
      </c>
      <c r="E265" t="s">
        <v>573</v>
      </c>
      <c r="F265" t="s">
        <v>574</v>
      </c>
      <c r="G265">
        <v>2907.42</v>
      </c>
      <c r="H265">
        <v>3343.5329999999999</v>
      </c>
      <c r="I265" t="s">
        <v>6931</v>
      </c>
      <c r="J265">
        <f ca="1">TODAY()-Table16[[#This Row],[documentDate]]</f>
        <v>2</v>
      </c>
    </row>
    <row r="266" spans="1:10" x14ac:dyDescent="0.3">
      <c r="A266" s="1">
        <v>46257</v>
      </c>
      <c r="B266" t="s">
        <v>11239</v>
      </c>
      <c r="C266" t="s">
        <v>8</v>
      </c>
      <c r="D266" t="s">
        <v>2460</v>
      </c>
      <c r="E266" t="s">
        <v>185</v>
      </c>
      <c r="F266" t="s">
        <v>186</v>
      </c>
      <c r="G266">
        <v>46.8</v>
      </c>
      <c r="H266">
        <v>46.8</v>
      </c>
      <c r="I266" t="s">
        <v>6931</v>
      </c>
      <c r="J266">
        <f ca="1">TODAY()-Table16[[#This Row],[documentDate]]</f>
        <v>2</v>
      </c>
    </row>
    <row r="267" spans="1:10" x14ac:dyDescent="0.3">
      <c r="A267" s="1">
        <v>46257</v>
      </c>
      <c r="B267" t="s">
        <v>11240</v>
      </c>
      <c r="C267" t="s">
        <v>8</v>
      </c>
      <c r="D267" t="s">
        <v>2460</v>
      </c>
      <c r="E267" t="s">
        <v>177</v>
      </c>
      <c r="F267" t="s">
        <v>178</v>
      </c>
      <c r="G267">
        <v>6605</v>
      </c>
      <c r="H267">
        <v>7595.75</v>
      </c>
      <c r="I267" t="s">
        <v>6931</v>
      </c>
      <c r="J267">
        <f ca="1">TODAY()-Table16[[#This Row],[documentDate]]</f>
        <v>2</v>
      </c>
    </row>
    <row r="268" spans="1:10" x14ac:dyDescent="0.3">
      <c r="A268" s="1">
        <v>46257</v>
      </c>
      <c r="B268" t="s">
        <v>11236</v>
      </c>
      <c r="C268" t="s">
        <v>8</v>
      </c>
      <c r="D268" t="s">
        <v>2460</v>
      </c>
      <c r="E268" t="s">
        <v>361</v>
      </c>
      <c r="F268" t="s">
        <v>7334</v>
      </c>
      <c r="G268">
        <v>381</v>
      </c>
      <c r="H268">
        <v>438.15</v>
      </c>
      <c r="I268" t="s">
        <v>6931</v>
      </c>
      <c r="J268">
        <f ca="1">TODAY()-Table16[[#This Row],[documentDate]]</f>
        <v>2</v>
      </c>
    </row>
    <row r="269" spans="1:10" x14ac:dyDescent="0.3">
      <c r="A269" s="1">
        <v>46257</v>
      </c>
      <c r="B269" t="s">
        <v>11237</v>
      </c>
      <c r="C269" t="s">
        <v>8</v>
      </c>
      <c r="D269" t="s">
        <v>2460</v>
      </c>
      <c r="E269" t="s">
        <v>10743</v>
      </c>
      <c r="F269" t="s">
        <v>10744</v>
      </c>
      <c r="G269">
        <v>89</v>
      </c>
      <c r="H269">
        <v>102.35</v>
      </c>
      <c r="I269" t="s">
        <v>6931</v>
      </c>
      <c r="J269">
        <f ca="1">TODAY()-Table16[[#This Row],[documentDate]]</f>
        <v>2</v>
      </c>
    </row>
    <row r="270" spans="1:10" x14ac:dyDescent="0.3">
      <c r="A270" s="1">
        <v>46257</v>
      </c>
      <c r="B270" t="s">
        <v>11241</v>
      </c>
      <c r="C270" t="s">
        <v>8</v>
      </c>
      <c r="D270" t="s">
        <v>2460</v>
      </c>
      <c r="E270" t="s">
        <v>578</v>
      </c>
      <c r="F270" t="s">
        <v>579</v>
      </c>
      <c r="G270">
        <v>290.39999999999998</v>
      </c>
      <c r="H270">
        <v>333.96</v>
      </c>
      <c r="I270" t="s">
        <v>6931</v>
      </c>
      <c r="J270">
        <f ca="1">TODAY()-Table16[[#This Row],[documentDate]]</f>
        <v>2</v>
      </c>
    </row>
    <row r="271" spans="1:10" x14ac:dyDescent="0.3">
      <c r="A271" s="1">
        <v>46257</v>
      </c>
      <c r="B271" t="s">
        <v>11238</v>
      </c>
      <c r="C271" t="s">
        <v>8</v>
      </c>
      <c r="D271" t="s">
        <v>2460</v>
      </c>
      <c r="E271" t="s">
        <v>5151</v>
      </c>
      <c r="F271" t="s">
        <v>5152</v>
      </c>
      <c r="G271">
        <v>939</v>
      </c>
      <c r="H271">
        <v>1079.8499999999999</v>
      </c>
      <c r="I271" t="s">
        <v>6931</v>
      </c>
      <c r="J271">
        <f ca="1">TODAY()-Table16[[#This Row],[documentDate]]</f>
        <v>2</v>
      </c>
    </row>
    <row r="272" spans="1:10" x14ac:dyDescent="0.3">
      <c r="A272" s="1">
        <v>46257</v>
      </c>
      <c r="B272" t="s">
        <v>11245</v>
      </c>
      <c r="C272" t="s">
        <v>8</v>
      </c>
      <c r="D272" t="s">
        <v>2460</v>
      </c>
      <c r="E272" t="s">
        <v>185</v>
      </c>
      <c r="F272" t="s">
        <v>186</v>
      </c>
      <c r="G272">
        <v>112</v>
      </c>
      <c r="H272">
        <v>128.80000000000001</v>
      </c>
      <c r="I272" t="s">
        <v>6931</v>
      </c>
      <c r="J272">
        <f ca="1">TODAY()-Table16[[#This Row],[documentDate]]</f>
        <v>2</v>
      </c>
    </row>
    <row r="273" spans="1:10" x14ac:dyDescent="0.3">
      <c r="A273" s="1">
        <v>46257</v>
      </c>
      <c r="B273" t="s">
        <v>10876</v>
      </c>
      <c r="C273" t="s">
        <v>8</v>
      </c>
      <c r="D273" t="s">
        <v>2460</v>
      </c>
      <c r="E273" t="s">
        <v>160</v>
      </c>
      <c r="F273" t="s">
        <v>161</v>
      </c>
      <c r="G273">
        <v>180</v>
      </c>
      <c r="H273">
        <v>180</v>
      </c>
      <c r="I273" t="s">
        <v>6931</v>
      </c>
      <c r="J273">
        <f ca="1">TODAY()-Table16[[#This Row],[documentDate]]</f>
        <v>2</v>
      </c>
    </row>
    <row r="274" spans="1:10" x14ac:dyDescent="0.3">
      <c r="A274" s="1">
        <v>46257</v>
      </c>
      <c r="B274" t="s">
        <v>11244</v>
      </c>
      <c r="C274" t="s">
        <v>8</v>
      </c>
      <c r="D274" t="s">
        <v>2460</v>
      </c>
      <c r="E274" t="s">
        <v>148</v>
      </c>
      <c r="F274" t="s">
        <v>149</v>
      </c>
      <c r="G274">
        <v>3002.4</v>
      </c>
      <c r="H274">
        <v>3452.76</v>
      </c>
      <c r="I274" t="s">
        <v>6931</v>
      </c>
      <c r="J274">
        <f ca="1">TODAY()-Table16[[#This Row],[documentDate]]</f>
        <v>2</v>
      </c>
    </row>
    <row r="275" spans="1:10" x14ac:dyDescent="0.3">
      <c r="A275" s="1">
        <v>46257</v>
      </c>
      <c r="B275" t="s">
        <v>11242</v>
      </c>
      <c r="C275" t="s">
        <v>8</v>
      </c>
      <c r="D275" t="s">
        <v>2460</v>
      </c>
      <c r="E275" t="s">
        <v>151</v>
      </c>
      <c r="F275" t="s">
        <v>152</v>
      </c>
      <c r="G275">
        <v>1059.9000000000001</v>
      </c>
      <c r="H275">
        <v>1218.885</v>
      </c>
      <c r="I275" t="s">
        <v>6931</v>
      </c>
      <c r="J275">
        <f ca="1">TODAY()-Table16[[#This Row],[documentDate]]</f>
        <v>2</v>
      </c>
    </row>
    <row r="276" spans="1:10" x14ac:dyDescent="0.3">
      <c r="A276" s="1">
        <v>46258</v>
      </c>
      <c r="B276" t="s">
        <v>11413</v>
      </c>
      <c r="C276" t="s">
        <v>8</v>
      </c>
      <c r="D276" t="s">
        <v>2460</v>
      </c>
      <c r="E276" t="s">
        <v>11097</v>
      </c>
      <c r="F276" t="s">
        <v>11098</v>
      </c>
      <c r="G276">
        <v>1065.5999999999999</v>
      </c>
      <c r="H276">
        <v>1225.44</v>
      </c>
      <c r="I276" t="s">
        <v>6931</v>
      </c>
      <c r="J276">
        <f ca="1">TODAY()-Table16[[#This Row],[documentDate]]</f>
        <v>1</v>
      </c>
    </row>
    <row r="277" spans="1:10" x14ac:dyDescent="0.3">
      <c r="A277" s="1">
        <v>46258</v>
      </c>
      <c r="B277" t="s">
        <v>11418</v>
      </c>
      <c r="C277" t="s">
        <v>8</v>
      </c>
      <c r="D277" t="s">
        <v>2460</v>
      </c>
      <c r="E277" t="s">
        <v>462</v>
      </c>
      <c r="F277" t="s">
        <v>463</v>
      </c>
      <c r="G277">
        <v>66.130439999999993</v>
      </c>
      <c r="H277">
        <v>76.05001</v>
      </c>
      <c r="I277" t="s">
        <v>6931</v>
      </c>
      <c r="J277">
        <f ca="1">TODAY()-Table16[[#This Row],[documentDate]]</f>
        <v>1</v>
      </c>
    </row>
    <row r="278" spans="1:10" x14ac:dyDescent="0.3">
      <c r="A278" s="1">
        <v>46258</v>
      </c>
      <c r="B278" t="s">
        <v>11407</v>
      </c>
      <c r="C278" t="s">
        <v>8</v>
      </c>
      <c r="D278" t="s">
        <v>2460</v>
      </c>
      <c r="E278" t="s">
        <v>921</v>
      </c>
      <c r="F278" t="s">
        <v>922</v>
      </c>
      <c r="G278">
        <v>119.2</v>
      </c>
      <c r="H278">
        <v>137.08000000000001</v>
      </c>
      <c r="I278" t="s">
        <v>6931</v>
      </c>
      <c r="J278">
        <f ca="1">TODAY()-Table16[[#This Row],[documentDate]]</f>
        <v>1</v>
      </c>
    </row>
    <row r="279" spans="1:10" x14ac:dyDescent="0.3">
      <c r="A279" s="1">
        <v>46258</v>
      </c>
      <c r="B279" t="s">
        <v>11349</v>
      </c>
      <c r="C279" t="s">
        <v>8</v>
      </c>
      <c r="D279" t="s">
        <v>2460</v>
      </c>
      <c r="E279" t="s">
        <v>11093</v>
      </c>
      <c r="F279" t="s">
        <v>11094</v>
      </c>
      <c r="G279">
        <v>716.52</v>
      </c>
      <c r="H279">
        <v>823.99800000000005</v>
      </c>
      <c r="I279" t="s">
        <v>6931</v>
      </c>
      <c r="J279">
        <f ca="1">TODAY()-Table16[[#This Row],[documentDate]]</f>
        <v>1</v>
      </c>
    </row>
    <row r="280" spans="1:10" x14ac:dyDescent="0.3">
      <c r="A280" s="1">
        <v>46258</v>
      </c>
      <c r="B280" t="s">
        <v>11345</v>
      </c>
      <c r="C280" t="s">
        <v>8</v>
      </c>
      <c r="D280" t="s">
        <v>2467</v>
      </c>
      <c r="E280" t="s">
        <v>11093</v>
      </c>
      <c r="F280" t="s">
        <v>11094</v>
      </c>
      <c r="G280">
        <v>14586.24</v>
      </c>
      <c r="H280">
        <v>16774.175999999999</v>
      </c>
      <c r="I280" t="s">
        <v>6931</v>
      </c>
      <c r="J280">
        <f ca="1">TODAY()-Table16[[#This Row],[documentDate]]</f>
        <v>1</v>
      </c>
    </row>
    <row r="281" spans="1:10" x14ac:dyDescent="0.3">
      <c r="A281" s="1">
        <v>46258</v>
      </c>
      <c r="B281" t="s">
        <v>11358</v>
      </c>
      <c r="C281" t="s">
        <v>8</v>
      </c>
      <c r="D281" t="s">
        <v>2460</v>
      </c>
      <c r="E281" t="s">
        <v>11093</v>
      </c>
      <c r="F281" t="s">
        <v>11094</v>
      </c>
      <c r="G281">
        <v>1080.5903000000001</v>
      </c>
      <c r="H281">
        <v>1242.6787999999999</v>
      </c>
      <c r="I281" t="s">
        <v>6931</v>
      </c>
      <c r="J281">
        <f ca="1">TODAY()-Table16[[#This Row],[documentDate]]</f>
        <v>1</v>
      </c>
    </row>
    <row r="282" spans="1:10" x14ac:dyDescent="0.3">
      <c r="A282" s="1">
        <v>46258</v>
      </c>
      <c r="B282" t="s">
        <v>11375</v>
      </c>
      <c r="C282" t="s">
        <v>8</v>
      </c>
      <c r="D282" t="s">
        <v>2460</v>
      </c>
      <c r="E282" t="s">
        <v>148</v>
      </c>
      <c r="F282" t="s">
        <v>149</v>
      </c>
      <c r="G282">
        <v>20089.984</v>
      </c>
      <c r="H282">
        <v>23103.48</v>
      </c>
      <c r="I282" t="s">
        <v>6931</v>
      </c>
      <c r="J282">
        <f ca="1">TODAY()-Table16[[#This Row],[documentDate]]</f>
        <v>1</v>
      </c>
    </row>
    <row r="283" spans="1:10" x14ac:dyDescent="0.3">
      <c r="A283" s="1">
        <v>46258</v>
      </c>
      <c r="B283" t="s">
        <v>11427</v>
      </c>
      <c r="C283" t="s">
        <v>8</v>
      </c>
      <c r="D283" t="s">
        <v>2460</v>
      </c>
      <c r="E283" t="s">
        <v>2344</v>
      </c>
      <c r="F283" t="s">
        <v>2345</v>
      </c>
      <c r="G283">
        <v>240</v>
      </c>
      <c r="H283">
        <v>276</v>
      </c>
      <c r="I283" t="s">
        <v>6931</v>
      </c>
      <c r="J283">
        <f ca="1">TODAY()-Table16[[#This Row],[documentDate]]</f>
        <v>1</v>
      </c>
    </row>
    <row r="284" spans="1:10" x14ac:dyDescent="0.3">
      <c r="A284" s="1">
        <v>46258</v>
      </c>
      <c r="B284" t="s">
        <v>11424</v>
      </c>
      <c r="C284" t="s">
        <v>8</v>
      </c>
      <c r="D284" t="s">
        <v>2460</v>
      </c>
      <c r="E284" t="s">
        <v>148</v>
      </c>
      <c r="F284" t="s">
        <v>149</v>
      </c>
      <c r="G284">
        <v>318</v>
      </c>
      <c r="H284">
        <v>365.7</v>
      </c>
      <c r="I284" t="s">
        <v>6931</v>
      </c>
      <c r="J284">
        <f ca="1">TODAY()-Table16[[#This Row],[documentDate]]</f>
        <v>1</v>
      </c>
    </row>
    <row r="285" spans="1:10" x14ac:dyDescent="0.3">
      <c r="A285" s="1">
        <v>46258</v>
      </c>
      <c r="B285" t="s">
        <v>11368</v>
      </c>
      <c r="C285" t="s">
        <v>8</v>
      </c>
      <c r="D285" t="s">
        <v>2460</v>
      </c>
      <c r="E285" t="s">
        <v>9050</v>
      </c>
      <c r="F285" t="s">
        <v>9258</v>
      </c>
      <c r="G285">
        <v>175.65996000000001</v>
      </c>
      <c r="H285">
        <v>202.00896</v>
      </c>
      <c r="I285" t="s">
        <v>6931</v>
      </c>
      <c r="J285">
        <f ca="1">TODAY()-Table16[[#This Row],[documentDate]]</f>
        <v>1</v>
      </c>
    </row>
    <row r="286" spans="1:10" x14ac:dyDescent="0.3">
      <c r="A286" s="1">
        <v>46258</v>
      </c>
      <c r="B286" t="s">
        <v>11350</v>
      </c>
      <c r="C286" t="s">
        <v>8</v>
      </c>
      <c r="D286" t="s">
        <v>2460</v>
      </c>
      <c r="E286" t="s">
        <v>362</v>
      </c>
      <c r="F286" t="s">
        <v>363</v>
      </c>
      <c r="G286">
        <v>586</v>
      </c>
      <c r="H286">
        <v>673.9</v>
      </c>
      <c r="I286" t="s">
        <v>6931</v>
      </c>
      <c r="J286">
        <f ca="1">TODAY()-Table16[[#This Row],[documentDate]]</f>
        <v>1</v>
      </c>
    </row>
    <row r="287" spans="1:10" x14ac:dyDescent="0.3">
      <c r="A287" s="1">
        <v>46258</v>
      </c>
      <c r="B287" t="s">
        <v>11388</v>
      </c>
      <c r="C287" t="s">
        <v>8</v>
      </c>
      <c r="D287" t="s">
        <v>2460</v>
      </c>
      <c r="E287" t="s">
        <v>11093</v>
      </c>
      <c r="F287" t="s">
        <v>11094</v>
      </c>
      <c r="G287">
        <v>687.41989999999998</v>
      </c>
      <c r="H287">
        <v>790.53290000000004</v>
      </c>
      <c r="I287" t="s">
        <v>6931</v>
      </c>
      <c r="J287">
        <f ca="1">TODAY()-Table16[[#This Row],[documentDate]]</f>
        <v>1</v>
      </c>
    </row>
    <row r="288" spans="1:10" x14ac:dyDescent="0.3">
      <c r="A288" s="1">
        <v>46258</v>
      </c>
      <c r="B288" t="s">
        <v>11410</v>
      </c>
      <c r="C288" t="s">
        <v>8</v>
      </c>
      <c r="D288" t="s">
        <v>2467</v>
      </c>
      <c r="E288" t="s">
        <v>95</v>
      </c>
      <c r="F288" t="s">
        <v>96</v>
      </c>
      <c r="G288">
        <v>60.8</v>
      </c>
      <c r="H288">
        <v>69.92</v>
      </c>
      <c r="I288" t="s">
        <v>6931</v>
      </c>
      <c r="J288">
        <f ca="1">TODAY()-Table16[[#This Row],[documentDate]]</f>
        <v>1</v>
      </c>
    </row>
    <row r="289" spans="1:10" x14ac:dyDescent="0.3">
      <c r="A289" s="1">
        <v>46258</v>
      </c>
      <c r="B289" t="s">
        <v>11351</v>
      </c>
      <c r="C289" t="s">
        <v>8</v>
      </c>
      <c r="D289" t="s">
        <v>2460</v>
      </c>
      <c r="E289" t="s">
        <v>2332</v>
      </c>
      <c r="F289" t="s">
        <v>2333</v>
      </c>
      <c r="G289">
        <v>2307.89</v>
      </c>
      <c r="H289">
        <v>2654.0735</v>
      </c>
      <c r="I289" t="s">
        <v>6931</v>
      </c>
      <c r="J289">
        <f ca="1">TODAY()-Table16[[#This Row],[documentDate]]</f>
        <v>1</v>
      </c>
    </row>
    <row r="290" spans="1:10" x14ac:dyDescent="0.3">
      <c r="A290" s="1">
        <v>46258</v>
      </c>
      <c r="B290" t="s">
        <v>11387</v>
      </c>
      <c r="C290" t="s">
        <v>8</v>
      </c>
      <c r="D290" t="s">
        <v>2463</v>
      </c>
      <c r="E290" t="s">
        <v>802</v>
      </c>
      <c r="F290" t="s">
        <v>2331</v>
      </c>
      <c r="G290">
        <v>1257.22</v>
      </c>
      <c r="H290">
        <v>1445.8030000000001</v>
      </c>
      <c r="I290" t="s">
        <v>6931</v>
      </c>
      <c r="J290">
        <f ca="1">TODAY()-Table16[[#This Row],[documentDate]]</f>
        <v>1</v>
      </c>
    </row>
    <row r="291" spans="1:10" x14ac:dyDescent="0.3">
      <c r="A291" s="1">
        <v>46258</v>
      </c>
      <c r="B291" t="s">
        <v>11224</v>
      </c>
      <c r="C291" t="s">
        <v>8</v>
      </c>
      <c r="D291" t="s">
        <v>2460</v>
      </c>
      <c r="E291" t="s">
        <v>10865</v>
      </c>
      <c r="F291" t="s">
        <v>11210</v>
      </c>
      <c r="G291">
        <v>6000</v>
      </c>
      <c r="H291">
        <v>6900</v>
      </c>
      <c r="I291" t="s">
        <v>6931</v>
      </c>
      <c r="J291">
        <f ca="1">TODAY()-Table16[[#This Row],[documentDate]]</f>
        <v>1</v>
      </c>
    </row>
    <row r="292" spans="1:10" x14ac:dyDescent="0.3">
      <c r="A292" s="1">
        <v>46258</v>
      </c>
      <c r="B292" t="s">
        <v>11408</v>
      </c>
      <c r="C292" t="s">
        <v>8</v>
      </c>
      <c r="D292" t="s">
        <v>2460</v>
      </c>
      <c r="E292" t="s">
        <v>2193</v>
      </c>
      <c r="F292" t="s">
        <v>2482</v>
      </c>
      <c r="G292">
        <v>409.5</v>
      </c>
      <c r="H292">
        <v>409.5</v>
      </c>
      <c r="I292" t="s">
        <v>6931</v>
      </c>
      <c r="J292">
        <f ca="1">TODAY()-Table16[[#This Row],[documentDate]]</f>
        <v>1</v>
      </c>
    </row>
    <row r="293" spans="1:10" x14ac:dyDescent="0.3">
      <c r="A293" s="1">
        <v>46258</v>
      </c>
      <c r="B293" t="s">
        <v>11355</v>
      </c>
      <c r="C293" t="s">
        <v>8</v>
      </c>
      <c r="D293" t="s">
        <v>2467</v>
      </c>
      <c r="E293" t="s">
        <v>11270</v>
      </c>
      <c r="F293" t="s">
        <v>11271</v>
      </c>
      <c r="G293">
        <v>452.81700000000001</v>
      </c>
      <c r="H293">
        <v>452.81700000000001</v>
      </c>
      <c r="I293" t="s">
        <v>6931</v>
      </c>
      <c r="J293">
        <f ca="1">TODAY()-Table16[[#This Row],[documentDate]]</f>
        <v>1</v>
      </c>
    </row>
    <row r="294" spans="1:10" x14ac:dyDescent="0.3">
      <c r="A294" s="1">
        <v>46258</v>
      </c>
      <c r="B294" t="s">
        <v>11346</v>
      </c>
      <c r="C294" t="s">
        <v>8</v>
      </c>
      <c r="D294" t="s">
        <v>2460</v>
      </c>
      <c r="E294" t="s">
        <v>302</v>
      </c>
      <c r="F294" t="s">
        <v>303</v>
      </c>
      <c r="G294">
        <v>4608.1396000000004</v>
      </c>
      <c r="H294">
        <v>5299.3609999999999</v>
      </c>
      <c r="I294" t="s">
        <v>6931</v>
      </c>
      <c r="J294">
        <f ca="1">TODAY()-Table16[[#This Row],[documentDate]]</f>
        <v>1</v>
      </c>
    </row>
    <row r="295" spans="1:10" x14ac:dyDescent="0.3">
      <c r="A295" s="1">
        <v>46258</v>
      </c>
      <c r="B295" t="s">
        <v>11361</v>
      </c>
      <c r="C295" t="s">
        <v>8</v>
      </c>
      <c r="D295" t="s">
        <v>2460</v>
      </c>
      <c r="E295" t="s">
        <v>51</v>
      </c>
      <c r="F295" t="s">
        <v>52</v>
      </c>
      <c r="G295">
        <v>260.14999999999998</v>
      </c>
      <c r="H295">
        <v>299.17250000000001</v>
      </c>
      <c r="I295" t="s">
        <v>6931</v>
      </c>
      <c r="J295">
        <f ca="1">TODAY()-Table16[[#This Row],[documentDate]]</f>
        <v>1</v>
      </c>
    </row>
    <row r="296" spans="1:10" x14ac:dyDescent="0.3">
      <c r="A296" s="1">
        <v>46258</v>
      </c>
      <c r="B296" t="s">
        <v>11426</v>
      </c>
      <c r="C296" t="s">
        <v>8</v>
      </c>
      <c r="D296" t="s">
        <v>2460</v>
      </c>
      <c r="E296" t="s">
        <v>148</v>
      </c>
      <c r="F296" t="s">
        <v>149</v>
      </c>
      <c r="G296">
        <v>194.00014999999999</v>
      </c>
      <c r="H296">
        <v>223.10016999999999</v>
      </c>
      <c r="I296" t="s">
        <v>6931</v>
      </c>
      <c r="J296">
        <f ca="1">TODAY()-Table16[[#This Row],[documentDate]]</f>
        <v>1</v>
      </c>
    </row>
    <row r="297" spans="1:10" x14ac:dyDescent="0.3">
      <c r="A297" s="1">
        <v>46258</v>
      </c>
      <c r="B297" t="s">
        <v>11417</v>
      </c>
      <c r="C297" t="s">
        <v>8</v>
      </c>
      <c r="D297" t="s">
        <v>2460</v>
      </c>
      <c r="E297" t="s">
        <v>566</v>
      </c>
      <c r="F297" t="s">
        <v>590</v>
      </c>
      <c r="G297">
        <v>171</v>
      </c>
      <c r="H297">
        <v>196.65</v>
      </c>
      <c r="I297" t="s">
        <v>6931</v>
      </c>
      <c r="J297">
        <f ca="1">TODAY()-Table16[[#This Row],[documentDate]]</f>
        <v>1</v>
      </c>
    </row>
    <row r="298" spans="1:10" x14ac:dyDescent="0.3">
      <c r="A298" s="1">
        <v>46258</v>
      </c>
      <c r="B298" t="s">
        <v>11411</v>
      </c>
      <c r="C298" t="s">
        <v>8</v>
      </c>
      <c r="D298" t="s">
        <v>2460</v>
      </c>
      <c r="E298" t="s">
        <v>11089</v>
      </c>
      <c r="F298" t="s">
        <v>11090</v>
      </c>
      <c r="G298">
        <v>1978.08</v>
      </c>
      <c r="H298">
        <v>2274.7919999999999</v>
      </c>
      <c r="I298" t="s">
        <v>6931</v>
      </c>
      <c r="J298">
        <f ca="1">TODAY()-Table16[[#This Row],[documentDate]]</f>
        <v>1</v>
      </c>
    </row>
    <row r="299" spans="1:10" x14ac:dyDescent="0.3">
      <c r="A299" s="1">
        <v>46258</v>
      </c>
      <c r="B299" t="s">
        <v>11395</v>
      </c>
      <c r="C299" t="s">
        <v>8</v>
      </c>
      <c r="D299" t="s">
        <v>2460</v>
      </c>
      <c r="E299" t="s">
        <v>67</v>
      </c>
      <c r="F299" t="s">
        <v>68</v>
      </c>
      <c r="G299">
        <v>42900</v>
      </c>
      <c r="H299">
        <v>49335</v>
      </c>
      <c r="I299" t="s">
        <v>6931</v>
      </c>
      <c r="J299">
        <f ca="1">TODAY()-Table16[[#This Row],[documentDate]]</f>
        <v>1</v>
      </c>
    </row>
    <row r="300" spans="1:10" x14ac:dyDescent="0.3">
      <c r="A300" s="1">
        <v>46258</v>
      </c>
      <c r="B300" t="s">
        <v>11389</v>
      </c>
      <c r="C300" t="s">
        <v>8</v>
      </c>
      <c r="D300" t="s">
        <v>2460</v>
      </c>
      <c r="E300" t="s">
        <v>5256</v>
      </c>
      <c r="F300" t="s">
        <v>5257</v>
      </c>
      <c r="G300">
        <v>23745.26</v>
      </c>
      <c r="H300">
        <v>27307.048999999999</v>
      </c>
      <c r="I300" t="s">
        <v>6931</v>
      </c>
      <c r="J300">
        <f ca="1">TODAY()-Table16[[#This Row],[documentDate]]</f>
        <v>1</v>
      </c>
    </row>
    <row r="301" spans="1:10" x14ac:dyDescent="0.3">
      <c r="A301" s="1">
        <v>46258</v>
      </c>
      <c r="B301" t="s">
        <v>11364</v>
      </c>
      <c r="C301" t="s">
        <v>8</v>
      </c>
      <c r="D301" t="s">
        <v>2460</v>
      </c>
      <c r="E301" t="s">
        <v>201</v>
      </c>
      <c r="F301" t="s">
        <v>202</v>
      </c>
      <c r="G301">
        <v>2214.0403000000001</v>
      </c>
      <c r="H301">
        <v>2546.1464999999998</v>
      </c>
      <c r="I301" t="s">
        <v>6931</v>
      </c>
      <c r="J301">
        <f ca="1">TODAY()-Table16[[#This Row],[documentDate]]</f>
        <v>1</v>
      </c>
    </row>
    <row r="302" spans="1:10" x14ac:dyDescent="0.3">
      <c r="A302" s="1">
        <v>46258</v>
      </c>
      <c r="B302" t="s">
        <v>11365</v>
      </c>
      <c r="C302" t="s">
        <v>8</v>
      </c>
      <c r="D302" t="s">
        <v>2460</v>
      </c>
      <c r="E302" t="s">
        <v>1915</v>
      </c>
      <c r="F302" t="s">
        <v>3229</v>
      </c>
      <c r="G302">
        <v>297.7</v>
      </c>
      <c r="H302">
        <v>342.35500000000002</v>
      </c>
      <c r="I302" t="s">
        <v>6931</v>
      </c>
      <c r="J302">
        <f ca="1">TODAY()-Table16[[#This Row],[documentDate]]</f>
        <v>1</v>
      </c>
    </row>
    <row r="303" spans="1:10" x14ac:dyDescent="0.3">
      <c r="A303" s="1">
        <v>46258</v>
      </c>
      <c r="B303" t="s">
        <v>11405</v>
      </c>
      <c r="C303" t="s">
        <v>8</v>
      </c>
      <c r="D303" t="s">
        <v>2463</v>
      </c>
      <c r="E303" t="s">
        <v>4364</v>
      </c>
      <c r="F303" t="s">
        <v>4542</v>
      </c>
      <c r="G303">
        <v>21.6</v>
      </c>
      <c r="H303">
        <v>24.84</v>
      </c>
      <c r="I303" t="s">
        <v>6931</v>
      </c>
      <c r="J303">
        <f ca="1">TODAY()-Table16[[#This Row],[documentDate]]</f>
        <v>1</v>
      </c>
    </row>
    <row r="304" spans="1:10" x14ac:dyDescent="0.3">
      <c r="A304" s="1">
        <v>46258</v>
      </c>
      <c r="B304" t="s">
        <v>11348</v>
      </c>
      <c r="C304" t="s">
        <v>8</v>
      </c>
      <c r="D304" t="s">
        <v>2460</v>
      </c>
      <c r="E304" t="s">
        <v>4244</v>
      </c>
      <c r="F304" t="s">
        <v>4245</v>
      </c>
      <c r="G304">
        <v>715</v>
      </c>
      <c r="H304">
        <v>822.25</v>
      </c>
      <c r="I304" t="s">
        <v>6931</v>
      </c>
      <c r="J304">
        <f ca="1">TODAY()-Table16[[#This Row],[documentDate]]</f>
        <v>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59"/>
  <sheetViews>
    <sheetView topLeftCell="A1727" zoomScale="85" zoomScaleNormal="85" workbookViewId="0">
      <selection activeCell="F1744" sqref="F1744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7267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222</v>
      </c>
      <c r="C2" t="s">
        <v>13</v>
      </c>
      <c r="D2" t="s">
        <v>10</v>
      </c>
      <c r="E2" t="s">
        <v>14</v>
      </c>
      <c r="F2" t="s">
        <v>15</v>
      </c>
      <c r="G2" s="16">
        <v>6308.509</v>
      </c>
      <c r="H2" t="s">
        <v>8</v>
      </c>
      <c r="I2" s="16">
        <v>5485.66</v>
      </c>
    </row>
    <row r="3" spans="1:9" x14ac:dyDescent="0.3">
      <c r="A3" s="1">
        <v>46037</v>
      </c>
      <c r="B3">
        <v>221</v>
      </c>
      <c r="C3" t="s">
        <v>21</v>
      </c>
      <c r="D3" t="s">
        <v>10</v>
      </c>
      <c r="E3" t="s">
        <v>14</v>
      </c>
      <c r="F3" t="s">
        <v>15</v>
      </c>
      <c r="G3" s="16">
        <v>8028.8285999999998</v>
      </c>
      <c r="H3" t="s">
        <v>8</v>
      </c>
      <c r="I3" s="16">
        <v>6981.59</v>
      </c>
    </row>
    <row r="4" spans="1:9" x14ac:dyDescent="0.3">
      <c r="A4" s="1">
        <v>46096</v>
      </c>
      <c r="B4">
        <v>162</v>
      </c>
      <c r="C4" t="s">
        <v>2464</v>
      </c>
      <c r="D4" t="s">
        <v>2463</v>
      </c>
      <c r="E4" t="s">
        <v>47</v>
      </c>
      <c r="F4" t="s">
        <v>48</v>
      </c>
      <c r="G4" s="16">
        <v>2587.5</v>
      </c>
      <c r="H4" t="s">
        <v>8</v>
      </c>
      <c r="I4" s="16">
        <v>2250</v>
      </c>
    </row>
    <row r="5" spans="1:9" x14ac:dyDescent="0.3">
      <c r="A5" s="1">
        <v>46096</v>
      </c>
      <c r="B5">
        <v>162</v>
      </c>
      <c r="C5" t="s">
        <v>2465</v>
      </c>
      <c r="D5" t="s">
        <v>2463</v>
      </c>
      <c r="E5" t="s">
        <v>47</v>
      </c>
      <c r="F5" t="s">
        <v>48</v>
      </c>
      <c r="G5" s="16">
        <v>5355.09</v>
      </c>
      <c r="H5" t="s">
        <v>8</v>
      </c>
      <c r="I5" s="16">
        <v>4656.6000000000004</v>
      </c>
    </row>
    <row r="6" spans="1:9" x14ac:dyDescent="0.3">
      <c r="A6" s="1">
        <v>46097</v>
      </c>
      <c r="B6">
        <v>161</v>
      </c>
      <c r="C6" t="s">
        <v>2466</v>
      </c>
      <c r="D6" t="s">
        <v>2463</v>
      </c>
      <c r="E6" t="s">
        <v>47</v>
      </c>
      <c r="F6" t="s">
        <v>48</v>
      </c>
      <c r="G6" s="16">
        <v>2052.7844</v>
      </c>
      <c r="H6" t="s">
        <v>8</v>
      </c>
      <c r="I6" s="16">
        <v>1785.03</v>
      </c>
    </row>
    <row r="7" spans="1:9" x14ac:dyDescent="0.3">
      <c r="A7" s="1">
        <v>46118</v>
      </c>
      <c r="B7">
        <v>140</v>
      </c>
      <c r="C7" t="s">
        <v>101</v>
      </c>
      <c r="D7" t="s">
        <v>10</v>
      </c>
      <c r="E7" t="s">
        <v>102</v>
      </c>
      <c r="F7" t="s">
        <v>103</v>
      </c>
      <c r="G7" s="16">
        <v>4559.5200000000004</v>
      </c>
      <c r="H7" t="s">
        <v>8</v>
      </c>
      <c r="I7" s="16">
        <v>3964.8</v>
      </c>
    </row>
    <row r="8" spans="1:9" x14ac:dyDescent="0.3">
      <c r="A8" s="1">
        <v>46134</v>
      </c>
      <c r="B8">
        <v>124</v>
      </c>
      <c r="C8" t="s">
        <v>343</v>
      </c>
      <c r="D8" t="s">
        <v>10</v>
      </c>
      <c r="E8" t="s">
        <v>341</v>
      </c>
      <c r="F8" t="s">
        <v>342</v>
      </c>
      <c r="G8" s="16">
        <v>6186.9497000000001</v>
      </c>
      <c r="H8" t="s">
        <v>8</v>
      </c>
      <c r="I8" s="16">
        <v>5379.9565000000002</v>
      </c>
    </row>
    <row r="9" spans="1:9" x14ac:dyDescent="0.3">
      <c r="A9" s="1">
        <v>46135</v>
      </c>
      <c r="B9">
        <v>123</v>
      </c>
      <c r="C9" t="s">
        <v>366</v>
      </c>
      <c r="D9" t="s">
        <v>38</v>
      </c>
      <c r="E9" t="s">
        <v>367</v>
      </c>
      <c r="F9" t="s">
        <v>368</v>
      </c>
      <c r="G9" s="16">
        <v>3070.3274000000001</v>
      </c>
      <c r="H9" t="s">
        <v>8</v>
      </c>
      <c r="I9" s="16">
        <v>2669.85</v>
      </c>
    </row>
    <row r="10" spans="1:9" x14ac:dyDescent="0.3">
      <c r="A10" s="1">
        <v>46137</v>
      </c>
      <c r="B10">
        <v>121</v>
      </c>
      <c r="C10" t="s">
        <v>403</v>
      </c>
      <c r="D10" t="s">
        <v>38</v>
      </c>
      <c r="E10" t="s">
        <v>404</v>
      </c>
      <c r="F10" t="s">
        <v>405</v>
      </c>
      <c r="G10" s="16">
        <v>3466.3760000000002</v>
      </c>
      <c r="H10" t="s">
        <v>8</v>
      </c>
      <c r="I10" s="16">
        <v>3014.24</v>
      </c>
    </row>
    <row r="11" spans="1:9" x14ac:dyDescent="0.3">
      <c r="A11" s="1">
        <v>46137</v>
      </c>
      <c r="B11">
        <v>121</v>
      </c>
      <c r="C11" t="s">
        <v>432</v>
      </c>
      <c r="D11" t="s">
        <v>38</v>
      </c>
      <c r="E11" t="s">
        <v>430</v>
      </c>
      <c r="F11" t="s">
        <v>431</v>
      </c>
      <c r="G11" s="16">
        <v>2899.518</v>
      </c>
      <c r="H11" t="s">
        <v>8</v>
      </c>
      <c r="I11" s="16">
        <v>2521.3200000000002</v>
      </c>
    </row>
    <row r="12" spans="1:9" x14ac:dyDescent="0.3">
      <c r="A12" s="1">
        <v>46138</v>
      </c>
      <c r="B12">
        <v>120</v>
      </c>
      <c r="C12" t="s">
        <v>466</v>
      </c>
      <c r="D12" t="s">
        <v>169</v>
      </c>
      <c r="E12" t="s">
        <v>179</v>
      </c>
      <c r="F12" t="s">
        <v>180</v>
      </c>
      <c r="G12" s="16">
        <v>4056.1948000000002</v>
      </c>
      <c r="H12" t="s">
        <v>8</v>
      </c>
      <c r="I12" s="16">
        <v>3527.1260000000002</v>
      </c>
    </row>
    <row r="13" spans="1:9" x14ac:dyDescent="0.3">
      <c r="A13" s="1">
        <v>46139</v>
      </c>
      <c r="B13">
        <v>119</v>
      </c>
      <c r="C13" t="s">
        <v>480</v>
      </c>
      <c r="D13" t="s">
        <v>169</v>
      </c>
      <c r="E13" t="s">
        <v>179</v>
      </c>
      <c r="F13" t="s">
        <v>180</v>
      </c>
      <c r="G13" s="16">
        <v>1562.1232</v>
      </c>
      <c r="H13" t="s">
        <v>8</v>
      </c>
      <c r="I13" s="16">
        <v>1358.3679999999999</v>
      </c>
    </row>
    <row r="14" spans="1:9" x14ac:dyDescent="0.3">
      <c r="A14" s="1">
        <v>46141</v>
      </c>
      <c r="B14">
        <v>117</v>
      </c>
      <c r="C14" t="s">
        <v>499</v>
      </c>
      <c r="D14" t="s">
        <v>169</v>
      </c>
      <c r="E14" t="s">
        <v>179</v>
      </c>
      <c r="F14" t="s">
        <v>180</v>
      </c>
      <c r="G14" s="16">
        <v>825.44010000000003</v>
      </c>
      <c r="H14" t="s">
        <v>8</v>
      </c>
      <c r="I14" s="16">
        <v>717.774</v>
      </c>
    </row>
    <row r="15" spans="1:9" x14ac:dyDescent="0.3">
      <c r="A15" s="1">
        <v>46144</v>
      </c>
      <c r="B15">
        <v>114</v>
      </c>
      <c r="C15" t="s">
        <v>529</v>
      </c>
      <c r="D15" t="s">
        <v>38</v>
      </c>
      <c r="E15" t="s">
        <v>75</v>
      </c>
      <c r="F15" t="s">
        <v>76</v>
      </c>
      <c r="G15" s="16">
        <v>72058.98</v>
      </c>
      <c r="H15" t="s">
        <v>8</v>
      </c>
      <c r="I15" s="16">
        <v>62659.98</v>
      </c>
    </row>
    <row r="16" spans="1:9" x14ac:dyDescent="0.3">
      <c r="A16" s="1">
        <v>46145</v>
      </c>
      <c r="B16">
        <v>113</v>
      </c>
      <c r="C16" t="s">
        <v>557</v>
      </c>
      <c r="D16" t="s">
        <v>169</v>
      </c>
      <c r="E16" t="s">
        <v>179</v>
      </c>
      <c r="F16" t="s">
        <v>180</v>
      </c>
      <c r="G16" s="16">
        <v>2565.0774000000001</v>
      </c>
      <c r="H16" t="s">
        <v>8</v>
      </c>
      <c r="I16" s="16">
        <v>2230.502</v>
      </c>
    </row>
    <row r="17" spans="1:9" x14ac:dyDescent="0.3">
      <c r="A17" s="1">
        <v>46148</v>
      </c>
      <c r="B17">
        <v>110</v>
      </c>
      <c r="C17" t="s">
        <v>630</v>
      </c>
      <c r="D17" t="s">
        <v>169</v>
      </c>
      <c r="E17" t="s">
        <v>179</v>
      </c>
      <c r="F17" t="s">
        <v>180</v>
      </c>
      <c r="G17" s="16">
        <v>1464.4905000000001</v>
      </c>
      <c r="H17" t="s">
        <v>8</v>
      </c>
      <c r="I17" s="16">
        <v>1273.47</v>
      </c>
    </row>
    <row r="18" spans="1:9" x14ac:dyDescent="0.3">
      <c r="A18" s="1">
        <v>46148</v>
      </c>
      <c r="B18">
        <v>110</v>
      </c>
      <c r="C18" t="s">
        <v>650</v>
      </c>
      <c r="D18" t="s">
        <v>38</v>
      </c>
      <c r="E18" t="s">
        <v>648</v>
      </c>
      <c r="F18" t="s">
        <v>649</v>
      </c>
      <c r="G18" s="16">
        <v>2553</v>
      </c>
      <c r="H18" t="s">
        <v>8</v>
      </c>
      <c r="I18" s="16">
        <v>2220</v>
      </c>
    </row>
    <row r="19" spans="1:9" x14ac:dyDescent="0.3">
      <c r="A19" s="1">
        <v>46149</v>
      </c>
      <c r="B19">
        <v>109</v>
      </c>
      <c r="C19" t="s">
        <v>2471</v>
      </c>
      <c r="D19" t="s">
        <v>2460</v>
      </c>
      <c r="E19" t="s">
        <v>2472</v>
      </c>
      <c r="F19" t="s">
        <v>2473</v>
      </c>
      <c r="G19" s="16">
        <v>367.90800000000002</v>
      </c>
      <c r="H19" t="s">
        <v>8</v>
      </c>
      <c r="I19" s="16">
        <v>319.92</v>
      </c>
    </row>
    <row r="20" spans="1:9" x14ac:dyDescent="0.3">
      <c r="A20" s="1">
        <v>46152</v>
      </c>
      <c r="B20">
        <v>106</v>
      </c>
      <c r="C20" t="s">
        <v>790</v>
      </c>
      <c r="D20" t="s">
        <v>38</v>
      </c>
      <c r="E20" t="s">
        <v>788</v>
      </c>
      <c r="F20" t="s">
        <v>789</v>
      </c>
      <c r="G20" s="16">
        <v>244.76599999999999</v>
      </c>
      <c r="H20" t="s">
        <v>8</v>
      </c>
      <c r="I20" s="16">
        <v>212.84</v>
      </c>
    </row>
    <row r="21" spans="1:9" x14ac:dyDescent="0.3">
      <c r="A21" s="1">
        <v>46153</v>
      </c>
      <c r="B21">
        <v>105</v>
      </c>
      <c r="C21" t="s">
        <v>897</v>
      </c>
      <c r="D21" t="s">
        <v>169</v>
      </c>
      <c r="E21" t="s">
        <v>179</v>
      </c>
      <c r="F21" t="s">
        <v>180</v>
      </c>
      <c r="G21" s="16">
        <v>2485.1959999999999</v>
      </c>
      <c r="H21" t="s">
        <v>8</v>
      </c>
      <c r="I21" s="16">
        <v>2161.04</v>
      </c>
    </row>
    <row r="22" spans="1:9" x14ac:dyDescent="0.3">
      <c r="A22" s="1">
        <v>46153</v>
      </c>
      <c r="B22">
        <v>105</v>
      </c>
      <c r="C22" t="s">
        <v>11246</v>
      </c>
      <c r="D22" t="s">
        <v>10</v>
      </c>
      <c r="E22" t="s">
        <v>923</v>
      </c>
      <c r="F22" t="s">
        <v>924</v>
      </c>
      <c r="G22" s="16">
        <v>4867.6187</v>
      </c>
      <c r="H22" t="s">
        <v>8</v>
      </c>
      <c r="I22" s="16">
        <v>4232.7120000000004</v>
      </c>
    </row>
    <row r="23" spans="1:9" x14ac:dyDescent="0.3">
      <c r="A23" s="1">
        <v>46154</v>
      </c>
      <c r="B23">
        <v>104</v>
      </c>
      <c r="C23" t="s">
        <v>928</v>
      </c>
      <c r="D23" t="s">
        <v>10</v>
      </c>
      <c r="E23" t="s">
        <v>14</v>
      </c>
      <c r="F23" t="s">
        <v>15</v>
      </c>
      <c r="G23" s="16">
        <v>19533.324000000001</v>
      </c>
      <c r="H23" t="s">
        <v>8</v>
      </c>
      <c r="I23" s="16">
        <v>16985.5</v>
      </c>
    </row>
    <row r="24" spans="1:9" x14ac:dyDescent="0.3">
      <c r="A24" s="1">
        <v>46155</v>
      </c>
      <c r="B24">
        <v>103</v>
      </c>
      <c r="C24" t="s">
        <v>1747</v>
      </c>
      <c r="D24" t="s">
        <v>10</v>
      </c>
      <c r="E24" t="s">
        <v>854</v>
      </c>
      <c r="F24" t="s">
        <v>855</v>
      </c>
      <c r="G24" s="16">
        <v>14804.808000000001</v>
      </c>
      <c r="H24" t="s">
        <v>8</v>
      </c>
      <c r="I24" s="16">
        <v>12873.745999999999</v>
      </c>
    </row>
    <row r="25" spans="1:9" x14ac:dyDescent="0.3">
      <c r="A25" s="1">
        <v>46157</v>
      </c>
      <c r="B25">
        <v>101</v>
      </c>
      <c r="C25" t="s">
        <v>1862</v>
      </c>
      <c r="D25" t="s">
        <v>10</v>
      </c>
      <c r="E25" t="s">
        <v>1860</v>
      </c>
      <c r="F25" t="s">
        <v>1861</v>
      </c>
      <c r="G25" s="16">
        <v>443.9</v>
      </c>
      <c r="H25" t="s">
        <v>8</v>
      </c>
      <c r="I25" s="16">
        <v>386</v>
      </c>
    </row>
    <row r="26" spans="1:9" x14ac:dyDescent="0.3">
      <c r="A26" s="1">
        <v>46157</v>
      </c>
      <c r="B26">
        <v>101</v>
      </c>
      <c r="C26" t="s">
        <v>1832</v>
      </c>
      <c r="D26" t="s">
        <v>10</v>
      </c>
      <c r="E26" t="s">
        <v>1830</v>
      </c>
      <c r="F26" t="s">
        <v>1831</v>
      </c>
      <c r="G26" s="16">
        <v>9935.9969999999994</v>
      </c>
      <c r="H26" t="s">
        <v>8</v>
      </c>
      <c r="I26" s="16">
        <v>8639.9969999999994</v>
      </c>
    </row>
    <row r="27" spans="1:9" x14ac:dyDescent="0.3">
      <c r="A27" s="1">
        <v>46157</v>
      </c>
      <c r="B27">
        <v>101</v>
      </c>
      <c r="C27" t="s">
        <v>1868</v>
      </c>
      <c r="D27" t="s">
        <v>10</v>
      </c>
      <c r="E27" t="s">
        <v>1866</v>
      </c>
      <c r="F27" t="s">
        <v>1867</v>
      </c>
      <c r="G27" s="16">
        <v>1817.529</v>
      </c>
      <c r="H27" t="s">
        <v>8</v>
      </c>
      <c r="I27" s="16">
        <v>1580.46</v>
      </c>
    </row>
    <row r="28" spans="1:9" x14ac:dyDescent="0.3">
      <c r="A28" s="1">
        <v>46158</v>
      </c>
      <c r="B28">
        <v>100</v>
      </c>
      <c r="C28" t="s">
        <v>1904</v>
      </c>
      <c r="D28" t="s">
        <v>10</v>
      </c>
      <c r="E28" t="s">
        <v>854</v>
      </c>
      <c r="F28" t="s">
        <v>855</v>
      </c>
      <c r="G28" s="16">
        <v>30351.083999999999</v>
      </c>
      <c r="H28" t="s">
        <v>8</v>
      </c>
      <c r="I28" s="16">
        <v>26587.898000000001</v>
      </c>
    </row>
    <row r="29" spans="1:9" x14ac:dyDescent="0.3">
      <c r="A29" s="1">
        <v>46158</v>
      </c>
      <c r="B29">
        <v>100</v>
      </c>
      <c r="C29" t="s">
        <v>1890</v>
      </c>
      <c r="D29" t="s">
        <v>10</v>
      </c>
      <c r="E29" t="s">
        <v>148</v>
      </c>
      <c r="F29" t="s">
        <v>149</v>
      </c>
      <c r="G29" s="16">
        <v>1584.24</v>
      </c>
      <c r="H29" t="s">
        <v>8</v>
      </c>
      <c r="I29" s="16">
        <v>1377.6</v>
      </c>
    </row>
    <row r="30" spans="1:9" x14ac:dyDescent="0.3">
      <c r="A30" s="1">
        <v>46159</v>
      </c>
      <c r="B30">
        <v>99</v>
      </c>
      <c r="C30" t="s">
        <v>1935</v>
      </c>
      <c r="D30" t="s">
        <v>10</v>
      </c>
      <c r="E30" t="s">
        <v>1707</v>
      </c>
      <c r="F30" t="s">
        <v>1708</v>
      </c>
      <c r="G30" s="16">
        <v>8902.6560000000009</v>
      </c>
      <c r="H30" t="s">
        <v>8</v>
      </c>
      <c r="I30" s="16">
        <v>7741.44</v>
      </c>
    </row>
    <row r="31" spans="1:9" x14ac:dyDescent="0.3">
      <c r="A31" s="1">
        <v>46160</v>
      </c>
      <c r="B31">
        <v>98</v>
      </c>
      <c r="C31" t="s">
        <v>1980</v>
      </c>
      <c r="D31" t="s">
        <v>10</v>
      </c>
      <c r="E31" t="s">
        <v>1866</v>
      </c>
      <c r="F31" t="s">
        <v>1867</v>
      </c>
      <c r="G31" s="16">
        <v>1582.377</v>
      </c>
      <c r="H31" t="s">
        <v>8</v>
      </c>
      <c r="I31" s="16">
        <v>1375.98</v>
      </c>
    </row>
    <row r="32" spans="1:9" x14ac:dyDescent="0.3">
      <c r="A32" s="1">
        <v>46160</v>
      </c>
      <c r="B32">
        <v>98</v>
      </c>
      <c r="C32" t="s">
        <v>1957</v>
      </c>
      <c r="D32" t="s">
        <v>10</v>
      </c>
      <c r="E32" t="s">
        <v>843</v>
      </c>
      <c r="F32" t="s">
        <v>844</v>
      </c>
      <c r="G32" s="16">
        <v>20669.8</v>
      </c>
      <c r="H32" t="s">
        <v>8</v>
      </c>
      <c r="I32" s="16">
        <v>17973.740000000002</v>
      </c>
    </row>
    <row r="33" spans="1:9" x14ac:dyDescent="0.3">
      <c r="A33" s="1">
        <v>46163</v>
      </c>
      <c r="B33">
        <v>95</v>
      </c>
      <c r="C33" t="s">
        <v>2182</v>
      </c>
      <c r="D33" t="s">
        <v>10</v>
      </c>
      <c r="E33" t="s">
        <v>854</v>
      </c>
      <c r="F33" t="s">
        <v>855</v>
      </c>
      <c r="G33" s="16">
        <v>18363.7</v>
      </c>
      <c r="H33" t="s">
        <v>8</v>
      </c>
      <c r="I33" s="16">
        <v>18363.7</v>
      </c>
    </row>
    <row r="34" spans="1:9" x14ac:dyDescent="0.3">
      <c r="A34" s="1">
        <v>46163</v>
      </c>
      <c r="B34">
        <v>95</v>
      </c>
      <c r="C34" t="s">
        <v>2155</v>
      </c>
      <c r="D34" t="s">
        <v>10</v>
      </c>
      <c r="E34" t="s">
        <v>854</v>
      </c>
      <c r="F34" t="s">
        <v>855</v>
      </c>
      <c r="G34" s="16">
        <v>5098.8950000000004</v>
      </c>
      <c r="H34" t="s">
        <v>8</v>
      </c>
      <c r="I34" s="16">
        <v>4967.2259999999997</v>
      </c>
    </row>
    <row r="35" spans="1:9" x14ac:dyDescent="0.3">
      <c r="A35" s="1">
        <v>46164</v>
      </c>
      <c r="B35">
        <v>94</v>
      </c>
      <c r="C35" t="s">
        <v>2189</v>
      </c>
      <c r="D35" t="s">
        <v>10</v>
      </c>
      <c r="E35" t="s">
        <v>2190</v>
      </c>
      <c r="F35" t="s">
        <v>2191</v>
      </c>
      <c r="G35" s="16">
        <v>3309.6147000000001</v>
      </c>
      <c r="H35" t="s">
        <v>8</v>
      </c>
      <c r="I35" s="16">
        <v>3309.6147000000001</v>
      </c>
    </row>
    <row r="36" spans="1:9" x14ac:dyDescent="0.3">
      <c r="A36" s="1">
        <v>46164</v>
      </c>
      <c r="B36">
        <v>94</v>
      </c>
      <c r="C36" t="s">
        <v>2177</v>
      </c>
      <c r="D36" t="s">
        <v>10</v>
      </c>
      <c r="E36" t="s">
        <v>854</v>
      </c>
      <c r="F36" t="s">
        <v>855</v>
      </c>
      <c r="G36" s="16">
        <v>4824.6147000000001</v>
      </c>
      <c r="H36" t="s">
        <v>8</v>
      </c>
      <c r="I36" s="16">
        <v>4812.3516</v>
      </c>
    </row>
    <row r="37" spans="1:9" x14ac:dyDescent="0.3">
      <c r="A37" s="1">
        <v>46165</v>
      </c>
      <c r="B37">
        <v>93</v>
      </c>
      <c r="C37" t="s">
        <v>2228</v>
      </c>
      <c r="D37" t="s">
        <v>10</v>
      </c>
      <c r="E37" t="s">
        <v>856</v>
      </c>
      <c r="F37" t="s">
        <v>857</v>
      </c>
      <c r="G37" s="16">
        <v>10504.1</v>
      </c>
      <c r="H37" t="s">
        <v>8</v>
      </c>
      <c r="I37" s="16">
        <v>9134</v>
      </c>
    </row>
    <row r="38" spans="1:9" x14ac:dyDescent="0.3">
      <c r="A38" s="1">
        <v>46165</v>
      </c>
      <c r="B38">
        <v>93</v>
      </c>
      <c r="C38" t="s">
        <v>2226</v>
      </c>
      <c r="D38" t="s">
        <v>10</v>
      </c>
      <c r="E38" t="s">
        <v>937</v>
      </c>
      <c r="F38" t="s">
        <v>938</v>
      </c>
      <c r="G38" s="16">
        <v>3628.9512</v>
      </c>
      <c r="H38" t="s">
        <v>8</v>
      </c>
      <c r="I38" s="16">
        <v>3155.6095999999998</v>
      </c>
    </row>
    <row r="39" spans="1:9" x14ac:dyDescent="0.3">
      <c r="A39" s="1">
        <v>46165</v>
      </c>
      <c r="B39">
        <v>93</v>
      </c>
      <c r="C39" t="s">
        <v>2223</v>
      </c>
      <c r="D39" t="s">
        <v>10</v>
      </c>
      <c r="E39" t="s">
        <v>919</v>
      </c>
      <c r="F39" t="s">
        <v>920</v>
      </c>
      <c r="G39" s="16">
        <v>1430.7633000000001</v>
      </c>
      <c r="H39" t="s">
        <v>8</v>
      </c>
      <c r="I39" s="16">
        <v>1244.1420000000001</v>
      </c>
    </row>
    <row r="40" spans="1:9" x14ac:dyDescent="0.3">
      <c r="A40" s="1">
        <v>46165</v>
      </c>
      <c r="B40">
        <v>93</v>
      </c>
      <c r="C40" t="s">
        <v>2231</v>
      </c>
      <c r="D40" t="s">
        <v>10</v>
      </c>
      <c r="E40" t="s">
        <v>1621</v>
      </c>
      <c r="F40" t="s">
        <v>1622</v>
      </c>
      <c r="G40" s="16">
        <v>9697.3520000000008</v>
      </c>
      <c r="H40" t="s">
        <v>8</v>
      </c>
      <c r="I40" s="16">
        <v>8432.48</v>
      </c>
    </row>
    <row r="41" spans="1:9" x14ac:dyDescent="0.3">
      <c r="A41" s="1">
        <v>46166</v>
      </c>
      <c r="B41">
        <v>92</v>
      </c>
      <c r="C41" t="s">
        <v>2418</v>
      </c>
      <c r="D41" t="s">
        <v>169</v>
      </c>
      <c r="E41" t="s">
        <v>179</v>
      </c>
      <c r="F41" t="s">
        <v>180</v>
      </c>
      <c r="G41" s="16">
        <v>1828.3942</v>
      </c>
      <c r="H41" t="s">
        <v>8</v>
      </c>
      <c r="I41" s="16">
        <v>1589.9079999999999</v>
      </c>
    </row>
    <row r="42" spans="1:9" x14ac:dyDescent="0.3">
      <c r="A42" s="1">
        <v>46167</v>
      </c>
      <c r="B42">
        <v>91</v>
      </c>
      <c r="C42" t="s">
        <v>2455</v>
      </c>
      <c r="D42" t="s">
        <v>10</v>
      </c>
      <c r="E42" t="s">
        <v>804</v>
      </c>
      <c r="F42" t="s">
        <v>805</v>
      </c>
      <c r="G42" s="16">
        <v>7637.8789999999999</v>
      </c>
      <c r="H42" t="s">
        <v>8</v>
      </c>
      <c r="I42" s="16">
        <v>6641.634</v>
      </c>
    </row>
    <row r="43" spans="1:9" x14ac:dyDescent="0.3">
      <c r="A43" s="1">
        <v>46167</v>
      </c>
      <c r="B43">
        <v>91</v>
      </c>
      <c r="C43" t="s">
        <v>2444</v>
      </c>
      <c r="D43" t="s">
        <v>10</v>
      </c>
      <c r="E43" t="s">
        <v>923</v>
      </c>
      <c r="F43" t="s">
        <v>924</v>
      </c>
      <c r="G43" s="16">
        <v>12317.954</v>
      </c>
      <c r="H43" t="s">
        <v>8</v>
      </c>
      <c r="I43" s="16">
        <v>10711.264999999999</v>
      </c>
    </row>
    <row r="44" spans="1:9" x14ac:dyDescent="0.3">
      <c r="A44" s="1">
        <v>46167</v>
      </c>
      <c r="B44">
        <v>91</v>
      </c>
      <c r="C44" t="s">
        <v>2485</v>
      </c>
      <c r="D44" t="s">
        <v>10</v>
      </c>
      <c r="E44" t="s">
        <v>2486</v>
      </c>
      <c r="F44" t="s">
        <v>2487</v>
      </c>
      <c r="G44" s="16">
        <v>4343.3599999999997</v>
      </c>
      <c r="H44" t="s">
        <v>8</v>
      </c>
      <c r="I44" s="16">
        <v>4343.3599999999997</v>
      </c>
    </row>
    <row r="45" spans="1:9" x14ac:dyDescent="0.3">
      <c r="A45" s="1">
        <v>46167</v>
      </c>
      <c r="B45">
        <v>91</v>
      </c>
      <c r="C45" t="s">
        <v>2568</v>
      </c>
      <c r="D45" t="s">
        <v>38</v>
      </c>
      <c r="E45" t="s">
        <v>404</v>
      </c>
      <c r="F45" t="s">
        <v>405</v>
      </c>
      <c r="G45" s="16">
        <v>1247.2094999999999</v>
      </c>
      <c r="H45" t="s">
        <v>8</v>
      </c>
      <c r="I45" s="16">
        <v>1084.53</v>
      </c>
    </row>
    <row r="46" spans="1:9" x14ac:dyDescent="0.3">
      <c r="A46" s="1">
        <v>46168</v>
      </c>
      <c r="B46">
        <v>90</v>
      </c>
      <c r="C46" t="s">
        <v>2695</v>
      </c>
      <c r="D46" t="s">
        <v>10</v>
      </c>
      <c r="E46" t="s">
        <v>14</v>
      </c>
      <c r="F46" t="s">
        <v>15</v>
      </c>
      <c r="G46" s="16">
        <v>3591.5419999999999</v>
      </c>
      <c r="H46" t="s">
        <v>8</v>
      </c>
      <c r="I46" s="16">
        <v>3123.08</v>
      </c>
    </row>
    <row r="47" spans="1:9" x14ac:dyDescent="0.3">
      <c r="A47" s="1">
        <v>46168</v>
      </c>
      <c r="B47">
        <v>90</v>
      </c>
      <c r="C47" t="s">
        <v>2678</v>
      </c>
      <c r="D47" t="s">
        <v>10</v>
      </c>
      <c r="E47" t="s">
        <v>2676</v>
      </c>
      <c r="F47" t="s">
        <v>2677</v>
      </c>
      <c r="G47" s="16">
        <v>5037.1329999999998</v>
      </c>
      <c r="H47" t="s">
        <v>8</v>
      </c>
      <c r="I47" s="16">
        <v>4380.1149999999998</v>
      </c>
    </row>
    <row r="48" spans="1:9" x14ac:dyDescent="0.3">
      <c r="A48" s="1">
        <v>46168</v>
      </c>
      <c r="B48">
        <v>90</v>
      </c>
      <c r="C48" t="s">
        <v>2720</v>
      </c>
      <c r="D48" t="s">
        <v>10</v>
      </c>
      <c r="E48" t="s">
        <v>1866</v>
      </c>
      <c r="F48" t="s">
        <v>1867</v>
      </c>
      <c r="G48" s="16">
        <v>581.34799999999996</v>
      </c>
      <c r="H48" t="s">
        <v>8</v>
      </c>
      <c r="I48" s="16">
        <v>505.52</v>
      </c>
    </row>
    <row r="49" spans="1:9" x14ac:dyDescent="0.3">
      <c r="A49" s="1">
        <v>46168</v>
      </c>
      <c r="B49">
        <v>90</v>
      </c>
      <c r="C49" t="s">
        <v>2684</v>
      </c>
      <c r="D49" t="s">
        <v>38</v>
      </c>
      <c r="E49" t="s">
        <v>75</v>
      </c>
      <c r="F49" t="s">
        <v>76</v>
      </c>
      <c r="G49" s="16">
        <v>22770.004000000001</v>
      </c>
      <c r="H49" t="s">
        <v>8</v>
      </c>
      <c r="I49" s="16">
        <v>19800.002</v>
      </c>
    </row>
    <row r="50" spans="1:9" x14ac:dyDescent="0.3">
      <c r="A50" s="1">
        <v>46168</v>
      </c>
      <c r="B50">
        <v>90</v>
      </c>
      <c r="C50" t="s">
        <v>2703</v>
      </c>
      <c r="D50" t="s">
        <v>10</v>
      </c>
      <c r="E50" t="s">
        <v>55</v>
      </c>
      <c r="F50" t="s">
        <v>56</v>
      </c>
      <c r="G50" s="16">
        <v>494.09750000000003</v>
      </c>
      <c r="H50" t="s">
        <v>8</v>
      </c>
      <c r="I50" s="16">
        <v>429.65</v>
      </c>
    </row>
    <row r="51" spans="1:9" x14ac:dyDescent="0.3">
      <c r="A51" s="1">
        <v>46168</v>
      </c>
      <c r="B51">
        <v>90</v>
      </c>
      <c r="C51" t="s">
        <v>2599</v>
      </c>
      <c r="D51" t="s">
        <v>10</v>
      </c>
      <c r="E51" t="s">
        <v>2597</v>
      </c>
      <c r="F51" t="s">
        <v>2598</v>
      </c>
      <c r="G51" s="16">
        <v>2109.5311999999999</v>
      </c>
      <c r="H51" t="s">
        <v>8</v>
      </c>
      <c r="I51" s="16">
        <v>1834.375</v>
      </c>
    </row>
    <row r="52" spans="1:9" x14ac:dyDescent="0.3">
      <c r="A52" s="1">
        <v>46168</v>
      </c>
      <c r="B52">
        <v>90</v>
      </c>
      <c r="C52" t="s">
        <v>2729</v>
      </c>
      <c r="D52" t="s">
        <v>10</v>
      </c>
      <c r="E52" t="s">
        <v>2302</v>
      </c>
      <c r="F52" t="s">
        <v>2303</v>
      </c>
      <c r="G52" s="16">
        <v>651.11850000000004</v>
      </c>
      <c r="H52" t="s">
        <v>8</v>
      </c>
      <c r="I52" s="16">
        <v>566.19000000000005</v>
      </c>
    </row>
    <row r="53" spans="1:9" x14ac:dyDescent="0.3">
      <c r="A53" s="1">
        <v>46169</v>
      </c>
      <c r="B53">
        <v>89</v>
      </c>
      <c r="C53" t="s">
        <v>2754</v>
      </c>
      <c r="D53" t="s">
        <v>10</v>
      </c>
      <c r="E53" t="s">
        <v>2752</v>
      </c>
      <c r="F53" t="s">
        <v>2753</v>
      </c>
      <c r="G53" s="16">
        <v>1028.0769</v>
      </c>
      <c r="H53" t="s">
        <v>8</v>
      </c>
      <c r="I53" s="16">
        <v>893.98</v>
      </c>
    </row>
    <row r="54" spans="1:9" x14ac:dyDescent="0.3">
      <c r="A54" s="1">
        <v>46169</v>
      </c>
      <c r="B54">
        <v>89</v>
      </c>
      <c r="C54" t="s">
        <v>2806</v>
      </c>
      <c r="D54" t="s">
        <v>10</v>
      </c>
      <c r="E54" t="s">
        <v>2804</v>
      </c>
      <c r="F54" t="s">
        <v>2805</v>
      </c>
      <c r="G54" s="16">
        <v>4970.9040000000005</v>
      </c>
      <c r="H54" t="s">
        <v>8</v>
      </c>
      <c r="I54" s="16">
        <v>4322.5249999999996</v>
      </c>
    </row>
    <row r="55" spans="1:9" x14ac:dyDescent="0.3">
      <c r="A55" s="1">
        <v>46169</v>
      </c>
      <c r="B55">
        <v>89</v>
      </c>
      <c r="C55" t="s">
        <v>2785</v>
      </c>
      <c r="D55" t="s">
        <v>10</v>
      </c>
      <c r="E55" t="s">
        <v>253</v>
      </c>
      <c r="F55" t="s">
        <v>254</v>
      </c>
      <c r="G55" s="16">
        <v>1991</v>
      </c>
      <c r="H55" t="s">
        <v>8</v>
      </c>
      <c r="I55" s="16">
        <v>1731.3043</v>
      </c>
    </row>
    <row r="56" spans="1:9" x14ac:dyDescent="0.3">
      <c r="A56" s="1">
        <v>46169</v>
      </c>
      <c r="B56">
        <v>89</v>
      </c>
      <c r="C56" t="s">
        <v>2795</v>
      </c>
      <c r="D56" t="s">
        <v>10</v>
      </c>
      <c r="E56" t="s">
        <v>2273</v>
      </c>
      <c r="F56" t="s">
        <v>2274</v>
      </c>
      <c r="G56" s="16">
        <v>5055.5739999999996</v>
      </c>
      <c r="H56" t="s">
        <v>8</v>
      </c>
      <c r="I56" s="16">
        <v>4396.152</v>
      </c>
    </row>
    <row r="57" spans="1:9" x14ac:dyDescent="0.3">
      <c r="A57" s="1">
        <v>46169</v>
      </c>
      <c r="B57">
        <v>89</v>
      </c>
      <c r="C57" t="s">
        <v>2764</v>
      </c>
      <c r="D57" t="s">
        <v>10</v>
      </c>
      <c r="E57" t="s">
        <v>2762</v>
      </c>
      <c r="F57" t="s">
        <v>2763</v>
      </c>
      <c r="G57" s="16">
        <v>11723.904</v>
      </c>
      <c r="H57" t="s">
        <v>8</v>
      </c>
      <c r="I57" s="16">
        <v>10194.700000000001</v>
      </c>
    </row>
    <row r="58" spans="1:9" x14ac:dyDescent="0.3">
      <c r="A58" s="1">
        <v>46170</v>
      </c>
      <c r="B58">
        <v>88</v>
      </c>
      <c r="C58" t="s">
        <v>2870</v>
      </c>
      <c r="D58" t="s">
        <v>10</v>
      </c>
      <c r="E58" t="s">
        <v>856</v>
      </c>
      <c r="F58" t="s">
        <v>857</v>
      </c>
      <c r="G58" s="16">
        <v>12517.75</v>
      </c>
      <c r="H58" t="s">
        <v>8</v>
      </c>
      <c r="I58" s="16">
        <v>10885</v>
      </c>
    </row>
    <row r="59" spans="1:9" x14ac:dyDescent="0.3">
      <c r="A59" s="1">
        <v>46170</v>
      </c>
      <c r="B59">
        <v>88</v>
      </c>
      <c r="C59" t="s">
        <v>2863</v>
      </c>
      <c r="D59" t="s">
        <v>10</v>
      </c>
      <c r="E59" t="s">
        <v>2861</v>
      </c>
      <c r="F59" t="s">
        <v>2862</v>
      </c>
      <c r="G59" s="16">
        <v>1421.4</v>
      </c>
      <c r="H59" t="s">
        <v>8</v>
      </c>
      <c r="I59" s="16">
        <v>1236</v>
      </c>
    </row>
    <row r="60" spans="1:9" x14ac:dyDescent="0.3">
      <c r="A60" s="1">
        <v>46172</v>
      </c>
      <c r="B60">
        <v>86</v>
      </c>
      <c r="C60" t="s">
        <v>3137</v>
      </c>
      <c r="D60" t="s">
        <v>10</v>
      </c>
      <c r="E60" t="s">
        <v>2324</v>
      </c>
      <c r="F60" t="s">
        <v>2325</v>
      </c>
      <c r="G60" s="16">
        <v>280.42750000000001</v>
      </c>
      <c r="H60" t="s">
        <v>8</v>
      </c>
      <c r="I60" s="16">
        <v>243.85</v>
      </c>
    </row>
    <row r="61" spans="1:9" x14ac:dyDescent="0.3">
      <c r="A61" s="1">
        <v>46172</v>
      </c>
      <c r="B61">
        <v>86</v>
      </c>
      <c r="C61" t="s">
        <v>3052</v>
      </c>
      <c r="D61" t="s">
        <v>10</v>
      </c>
      <c r="E61" t="s">
        <v>3050</v>
      </c>
      <c r="F61" t="s">
        <v>3051</v>
      </c>
      <c r="G61" s="16">
        <v>90.001499999999993</v>
      </c>
      <c r="H61" t="s">
        <v>8</v>
      </c>
      <c r="I61" s="16">
        <v>78.262169999999998</v>
      </c>
    </row>
    <row r="62" spans="1:9" x14ac:dyDescent="0.3">
      <c r="A62" s="1">
        <v>46172</v>
      </c>
      <c r="B62">
        <v>86</v>
      </c>
      <c r="C62" t="s">
        <v>3062</v>
      </c>
      <c r="D62" t="s">
        <v>10</v>
      </c>
      <c r="E62" t="s">
        <v>41</v>
      </c>
      <c r="F62" t="s">
        <v>42</v>
      </c>
      <c r="G62" s="16">
        <v>134.35757000000001</v>
      </c>
      <c r="H62" t="s">
        <v>8</v>
      </c>
      <c r="I62" s="16">
        <v>116.83266999999999</v>
      </c>
    </row>
    <row r="63" spans="1:9" x14ac:dyDescent="0.3">
      <c r="A63" s="1">
        <v>46172</v>
      </c>
      <c r="B63">
        <v>86</v>
      </c>
      <c r="C63" t="s">
        <v>3130</v>
      </c>
      <c r="D63" t="s">
        <v>10</v>
      </c>
      <c r="E63" t="s">
        <v>2676</v>
      </c>
      <c r="F63" t="s">
        <v>2677</v>
      </c>
      <c r="G63" s="16">
        <v>14.95</v>
      </c>
      <c r="H63" t="s">
        <v>8</v>
      </c>
      <c r="I63" s="16">
        <v>13</v>
      </c>
    </row>
    <row r="64" spans="1:9" x14ac:dyDescent="0.3">
      <c r="A64" s="1">
        <v>46172</v>
      </c>
      <c r="B64">
        <v>86</v>
      </c>
      <c r="C64" t="s">
        <v>3008</v>
      </c>
      <c r="D64" t="s">
        <v>10</v>
      </c>
      <c r="E64" t="s">
        <v>804</v>
      </c>
      <c r="F64" t="s">
        <v>805</v>
      </c>
      <c r="G64" s="16">
        <v>4.8070000000000004</v>
      </c>
      <c r="H64" t="s">
        <v>8</v>
      </c>
      <c r="I64" s="16">
        <v>4.18</v>
      </c>
    </row>
    <row r="65" spans="1:9" x14ac:dyDescent="0.3">
      <c r="A65" s="1">
        <v>46172</v>
      </c>
      <c r="B65">
        <v>86</v>
      </c>
      <c r="C65" t="s">
        <v>2929</v>
      </c>
      <c r="D65" t="s">
        <v>10</v>
      </c>
      <c r="E65" t="s">
        <v>843</v>
      </c>
      <c r="F65" t="s">
        <v>844</v>
      </c>
      <c r="G65" s="16">
        <v>9920.1299999999992</v>
      </c>
      <c r="H65" t="s">
        <v>8</v>
      </c>
      <c r="I65" s="16">
        <v>8626.2000000000007</v>
      </c>
    </row>
    <row r="66" spans="1:9" x14ac:dyDescent="0.3">
      <c r="A66" s="1">
        <v>46172</v>
      </c>
      <c r="B66">
        <v>86</v>
      </c>
      <c r="C66" t="s">
        <v>3092</v>
      </c>
      <c r="D66" t="s">
        <v>10</v>
      </c>
      <c r="E66" t="s">
        <v>2302</v>
      </c>
      <c r="F66" t="s">
        <v>2303</v>
      </c>
      <c r="G66" s="16">
        <v>10.763999999999999</v>
      </c>
      <c r="H66" t="s">
        <v>8</v>
      </c>
      <c r="I66" s="16">
        <v>9.36</v>
      </c>
    </row>
    <row r="67" spans="1:9" x14ac:dyDescent="0.3">
      <c r="A67" s="1">
        <v>46172</v>
      </c>
      <c r="B67">
        <v>86</v>
      </c>
      <c r="C67" t="s">
        <v>2937</v>
      </c>
      <c r="D67" t="s">
        <v>10</v>
      </c>
      <c r="E67" t="s">
        <v>856</v>
      </c>
      <c r="F67" t="s">
        <v>857</v>
      </c>
      <c r="G67" s="16">
        <v>67.849999999999994</v>
      </c>
      <c r="H67" t="s">
        <v>8</v>
      </c>
      <c r="I67" s="16">
        <v>59</v>
      </c>
    </row>
    <row r="68" spans="1:9" x14ac:dyDescent="0.3">
      <c r="A68" s="1">
        <v>46172</v>
      </c>
      <c r="B68">
        <v>86</v>
      </c>
      <c r="C68" t="s">
        <v>2928</v>
      </c>
      <c r="D68" t="s">
        <v>10</v>
      </c>
      <c r="E68" t="s">
        <v>1707</v>
      </c>
      <c r="F68" t="s">
        <v>1708</v>
      </c>
      <c r="G68" s="16">
        <v>1099.883</v>
      </c>
      <c r="H68" t="s">
        <v>8</v>
      </c>
      <c r="I68" s="16">
        <v>956.42</v>
      </c>
    </row>
    <row r="69" spans="1:9" x14ac:dyDescent="0.3">
      <c r="A69" s="1">
        <v>46172</v>
      </c>
      <c r="B69">
        <v>86</v>
      </c>
      <c r="C69" t="s">
        <v>3038</v>
      </c>
      <c r="D69" t="s">
        <v>38</v>
      </c>
      <c r="E69" t="s">
        <v>253</v>
      </c>
      <c r="F69" t="s">
        <v>254</v>
      </c>
      <c r="G69" s="16">
        <v>1229.3499999999999</v>
      </c>
      <c r="H69" t="s">
        <v>8</v>
      </c>
      <c r="I69" s="16">
        <v>1069</v>
      </c>
    </row>
    <row r="70" spans="1:9" x14ac:dyDescent="0.3">
      <c r="A70" s="1">
        <v>46172</v>
      </c>
      <c r="B70">
        <v>86</v>
      </c>
      <c r="C70" t="s">
        <v>2959</v>
      </c>
      <c r="D70" t="s">
        <v>10</v>
      </c>
      <c r="E70" t="s">
        <v>1860</v>
      </c>
      <c r="F70" t="s">
        <v>1861</v>
      </c>
      <c r="G70" s="16">
        <v>241.38499999999999</v>
      </c>
      <c r="H70" t="s">
        <v>8</v>
      </c>
      <c r="I70" s="16">
        <v>209.9</v>
      </c>
    </row>
    <row r="71" spans="1:9" x14ac:dyDescent="0.3">
      <c r="A71" s="1">
        <v>46172</v>
      </c>
      <c r="B71">
        <v>86</v>
      </c>
      <c r="C71" t="s">
        <v>3034</v>
      </c>
      <c r="D71" t="s">
        <v>10</v>
      </c>
      <c r="E71" t="s">
        <v>2324</v>
      </c>
      <c r="F71" t="s">
        <v>2325</v>
      </c>
      <c r="G71" s="16">
        <v>1183.81</v>
      </c>
      <c r="H71" t="s">
        <v>8</v>
      </c>
      <c r="I71" s="16">
        <v>1029.4000000000001</v>
      </c>
    </row>
    <row r="72" spans="1:9" x14ac:dyDescent="0.3">
      <c r="A72" s="1">
        <v>46172</v>
      </c>
      <c r="B72">
        <v>86</v>
      </c>
      <c r="C72" t="s">
        <v>3011</v>
      </c>
      <c r="D72" t="s">
        <v>10</v>
      </c>
      <c r="E72" t="s">
        <v>102</v>
      </c>
      <c r="F72" t="s">
        <v>103</v>
      </c>
      <c r="G72" s="16">
        <v>196.5925</v>
      </c>
      <c r="H72" t="s">
        <v>8</v>
      </c>
      <c r="I72" s="16">
        <v>170.95</v>
      </c>
    </row>
    <row r="73" spans="1:9" x14ac:dyDescent="0.3">
      <c r="A73" s="1">
        <v>46172</v>
      </c>
      <c r="B73">
        <v>86</v>
      </c>
      <c r="C73" t="s">
        <v>3113</v>
      </c>
      <c r="D73" t="s">
        <v>10</v>
      </c>
      <c r="E73" t="s">
        <v>3114</v>
      </c>
      <c r="F73" t="s">
        <v>3115</v>
      </c>
      <c r="G73" s="16">
        <v>957.24850000000004</v>
      </c>
      <c r="H73" t="s">
        <v>8</v>
      </c>
      <c r="I73" s="16">
        <v>832.39</v>
      </c>
    </row>
    <row r="74" spans="1:9" x14ac:dyDescent="0.3">
      <c r="A74" s="1">
        <v>46172</v>
      </c>
      <c r="B74">
        <v>86</v>
      </c>
      <c r="C74" t="s">
        <v>3089</v>
      </c>
      <c r="D74" t="s">
        <v>10</v>
      </c>
      <c r="E74" t="s">
        <v>3090</v>
      </c>
      <c r="F74" t="s">
        <v>3091</v>
      </c>
      <c r="G74" s="16">
        <v>829.58356000000003</v>
      </c>
      <c r="H74" t="s">
        <v>8</v>
      </c>
      <c r="I74" s="16">
        <v>721.37699999999995</v>
      </c>
    </row>
    <row r="75" spans="1:9" x14ac:dyDescent="0.3">
      <c r="A75" s="1">
        <v>46172</v>
      </c>
      <c r="B75">
        <v>86</v>
      </c>
      <c r="C75" t="s">
        <v>3094</v>
      </c>
      <c r="D75" t="s">
        <v>10</v>
      </c>
      <c r="E75" t="s">
        <v>788</v>
      </c>
      <c r="F75" t="s">
        <v>789</v>
      </c>
      <c r="G75" s="16">
        <v>21.599989999999998</v>
      </c>
      <c r="H75" t="s">
        <v>8</v>
      </c>
      <c r="I75" s="16">
        <v>18.782599999999999</v>
      </c>
    </row>
    <row r="76" spans="1:9" x14ac:dyDescent="0.3">
      <c r="A76" s="1">
        <v>46172</v>
      </c>
      <c r="B76">
        <v>86</v>
      </c>
      <c r="C76" t="s">
        <v>3156</v>
      </c>
      <c r="D76" t="s">
        <v>10</v>
      </c>
      <c r="E76" t="s">
        <v>148</v>
      </c>
      <c r="F76" t="s">
        <v>149</v>
      </c>
      <c r="G76" s="16">
        <v>831.726</v>
      </c>
      <c r="H76" t="s">
        <v>8</v>
      </c>
      <c r="I76" s="16">
        <v>723.24</v>
      </c>
    </row>
    <row r="77" spans="1:9" x14ac:dyDescent="0.3">
      <c r="A77" s="1">
        <v>46172</v>
      </c>
      <c r="B77">
        <v>86</v>
      </c>
      <c r="C77" t="s">
        <v>3049</v>
      </c>
      <c r="D77" t="s">
        <v>10</v>
      </c>
      <c r="E77" t="s">
        <v>854</v>
      </c>
      <c r="F77" t="s">
        <v>855</v>
      </c>
      <c r="G77" s="16">
        <v>2984.2727</v>
      </c>
      <c r="H77" t="s">
        <v>8</v>
      </c>
      <c r="I77" s="16">
        <v>2873.8555000000001</v>
      </c>
    </row>
    <row r="78" spans="1:9" x14ac:dyDescent="0.3">
      <c r="A78" s="1">
        <v>46173</v>
      </c>
      <c r="B78">
        <v>85</v>
      </c>
      <c r="C78" t="s">
        <v>3199</v>
      </c>
      <c r="D78" t="s">
        <v>10</v>
      </c>
      <c r="E78" t="s">
        <v>3200</v>
      </c>
      <c r="F78" t="s">
        <v>3201</v>
      </c>
      <c r="G78" s="16">
        <v>768.2</v>
      </c>
      <c r="H78" t="s">
        <v>8</v>
      </c>
      <c r="I78" s="16">
        <v>668</v>
      </c>
    </row>
    <row r="79" spans="1:9" x14ac:dyDescent="0.3">
      <c r="A79" s="1">
        <v>46173</v>
      </c>
      <c r="B79">
        <v>85</v>
      </c>
      <c r="C79" t="s">
        <v>3215</v>
      </c>
      <c r="D79" t="s">
        <v>10</v>
      </c>
      <c r="E79" t="s">
        <v>3216</v>
      </c>
      <c r="F79" t="s">
        <v>3217</v>
      </c>
      <c r="G79" s="16">
        <v>838.649</v>
      </c>
      <c r="H79" t="s">
        <v>8</v>
      </c>
      <c r="I79" s="16">
        <v>729.26</v>
      </c>
    </row>
    <row r="80" spans="1:9" x14ac:dyDescent="0.3">
      <c r="A80" s="1">
        <v>46173</v>
      </c>
      <c r="B80">
        <v>85</v>
      </c>
      <c r="C80" t="s">
        <v>3207</v>
      </c>
      <c r="D80" t="s">
        <v>10</v>
      </c>
      <c r="E80" t="s">
        <v>2383</v>
      </c>
      <c r="F80" t="s">
        <v>2384</v>
      </c>
      <c r="G80" s="16">
        <v>54.326000000000001</v>
      </c>
      <c r="H80" t="s">
        <v>8</v>
      </c>
      <c r="I80" s="16">
        <v>47.24</v>
      </c>
    </row>
    <row r="81" spans="1:9" x14ac:dyDescent="0.3">
      <c r="A81" s="1">
        <v>46173</v>
      </c>
      <c r="B81">
        <v>85</v>
      </c>
      <c r="C81" t="s">
        <v>3237</v>
      </c>
      <c r="D81" t="s">
        <v>10</v>
      </c>
      <c r="E81" t="s">
        <v>854</v>
      </c>
      <c r="F81" t="s">
        <v>855</v>
      </c>
      <c r="G81" s="16">
        <v>4311.0529999999999</v>
      </c>
      <c r="H81" t="s">
        <v>8</v>
      </c>
      <c r="I81" s="16">
        <v>4271.5043999999998</v>
      </c>
    </row>
    <row r="82" spans="1:9" x14ac:dyDescent="0.3">
      <c r="A82" s="1">
        <v>46175</v>
      </c>
      <c r="B82">
        <v>83</v>
      </c>
      <c r="C82" t="s">
        <v>1759</v>
      </c>
      <c r="D82" t="s">
        <v>10</v>
      </c>
      <c r="E82" t="s">
        <v>31</v>
      </c>
      <c r="F82" t="s">
        <v>32</v>
      </c>
      <c r="G82" s="16">
        <v>2530.174</v>
      </c>
      <c r="H82" t="s">
        <v>8</v>
      </c>
      <c r="I82" s="16">
        <v>2202.8200000000002</v>
      </c>
    </row>
    <row r="83" spans="1:9" x14ac:dyDescent="0.3">
      <c r="A83" s="1">
        <v>46175</v>
      </c>
      <c r="B83">
        <v>83</v>
      </c>
      <c r="C83" t="s">
        <v>3466</v>
      </c>
      <c r="D83" t="s">
        <v>10</v>
      </c>
      <c r="E83" t="s">
        <v>31</v>
      </c>
      <c r="F83" t="s">
        <v>32</v>
      </c>
      <c r="G83" s="16">
        <v>1262.7345</v>
      </c>
      <c r="H83" t="s">
        <v>8</v>
      </c>
      <c r="I83" s="16">
        <v>1098.03</v>
      </c>
    </row>
    <row r="84" spans="1:9" x14ac:dyDescent="0.3">
      <c r="A84" s="1">
        <v>46175</v>
      </c>
      <c r="B84">
        <v>83</v>
      </c>
      <c r="C84" t="s">
        <v>3654</v>
      </c>
      <c r="D84" t="s">
        <v>10</v>
      </c>
      <c r="E84" t="s">
        <v>31</v>
      </c>
      <c r="F84" t="s">
        <v>32</v>
      </c>
      <c r="G84" s="16">
        <v>2557.6804000000002</v>
      </c>
      <c r="H84" t="s">
        <v>8</v>
      </c>
      <c r="I84" s="16">
        <v>2224.0700000000002</v>
      </c>
    </row>
    <row r="85" spans="1:9" x14ac:dyDescent="0.3">
      <c r="A85" s="1">
        <v>46175</v>
      </c>
      <c r="B85">
        <v>83</v>
      </c>
      <c r="C85" t="s">
        <v>2838</v>
      </c>
      <c r="D85" t="s">
        <v>10</v>
      </c>
      <c r="E85" t="s">
        <v>31</v>
      </c>
      <c r="F85" t="s">
        <v>32</v>
      </c>
      <c r="G85" s="16">
        <v>2394.3015</v>
      </c>
      <c r="H85" t="s">
        <v>8</v>
      </c>
      <c r="I85" s="16">
        <v>2086.0500000000002</v>
      </c>
    </row>
    <row r="86" spans="1:9" x14ac:dyDescent="0.3">
      <c r="A86" s="1">
        <v>46175</v>
      </c>
      <c r="B86">
        <v>83</v>
      </c>
      <c r="C86" t="s">
        <v>2876</v>
      </c>
      <c r="D86" t="s">
        <v>10</v>
      </c>
      <c r="E86" t="s">
        <v>31</v>
      </c>
      <c r="F86" t="s">
        <v>32</v>
      </c>
      <c r="G86" s="16">
        <v>2570.7213999999999</v>
      </c>
      <c r="H86" t="s">
        <v>8</v>
      </c>
      <c r="I86" s="16">
        <v>2235.41</v>
      </c>
    </row>
    <row r="87" spans="1:9" x14ac:dyDescent="0.3">
      <c r="A87" s="1">
        <v>46176</v>
      </c>
      <c r="B87">
        <v>82</v>
      </c>
      <c r="C87" t="s">
        <v>3661</v>
      </c>
      <c r="D87" t="s">
        <v>10</v>
      </c>
      <c r="E87" t="s">
        <v>854</v>
      </c>
      <c r="F87" t="s">
        <v>855</v>
      </c>
      <c r="G87" s="16">
        <v>653.15593999999999</v>
      </c>
      <c r="H87" t="s">
        <v>8</v>
      </c>
      <c r="I87" s="16">
        <v>623.27480000000003</v>
      </c>
    </row>
    <row r="88" spans="1:9" x14ac:dyDescent="0.3">
      <c r="A88" s="1">
        <v>46177</v>
      </c>
      <c r="B88">
        <v>81</v>
      </c>
      <c r="C88" t="s">
        <v>3834</v>
      </c>
      <c r="D88" t="s">
        <v>10</v>
      </c>
      <c r="E88" t="s">
        <v>3832</v>
      </c>
      <c r="F88" t="s">
        <v>3833</v>
      </c>
      <c r="G88" s="16">
        <v>768.2</v>
      </c>
      <c r="H88" t="s">
        <v>8</v>
      </c>
      <c r="I88" s="16">
        <v>668</v>
      </c>
    </row>
    <row r="89" spans="1:9" x14ac:dyDescent="0.3">
      <c r="A89" s="1">
        <v>46177</v>
      </c>
      <c r="B89">
        <v>81</v>
      </c>
      <c r="C89" t="s">
        <v>3840</v>
      </c>
      <c r="D89" t="s">
        <v>10</v>
      </c>
      <c r="E89" t="s">
        <v>854</v>
      </c>
      <c r="F89" t="s">
        <v>855</v>
      </c>
      <c r="G89" s="16">
        <v>83.734719999999996</v>
      </c>
      <c r="H89" t="s">
        <v>8</v>
      </c>
      <c r="I89" s="16">
        <v>72.812799999999996</v>
      </c>
    </row>
    <row r="90" spans="1:9" x14ac:dyDescent="0.3">
      <c r="A90" s="1">
        <v>46179</v>
      </c>
      <c r="B90">
        <v>79</v>
      </c>
      <c r="C90" t="s">
        <v>4094</v>
      </c>
      <c r="D90" t="s">
        <v>38</v>
      </c>
      <c r="E90" t="s">
        <v>253</v>
      </c>
      <c r="F90" t="s">
        <v>254</v>
      </c>
      <c r="G90" s="16">
        <v>103.5</v>
      </c>
      <c r="H90" t="s">
        <v>8</v>
      </c>
      <c r="I90" s="16">
        <v>90</v>
      </c>
    </row>
    <row r="91" spans="1:9" x14ac:dyDescent="0.3">
      <c r="A91" s="1">
        <v>46181</v>
      </c>
      <c r="B91">
        <v>77</v>
      </c>
      <c r="C91" t="s">
        <v>4307</v>
      </c>
      <c r="D91" t="s">
        <v>10</v>
      </c>
      <c r="E91" t="s">
        <v>854</v>
      </c>
      <c r="F91" t="s">
        <v>855</v>
      </c>
      <c r="G91" s="16">
        <v>550.04399999999998</v>
      </c>
      <c r="H91" t="s">
        <v>8</v>
      </c>
      <c r="I91" s="16">
        <v>550.04399999999998</v>
      </c>
    </row>
    <row r="92" spans="1:9" x14ac:dyDescent="0.3">
      <c r="A92" s="1">
        <v>46184</v>
      </c>
      <c r="B92">
        <v>74</v>
      </c>
      <c r="C92" t="s">
        <v>4482</v>
      </c>
      <c r="D92" t="s">
        <v>10</v>
      </c>
      <c r="E92" t="s">
        <v>919</v>
      </c>
      <c r="F92" t="s">
        <v>920</v>
      </c>
      <c r="G92" s="16">
        <v>809.26013</v>
      </c>
      <c r="H92" t="s">
        <v>8</v>
      </c>
      <c r="I92" s="16">
        <v>703.70447000000001</v>
      </c>
    </row>
    <row r="93" spans="1:9" x14ac:dyDescent="0.3">
      <c r="A93" s="1">
        <v>46184</v>
      </c>
      <c r="B93">
        <v>74</v>
      </c>
      <c r="C93" t="s">
        <v>4631</v>
      </c>
      <c r="D93" t="s">
        <v>2467</v>
      </c>
      <c r="E93" t="s">
        <v>2241</v>
      </c>
      <c r="F93" t="s">
        <v>2474</v>
      </c>
      <c r="G93" s="16">
        <v>503.69992000000002</v>
      </c>
      <c r="H93" t="s">
        <v>8</v>
      </c>
      <c r="I93" s="16">
        <v>437.99993999999998</v>
      </c>
    </row>
    <row r="94" spans="1:9" x14ac:dyDescent="0.3">
      <c r="A94" s="1">
        <v>46185</v>
      </c>
      <c r="B94">
        <v>73</v>
      </c>
      <c r="C94" t="s">
        <v>4549</v>
      </c>
      <c r="D94" t="s">
        <v>10</v>
      </c>
      <c r="E94" t="s">
        <v>69</v>
      </c>
      <c r="F94" t="s">
        <v>70</v>
      </c>
      <c r="G94" s="16">
        <v>9574.9920000000002</v>
      </c>
      <c r="H94" t="s">
        <v>8</v>
      </c>
      <c r="I94" s="16">
        <v>8326.08</v>
      </c>
    </row>
    <row r="95" spans="1:9" x14ac:dyDescent="0.3">
      <c r="A95" s="1">
        <v>46185</v>
      </c>
      <c r="B95">
        <v>73</v>
      </c>
      <c r="C95" t="s">
        <v>4559</v>
      </c>
      <c r="D95" t="s">
        <v>10</v>
      </c>
      <c r="E95" t="s">
        <v>854</v>
      </c>
      <c r="F95" t="s">
        <v>855</v>
      </c>
      <c r="G95" s="16">
        <v>285.35714999999999</v>
      </c>
      <c r="H95" t="s">
        <v>8</v>
      </c>
      <c r="I95" s="16">
        <v>271.06473</v>
      </c>
    </row>
    <row r="96" spans="1:9" x14ac:dyDescent="0.3">
      <c r="A96" s="1">
        <v>46185</v>
      </c>
      <c r="B96">
        <v>73</v>
      </c>
      <c r="C96" t="s">
        <v>4570</v>
      </c>
      <c r="D96" t="s">
        <v>10</v>
      </c>
      <c r="E96" t="s">
        <v>613</v>
      </c>
      <c r="F96" t="s">
        <v>614</v>
      </c>
      <c r="G96" s="16">
        <v>34622.35</v>
      </c>
      <c r="H96" t="s">
        <v>8</v>
      </c>
      <c r="I96" s="16">
        <v>30106.393</v>
      </c>
    </row>
    <row r="97" spans="1:9" x14ac:dyDescent="0.3">
      <c r="A97" s="1">
        <v>46186</v>
      </c>
      <c r="B97">
        <v>72</v>
      </c>
      <c r="C97" t="s">
        <v>4604</v>
      </c>
      <c r="D97" t="s">
        <v>10</v>
      </c>
      <c r="E97" t="s">
        <v>937</v>
      </c>
      <c r="F97" t="s">
        <v>938</v>
      </c>
      <c r="G97" s="16">
        <v>822.94290000000001</v>
      </c>
      <c r="H97" t="s">
        <v>8</v>
      </c>
      <c r="I97" s="16">
        <v>715.60249999999996</v>
      </c>
    </row>
    <row r="98" spans="1:9" x14ac:dyDescent="0.3">
      <c r="A98" s="1">
        <v>46186</v>
      </c>
      <c r="B98">
        <v>72</v>
      </c>
      <c r="C98" t="s">
        <v>4577</v>
      </c>
      <c r="D98" t="s">
        <v>10</v>
      </c>
      <c r="E98" t="s">
        <v>4575</v>
      </c>
      <c r="F98" t="s">
        <v>4576</v>
      </c>
      <c r="G98" s="16">
        <v>1806</v>
      </c>
      <c r="H98" t="s">
        <v>8</v>
      </c>
      <c r="I98" s="16">
        <v>1570.4348</v>
      </c>
    </row>
    <row r="99" spans="1:9" x14ac:dyDescent="0.3">
      <c r="A99" s="1">
        <v>46186</v>
      </c>
      <c r="B99">
        <v>72</v>
      </c>
      <c r="C99" t="s">
        <v>4607</v>
      </c>
      <c r="D99" t="s">
        <v>10</v>
      </c>
      <c r="E99" t="s">
        <v>534</v>
      </c>
      <c r="F99" t="s">
        <v>535</v>
      </c>
      <c r="G99" s="16">
        <v>1766.6715999999999</v>
      </c>
      <c r="H99" t="s">
        <v>8</v>
      </c>
      <c r="I99" s="16">
        <v>1536.2362000000001</v>
      </c>
    </row>
    <row r="100" spans="1:9" x14ac:dyDescent="0.3">
      <c r="A100" s="1">
        <v>46186</v>
      </c>
      <c r="B100">
        <v>72</v>
      </c>
      <c r="C100" t="s">
        <v>4670</v>
      </c>
      <c r="D100" t="s">
        <v>169</v>
      </c>
      <c r="E100" t="s">
        <v>179</v>
      </c>
      <c r="F100" t="s">
        <v>180</v>
      </c>
      <c r="G100" s="16">
        <v>772.18589999999995</v>
      </c>
      <c r="H100" t="s">
        <v>8</v>
      </c>
      <c r="I100" s="16">
        <v>671.46600000000001</v>
      </c>
    </row>
    <row r="101" spans="1:9" x14ac:dyDescent="0.3">
      <c r="A101" s="1">
        <v>46187</v>
      </c>
      <c r="B101">
        <v>71</v>
      </c>
      <c r="C101" t="s">
        <v>4760</v>
      </c>
      <c r="D101" t="s">
        <v>169</v>
      </c>
      <c r="E101" t="s">
        <v>500</v>
      </c>
      <c r="F101" t="s">
        <v>501</v>
      </c>
      <c r="G101" s="16">
        <v>948.428</v>
      </c>
      <c r="H101" t="s">
        <v>8</v>
      </c>
      <c r="I101" s="16">
        <v>824.72</v>
      </c>
    </row>
    <row r="102" spans="1:9" x14ac:dyDescent="0.3">
      <c r="A102" s="1">
        <v>46188</v>
      </c>
      <c r="B102">
        <v>70</v>
      </c>
      <c r="C102" t="s">
        <v>4854</v>
      </c>
      <c r="D102" t="s">
        <v>10</v>
      </c>
      <c r="E102" t="s">
        <v>580</v>
      </c>
      <c r="F102" t="s">
        <v>581</v>
      </c>
      <c r="G102" s="16">
        <v>5553.0625</v>
      </c>
      <c r="H102" t="s">
        <v>8</v>
      </c>
      <c r="I102" s="16">
        <v>4828.75</v>
      </c>
    </row>
    <row r="103" spans="1:9" x14ac:dyDescent="0.3">
      <c r="A103" s="1">
        <v>46188</v>
      </c>
      <c r="B103">
        <v>70</v>
      </c>
      <c r="C103" t="s">
        <v>4861</v>
      </c>
      <c r="D103" t="s">
        <v>10</v>
      </c>
      <c r="E103" t="s">
        <v>919</v>
      </c>
      <c r="F103" t="s">
        <v>920</v>
      </c>
      <c r="G103" s="16">
        <v>643.1191</v>
      </c>
      <c r="H103" t="s">
        <v>8</v>
      </c>
      <c r="I103" s="16">
        <v>559.23400000000004</v>
      </c>
    </row>
    <row r="104" spans="1:9" x14ac:dyDescent="0.3">
      <c r="A104" s="1">
        <v>46188</v>
      </c>
      <c r="B104">
        <v>70</v>
      </c>
      <c r="C104" t="s">
        <v>4860</v>
      </c>
      <c r="D104" t="s">
        <v>10</v>
      </c>
      <c r="E104" t="s">
        <v>173</v>
      </c>
      <c r="F104" t="s">
        <v>174</v>
      </c>
      <c r="G104" s="16">
        <v>2357.569</v>
      </c>
      <c r="H104" t="s">
        <v>8</v>
      </c>
      <c r="I104" s="16">
        <v>2050.06</v>
      </c>
    </row>
    <row r="105" spans="1:9" x14ac:dyDescent="0.3">
      <c r="A105" s="1">
        <v>46188</v>
      </c>
      <c r="B105">
        <v>70</v>
      </c>
      <c r="C105" t="s">
        <v>4923</v>
      </c>
      <c r="D105" t="s">
        <v>2460</v>
      </c>
      <c r="E105" t="s">
        <v>173</v>
      </c>
      <c r="F105" t="s">
        <v>174</v>
      </c>
      <c r="G105" s="16">
        <v>623.76</v>
      </c>
      <c r="H105" t="s">
        <v>8</v>
      </c>
      <c r="I105" s="16">
        <v>542.4</v>
      </c>
    </row>
    <row r="106" spans="1:9" x14ac:dyDescent="0.3">
      <c r="A106" s="1">
        <v>46188</v>
      </c>
      <c r="B106">
        <v>70</v>
      </c>
      <c r="C106" t="s">
        <v>4856</v>
      </c>
      <c r="D106" t="s">
        <v>10</v>
      </c>
      <c r="E106" t="s">
        <v>854</v>
      </c>
      <c r="F106" t="s">
        <v>855</v>
      </c>
      <c r="G106" s="16">
        <v>379.38037000000003</v>
      </c>
      <c r="H106" t="s">
        <v>8</v>
      </c>
      <c r="I106" s="16">
        <v>373.9194</v>
      </c>
    </row>
    <row r="107" spans="1:9" x14ac:dyDescent="0.3">
      <c r="A107" s="1">
        <v>46188</v>
      </c>
      <c r="B107">
        <v>70</v>
      </c>
      <c r="C107" t="s">
        <v>4919</v>
      </c>
      <c r="D107" t="s">
        <v>2463</v>
      </c>
      <c r="E107" t="s">
        <v>173</v>
      </c>
      <c r="F107" t="s">
        <v>174</v>
      </c>
      <c r="G107" s="16">
        <v>138</v>
      </c>
      <c r="H107" t="s">
        <v>8</v>
      </c>
      <c r="I107" s="16">
        <v>120</v>
      </c>
    </row>
    <row r="108" spans="1:9" x14ac:dyDescent="0.3">
      <c r="A108" s="1">
        <v>46189</v>
      </c>
      <c r="B108">
        <v>69</v>
      </c>
      <c r="C108" t="s">
        <v>4955</v>
      </c>
      <c r="D108" t="s">
        <v>10</v>
      </c>
      <c r="E108" t="s">
        <v>854</v>
      </c>
      <c r="F108" t="s">
        <v>855</v>
      </c>
      <c r="G108" s="16">
        <v>1867.5186000000001</v>
      </c>
      <c r="H108" t="s">
        <v>8</v>
      </c>
      <c r="I108" s="16">
        <v>1623.9292</v>
      </c>
    </row>
    <row r="109" spans="1:9" x14ac:dyDescent="0.3">
      <c r="A109" s="1">
        <v>46189</v>
      </c>
      <c r="B109">
        <v>69</v>
      </c>
      <c r="C109" t="s">
        <v>4965</v>
      </c>
      <c r="D109" t="s">
        <v>10</v>
      </c>
      <c r="E109" t="s">
        <v>111</v>
      </c>
      <c r="F109" t="s">
        <v>112</v>
      </c>
      <c r="G109" s="16">
        <v>773.73829999999998</v>
      </c>
      <c r="H109" t="s">
        <v>8</v>
      </c>
      <c r="I109" s="16">
        <v>672.81586000000004</v>
      </c>
    </row>
    <row r="110" spans="1:9" x14ac:dyDescent="0.3">
      <c r="A110" s="1">
        <v>46189</v>
      </c>
      <c r="B110">
        <v>69</v>
      </c>
      <c r="C110" t="s">
        <v>4981</v>
      </c>
      <c r="D110" t="s">
        <v>10</v>
      </c>
      <c r="E110" t="s">
        <v>25</v>
      </c>
      <c r="F110" t="s">
        <v>26</v>
      </c>
      <c r="G110" s="16">
        <v>1110.8245999999999</v>
      </c>
      <c r="H110" t="s">
        <v>8</v>
      </c>
      <c r="I110" s="16">
        <v>965.93444999999997</v>
      </c>
    </row>
    <row r="111" spans="1:9" x14ac:dyDescent="0.3">
      <c r="A111" s="1">
        <v>46189</v>
      </c>
      <c r="B111">
        <v>69</v>
      </c>
      <c r="C111" t="s">
        <v>4992</v>
      </c>
      <c r="D111" t="s">
        <v>2460</v>
      </c>
      <c r="E111" t="s">
        <v>34</v>
      </c>
      <c r="F111" t="s">
        <v>35</v>
      </c>
      <c r="G111" s="16">
        <v>3650.7546000000002</v>
      </c>
      <c r="H111" t="s">
        <v>8</v>
      </c>
      <c r="I111" s="16">
        <v>3174.5693000000001</v>
      </c>
    </row>
    <row r="112" spans="1:9" x14ac:dyDescent="0.3">
      <c r="A112" s="1">
        <v>46189</v>
      </c>
      <c r="B112">
        <v>69</v>
      </c>
      <c r="C112" t="s">
        <v>4969</v>
      </c>
      <c r="D112" t="s">
        <v>10</v>
      </c>
      <c r="E112" t="s">
        <v>854</v>
      </c>
      <c r="F112" t="s">
        <v>855</v>
      </c>
      <c r="G112" s="16">
        <v>402.60775999999998</v>
      </c>
      <c r="H112" t="s">
        <v>8</v>
      </c>
      <c r="I112" s="16">
        <v>358.36532999999997</v>
      </c>
    </row>
    <row r="113" spans="1:9" x14ac:dyDescent="0.3">
      <c r="A113" s="1">
        <v>46190</v>
      </c>
      <c r="B113">
        <v>68</v>
      </c>
      <c r="C113" t="s">
        <v>5040</v>
      </c>
      <c r="D113" t="s">
        <v>10</v>
      </c>
      <c r="E113" t="s">
        <v>173</v>
      </c>
      <c r="F113" t="s">
        <v>174</v>
      </c>
      <c r="G113" s="16">
        <v>2720.0720000000001</v>
      </c>
      <c r="H113" t="s">
        <v>8</v>
      </c>
      <c r="I113" s="16">
        <v>2365.2800000000002</v>
      </c>
    </row>
    <row r="114" spans="1:9" x14ac:dyDescent="0.3">
      <c r="A114" s="1">
        <v>46191</v>
      </c>
      <c r="B114">
        <v>67</v>
      </c>
      <c r="C114" t="s">
        <v>5343</v>
      </c>
      <c r="D114" t="s">
        <v>10</v>
      </c>
      <c r="E114" t="s">
        <v>2383</v>
      </c>
      <c r="F114" t="s">
        <v>2384</v>
      </c>
      <c r="G114" s="16">
        <v>108.36450000000001</v>
      </c>
      <c r="H114" t="s">
        <v>8</v>
      </c>
      <c r="I114" s="16">
        <v>94.23</v>
      </c>
    </row>
    <row r="115" spans="1:9" x14ac:dyDescent="0.3">
      <c r="A115" s="1">
        <v>46191</v>
      </c>
      <c r="B115">
        <v>67</v>
      </c>
      <c r="C115" t="s">
        <v>5253</v>
      </c>
      <c r="D115" t="s">
        <v>10</v>
      </c>
      <c r="E115" t="s">
        <v>987</v>
      </c>
      <c r="F115" t="s">
        <v>988</v>
      </c>
      <c r="G115" s="16">
        <v>127.995</v>
      </c>
      <c r="H115" t="s">
        <v>8</v>
      </c>
      <c r="I115" s="16">
        <v>111.3</v>
      </c>
    </row>
    <row r="116" spans="1:9" x14ac:dyDescent="0.3">
      <c r="A116" s="1">
        <v>46191</v>
      </c>
      <c r="B116">
        <v>67</v>
      </c>
      <c r="C116" t="s">
        <v>5344</v>
      </c>
      <c r="D116" t="s">
        <v>10</v>
      </c>
      <c r="E116" t="s">
        <v>148</v>
      </c>
      <c r="F116" t="s">
        <v>149</v>
      </c>
      <c r="G116" s="16">
        <v>11.316000000000001</v>
      </c>
      <c r="H116" t="s">
        <v>8</v>
      </c>
      <c r="I116" s="16">
        <v>9.84</v>
      </c>
    </row>
    <row r="117" spans="1:9" x14ac:dyDescent="0.3">
      <c r="A117" s="1">
        <v>46191</v>
      </c>
      <c r="B117">
        <v>67</v>
      </c>
      <c r="C117" t="s">
        <v>5245</v>
      </c>
      <c r="D117" t="s">
        <v>10</v>
      </c>
      <c r="E117" t="s">
        <v>2273</v>
      </c>
      <c r="F117" t="s">
        <v>2274</v>
      </c>
      <c r="G117" s="16">
        <v>425.9504</v>
      </c>
      <c r="H117" t="s">
        <v>8</v>
      </c>
      <c r="I117" s="16">
        <v>370.39166</v>
      </c>
    </row>
    <row r="118" spans="1:9" x14ac:dyDescent="0.3">
      <c r="A118" s="1">
        <v>46191</v>
      </c>
      <c r="B118">
        <v>67</v>
      </c>
      <c r="C118" t="s">
        <v>5551</v>
      </c>
      <c r="D118" t="s">
        <v>38</v>
      </c>
      <c r="E118" t="s">
        <v>253</v>
      </c>
      <c r="F118" t="s">
        <v>254</v>
      </c>
      <c r="G118" s="16">
        <v>227.7</v>
      </c>
      <c r="H118" t="s">
        <v>8</v>
      </c>
      <c r="I118" s="16">
        <v>198</v>
      </c>
    </row>
    <row r="119" spans="1:9" x14ac:dyDescent="0.3">
      <c r="A119" s="1">
        <v>46191</v>
      </c>
      <c r="B119">
        <v>67</v>
      </c>
      <c r="C119" t="s">
        <v>5307</v>
      </c>
      <c r="D119" t="s">
        <v>10</v>
      </c>
      <c r="E119" t="s">
        <v>937</v>
      </c>
      <c r="F119" t="s">
        <v>938</v>
      </c>
      <c r="G119" s="16">
        <v>500.48145</v>
      </c>
      <c r="H119" t="s">
        <v>8</v>
      </c>
      <c r="I119" s="16">
        <v>435.20125999999999</v>
      </c>
    </row>
    <row r="120" spans="1:9" x14ac:dyDescent="0.3">
      <c r="A120" s="1">
        <v>46191</v>
      </c>
      <c r="B120">
        <v>67</v>
      </c>
      <c r="C120" t="s">
        <v>5313</v>
      </c>
      <c r="D120" t="s">
        <v>10</v>
      </c>
      <c r="E120" t="s">
        <v>534</v>
      </c>
      <c r="F120" t="s">
        <v>535</v>
      </c>
      <c r="G120" s="16">
        <v>693.69275000000005</v>
      </c>
      <c r="H120" t="s">
        <v>8</v>
      </c>
      <c r="I120" s="16">
        <v>603.21109999999999</v>
      </c>
    </row>
    <row r="121" spans="1:9" x14ac:dyDescent="0.3">
      <c r="A121" s="1">
        <v>46191</v>
      </c>
      <c r="B121">
        <v>67</v>
      </c>
      <c r="C121" t="s">
        <v>5331</v>
      </c>
      <c r="D121" t="s">
        <v>10</v>
      </c>
      <c r="E121" t="s">
        <v>919</v>
      </c>
      <c r="F121" t="s">
        <v>920</v>
      </c>
      <c r="G121" s="16">
        <v>244.44703999999999</v>
      </c>
      <c r="H121" t="s">
        <v>8</v>
      </c>
      <c r="I121" s="16">
        <v>212.56263999999999</v>
      </c>
    </row>
    <row r="122" spans="1:9" x14ac:dyDescent="0.3">
      <c r="A122" s="1">
        <v>46191</v>
      </c>
      <c r="B122">
        <v>67</v>
      </c>
      <c r="C122" t="s">
        <v>5341</v>
      </c>
      <c r="D122" t="s">
        <v>10</v>
      </c>
      <c r="E122" t="s">
        <v>4877</v>
      </c>
      <c r="F122" t="s">
        <v>5340</v>
      </c>
      <c r="G122" s="16">
        <v>25.846250000000001</v>
      </c>
      <c r="H122" t="s">
        <v>8</v>
      </c>
      <c r="I122" s="16">
        <v>22.475000000000001</v>
      </c>
    </row>
    <row r="123" spans="1:9" x14ac:dyDescent="0.3">
      <c r="A123" s="1">
        <v>46191</v>
      </c>
      <c r="B123">
        <v>67</v>
      </c>
      <c r="C123" t="s">
        <v>5271</v>
      </c>
      <c r="D123" t="s">
        <v>10</v>
      </c>
      <c r="E123" t="s">
        <v>25</v>
      </c>
      <c r="F123" t="s">
        <v>26</v>
      </c>
      <c r="G123" s="16">
        <v>70.150000000000006</v>
      </c>
      <c r="H123" t="s">
        <v>8</v>
      </c>
      <c r="I123" s="16">
        <v>61</v>
      </c>
    </row>
    <row r="124" spans="1:9" x14ac:dyDescent="0.3">
      <c r="A124" s="1">
        <v>46191</v>
      </c>
      <c r="B124">
        <v>67</v>
      </c>
      <c r="C124" t="s">
        <v>5283</v>
      </c>
      <c r="D124" t="s">
        <v>10</v>
      </c>
      <c r="E124" t="s">
        <v>41</v>
      </c>
      <c r="F124" t="s">
        <v>42</v>
      </c>
      <c r="G124" s="16">
        <v>195.66476</v>
      </c>
      <c r="H124" t="s">
        <v>8</v>
      </c>
      <c r="I124" s="16">
        <v>170.14328</v>
      </c>
    </row>
    <row r="125" spans="1:9" x14ac:dyDescent="0.3">
      <c r="A125" s="1">
        <v>46191</v>
      </c>
      <c r="B125">
        <v>67</v>
      </c>
      <c r="C125" t="s">
        <v>5287</v>
      </c>
      <c r="D125" t="s">
        <v>10</v>
      </c>
      <c r="E125" t="s">
        <v>1621</v>
      </c>
      <c r="F125" t="s">
        <v>1622</v>
      </c>
      <c r="G125" s="16">
        <v>209.208</v>
      </c>
      <c r="H125" t="s">
        <v>8</v>
      </c>
      <c r="I125" s="16">
        <v>181.92</v>
      </c>
    </row>
    <row r="126" spans="1:9" x14ac:dyDescent="0.3">
      <c r="A126" s="1">
        <v>46191</v>
      </c>
      <c r="B126">
        <v>67</v>
      </c>
      <c r="C126" t="s">
        <v>5371</v>
      </c>
      <c r="D126" t="s">
        <v>10</v>
      </c>
      <c r="E126" t="s">
        <v>2302</v>
      </c>
      <c r="F126" t="s">
        <v>2303</v>
      </c>
      <c r="G126" s="16">
        <v>159.63149999999999</v>
      </c>
      <c r="H126" t="s">
        <v>8</v>
      </c>
      <c r="I126" s="16">
        <v>138.81</v>
      </c>
    </row>
    <row r="127" spans="1:9" x14ac:dyDescent="0.3">
      <c r="A127" s="1">
        <v>46191</v>
      </c>
      <c r="B127">
        <v>67</v>
      </c>
      <c r="C127" t="s">
        <v>5049</v>
      </c>
      <c r="D127" t="s">
        <v>10</v>
      </c>
      <c r="E127" t="s">
        <v>173</v>
      </c>
      <c r="F127" t="s">
        <v>174</v>
      </c>
      <c r="G127" s="16">
        <v>5185.9709999999995</v>
      </c>
      <c r="H127" t="s">
        <v>8</v>
      </c>
      <c r="I127" s="16">
        <v>4509.54</v>
      </c>
    </row>
    <row r="128" spans="1:9" x14ac:dyDescent="0.3">
      <c r="A128" s="1">
        <v>46191</v>
      </c>
      <c r="B128">
        <v>67</v>
      </c>
      <c r="C128" t="s">
        <v>5365</v>
      </c>
      <c r="D128" t="s">
        <v>10</v>
      </c>
      <c r="E128" t="s">
        <v>173</v>
      </c>
      <c r="F128" t="s">
        <v>174</v>
      </c>
      <c r="G128" s="16">
        <v>265.32799999999997</v>
      </c>
      <c r="H128" t="s">
        <v>8</v>
      </c>
      <c r="I128" s="16">
        <v>230.72</v>
      </c>
    </row>
    <row r="129" spans="1:9" x14ac:dyDescent="0.3">
      <c r="A129" s="1">
        <v>46191</v>
      </c>
      <c r="B129">
        <v>67</v>
      </c>
      <c r="C129" t="s">
        <v>5312</v>
      </c>
      <c r="D129" t="s">
        <v>10</v>
      </c>
      <c r="E129" t="s">
        <v>534</v>
      </c>
      <c r="F129" t="s">
        <v>535</v>
      </c>
      <c r="G129" s="16">
        <v>54.268500000000003</v>
      </c>
      <c r="H129" t="s">
        <v>8</v>
      </c>
      <c r="I129" s="16">
        <v>47.19</v>
      </c>
    </row>
    <row r="130" spans="1:9" x14ac:dyDescent="0.3">
      <c r="A130" s="1">
        <v>46192</v>
      </c>
      <c r="B130">
        <v>66</v>
      </c>
      <c r="C130" t="s">
        <v>5468</v>
      </c>
      <c r="D130" t="s">
        <v>10</v>
      </c>
      <c r="E130" t="s">
        <v>5466</v>
      </c>
      <c r="F130" t="s">
        <v>5467</v>
      </c>
      <c r="G130" s="16">
        <v>127.075</v>
      </c>
      <c r="H130" t="s">
        <v>8</v>
      </c>
      <c r="I130" s="16">
        <v>110.5</v>
      </c>
    </row>
    <row r="131" spans="1:9" x14ac:dyDescent="0.3">
      <c r="A131" s="1">
        <v>46192</v>
      </c>
      <c r="B131">
        <v>66</v>
      </c>
      <c r="C131" t="s">
        <v>5379</v>
      </c>
      <c r="D131" t="s">
        <v>10</v>
      </c>
      <c r="E131" t="s">
        <v>111</v>
      </c>
      <c r="F131" t="s">
        <v>112</v>
      </c>
      <c r="G131" s="16">
        <v>20.412500000000001</v>
      </c>
      <c r="H131" t="s">
        <v>8</v>
      </c>
      <c r="I131" s="16">
        <v>17.75</v>
      </c>
    </row>
    <row r="132" spans="1:9" x14ac:dyDescent="0.3">
      <c r="A132" s="1">
        <v>46192</v>
      </c>
      <c r="B132">
        <v>66</v>
      </c>
      <c r="C132" t="s">
        <v>5423</v>
      </c>
      <c r="D132" t="s">
        <v>10</v>
      </c>
      <c r="E132" t="s">
        <v>4575</v>
      </c>
      <c r="F132" t="s">
        <v>4576</v>
      </c>
      <c r="G132" s="16">
        <v>63</v>
      </c>
      <c r="H132" t="s">
        <v>8</v>
      </c>
      <c r="I132" s="16">
        <v>54.782609999999998</v>
      </c>
    </row>
    <row r="133" spans="1:9" x14ac:dyDescent="0.3">
      <c r="A133" s="1">
        <v>46192</v>
      </c>
      <c r="B133">
        <v>66</v>
      </c>
      <c r="C133" t="s">
        <v>5378</v>
      </c>
      <c r="D133" t="s">
        <v>10</v>
      </c>
      <c r="E133" t="s">
        <v>2309</v>
      </c>
      <c r="F133" t="s">
        <v>2310</v>
      </c>
      <c r="G133" s="16">
        <v>7.9861097000000001</v>
      </c>
      <c r="H133" t="s">
        <v>8</v>
      </c>
      <c r="I133" s="16">
        <v>6.9444400000000002</v>
      </c>
    </row>
    <row r="134" spans="1:9" x14ac:dyDescent="0.3">
      <c r="A134" s="1">
        <v>46192</v>
      </c>
      <c r="B134">
        <v>66</v>
      </c>
      <c r="C134" t="s">
        <v>5505</v>
      </c>
      <c r="D134" t="s">
        <v>10</v>
      </c>
      <c r="E134" t="s">
        <v>5503</v>
      </c>
      <c r="F134" t="s">
        <v>5504</v>
      </c>
      <c r="G134" s="16">
        <v>736</v>
      </c>
      <c r="H134" t="s">
        <v>8</v>
      </c>
      <c r="I134" s="16">
        <v>640</v>
      </c>
    </row>
    <row r="135" spans="1:9" x14ac:dyDescent="0.3">
      <c r="A135" s="1">
        <v>46192</v>
      </c>
      <c r="B135">
        <v>66</v>
      </c>
      <c r="C135" t="s">
        <v>5479</v>
      </c>
      <c r="D135" t="s">
        <v>10</v>
      </c>
      <c r="E135" t="s">
        <v>580</v>
      </c>
      <c r="F135" t="s">
        <v>581</v>
      </c>
      <c r="G135" s="16">
        <v>13.0525</v>
      </c>
      <c r="H135" t="s">
        <v>8</v>
      </c>
      <c r="I135" s="16">
        <v>11.35</v>
      </c>
    </row>
    <row r="136" spans="1:9" x14ac:dyDescent="0.3">
      <c r="A136" s="1">
        <v>46192</v>
      </c>
      <c r="B136">
        <v>66</v>
      </c>
      <c r="C136" t="s">
        <v>5428</v>
      </c>
      <c r="D136" t="s">
        <v>10</v>
      </c>
      <c r="E136" t="s">
        <v>2273</v>
      </c>
      <c r="F136" t="s">
        <v>2274</v>
      </c>
      <c r="G136" s="16">
        <v>157.63050000000001</v>
      </c>
      <c r="H136" t="s">
        <v>8</v>
      </c>
      <c r="I136" s="16">
        <v>137.07</v>
      </c>
    </row>
    <row r="137" spans="1:9" x14ac:dyDescent="0.3">
      <c r="A137" s="1">
        <v>46192</v>
      </c>
      <c r="B137">
        <v>66</v>
      </c>
      <c r="C137" t="s">
        <v>5453</v>
      </c>
      <c r="D137" t="s">
        <v>10</v>
      </c>
      <c r="E137" t="s">
        <v>5451</v>
      </c>
      <c r="F137" t="s">
        <v>5452</v>
      </c>
      <c r="G137" s="16">
        <v>56.35</v>
      </c>
      <c r="H137" t="s">
        <v>8</v>
      </c>
      <c r="I137" s="16">
        <v>49</v>
      </c>
    </row>
    <row r="138" spans="1:9" x14ac:dyDescent="0.3">
      <c r="A138" s="1">
        <v>46192</v>
      </c>
      <c r="B138">
        <v>66</v>
      </c>
      <c r="C138" t="s">
        <v>5488</v>
      </c>
      <c r="D138" t="s">
        <v>10</v>
      </c>
      <c r="E138" t="s">
        <v>47</v>
      </c>
      <c r="F138" t="s">
        <v>48</v>
      </c>
      <c r="G138" s="16">
        <v>429.80099999999999</v>
      </c>
      <c r="H138" t="s">
        <v>8</v>
      </c>
      <c r="I138" s="16">
        <v>373.74</v>
      </c>
    </row>
    <row r="139" spans="1:9" x14ac:dyDescent="0.3">
      <c r="A139" s="1">
        <v>46192</v>
      </c>
      <c r="B139">
        <v>66</v>
      </c>
      <c r="C139" t="s">
        <v>5458</v>
      </c>
      <c r="D139" t="s">
        <v>10</v>
      </c>
      <c r="E139" t="s">
        <v>854</v>
      </c>
      <c r="F139" t="s">
        <v>855</v>
      </c>
      <c r="G139" s="16">
        <v>316.3811</v>
      </c>
      <c r="H139" t="s">
        <v>8</v>
      </c>
      <c r="I139" s="16">
        <v>275.11399999999998</v>
      </c>
    </row>
    <row r="140" spans="1:9" x14ac:dyDescent="0.3">
      <c r="A140" s="1">
        <v>46192</v>
      </c>
      <c r="B140">
        <v>66</v>
      </c>
      <c r="C140" t="s">
        <v>5490</v>
      </c>
      <c r="D140" t="s">
        <v>10</v>
      </c>
      <c r="E140" t="s">
        <v>1866</v>
      </c>
      <c r="F140" t="s">
        <v>1867</v>
      </c>
      <c r="G140" s="16">
        <v>4.899</v>
      </c>
      <c r="H140" t="s">
        <v>8</v>
      </c>
      <c r="I140" s="16">
        <v>4.26</v>
      </c>
    </row>
    <row r="141" spans="1:9" x14ac:dyDescent="0.3">
      <c r="A141" s="1">
        <v>46192</v>
      </c>
      <c r="B141">
        <v>66</v>
      </c>
      <c r="C141" t="s">
        <v>5435</v>
      </c>
      <c r="D141" t="s">
        <v>10</v>
      </c>
      <c r="E141" t="s">
        <v>937</v>
      </c>
      <c r="F141" t="s">
        <v>938</v>
      </c>
      <c r="G141" s="16">
        <v>562.67489999999998</v>
      </c>
      <c r="H141" t="s">
        <v>8</v>
      </c>
      <c r="I141" s="16">
        <v>489.28253000000001</v>
      </c>
    </row>
    <row r="142" spans="1:9" x14ac:dyDescent="0.3">
      <c r="A142" s="1">
        <v>46192</v>
      </c>
      <c r="B142">
        <v>66</v>
      </c>
      <c r="C142" t="s">
        <v>5448</v>
      </c>
      <c r="D142" t="s">
        <v>10</v>
      </c>
      <c r="E142" t="s">
        <v>5446</v>
      </c>
      <c r="F142" t="s">
        <v>5447</v>
      </c>
      <c r="G142" s="16">
        <v>16.100000000000001</v>
      </c>
      <c r="H142" t="s">
        <v>8</v>
      </c>
      <c r="I142" s="16">
        <v>14</v>
      </c>
    </row>
    <row r="143" spans="1:9" x14ac:dyDescent="0.3">
      <c r="A143" s="1">
        <v>46192</v>
      </c>
      <c r="B143">
        <v>66</v>
      </c>
      <c r="C143" t="s">
        <v>5508</v>
      </c>
      <c r="D143" t="s">
        <v>10</v>
      </c>
      <c r="E143" t="s">
        <v>2625</v>
      </c>
      <c r="F143" t="s">
        <v>2626</v>
      </c>
      <c r="G143" s="16">
        <v>495.80295000000001</v>
      </c>
      <c r="H143" t="s">
        <v>8</v>
      </c>
      <c r="I143" s="16">
        <v>431.13299999999998</v>
      </c>
    </row>
    <row r="144" spans="1:9" x14ac:dyDescent="0.3">
      <c r="A144" s="1">
        <v>46192</v>
      </c>
      <c r="B144">
        <v>66</v>
      </c>
      <c r="C144" t="s">
        <v>5560</v>
      </c>
      <c r="D144" t="s">
        <v>10</v>
      </c>
      <c r="E144" t="s">
        <v>854</v>
      </c>
      <c r="F144" t="s">
        <v>855</v>
      </c>
      <c r="G144" s="16">
        <v>323.86070000000001</v>
      </c>
      <c r="H144" t="s">
        <v>8</v>
      </c>
      <c r="I144" s="16">
        <v>281.61799999999999</v>
      </c>
    </row>
    <row r="145" spans="1:9" x14ac:dyDescent="0.3">
      <c r="A145" s="1">
        <v>46192</v>
      </c>
      <c r="B145">
        <v>66</v>
      </c>
      <c r="C145" t="s">
        <v>5383</v>
      </c>
      <c r="D145" t="s">
        <v>10</v>
      </c>
      <c r="E145" t="s">
        <v>3202</v>
      </c>
      <c r="F145" t="s">
        <v>3203</v>
      </c>
      <c r="G145" s="16">
        <v>40.25</v>
      </c>
      <c r="H145" t="s">
        <v>8</v>
      </c>
      <c r="I145" s="16">
        <v>35</v>
      </c>
    </row>
    <row r="146" spans="1:9" x14ac:dyDescent="0.3">
      <c r="A146" s="1">
        <v>46192</v>
      </c>
      <c r="B146">
        <v>66</v>
      </c>
      <c r="C146" t="s">
        <v>5462</v>
      </c>
      <c r="D146" t="s">
        <v>10</v>
      </c>
      <c r="E146" t="s">
        <v>1725</v>
      </c>
      <c r="F146" t="s">
        <v>1726</v>
      </c>
      <c r="G146" s="16">
        <v>442.60854999999998</v>
      </c>
      <c r="H146" t="s">
        <v>8</v>
      </c>
      <c r="I146" s="16">
        <v>384.87700000000001</v>
      </c>
    </row>
    <row r="147" spans="1:9" x14ac:dyDescent="0.3">
      <c r="A147" s="1">
        <v>46192</v>
      </c>
      <c r="B147">
        <v>66</v>
      </c>
      <c r="C147" t="s">
        <v>5418</v>
      </c>
      <c r="D147" t="s">
        <v>10</v>
      </c>
      <c r="E147" t="s">
        <v>5416</v>
      </c>
      <c r="F147" t="s">
        <v>5417</v>
      </c>
      <c r="G147" s="16">
        <v>54.6</v>
      </c>
      <c r="H147" t="s">
        <v>8</v>
      </c>
      <c r="I147" s="16">
        <v>47.478259999999999</v>
      </c>
    </row>
    <row r="148" spans="1:9" x14ac:dyDescent="0.3">
      <c r="A148" s="1">
        <v>46193</v>
      </c>
      <c r="B148">
        <v>65</v>
      </c>
      <c r="C148" t="s">
        <v>5567</v>
      </c>
      <c r="D148" t="s">
        <v>10</v>
      </c>
      <c r="E148" t="s">
        <v>128</v>
      </c>
      <c r="F148" t="s">
        <v>129</v>
      </c>
      <c r="G148" s="16">
        <v>745.2</v>
      </c>
      <c r="H148" t="s">
        <v>8</v>
      </c>
      <c r="I148" s="16">
        <v>648</v>
      </c>
    </row>
    <row r="149" spans="1:9" x14ac:dyDescent="0.3">
      <c r="A149" s="1">
        <v>46193</v>
      </c>
      <c r="B149">
        <v>65</v>
      </c>
      <c r="C149" t="s">
        <v>5568</v>
      </c>
      <c r="D149" t="s">
        <v>10</v>
      </c>
      <c r="E149" t="s">
        <v>253</v>
      </c>
      <c r="F149" t="s">
        <v>254</v>
      </c>
      <c r="G149" s="16">
        <v>320.09100000000001</v>
      </c>
      <c r="H149" t="s">
        <v>8</v>
      </c>
      <c r="I149" s="16">
        <v>278.33999999999997</v>
      </c>
    </row>
    <row r="150" spans="1:9" x14ac:dyDescent="0.3">
      <c r="A150" s="1">
        <v>46193</v>
      </c>
      <c r="B150">
        <v>65</v>
      </c>
      <c r="C150" t="s">
        <v>5579</v>
      </c>
      <c r="D150" t="s">
        <v>10</v>
      </c>
      <c r="E150" t="s">
        <v>5580</v>
      </c>
      <c r="F150" t="s">
        <v>5581</v>
      </c>
      <c r="G150" s="16">
        <v>75.900000000000006</v>
      </c>
      <c r="H150" t="s">
        <v>8</v>
      </c>
      <c r="I150" s="16">
        <v>66</v>
      </c>
    </row>
    <row r="151" spans="1:9" x14ac:dyDescent="0.3">
      <c r="A151" s="1">
        <v>46194</v>
      </c>
      <c r="B151">
        <v>64</v>
      </c>
      <c r="C151" t="s">
        <v>5439</v>
      </c>
      <c r="D151" t="s">
        <v>10</v>
      </c>
      <c r="E151" t="s">
        <v>5437</v>
      </c>
      <c r="F151" t="s">
        <v>5438</v>
      </c>
      <c r="G151" s="16">
        <v>421.55756000000002</v>
      </c>
      <c r="H151" t="s">
        <v>8</v>
      </c>
      <c r="I151" s="16">
        <v>366.5718</v>
      </c>
    </row>
    <row r="152" spans="1:9" x14ac:dyDescent="0.3">
      <c r="A152" s="1">
        <v>46194</v>
      </c>
      <c r="B152">
        <v>64</v>
      </c>
      <c r="C152" t="s">
        <v>6028</v>
      </c>
      <c r="D152" t="s">
        <v>2460</v>
      </c>
      <c r="E152" t="s">
        <v>841</v>
      </c>
      <c r="F152" t="s">
        <v>842</v>
      </c>
      <c r="G152" s="16">
        <v>69</v>
      </c>
      <c r="H152" t="s">
        <v>8</v>
      </c>
      <c r="I152" s="16">
        <v>60</v>
      </c>
    </row>
    <row r="153" spans="1:9" x14ac:dyDescent="0.3">
      <c r="A153" s="1">
        <v>46195</v>
      </c>
      <c r="B153">
        <v>63</v>
      </c>
      <c r="C153" t="s">
        <v>5802</v>
      </c>
      <c r="D153" t="s">
        <v>10</v>
      </c>
      <c r="E153" t="s">
        <v>923</v>
      </c>
      <c r="F153" t="s">
        <v>924</v>
      </c>
      <c r="G153" s="16">
        <v>62.266750000000002</v>
      </c>
      <c r="H153" t="s">
        <v>8</v>
      </c>
      <c r="I153" s="16">
        <v>54.145000000000003</v>
      </c>
    </row>
    <row r="154" spans="1:9" x14ac:dyDescent="0.3">
      <c r="A154" s="1">
        <v>46195</v>
      </c>
      <c r="B154">
        <v>63</v>
      </c>
      <c r="C154" t="s">
        <v>6029</v>
      </c>
      <c r="D154" t="s">
        <v>2460</v>
      </c>
      <c r="E154" t="s">
        <v>116</v>
      </c>
      <c r="F154" t="s">
        <v>117</v>
      </c>
      <c r="G154" s="16">
        <v>4083.5246999999999</v>
      </c>
      <c r="H154" t="s">
        <v>8</v>
      </c>
      <c r="I154" s="16">
        <v>3550.8910000000001</v>
      </c>
    </row>
    <row r="155" spans="1:9" x14ac:dyDescent="0.3">
      <c r="A155" s="1">
        <v>46196</v>
      </c>
      <c r="B155">
        <v>62</v>
      </c>
      <c r="C155" t="s">
        <v>5921</v>
      </c>
      <c r="D155" t="s">
        <v>10</v>
      </c>
      <c r="E155" t="s">
        <v>69</v>
      </c>
      <c r="F155" t="s">
        <v>70</v>
      </c>
      <c r="G155" s="16">
        <v>4250.1239999999998</v>
      </c>
      <c r="H155" t="s">
        <v>8</v>
      </c>
      <c r="I155" s="16">
        <v>3695.76</v>
      </c>
    </row>
    <row r="156" spans="1:9" x14ac:dyDescent="0.3">
      <c r="A156" s="1">
        <v>46197</v>
      </c>
      <c r="B156">
        <v>61</v>
      </c>
      <c r="C156" t="s">
        <v>6031</v>
      </c>
      <c r="D156" t="s">
        <v>2460</v>
      </c>
      <c r="E156" t="s">
        <v>111</v>
      </c>
      <c r="F156" t="s">
        <v>112</v>
      </c>
      <c r="G156" s="16">
        <v>240.35005000000001</v>
      </c>
      <c r="H156" t="s">
        <v>8</v>
      </c>
      <c r="I156" s="16">
        <v>209.00004999999999</v>
      </c>
    </row>
    <row r="157" spans="1:9" x14ac:dyDescent="0.3">
      <c r="A157" s="1">
        <v>46197</v>
      </c>
      <c r="B157">
        <v>61</v>
      </c>
      <c r="C157" t="s">
        <v>5959</v>
      </c>
      <c r="D157" t="s">
        <v>10</v>
      </c>
      <c r="E157" t="s">
        <v>919</v>
      </c>
      <c r="F157" t="s">
        <v>920</v>
      </c>
      <c r="G157" s="16">
        <v>694.03252999999995</v>
      </c>
      <c r="H157" t="s">
        <v>8</v>
      </c>
      <c r="I157" s="16">
        <v>603.50653</v>
      </c>
    </row>
    <row r="158" spans="1:9" x14ac:dyDescent="0.3">
      <c r="A158" s="1">
        <v>46197</v>
      </c>
      <c r="B158">
        <v>61</v>
      </c>
      <c r="C158" t="s">
        <v>6030</v>
      </c>
      <c r="D158" t="s">
        <v>2460</v>
      </c>
      <c r="E158" t="s">
        <v>73</v>
      </c>
      <c r="F158" t="s">
        <v>74</v>
      </c>
      <c r="G158" s="16">
        <v>661.72180000000003</v>
      </c>
      <c r="H158" t="s">
        <v>8</v>
      </c>
      <c r="I158" s="16">
        <v>575.41020000000003</v>
      </c>
    </row>
    <row r="159" spans="1:9" x14ac:dyDescent="0.3">
      <c r="A159" s="1">
        <v>46197</v>
      </c>
      <c r="B159">
        <v>61</v>
      </c>
      <c r="C159" t="s">
        <v>6012</v>
      </c>
      <c r="D159" t="s">
        <v>10</v>
      </c>
      <c r="E159" t="s">
        <v>173</v>
      </c>
      <c r="F159" t="s">
        <v>174</v>
      </c>
      <c r="G159" s="16">
        <v>3767.17</v>
      </c>
      <c r="H159" t="s">
        <v>8</v>
      </c>
      <c r="I159" s="16">
        <v>3275.8</v>
      </c>
    </row>
    <row r="160" spans="1:9" x14ac:dyDescent="0.3">
      <c r="A160" s="1">
        <v>46198</v>
      </c>
      <c r="B160">
        <v>60</v>
      </c>
      <c r="C160" t="s">
        <v>6035</v>
      </c>
      <c r="D160" t="s">
        <v>10</v>
      </c>
      <c r="E160" t="s">
        <v>821</v>
      </c>
      <c r="F160" t="s">
        <v>2040</v>
      </c>
      <c r="G160" s="16">
        <v>1479.36</v>
      </c>
      <c r="H160" t="s">
        <v>8</v>
      </c>
      <c r="I160" s="16">
        <v>1286.4000000000001</v>
      </c>
    </row>
    <row r="161" spans="1:9" x14ac:dyDescent="0.3">
      <c r="A161" s="1">
        <v>46198</v>
      </c>
      <c r="B161">
        <v>60</v>
      </c>
      <c r="C161" t="s">
        <v>6071</v>
      </c>
      <c r="D161" t="s">
        <v>10</v>
      </c>
      <c r="E161" t="s">
        <v>43</v>
      </c>
      <c r="F161" t="s">
        <v>44</v>
      </c>
      <c r="G161" s="16">
        <v>11616.540999999999</v>
      </c>
      <c r="H161" t="s">
        <v>8</v>
      </c>
      <c r="I161" s="16">
        <v>10101.34</v>
      </c>
    </row>
    <row r="162" spans="1:9" x14ac:dyDescent="0.3">
      <c r="A162" s="1">
        <v>46198</v>
      </c>
      <c r="B162">
        <v>60</v>
      </c>
      <c r="C162" t="s">
        <v>6076</v>
      </c>
      <c r="D162" t="s">
        <v>10</v>
      </c>
      <c r="E162" t="s">
        <v>43</v>
      </c>
      <c r="F162" t="s">
        <v>44</v>
      </c>
      <c r="G162" s="16">
        <v>2640.86</v>
      </c>
      <c r="H162" t="s">
        <v>8</v>
      </c>
      <c r="I162" s="16">
        <v>2296.4</v>
      </c>
    </row>
    <row r="163" spans="1:9" x14ac:dyDescent="0.3">
      <c r="A163" s="1">
        <v>46198</v>
      </c>
      <c r="B163">
        <v>60</v>
      </c>
      <c r="C163" t="s">
        <v>6059</v>
      </c>
      <c r="D163" t="s">
        <v>10</v>
      </c>
      <c r="E163" t="s">
        <v>43</v>
      </c>
      <c r="F163" t="s">
        <v>44</v>
      </c>
      <c r="G163" s="16">
        <v>2979.9259999999999</v>
      </c>
      <c r="H163" t="s">
        <v>8</v>
      </c>
      <c r="I163" s="16">
        <v>2591.2399999999998</v>
      </c>
    </row>
    <row r="164" spans="1:9" x14ac:dyDescent="0.3">
      <c r="A164" s="1">
        <v>46198</v>
      </c>
      <c r="B164">
        <v>60</v>
      </c>
      <c r="C164" t="s">
        <v>6056</v>
      </c>
      <c r="D164" t="s">
        <v>10</v>
      </c>
      <c r="E164" t="s">
        <v>821</v>
      </c>
      <c r="F164" t="s">
        <v>2040</v>
      </c>
      <c r="G164" s="16">
        <v>757.98800000000006</v>
      </c>
      <c r="H164" t="s">
        <v>8</v>
      </c>
      <c r="I164" s="16">
        <v>659.12</v>
      </c>
    </row>
    <row r="165" spans="1:9" x14ac:dyDescent="0.3">
      <c r="A165" s="1">
        <v>46198</v>
      </c>
      <c r="B165">
        <v>60</v>
      </c>
      <c r="C165" t="s">
        <v>6048</v>
      </c>
      <c r="D165" t="s">
        <v>10</v>
      </c>
      <c r="E165" t="s">
        <v>821</v>
      </c>
      <c r="F165" t="s">
        <v>2040</v>
      </c>
      <c r="G165" s="16">
        <v>308.08499999999998</v>
      </c>
      <c r="H165" t="s">
        <v>8</v>
      </c>
      <c r="I165" s="16">
        <v>267.89999999999998</v>
      </c>
    </row>
    <row r="166" spans="1:9" x14ac:dyDescent="0.3">
      <c r="A166" s="1">
        <v>46199</v>
      </c>
      <c r="B166">
        <v>59</v>
      </c>
      <c r="C166" t="s">
        <v>6121</v>
      </c>
      <c r="D166" t="s">
        <v>10</v>
      </c>
      <c r="E166" t="s">
        <v>43</v>
      </c>
      <c r="F166" t="s">
        <v>44</v>
      </c>
      <c r="G166" s="16">
        <v>3661.1860000000001</v>
      </c>
      <c r="H166" t="s">
        <v>8</v>
      </c>
      <c r="I166" s="16">
        <v>3183.64</v>
      </c>
    </row>
    <row r="167" spans="1:9" x14ac:dyDescent="0.3">
      <c r="A167" s="1">
        <v>46201</v>
      </c>
      <c r="B167">
        <v>57</v>
      </c>
      <c r="C167" t="s">
        <v>2098</v>
      </c>
      <c r="D167" t="s">
        <v>38</v>
      </c>
      <c r="E167" t="s">
        <v>349</v>
      </c>
      <c r="F167" t="s">
        <v>350</v>
      </c>
      <c r="G167" s="16">
        <v>5395.1445000000003</v>
      </c>
      <c r="H167" t="s">
        <v>8</v>
      </c>
      <c r="I167" s="16">
        <v>4691.43</v>
      </c>
    </row>
    <row r="168" spans="1:9" x14ac:dyDescent="0.3">
      <c r="A168" s="1">
        <v>46201</v>
      </c>
      <c r="B168">
        <v>57</v>
      </c>
      <c r="C168" t="s">
        <v>351</v>
      </c>
      <c r="D168" t="s">
        <v>38</v>
      </c>
      <c r="E168" t="s">
        <v>349</v>
      </c>
      <c r="F168" t="s">
        <v>350</v>
      </c>
      <c r="G168" s="16">
        <v>17701.363000000001</v>
      </c>
      <c r="H168" t="s">
        <v>8</v>
      </c>
      <c r="I168" s="16">
        <v>15392.49</v>
      </c>
    </row>
    <row r="169" spans="1:9" x14ac:dyDescent="0.3">
      <c r="A169" s="1">
        <v>46201</v>
      </c>
      <c r="B169">
        <v>57</v>
      </c>
      <c r="C169" t="s">
        <v>2516</v>
      </c>
      <c r="D169" t="s">
        <v>38</v>
      </c>
      <c r="E169" t="s">
        <v>349</v>
      </c>
      <c r="F169" t="s">
        <v>350</v>
      </c>
      <c r="G169" s="16">
        <v>3984.4856</v>
      </c>
      <c r="H169" t="s">
        <v>8</v>
      </c>
      <c r="I169" s="16">
        <v>3464.77</v>
      </c>
    </row>
    <row r="170" spans="1:9" x14ac:dyDescent="0.3">
      <c r="A170" s="1">
        <v>46201</v>
      </c>
      <c r="B170">
        <v>57</v>
      </c>
      <c r="C170" t="s">
        <v>6242</v>
      </c>
      <c r="D170" t="s">
        <v>38</v>
      </c>
      <c r="E170" t="s">
        <v>253</v>
      </c>
      <c r="F170" t="s">
        <v>254</v>
      </c>
      <c r="G170" s="16">
        <v>34.5</v>
      </c>
      <c r="H170" t="s">
        <v>8</v>
      </c>
      <c r="I170" s="16">
        <v>30</v>
      </c>
    </row>
    <row r="171" spans="1:9" x14ac:dyDescent="0.3">
      <c r="A171" s="1">
        <v>46201</v>
      </c>
      <c r="B171">
        <v>57</v>
      </c>
      <c r="C171" t="s">
        <v>2093</v>
      </c>
      <c r="D171" t="s">
        <v>38</v>
      </c>
      <c r="E171" t="s">
        <v>349</v>
      </c>
      <c r="F171" t="s">
        <v>350</v>
      </c>
      <c r="G171" s="16">
        <v>414</v>
      </c>
      <c r="H171" t="s">
        <v>8</v>
      </c>
      <c r="I171" s="16">
        <v>360</v>
      </c>
    </row>
    <row r="172" spans="1:9" x14ac:dyDescent="0.3">
      <c r="A172" s="1">
        <v>46202</v>
      </c>
      <c r="B172">
        <v>56</v>
      </c>
      <c r="C172" t="s">
        <v>6312</v>
      </c>
      <c r="D172" t="s">
        <v>2460</v>
      </c>
      <c r="E172" t="s">
        <v>73</v>
      </c>
      <c r="F172" t="s">
        <v>74</v>
      </c>
      <c r="G172" s="16">
        <v>179.4</v>
      </c>
      <c r="H172" t="s">
        <v>8</v>
      </c>
      <c r="I172" s="16">
        <v>156</v>
      </c>
    </row>
    <row r="173" spans="1:9" x14ac:dyDescent="0.3">
      <c r="A173" s="1">
        <v>46203</v>
      </c>
      <c r="B173">
        <v>55</v>
      </c>
      <c r="C173" t="s">
        <v>6378</v>
      </c>
      <c r="D173" t="s">
        <v>2463</v>
      </c>
      <c r="E173" t="s">
        <v>173</v>
      </c>
      <c r="F173" t="s">
        <v>174</v>
      </c>
      <c r="G173" s="16">
        <v>2.875</v>
      </c>
      <c r="H173" t="s">
        <v>8</v>
      </c>
      <c r="I173" s="16">
        <v>2.5</v>
      </c>
    </row>
    <row r="174" spans="1:9" x14ac:dyDescent="0.3">
      <c r="A174" s="1">
        <v>46203</v>
      </c>
      <c r="B174">
        <v>55</v>
      </c>
      <c r="C174" t="s">
        <v>6364</v>
      </c>
      <c r="D174" t="s">
        <v>10</v>
      </c>
      <c r="E174" t="s">
        <v>51</v>
      </c>
      <c r="F174" t="s">
        <v>52</v>
      </c>
      <c r="G174" s="16">
        <v>2581.06</v>
      </c>
      <c r="H174" t="s">
        <v>8</v>
      </c>
      <c r="I174" s="16">
        <v>2244.4</v>
      </c>
    </row>
    <row r="175" spans="1:9" x14ac:dyDescent="0.3">
      <c r="A175" s="1">
        <v>46203</v>
      </c>
      <c r="B175">
        <v>55</v>
      </c>
      <c r="C175" t="s">
        <v>6377</v>
      </c>
      <c r="D175" t="s">
        <v>2460</v>
      </c>
      <c r="E175" t="s">
        <v>767</v>
      </c>
      <c r="F175" t="s">
        <v>768</v>
      </c>
      <c r="G175" s="16">
        <v>84.525000000000006</v>
      </c>
      <c r="H175" t="s">
        <v>8</v>
      </c>
      <c r="I175" s="16">
        <v>73.5</v>
      </c>
    </row>
    <row r="176" spans="1:9" x14ac:dyDescent="0.3">
      <c r="A176" s="1">
        <v>46204</v>
      </c>
      <c r="B176">
        <v>54</v>
      </c>
      <c r="C176" t="s">
        <v>5538</v>
      </c>
      <c r="D176" t="s">
        <v>38</v>
      </c>
      <c r="E176" t="s">
        <v>349</v>
      </c>
      <c r="F176" t="s">
        <v>350</v>
      </c>
      <c r="G176" s="16">
        <v>3597.5333999999998</v>
      </c>
      <c r="H176" t="s">
        <v>8</v>
      </c>
      <c r="I176" s="16">
        <v>3128.29</v>
      </c>
    </row>
    <row r="177" spans="1:9" x14ac:dyDescent="0.3">
      <c r="A177" s="1">
        <v>46204</v>
      </c>
      <c r="B177">
        <v>54</v>
      </c>
      <c r="C177" t="s">
        <v>6370</v>
      </c>
      <c r="D177" t="s">
        <v>10</v>
      </c>
      <c r="E177" t="s">
        <v>39</v>
      </c>
      <c r="F177" t="s">
        <v>40</v>
      </c>
      <c r="G177" s="16">
        <v>3697.1968000000002</v>
      </c>
      <c r="H177" t="s">
        <v>8</v>
      </c>
      <c r="I177" s="16">
        <v>3214.9535999999998</v>
      </c>
    </row>
    <row r="178" spans="1:9" x14ac:dyDescent="0.3">
      <c r="A178" s="1">
        <v>46204</v>
      </c>
      <c r="B178">
        <v>54</v>
      </c>
      <c r="C178" t="s">
        <v>4118</v>
      </c>
      <c r="D178" t="s">
        <v>2463</v>
      </c>
      <c r="E178" t="s">
        <v>4119</v>
      </c>
      <c r="F178" t="s">
        <v>4120</v>
      </c>
      <c r="G178" s="16">
        <v>48.3</v>
      </c>
      <c r="H178" t="s">
        <v>8</v>
      </c>
      <c r="I178" s="16">
        <v>42</v>
      </c>
    </row>
    <row r="179" spans="1:9" x14ac:dyDescent="0.3">
      <c r="A179" s="1">
        <v>46204</v>
      </c>
      <c r="B179">
        <v>54</v>
      </c>
      <c r="C179" t="s">
        <v>6384</v>
      </c>
      <c r="D179" t="s">
        <v>2460</v>
      </c>
      <c r="E179" t="s">
        <v>4616</v>
      </c>
      <c r="F179" t="s">
        <v>4617</v>
      </c>
      <c r="G179" s="16">
        <v>3299.9250000000002</v>
      </c>
      <c r="H179" t="s">
        <v>8</v>
      </c>
      <c r="I179" s="16">
        <v>2869.5</v>
      </c>
    </row>
    <row r="180" spans="1:9" x14ac:dyDescent="0.3">
      <c r="A180" s="1">
        <v>46204</v>
      </c>
      <c r="B180">
        <v>54</v>
      </c>
      <c r="C180" t="s">
        <v>386</v>
      </c>
      <c r="D180" t="s">
        <v>38</v>
      </c>
      <c r="E180" t="s">
        <v>349</v>
      </c>
      <c r="F180" t="s">
        <v>350</v>
      </c>
      <c r="G180" s="16">
        <v>9642.4279999999999</v>
      </c>
      <c r="H180" t="s">
        <v>8</v>
      </c>
      <c r="I180" s="16">
        <v>8384.7199999999993</v>
      </c>
    </row>
    <row r="181" spans="1:9" x14ac:dyDescent="0.3">
      <c r="A181" s="1">
        <v>46204</v>
      </c>
      <c r="B181">
        <v>54</v>
      </c>
      <c r="C181" t="s">
        <v>11247</v>
      </c>
      <c r="D181" t="s">
        <v>10</v>
      </c>
      <c r="E181" t="s">
        <v>361</v>
      </c>
      <c r="F181" t="s">
        <v>7334</v>
      </c>
      <c r="G181" s="16">
        <v>8.3570499999999992</v>
      </c>
      <c r="H181" t="s">
        <v>8</v>
      </c>
      <c r="I181" s="16">
        <v>7.2670000000000003</v>
      </c>
    </row>
    <row r="182" spans="1:9" x14ac:dyDescent="0.3">
      <c r="A182" s="1">
        <v>46204</v>
      </c>
      <c r="B182">
        <v>54</v>
      </c>
      <c r="C182" t="s">
        <v>388</v>
      </c>
      <c r="D182" t="s">
        <v>38</v>
      </c>
      <c r="E182" t="s">
        <v>349</v>
      </c>
      <c r="F182" t="s">
        <v>350</v>
      </c>
      <c r="G182" s="16">
        <v>21328.692999999999</v>
      </c>
      <c r="H182" t="s">
        <v>8</v>
      </c>
      <c r="I182" s="16">
        <v>18546.689999999999</v>
      </c>
    </row>
    <row r="183" spans="1:9" x14ac:dyDescent="0.3">
      <c r="A183" s="1">
        <v>46204</v>
      </c>
      <c r="B183">
        <v>54</v>
      </c>
      <c r="C183" t="s">
        <v>4058</v>
      </c>
      <c r="D183" t="s">
        <v>38</v>
      </c>
      <c r="E183" t="s">
        <v>349</v>
      </c>
      <c r="F183" t="s">
        <v>350</v>
      </c>
      <c r="G183" s="16">
        <v>2894.8029999999999</v>
      </c>
      <c r="H183" t="s">
        <v>8</v>
      </c>
      <c r="I183" s="16">
        <v>2517.2199999999998</v>
      </c>
    </row>
    <row r="184" spans="1:9" x14ac:dyDescent="0.3">
      <c r="A184" s="1">
        <v>46204</v>
      </c>
      <c r="B184">
        <v>54</v>
      </c>
      <c r="C184" t="s">
        <v>6241</v>
      </c>
      <c r="D184" t="s">
        <v>38</v>
      </c>
      <c r="E184" t="s">
        <v>349</v>
      </c>
      <c r="F184" t="s">
        <v>350</v>
      </c>
      <c r="G184" s="16">
        <v>365.98750000000001</v>
      </c>
      <c r="H184" t="s">
        <v>8</v>
      </c>
      <c r="I184" s="16">
        <v>318.25</v>
      </c>
    </row>
    <row r="185" spans="1:9" x14ac:dyDescent="0.3">
      <c r="A185" s="1">
        <v>46204</v>
      </c>
      <c r="B185">
        <v>54</v>
      </c>
      <c r="C185" t="s">
        <v>6381</v>
      </c>
      <c r="D185" t="s">
        <v>2460</v>
      </c>
      <c r="E185" t="s">
        <v>534</v>
      </c>
      <c r="F185" t="s">
        <v>535</v>
      </c>
      <c r="G185" s="16">
        <v>17787.900000000001</v>
      </c>
      <c r="H185" t="s">
        <v>8</v>
      </c>
      <c r="I185" s="16">
        <v>15467.739</v>
      </c>
    </row>
    <row r="186" spans="1:9" x14ac:dyDescent="0.3">
      <c r="A186" s="1">
        <v>46205</v>
      </c>
      <c r="B186">
        <v>53</v>
      </c>
      <c r="C186" t="s">
        <v>6486</v>
      </c>
      <c r="D186" t="s">
        <v>10</v>
      </c>
      <c r="E186" t="s">
        <v>2804</v>
      </c>
      <c r="F186" t="s">
        <v>2805</v>
      </c>
      <c r="G186" s="16">
        <v>15.6975</v>
      </c>
      <c r="H186" t="s">
        <v>8</v>
      </c>
      <c r="I186" s="16">
        <v>13.65</v>
      </c>
    </row>
    <row r="187" spans="1:9" x14ac:dyDescent="0.3">
      <c r="A187" s="1">
        <v>46205</v>
      </c>
      <c r="B187">
        <v>53</v>
      </c>
      <c r="C187" t="s">
        <v>6513</v>
      </c>
      <c r="D187" t="s">
        <v>10</v>
      </c>
      <c r="E187" t="s">
        <v>406</v>
      </c>
      <c r="F187" t="s">
        <v>407</v>
      </c>
      <c r="G187" s="16">
        <v>736</v>
      </c>
      <c r="H187" t="s">
        <v>8</v>
      </c>
      <c r="I187" s="16">
        <v>640</v>
      </c>
    </row>
    <row r="188" spans="1:9" x14ac:dyDescent="0.3">
      <c r="A188" s="1">
        <v>46205</v>
      </c>
      <c r="B188">
        <v>53</v>
      </c>
      <c r="C188" t="s">
        <v>6489</v>
      </c>
      <c r="D188" t="s">
        <v>38</v>
      </c>
      <c r="E188" t="s">
        <v>39</v>
      </c>
      <c r="F188" t="s">
        <v>40</v>
      </c>
      <c r="G188" s="16">
        <v>2611.9558000000002</v>
      </c>
      <c r="H188" t="s">
        <v>8</v>
      </c>
      <c r="I188" s="16">
        <v>2271.2658999999999</v>
      </c>
    </row>
    <row r="189" spans="1:9" x14ac:dyDescent="0.3">
      <c r="A189" s="1">
        <v>46205</v>
      </c>
      <c r="B189">
        <v>53</v>
      </c>
      <c r="C189" t="s">
        <v>6507</v>
      </c>
      <c r="D189" t="s">
        <v>10</v>
      </c>
      <c r="E189" t="s">
        <v>534</v>
      </c>
      <c r="F189" t="s">
        <v>535</v>
      </c>
      <c r="G189" s="16">
        <v>697.66459999999995</v>
      </c>
      <c r="H189" t="s">
        <v>8</v>
      </c>
      <c r="I189" s="16">
        <v>606.66489999999999</v>
      </c>
    </row>
    <row r="190" spans="1:9" x14ac:dyDescent="0.3">
      <c r="A190" s="1">
        <v>46205</v>
      </c>
      <c r="B190">
        <v>53</v>
      </c>
      <c r="C190" t="s">
        <v>6508</v>
      </c>
      <c r="D190" t="s">
        <v>10</v>
      </c>
      <c r="E190" t="s">
        <v>1707</v>
      </c>
      <c r="F190" t="s">
        <v>1708</v>
      </c>
      <c r="G190" s="16">
        <v>11.798999999999999</v>
      </c>
      <c r="H190" t="s">
        <v>8</v>
      </c>
      <c r="I190" s="16">
        <v>10.26</v>
      </c>
    </row>
    <row r="191" spans="1:9" x14ac:dyDescent="0.3">
      <c r="A191" s="1">
        <v>46205</v>
      </c>
      <c r="B191">
        <v>53</v>
      </c>
      <c r="C191" t="s">
        <v>6500</v>
      </c>
      <c r="D191" t="s">
        <v>10</v>
      </c>
      <c r="E191" t="s">
        <v>25</v>
      </c>
      <c r="F191" t="s">
        <v>26</v>
      </c>
      <c r="G191" s="16">
        <v>701.04</v>
      </c>
      <c r="H191" t="s">
        <v>8</v>
      </c>
      <c r="I191" s="16">
        <v>609.6</v>
      </c>
    </row>
    <row r="192" spans="1:9" x14ac:dyDescent="0.3">
      <c r="A192" s="1">
        <v>46205</v>
      </c>
      <c r="B192">
        <v>53</v>
      </c>
      <c r="C192" t="s">
        <v>6490</v>
      </c>
      <c r="D192" t="s">
        <v>10</v>
      </c>
      <c r="E192" t="s">
        <v>41</v>
      </c>
      <c r="F192" t="s">
        <v>42</v>
      </c>
      <c r="G192" s="16">
        <v>5861.7160000000003</v>
      </c>
      <c r="H192" t="s">
        <v>8</v>
      </c>
      <c r="I192" s="16">
        <v>5097.1440000000002</v>
      </c>
    </row>
    <row r="193" spans="1:9" x14ac:dyDescent="0.3">
      <c r="A193" s="1">
        <v>46205</v>
      </c>
      <c r="B193">
        <v>53</v>
      </c>
      <c r="C193" t="s">
        <v>6459</v>
      </c>
      <c r="D193" t="s">
        <v>10</v>
      </c>
      <c r="E193" t="s">
        <v>6457</v>
      </c>
      <c r="F193" t="s">
        <v>6458</v>
      </c>
      <c r="G193" s="16">
        <v>4.37</v>
      </c>
      <c r="H193" t="s">
        <v>8</v>
      </c>
      <c r="I193" s="16">
        <v>3.8</v>
      </c>
    </row>
    <row r="194" spans="1:9" x14ac:dyDescent="0.3">
      <c r="A194" s="1">
        <v>46205</v>
      </c>
      <c r="B194">
        <v>53</v>
      </c>
      <c r="C194" t="s">
        <v>6512</v>
      </c>
      <c r="D194" t="s">
        <v>38</v>
      </c>
      <c r="E194" t="s">
        <v>39</v>
      </c>
      <c r="F194" t="s">
        <v>40</v>
      </c>
      <c r="G194" s="16">
        <v>1177.2634</v>
      </c>
      <c r="H194" t="s">
        <v>8</v>
      </c>
      <c r="I194" s="16">
        <v>1023.70734</v>
      </c>
    </row>
    <row r="195" spans="1:9" x14ac:dyDescent="0.3">
      <c r="A195" s="1">
        <v>46205</v>
      </c>
      <c r="B195">
        <v>53</v>
      </c>
      <c r="C195" t="s">
        <v>6481</v>
      </c>
      <c r="D195" t="s">
        <v>10</v>
      </c>
      <c r="E195" t="s">
        <v>987</v>
      </c>
      <c r="F195" t="s">
        <v>988</v>
      </c>
      <c r="G195" s="16">
        <v>717.6</v>
      </c>
      <c r="H195" t="s">
        <v>8</v>
      </c>
      <c r="I195" s="16">
        <v>624</v>
      </c>
    </row>
    <row r="196" spans="1:9" x14ac:dyDescent="0.3">
      <c r="A196" s="1">
        <v>46205</v>
      </c>
      <c r="B196">
        <v>53</v>
      </c>
      <c r="C196" t="s">
        <v>6992</v>
      </c>
      <c r="D196" t="s">
        <v>2460</v>
      </c>
      <c r="E196" t="s">
        <v>710</v>
      </c>
      <c r="F196" t="s">
        <v>711</v>
      </c>
      <c r="G196" s="16">
        <v>280.14</v>
      </c>
      <c r="H196" t="s">
        <v>8</v>
      </c>
      <c r="I196" s="16">
        <v>243.6</v>
      </c>
    </row>
    <row r="197" spans="1:9" x14ac:dyDescent="0.3">
      <c r="A197" s="1">
        <v>46205</v>
      </c>
      <c r="B197">
        <v>53</v>
      </c>
      <c r="C197" t="s">
        <v>6455</v>
      </c>
      <c r="D197" t="s">
        <v>10</v>
      </c>
      <c r="E197" t="s">
        <v>937</v>
      </c>
      <c r="F197" t="s">
        <v>938</v>
      </c>
      <c r="G197" s="16">
        <v>521.56859999999995</v>
      </c>
      <c r="H197" t="s">
        <v>8</v>
      </c>
      <c r="I197" s="16">
        <v>453.53789999999998</v>
      </c>
    </row>
    <row r="198" spans="1:9" x14ac:dyDescent="0.3">
      <c r="A198" s="1">
        <v>46206</v>
      </c>
      <c r="B198">
        <v>52</v>
      </c>
      <c r="C198" t="s">
        <v>6529</v>
      </c>
      <c r="D198" t="s">
        <v>10</v>
      </c>
      <c r="E198" t="s">
        <v>65</v>
      </c>
      <c r="F198" t="s">
        <v>66</v>
      </c>
      <c r="G198" s="16">
        <v>3999.9292</v>
      </c>
      <c r="H198" t="s">
        <v>8</v>
      </c>
      <c r="I198" s="16">
        <v>3478.1995000000002</v>
      </c>
    </row>
    <row r="199" spans="1:9" x14ac:dyDescent="0.3">
      <c r="A199" s="1">
        <v>46207</v>
      </c>
      <c r="B199">
        <v>51</v>
      </c>
      <c r="C199" t="s">
        <v>6993</v>
      </c>
      <c r="D199" t="s">
        <v>2460</v>
      </c>
      <c r="E199" t="s">
        <v>2461</v>
      </c>
      <c r="F199" t="s">
        <v>2462</v>
      </c>
      <c r="G199" s="16">
        <v>82.224999999999994</v>
      </c>
      <c r="H199" t="s">
        <v>8</v>
      </c>
      <c r="I199" s="16">
        <v>71.5</v>
      </c>
    </row>
    <row r="200" spans="1:9" x14ac:dyDescent="0.3">
      <c r="A200" s="1">
        <v>46207</v>
      </c>
      <c r="B200">
        <v>51</v>
      </c>
      <c r="C200" t="s">
        <v>11248</v>
      </c>
      <c r="D200" t="s">
        <v>10</v>
      </c>
      <c r="E200" t="s">
        <v>11249</v>
      </c>
      <c r="F200" t="s">
        <v>11250</v>
      </c>
      <c r="G200" s="16">
        <v>202.65</v>
      </c>
      <c r="H200" t="s">
        <v>8</v>
      </c>
      <c r="I200" s="16">
        <v>202.65</v>
      </c>
    </row>
    <row r="201" spans="1:9" x14ac:dyDescent="0.3">
      <c r="A201" s="1">
        <v>46207</v>
      </c>
      <c r="B201">
        <v>51</v>
      </c>
      <c r="C201" t="s">
        <v>6647</v>
      </c>
      <c r="D201" t="s">
        <v>10</v>
      </c>
      <c r="E201" t="s">
        <v>65</v>
      </c>
      <c r="F201" t="s">
        <v>66</v>
      </c>
      <c r="G201" s="16">
        <v>5179.6229999999996</v>
      </c>
      <c r="H201" t="s">
        <v>8</v>
      </c>
      <c r="I201" s="16">
        <v>4504.0200000000004</v>
      </c>
    </row>
    <row r="202" spans="1:9" x14ac:dyDescent="0.3">
      <c r="A202" s="1">
        <v>46207</v>
      </c>
      <c r="B202">
        <v>51</v>
      </c>
      <c r="C202" t="s">
        <v>6551</v>
      </c>
      <c r="D202" t="s">
        <v>10</v>
      </c>
      <c r="E202" t="s">
        <v>2166</v>
      </c>
      <c r="F202" t="s">
        <v>2167</v>
      </c>
      <c r="G202" s="16">
        <v>2337.5419999999999</v>
      </c>
      <c r="H202" t="s">
        <v>8</v>
      </c>
      <c r="I202" s="16">
        <v>2032.6451</v>
      </c>
    </row>
    <row r="203" spans="1:9" x14ac:dyDescent="0.3">
      <c r="A203" s="1">
        <v>46207</v>
      </c>
      <c r="B203">
        <v>51</v>
      </c>
      <c r="C203" t="s">
        <v>6579</v>
      </c>
      <c r="D203" t="s">
        <v>10</v>
      </c>
      <c r="E203" t="s">
        <v>2273</v>
      </c>
      <c r="F203" t="s">
        <v>2274</v>
      </c>
      <c r="G203" s="16">
        <v>986.98749999999995</v>
      </c>
      <c r="H203" t="s">
        <v>8</v>
      </c>
      <c r="I203" s="16">
        <v>858.25</v>
      </c>
    </row>
    <row r="204" spans="1:9" x14ac:dyDescent="0.3">
      <c r="A204" s="1">
        <v>46207</v>
      </c>
      <c r="B204">
        <v>51</v>
      </c>
      <c r="C204" t="s">
        <v>6657</v>
      </c>
      <c r="D204" t="s">
        <v>10</v>
      </c>
      <c r="E204" t="s">
        <v>39</v>
      </c>
      <c r="F204" t="s">
        <v>40</v>
      </c>
      <c r="G204" s="16">
        <v>3011.5068000000001</v>
      </c>
      <c r="H204" t="s">
        <v>8</v>
      </c>
      <c r="I204" s="16">
        <v>2618.7017000000001</v>
      </c>
    </row>
    <row r="205" spans="1:9" x14ac:dyDescent="0.3">
      <c r="A205" s="1">
        <v>46207</v>
      </c>
      <c r="B205">
        <v>51</v>
      </c>
      <c r="C205" t="s">
        <v>6614</v>
      </c>
      <c r="D205" t="s">
        <v>10</v>
      </c>
      <c r="E205" t="s">
        <v>4877</v>
      </c>
      <c r="F205" t="s">
        <v>5340</v>
      </c>
      <c r="G205" s="16">
        <v>56.861750000000001</v>
      </c>
      <c r="H205" t="s">
        <v>8</v>
      </c>
      <c r="I205" s="16">
        <v>49.445</v>
      </c>
    </row>
    <row r="206" spans="1:9" x14ac:dyDescent="0.3">
      <c r="A206" s="1">
        <v>46208</v>
      </c>
      <c r="B206">
        <v>50</v>
      </c>
      <c r="C206" t="s">
        <v>6730</v>
      </c>
      <c r="D206" t="s">
        <v>10</v>
      </c>
      <c r="E206" t="s">
        <v>51</v>
      </c>
      <c r="F206" t="s">
        <v>52</v>
      </c>
      <c r="G206" s="16">
        <v>3624.1559999999999</v>
      </c>
      <c r="H206" t="s">
        <v>8</v>
      </c>
      <c r="I206" s="16">
        <v>3151.44</v>
      </c>
    </row>
    <row r="207" spans="1:9" x14ac:dyDescent="0.3">
      <c r="A207" s="1">
        <v>46208</v>
      </c>
      <c r="B207">
        <v>50</v>
      </c>
      <c r="C207" t="s">
        <v>6726</v>
      </c>
      <c r="D207" t="s">
        <v>10</v>
      </c>
      <c r="E207" t="s">
        <v>919</v>
      </c>
      <c r="F207" t="s">
        <v>920</v>
      </c>
      <c r="G207" s="16">
        <v>1113.3912</v>
      </c>
      <c r="H207" t="s">
        <v>8</v>
      </c>
      <c r="I207" s="16">
        <v>968.16625999999997</v>
      </c>
    </row>
    <row r="208" spans="1:9" x14ac:dyDescent="0.3">
      <c r="A208" s="1">
        <v>46208</v>
      </c>
      <c r="B208">
        <v>50</v>
      </c>
      <c r="C208" t="s">
        <v>6689</v>
      </c>
      <c r="D208" t="s">
        <v>10</v>
      </c>
      <c r="E208" t="s">
        <v>144</v>
      </c>
      <c r="F208" t="s">
        <v>145</v>
      </c>
      <c r="G208" s="16">
        <v>132.20400000000001</v>
      </c>
      <c r="H208" t="s">
        <v>8</v>
      </c>
      <c r="I208" s="16">
        <v>114.96</v>
      </c>
    </row>
    <row r="209" spans="1:9" x14ac:dyDescent="0.3">
      <c r="A209" s="1">
        <v>46208</v>
      </c>
      <c r="B209">
        <v>50</v>
      </c>
      <c r="C209" t="s">
        <v>6723</v>
      </c>
      <c r="D209" t="s">
        <v>10</v>
      </c>
      <c r="E209" t="s">
        <v>854</v>
      </c>
      <c r="F209" t="s">
        <v>855</v>
      </c>
      <c r="G209" s="16">
        <v>678.96690000000001</v>
      </c>
      <c r="H209" t="s">
        <v>8</v>
      </c>
      <c r="I209" s="16">
        <v>590.40599999999995</v>
      </c>
    </row>
    <row r="210" spans="1:9" x14ac:dyDescent="0.3">
      <c r="A210" s="1">
        <v>46208</v>
      </c>
      <c r="B210">
        <v>50</v>
      </c>
      <c r="C210" t="s">
        <v>6738</v>
      </c>
      <c r="D210" t="s">
        <v>10</v>
      </c>
      <c r="E210" t="s">
        <v>111</v>
      </c>
      <c r="F210" t="s">
        <v>112</v>
      </c>
      <c r="G210" s="16">
        <v>946.56537000000003</v>
      </c>
      <c r="H210" t="s">
        <v>8</v>
      </c>
      <c r="I210" s="16">
        <v>823.10029999999995</v>
      </c>
    </row>
    <row r="211" spans="1:9" x14ac:dyDescent="0.3">
      <c r="A211" s="1">
        <v>46209</v>
      </c>
      <c r="B211">
        <v>49</v>
      </c>
      <c r="C211" t="s">
        <v>6994</v>
      </c>
      <c r="D211" t="s">
        <v>2460</v>
      </c>
      <c r="E211" t="s">
        <v>2260</v>
      </c>
      <c r="F211" t="s">
        <v>2261</v>
      </c>
      <c r="G211" s="16">
        <v>4663.9859999999999</v>
      </c>
      <c r="H211" t="s">
        <v>8</v>
      </c>
      <c r="I211" s="16">
        <v>4055.64</v>
      </c>
    </row>
    <row r="212" spans="1:9" x14ac:dyDescent="0.3">
      <c r="A212" s="1">
        <v>46209</v>
      </c>
      <c r="B212">
        <v>49</v>
      </c>
      <c r="C212" t="s">
        <v>6807</v>
      </c>
      <c r="D212" t="s">
        <v>169</v>
      </c>
      <c r="E212" t="s">
        <v>4665</v>
      </c>
      <c r="F212" t="s">
        <v>4666</v>
      </c>
      <c r="G212" s="16">
        <v>585.63750000000005</v>
      </c>
      <c r="H212" t="s">
        <v>8</v>
      </c>
      <c r="I212" s="16">
        <v>509.25</v>
      </c>
    </row>
    <row r="213" spans="1:9" x14ac:dyDescent="0.3">
      <c r="A213" s="1">
        <v>46210</v>
      </c>
      <c r="B213">
        <v>48</v>
      </c>
      <c r="C213" t="s">
        <v>6927</v>
      </c>
      <c r="D213" t="s">
        <v>10</v>
      </c>
      <c r="E213" t="s">
        <v>613</v>
      </c>
      <c r="F213" t="s">
        <v>614</v>
      </c>
      <c r="G213" s="16">
        <v>818.16750000000002</v>
      </c>
      <c r="H213" t="s">
        <v>8</v>
      </c>
      <c r="I213" s="16">
        <v>711.45</v>
      </c>
    </row>
    <row r="214" spans="1:9" x14ac:dyDescent="0.3">
      <c r="A214" s="1">
        <v>46210</v>
      </c>
      <c r="B214">
        <v>48</v>
      </c>
      <c r="C214" t="s">
        <v>6919</v>
      </c>
      <c r="D214" t="s">
        <v>10</v>
      </c>
      <c r="E214" t="s">
        <v>580</v>
      </c>
      <c r="F214" t="s">
        <v>581</v>
      </c>
      <c r="G214" s="16">
        <v>425.5</v>
      </c>
      <c r="H214" t="s">
        <v>8</v>
      </c>
      <c r="I214" s="16">
        <v>370</v>
      </c>
    </row>
    <row r="215" spans="1:9" x14ac:dyDescent="0.3">
      <c r="A215" s="1">
        <v>46210</v>
      </c>
      <c r="B215">
        <v>48</v>
      </c>
      <c r="C215" t="s">
        <v>6995</v>
      </c>
      <c r="D215" t="s">
        <v>2460</v>
      </c>
      <c r="E215" t="s">
        <v>4244</v>
      </c>
      <c r="F215" t="s">
        <v>4245</v>
      </c>
      <c r="G215" s="16">
        <v>268.8125</v>
      </c>
      <c r="H215" t="s">
        <v>8</v>
      </c>
      <c r="I215" s="16">
        <v>233.75</v>
      </c>
    </row>
    <row r="216" spans="1:9" x14ac:dyDescent="0.3">
      <c r="A216" s="1">
        <v>46210</v>
      </c>
      <c r="B216">
        <v>48</v>
      </c>
      <c r="C216" t="s">
        <v>6884</v>
      </c>
      <c r="D216" t="s">
        <v>38</v>
      </c>
      <c r="E216" t="s">
        <v>39</v>
      </c>
      <c r="F216" t="s">
        <v>40</v>
      </c>
      <c r="G216" s="16">
        <v>1550.3196</v>
      </c>
      <c r="H216" t="s">
        <v>8</v>
      </c>
      <c r="I216" s="16">
        <v>1348.1039000000001</v>
      </c>
    </row>
    <row r="217" spans="1:9" x14ac:dyDescent="0.3">
      <c r="A217" s="1">
        <v>46210</v>
      </c>
      <c r="B217">
        <v>48</v>
      </c>
      <c r="C217" t="s">
        <v>6876</v>
      </c>
      <c r="D217" t="s">
        <v>10</v>
      </c>
      <c r="E217" t="s">
        <v>3083</v>
      </c>
      <c r="F217" t="s">
        <v>3084</v>
      </c>
      <c r="G217" s="16">
        <v>32645.532999999999</v>
      </c>
      <c r="H217" t="s">
        <v>8</v>
      </c>
      <c r="I217" s="16">
        <v>28387.42</v>
      </c>
    </row>
    <row r="218" spans="1:9" x14ac:dyDescent="0.3">
      <c r="A218" s="1">
        <v>46210</v>
      </c>
      <c r="B218">
        <v>48</v>
      </c>
      <c r="C218" t="s">
        <v>11251</v>
      </c>
      <c r="D218" t="s">
        <v>10</v>
      </c>
      <c r="E218" t="s">
        <v>882</v>
      </c>
      <c r="F218" t="s">
        <v>883</v>
      </c>
      <c r="G218" s="16">
        <v>3378.125</v>
      </c>
      <c r="H218" t="s">
        <v>8</v>
      </c>
      <c r="I218" s="16">
        <v>2937.5</v>
      </c>
    </row>
    <row r="219" spans="1:9" x14ac:dyDescent="0.3">
      <c r="A219" s="1">
        <v>46210</v>
      </c>
      <c r="B219">
        <v>48</v>
      </c>
      <c r="C219" t="s">
        <v>6888</v>
      </c>
      <c r="D219" t="s">
        <v>10</v>
      </c>
      <c r="E219" t="s">
        <v>3083</v>
      </c>
      <c r="F219" t="s">
        <v>3084</v>
      </c>
      <c r="G219" s="16">
        <v>7399.2380000000003</v>
      </c>
      <c r="H219" t="s">
        <v>8</v>
      </c>
      <c r="I219" s="16">
        <v>6434.12</v>
      </c>
    </row>
    <row r="220" spans="1:9" x14ac:dyDescent="0.3">
      <c r="A220" s="1">
        <v>46210</v>
      </c>
      <c r="B220">
        <v>48</v>
      </c>
      <c r="C220" t="s">
        <v>6924</v>
      </c>
      <c r="D220" t="s">
        <v>10</v>
      </c>
      <c r="E220" t="s">
        <v>188</v>
      </c>
      <c r="F220" t="s">
        <v>189</v>
      </c>
      <c r="G220" s="16">
        <v>320.8492</v>
      </c>
      <c r="H220" t="s">
        <v>8</v>
      </c>
      <c r="I220" s="16">
        <v>278.99930000000001</v>
      </c>
    </row>
    <row r="221" spans="1:9" x14ac:dyDescent="0.3">
      <c r="A221" s="1">
        <v>46210</v>
      </c>
      <c r="B221">
        <v>48</v>
      </c>
      <c r="C221" t="s">
        <v>6996</v>
      </c>
      <c r="D221" t="s">
        <v>2460</v>
      </c>
      <c r="E221" t="s">
        <v>3686</v>
      </c>
      <c r="F221" t="s">
        <v>3687</v>
      </c>
      <c r="G221" s="16">
        <v>632.5</v>
      </c>
      <c r="H221" t="s">
        <v>8</v>
      </c>
      <c r="I221" s="16">
        <v>550</v>
      </c>
    </row>
    <row r="222" spans="1:9" x14ac:dyDescent="0.3">
      <c r="A222" s="1">
        <v>46210</v>
      </c>
      <c r="B222">
        <v>48</v>
      </c>
      <c r="C222" t="s">
        <v>6932</v>
      </c>
      <c r="D222" t="s">
        <v>10</v>
      </c>
      <c r="E222" t="s">
        <v>2963</v>
      </c>
      <c r="F222" t="s">
        <v>2964</v>
      </c>
      <c r="G222" s="16">
        <v>12168.354499999999</v>
      </c>
      <c r="H222" t="s">
        <v>8</v>
      </c>
      <c r="I222" s="16">
        <v>10581.178</v>
      </c>
    </row>
    <row r="223" spans="1:9" x14ac:dyDescent="0.3">
      <c r="A223" s="1">
        <v>46211</v>
      </c>
      <c r="B223">
        <v>47</v>
      </c>
      <c r="C223" t="s">
        <v>6982</v>
      </c>
      <c r="D223" t="s">
        <v>38</v>
      </c>
      <c r="E223" t="s">
        <v>253</v>
      </c>
      <c r="F223" t="s">
        <v>254</v>
      </c>
      <c r="G223" s="16">
        <v>39.295499999999997</v>
      </c>
      <c r="H223" t="s">
        <v>8</v>
      </c>
      <c r="I223" s="16">
        <v>34.17</v>
      </c>
    </row>
    <row r="224" spans="1:9" x14ac:dyDescent="0.3">
      <c r="A224" s="1">
        <v>46211</v>
      </c>
      <c r="B224">
        <v>47</v>
      </c>
      <c r="C224" t="s">
        <v>6987</v>
      </c>
      <c r="D224" t="s">
        <v>10</v>
      </c>
      <c r="E224" t="s">
        <v>51</v>
      </c>
      <c r="F224" t="s">
        <v>52</v>
      </c>
      <c r="G224" s="16">
        <v>4425.6139999999996</v>
      </c>
      <c r="H224" t="s">
        <v>8</v>
      </c>
      <c r="I224" s="16">
        <v>3848.36</v>
      </c>
    </row>
    <row r="225" spans="1:9" x14ac:dyDescent="0.3">
      <c r="A225" s="1">
        <v>46211</v>
      </c>
      <c r="B225">
        <v>47</v>
      </c>
      <c r="C225" t="s">
        <v>6997</v>
      </c>
      <c r="D225" t="s">
        <v>2463</v>
      </c>
      <c r="E225" t="s">
        <v>4119</v>
      </c>
      <c r="F225" t="s">
        <v>4120</v>
      </c>
      <c r="G225" s="16">
        <v>23</v>
      </c>
      <c r="H225" t="s">
        <v>8</v>
      </c>
      <c r="I225" s="16">
        <v>20</v>
      </c>
    </row>
    <row r="226" spans="1:9" x14ac:dyDescent="0.3">
      <c r="A226" s="1">
        <v>46212</v>
      </c>
      <c r="B226">
        <v>46</v>
      </c>
      <c r="C226" t="s">
        <v>7103</v>
      </c>
      <c r="D226" t="s">
        <v>10</v>
      </c>
      <c r="E226" t="s">
        <v>358</v>
      </c>
      <c r="F226" t="s">
        <v>359</v>
      </c>
      <c r="G226" s="16">
        <v>568.44500000000005</v>
      </c>
      <c r="H226" t="s">
        <v>8</v>
      </c>
      <c r="I226" s="16">
        <v>494.3</v>
      </c>
    </row>
    <row r="227" spans="1:9" x14ac:dyDescent="0.3">
      <c r="A227" s="1">
        <v>46212</v>
      </c>
      <c r="B227">
        <v>46</v>
      </c>
      <c r="C227" t="s">
        <v>7161</v>
      </c>
      <c r="D227" t="s">
        <v>10</v>
      </c>
      <c r="E227" t="s">
        <v>2597</v>
      </c>
      <c r="F227" t="s">
        <v>2598</v>
      </c>
      <c r="G227" s="16">
        <v>15.8125</v>
      </c>
      <c r="H227" t="s">
        <v>8</v>
      </c>
      <c r="I227" s="16">
        <v>13.75</v>
      </c>
    </row>
    <row r="228" spans="1:9" x14ac:dyDescent="0.3">
      <c r="A228" s="1">
        <v>46212</v>
      </c>
      <c r="B228">
        <v>46</v>
      </c>
      <c r="C228" t="s">
        <v>7117</v>
      </c>
      <c r="D228" t="s">
        <v>10</v>
      </c>
      <c r="E228" t="s">
        <v>2341</v>
      </c>
      <c r="F228" t="s">
        <v>2342</v>
      </c>
      <c r="G228" s="16">
        <v>49.258330000000001</v>
      </c>
      <c r="H228" t="s">
        <v>8</v>
      </c>
      <c r="I228" s="16">
        <v>42.833329999999997</v>
      </c>
    </row>
    <row r="229" spans="1:9" x14ac:dyDescent="0.3">
      <c r="A229" s="1">
        <v>46212</v>
      </c>
      <c r="B229">
        <v>46</v>
      </c>
      <c r="C229" t="s">
        <v>7028</v>
      </c>
      <c r="D229" t="s">
        <v>10</v>
      </c>
      <c r="E229" t="s">
        <v>987</v>
      </c>
      <c r="F229" t="s">
        <v>988</v>
      </c>
      <c r="G229" s="16">
        <v>281.29000000000002</v>
      </c>
      <c r="H229" t="s">
        <v>8</v>
      </c>
      <c r="I229" s="16">
        <v>244.6</v>
      </c>
    </row>
    <row r="230" spans="1:9" x14ac:dyDescent="0.3">
      <c r="A230" s="1">
        <v>46212</v>
      </c>
      <c r="B230">
        <v>46</v>
      </c>
      <c r="C230" t="s">
        <v>7151</v>
      </c>
      <c r="D230" t="s">
        <v>10</v>
      </c>
      <c r="E230" t="s">
        <v>561</v>
      </c>
      <c r="F230" t="s">
        <v>593</v>
      </c>
      <c r="G230" s="16">
        <v>64.400000000000006</v>
      </c>
      <c r="H230" t="s">
        <v>8</v>
      </c>
      <c r="I230" s="16">
        <v>56</v>
      </c>
    </row>
    <row r="231" spans="1:9" x14ac:dyDescent="0.3">
      <c r="A231" s="1">
        <v>46212</v>
      </c>
      <c r="B231">
        <v>46</v>
      </c>
      <c r="C231" t="s">
        <v>7106</v>
      </c>
      <c r="D231" t="s">
        <v>10</v>
      </c>
      <c r="E231" t="s">
        <v>39</v>
      </c>
      <c r="F231" t="s">
        <v>40</v>
      </c>
      <c r="G231" s="16">
        <v>1821.5139999999999</v>
      </c>
      <c r="H231" t="s">
        <v>8</v>
      </c>
      <c r="I231" s="16">
        <v>1583.9253000000001</v>
      </c>
    </row>
    <row r="232" spans="1:9" x14ac:dyDescent="0.3">
      <c r="A232" s="1">
        <v>46212</v>
      </c>
      <c r="B232">
        <v>46</v>
      </c>
      <c r="C232" t="s">
        <v>7010</v>
      </c>
      <c r="D232" t="s">
        <v>10</v>
      </c>
      <c r="E232" t="s">
        <v>534</v>
      </c>
      <c r="F232" t="s">
        <v>535</v>
      </c>
      <c r="G232" s="16">
        <v>54.699750000000002</v>
      </c>
      <c r="H232" t="s">
        <v>8</v>
      </c>
      <c r="I232" s="16">
        <v>47.564999999999998</v>
      </c>
    </row>
    <row r="233" spans="1:9" x14ac:dyDescent="0.3">
      <c r="A233" s="1">
        <v>46212</v>
      </c>
      <c r="B233">
        <v>46</v>
      </c>
      <c r="C233" t="s">
        <v>7175</v>
      </c>
      <c r="D233" t="s">
        <v>10</v>
      </c>
      <c r="E233" t="s">
        <v>3202</v>
      </c>
      <c r="F233" t="s">
        <v>3203</v>
      </c>
      <c r="G233" s="16">
        <v>80.5</v>
      </c>
      <c r="H233" t="s">
        <v>8</v>
      </c>
      <c r="I233" s="16">
        <v>70</v>
      </c>
    </row>
    <row r="234" spans="1:9" x14ac:dyDescent="0.3">
      <c r="A234" s="1">
        <v>46212</v>
      </c>
      <c r="B234">
        <v>46</v>
      </c>
      <c r="C234" t="s">
        <v>7121</v>
      </c>
      <c r="D234" t="s">
        <v>10</v>
      </c>
      <c r="E234" t="s">
        <v>2612</v>
      </c>
      <c r="F234" t="s">
        <v>2613</v>
      </c>
      <c r="G234" s="16">
        <v>81.458529999999996</v>
      </c>
      <c r="H234" t="s">
        <v>8</v>
      </c>
      <c r="I234" s="16">
        <v>70.833500000000001</v>
      </c>
    </row>
    <row r="235" spans="1:9" x14ac:dyDescent="0.3">
      <c r="A235" s="1">
        <v>46212</v>
      </c>
      <c r="B235">
        <v>46</v>
      </c>
      <c r="C235" t="s">
        <v>7090</v>
      </c>
      <c r="D235" t="s">
        <v>10</v>
      </c>
      <c r="E235" t="s">
        <v>173</v>
      </c>
      <c r="F235" t="s">
        <v>174</v>
      </c>
      <c r="G235" s="16">
        <v>1161.8219999999999</v>
      </c>
      <c r="H235" t="s">
        <v>8</v>
      </c>
      <c r="I235" s="16">
        <v>1010.28</v>
      </c>
    </row>
    <row r="236" spans="1:9" x14ac:dyDescent="0.3">
      <c r="A236" s="1">
        <v>46212</v>
      </c>
      <c r="B236">
        <v>46</v>
      </c>
      <c r="C236" t="s">
        <v>7032</v>
      </c>
      <c r="D236" t="s">
        <v>10</v>
      </c>
      <c r="E236" t="s">
        <v>580</v>
      </c>
      <c r="F236" t="s">
        <v>581</v>
      </c>
      <c r="G236" s="16">
        <v>126.5</v>
      </c>
      <c r="H236" t="s">
        <v>8</v>
      </c>
      <c r="I236" s="16">
        <v>110</v>
      </c>
    </row>
    <row r="237" spans="1:9" x14ac:dyDescent="0.3">
      <c r="A237" s="1">
        <v>46212</v>
      </c>
      <c r="B237">
        <v>46</v>
      </c>
      <c r="C237" t="s">
        <v>7107</v>
      </c>
      <c r="D237" t="s">
        <v>10</v>
      </c>
      <c r="E237" t="s">
        <v>51</v>
      </c>
      <c r="F237" t="s">
        <v>52</v>
      </c>
      <c r="G237" s="16">
        <v>1093.1785</v>
      </c>
      <c r="H237" t="s">
        <v>8</v>
      </c>
      <c r="I237" s="16">
        <v>950.59</v>
      </c>
    </row>
    <row r="238" spans="1:9" x14ac:dyDescent="0.3">
      <c r="A238" s="1">
        <v>46212</v>
      </c>
      <c r="B238">
        <v>46</v>
      </c>
      <c r="C238" t="s">
        <v>7000</v>
      </c>
      <c r="D238" t="s">
        <v>2460</v>
      </c>
      <c r="E238" t="s">
        <v>31</v>
      </c>
      <c r="F238" t="s">
        <v>32</v>
      </c>
      <c r="G238" s="16">
        <v>296.35500000000002</v>
      </c>
      <c r="H238" t="s">
        <v>8</v>
      </c>
      <c r="I238" s="16">
        <v>257.7</v>
      </c>
    </row>
    <row r="239" spans="1:9" x14ac:dyDescent="0.3">
      <c r="A239" s="1">
        <v>46212</v>
      </c>
      <c r="B239">
        <v>46</v>
      </c>
      <c r="C239" t="s">
        <v>7155</v>
      </c>
      <c r="D239" t="s">
        <v>10</v>
      </c>
      <c r="E239" t="s">
        <v>4575</v>
      </c>
      <c r="F239" t="s">
        <v>4576</v>
      </c>
      <c r="G239" s="16">
        <v>1113</v>
      </c>
      <c r="H239" t="s">
        <v>8</v>
      </c>
      <c r="I239" s="16">
        <v>967.8261</v>
      </c>
    </row>
    <row r="240" spans="1:9" x14ac:dyDescent="0.3">
      <c r="A240" s="1">
        <v>46212</v>
      </c>
      <c r="B240">
        <v>46</v>
      </c>
      <c r="C240" t="s">
        <v>7152</v>
      </c>
      <c r="D240" t="s">
        <v>10</v>
      </c>
      <c r="E240" t="s">
        <v>7129</v>
      </c>
      <c r="F240" t="s">
        <v>7130</v>
      </c>
      <c r="G240" s="16">
        <v>55.774999999999999</v>
      </c>
      <c r="H240" t="s">
        <v>8</v>
      </c>
      <c r="I240" s="16">
        <v>48.5</v>
      </c>
    </row>
    <row r="241" spans="1:9" x14ac:dyDescent="0.3">
      <c r="A241" s="1">
        <v>46212</v>
      </c>
      <c r="B241">
        <v>46</v>
      </c>
      <c r="C241" t="s">
        <v>7167</v>
      </c>
      <c r="D241" t="s">
        <v>10</v>
      </c>
      <c r="E241" t="s">
        <v>1725</v>
      </c>
      <c r="F241" t="s">
        <v>1726</v>
      </c>
      <c r="G241" s="16">
        <v>98.362949999999998</v>
      </c>
      <c r="H241" t="s">
        <v>8</v>
      </c>
      <c r="I241" s="16">
        <v>85.533000000000001</v>
      </c>
    </row>
    <row r="242" spans="1:9" x14ac:dyDescent="0.3">
      <c r="A242" s="1">
        <v>46212</v>
      </c>
      <c r="B242">
        <v>46</v>
      </c>
      <c r="C242" t="s">
        <v>7164</v>
      </c>
      <c r="D242" t="s">
        <v>10</v>
      </c>
      <c r="E242" t="s">
        <v>2302</v>
      </c>
      <c r="F242" t="s">
        <v>2303</v>
      </c>
      <c r="G242" s="16">
        <v>155.11199999999999</v>
      </c>
      <c r="H242" t="s">
        <v>8</v>
      </c>
      <c r="I242" s="16">
        <v>134.88</v>
      </c>
    </row>
    <row r="243" spans="1:9" x14ac:dyDescent="0.3">
      <c r="A243" s="1">
        <v>46212</v>
      </c>
      <c r="B243">
        <v>46</v>
      </c>
      <c r="C243" t="s">
        <v>7120</v>
      </c>
      <c r="D243" t="s">
        <v>10</v>
      </c>
      <c r="E243" t="s">
        <v>323</v>
      </c>
      <c r="F243" t="s">
        <v>324</v>
      </c>
      <c r="G243" s="16">
        <v>1909.575</v>
      </c>
      <c r="H243" t="s">
        <v>8</v>
      </c>
      <c r="I243" s="16">
        <v>1660.5</v>
      </c>
    </row>
    <row r="244" spans="1:9" x14ac:dyDescent="0.3">
      <c r="A244" s="1">
        <v>46212</v>
      </c>
      <c r="B244">
        <v>46</v>
      </c>
      <c r="C244" t="s">
        <v>7166</v>
      </c>
      <c r="D244" t="s">
        <v>10</v>
      </c>
      <c r="E244" t="s">
        <v>2625</v>
      </c>
      <c r="F244" t="s">
        <v>2626</v>
      </c>
      <c r="G244" s="16">
        <v>76.201300000000003</v>
      </c>
      <c r="H244" t="s">
        <v>8</v>
      </c>
      <c r="I244" s="16">
        <v>66.262</v>
      </c>
    </row>
    <row r="245" spans="1:9" x14ac:dyDescent="0.3">
      <c r="A245" s="1">
        <v>46212</v>
      </c>
      <c r="B245">
        <v>46</v>
      </c>
      <c r="C245" t="s">
        <v>7137</v>
      </c>
      <c r="D245" t="s">
        <v>10</v>
      </c>
      <c r="E245" t="s">
        <v>804</v>
      </c>
      <c r="F245" t="s">
        <v>805</v>
      </c>
      <c r="G245" s="16">
        <v>82.730999999999995</v>
      </c>
      <c r="H245" t="s">
        <v>8</v>
      </c>
      <c r="I245" s="16">
        <v>71.94</v>
      </c>
    </row>
    <row r="246" spans="1:9" x14ac:dyDescent="0.3">
      <c r="A246" s="1">
        <v>46212</v>
      </c>
      <c r="B246">
        <v>46</v>
      </c>
      <c r="C246" t="s">
        <v>6998</v>
      </c>
      <c r="D246" t="s">
        <v>2460</v>
      </c>
      <c r="E246" t="s">
        <v>111</v>
      </c>
      <c r="F246" t="s">
        <v>112</v>
      </c>
      <c r="G246" s="16">
        <v>540.44479999999999</v>
      </c>
      <c r="H246" t="s">
        <v>8</v>
      </c>
      <c r="I246" s="16">
        <v>469.952</v>
      </c>
    </row>
    <row r="247" spans="1:9" x14ac:dyDescent="0.3">
      <c r="A247" s="1">
        <v>46213</v>
      </c>
      <c r="B247">
        <v>45</v>
      </c>
      <c r="C247" t="s">
        <v>7197</v>
      </c>
      <c r="D247" t="s">
        <v>10</v>
      </c>
      <c r="E247" t="s">
        <v>53</v>
      </c>
      <c r="F247" t="s">
        <v>54</v>
      </c>
      <c r="G247" s="16">
        <v>1063.3475000000001</v>
      </c>
      <c r="H247" t="s">
        <v>8</v>
      </c>
      <c r="I247" s="16">
        <v>924.65</v>
      </c>
    </row>
    <row r="248" spans="1:9" x14ac:dyDescent="0.3">
      <c r="A248" s="1">
        <v>46213</v>
      </c>
      <c r="B248">
        <v>45</v>
      </c>
      <c r="C248" t="s">
        <v>7192</v>
      </c>
      <c r="D248" t="s">
        <v>10</v>
      </c>
      <c r="E248" t="s">
        <v>7131</v>
      </c>
      <c r="F248" t="s">
        <v>7132</v>
      </c>
      <c r="G248" s="16">
        <v>228.85</v>
      </c>
      <c r="H248" t="s">
        <v>8</v>
      </c>
      <c r="I248" s="16">
        <v>199</v>
      </c>
    </row>
    <row r="249" spans="1:9" x14ac:dyDescent="0.3">
      <c r="A249" s="1">
        <v>46213</v>
      </c>
      <c r="B249">
        <v>45</v>
      </c>
      <c r="C249" t="s">
        <v>7196</v>
      </c>
      <c r="D249" t="s">
        <v>10</v>
      </c>
      <c r="E249" t="s">
        <v>821</v>
      </c>
      <c r="F249" t="s">
        <v>2040</v>
      </c>
      <c r="G249" s="16">
        <v>119.715</v>
      </c>
      <c r="H249" t="s">
        <v>8</v>
      </c>
      <c r="I249" s="16">
        <v>104.1</v>
      </c>
    </row>
    <row r="250" spans="1:9" x14ac:dyDescent="0.3">
      <c r="A250" s="1">
        <v>46213</v>
      </c>
      <c r="B250">
        <v>45</v>
      </c>
      <c r="C250" t="s">
        <v>6299</v>
      </c>
      <c r="D250" t="s">
        <v>38</v>
      </c>
      <c r="E250" t="s">
        <v>305</v>
      </c>
      <c r="F250" t="s">
        <v>306</v>
      </c>
      <c r="G250" s="16">
        <v>153.01900000000001</v>
      </c>
      <c r="H250" t="s">
        <v>8</v>
      </c>
      <c r="I250" s="16">
        <v>133.06</v>
      </c>
    </row>
    <row r="251" spans="1:9" x14ac:dyDescent="0.3">
      <c r="A251" s="1">
        <v>46214</v>
      </c>
      <c r="B251">
        <v>44</v>
      </c>
      <c r="C251" t="s">
        <v>7242</v>
      </c>
      <c r="D251" t="s">
        <v>10</v>
      </c>
      <c r="E251" t="s">
        <v>25</v>
      </c>
      <c r="F251" t="s">
        <v>26</v>
      </c>
      <c r="G251" s="16">
        <v>230.96600000000001</v>
      </c>
      <c r="H251" t="s">
        <v>8</v>
      </c>
      <c r="I251" s="16">
        <v>200.84</v>
      </c>
    </row>
    <row r="252" spans="1:9" x14ac:dyDescent="0.3">
      <c r="A252" s="1">
        <v>46214</v>
      </c>
      <c r="B252">
        <v>44</v>
      </c>
      <c r="C252" t="s">
        <v>7218</v>
      </c>
      <c r="D252" t="s">
        <v>10</v>
      </c>
      <c r="E252" t="s">
        <v>2166</v>
      </c>
      <c r="F252" t="s">
        <v>2167</v>
      </c>
      <c r="G252" s="16">
        <v>761.53240000000005</v>
      </c>
      <c r="H252" t="s">
        <v>8</v>
      </c>
      <c r="I252" s="16">
        <v>662.20209999999997</v>
      </c>
    </row>
    <row r="253" spans="1:9" x14ac:dyDescent="0.3">
      <c r="A253" s="1">
        <v>46214</v>
      </c>
      <c r="B253">
        <v>44</v>
      </c>
      <c r="C253" t="s">
        <v>7203</v>
      </c>
      <c r="D253" t="s">
        <v>10</v>
      </c>
      <c r="E253" t="s">
        <v>937</v>
      </c>
      <c r="F253" t="s">
        <v>938</v>
      </c>
      <c r="G253" s="16">
        <v>174.95668000000001</v>
      </c>
      <c r="H253" t="s">
        <v>8</v>
      </c>
      <c r="I253" s="16">
        <v>152.13624999999999</v>
      </c>
    </row>
    <row r="254" spans="1:9" x14ac:dyDescent="0.3">
      <c r="A254" s="1">
        <v>46214</v>
      </c>
      <c r="B254">
        <v>44</v>
      </c>
      <c r="C254" t="s">
        <v>7206</v>
      </c>
      <c r="D254" t="s">
        <v>10</v>
      </c>
      <c r="E254" t="s">
        <v>899</v>
      </c>
      <c r="F254" t="s">
        <v>900</v>
      </c>
      <c r="G254" s="16">
        <v>441.6</v>
      </c>
      <c r="H254" t="s">
        <v>8</v>
      </c>
      <c r="I254" s="16">
        <v>384</v>
      </c>
    </row>
    <row r="255" spans="1:9" x14ac:dyDescent="0.3">
      <c r="A255" s="1">
        <v>46214</v>
      </c>
      <c r="B255">
        <v>44</v>
      </c>
      <c r="C255" t="s">
        <v>11252</v>
      </c>
      <c r="D255" t="s">
        <v>2463</v>
      </c>
      <c r="E255" t="s">
        <v>1031</v>
      </c>
      <c r="F255" t="s">
        <v>1032</v>
      </c>
      <c r="G255" s="16">
        <v>207.78200000000001</v>
      </c>
      <c r="H255" t="s">
        <v>8</v>
      </c>
      <c r="I255" s="16">
        <v>180.68</v>
      </c>
    </row>
    <row r="256" spans="1:9" x14ac:dyDescent="0.3">
      <c r="A256" s="1">
        <v>46214</v>
      </c>
      <c r="B256">
        <v>44</v>
      </c>
      <c r="C256" t="s">
        <v>7247</v>
      </c>
      <c r="D256" t="s">
        <v>10</v>
      </c>
      <c r="E256" t="s">
        <v>7245</v>
      </c>
      <c r="F256" t="s">
        <v>7246</v>
      </c>
      <c r="G256" s="16">
        <v>262.61399999999998</v>
      </c>
      <c r="H256" t="s">
        <v>8</v>
      </c>
      <c r="I256" s="16">
        <v>228.36</v>
      </c>
    </row>
    <row r="257" spans="1:9" x14ac:dyDescent="0.3">
      <c r="A257" s="1">
        <v>46214</v>
      </c>
      <c r="B257">
        <v>44</v>
      </c>
      <c r="C257" t="s">
        <v>7272</v>
      </c>
      <c r="D257" t="s">
        <v>10</v>
      </c>
      <c r="E257" t="s">
        <v>919</v>
      </c>
      <c r="F257" t="s">
        <v>920</v>
      </c>
      <c r="G257" s="16">
        <v>243.11156</v>
      </c>
      <c r="H257" t="s">
        <v>8</v>
      </c>
      <c r="I257" s="16">
        <v>211.40136999999999</v>
      </c>
    </row>
    <row r="258" spans="1:9" x14ac:dyDescent="0.3">
      <c r="A258" s="1">
        <v>46215</v>
      </c>
      <c r="B258">
        <v>43</v>
      </c>
      <c r="C258" t="s">
        <v>7311</v>
      </c>
      <c r="D258" t="s">
        <v>10</v>
      </c>
      <c r="E258" t="s">
        <v>2273</v>
      </c>
      <c r="F258" t="s">
        <v>2274</v>
      </c>
      <c r="G258" s="16">
        <v>899.71400000000006</v>
      </c>
      <c r="H258" t="s">
        <v>8</v>
      </c>
      <c r="I258" s="16">
        <v>782.36</v>
      </c>
    </row>
    <row r="259" spans="1:9" x14ac:dyDescent="0.3">
      <c r="A259" s="1">
        <v>46215</v>
      </c>
      <c r="B259">
        <v>43</v>
      </c>
      <c r="C259" t="s">
        <v>7304</v>
      </c>
      <c r="D259" t="s">
        <v>10</v>
      </c>
      <c r="E259" t="s">
        <v>253</v>
      </c>
      <c r="F259" t="s">
        <v>254</v>
      </c>
      <c r="G259" s="16">
        <v>115</v>
      </c>
      <c r="H259" t="s">
        <v>8</v>
      </c>
      <c r="I259" s="16">
        <v>100</v>
      </c>
    </row>
    <row r="260" spans="1:9" x14ac:dyDescent="0.3">
      <c r="A260" s="1">
        <v>46215</v>
      </c>
      <c r="B260">
        <v>43</v>
      </c>
      <c r="C260" t="s">
        <v>7324</v>
      </c>
      <c r="D260" t="s">
        <v>10</v>
      </c>
      <c r="E260" t="s">
        <v>2273</v>
      </c>
      <c r="F260" t="s">
        <v>2274</v>
      </c>
      <c r="G260" s="16">
        <v>296.01</v>
      </c>
      <c r="H260" t="s">
        <v>8</v>
      </c>
      <c r="I260" s="16">
        <v>257.39999999999998</v>
      </c>
    </row>
    <row r="261" spans="1:9" x14ac:dyDescent="0.3">
      <c r="A261" s="1">
        <v>46215</v>
      </c>
      <c r="B261">
        <v>43</v>
      </c>
      <c r="C261" t="s">
        <v>7340</v>
      </c>
      <c r="D261" t="s">
        <v>10</v>
      </c>
      <c r="E261" t="s">
        <v>111</v>
      </c>
      <c r="F261" t="s">
        <v>112</v>
      </c>
      <c r="G261" s="16">
        <v>793.57280000000003</v>
      </c>
      <c r="H261" t="s">
        <v>8</v>
      </c>
      <c r="I261" s="16">
        <v>690.06335000000001</v>
      </c>
    </row>
    <row r="262" spans="1:9" x14ac:dyDescent="0.3">
      <c r="A262" s="1">
        <v>46215</v>
      </c>
      <c r="B262">
        <v>43</v>
      </c>
      <c r="C262" t="s">
        <v>7310</v>
      </c>
      <c r="D262" t="s">
        <v>38</v>
      </c>
      <c r="E262" t="s">
        <v>39</v>
      </c>
      <c r="F262" t="s">
        <v>40</v>
      </c>
      <c r="G262" s="16">
        <v>1760.2799</v>
      </c>
      <c r="H262" t="s">
        <v>8</v>
      </c>
      <c r="I262" s="16">
        <v>1530.6782000000001</v>
      </c>
    </row>
    <row r="263" spans="1:9" x14ac:dyDescent="0.3">
      <c r="A263" s="1">
        <v>46215</v>
      </c>
      <c r="B263">
        <v>43</v>
      </c>
      <c r="C263" t="s">
        <v>7317</v>
      </c>
      <c r="D263" t="s">
        <v>10</v>
      </c>
      <c r="E263" t="s">
        <v>65</v>
      </c>
      <c r="F263" t="s">
        <v>66</v>
      </c>
      <c r="G263" s="16">
        <v>902.8066</v>
      </c>
      <c r="H263" t="s">
        <v>8</v>
      </c>
      <c r="I263" s="16">
        <v>785.04920000000004</v>
      </c>
    </row>
    <row r="264" spans="1:9" x14ac:dyDescent="0.3">
      <c r="A264" s="1">
        <v>46215</v>
      </c>
      <c r="B264">
        <v>43</v>
      </c>
      <c r="C264" t="s">
        <v>7283</v>
      </c>
      <c r="D264" t="s">
        <v>10</v>
      </c>
      <c r="E264" t="s">
        <v>854</v>
      </c>
      <c r="F264" t="s">
        <v>855</v>
      </c>
      <c r="G264" s="16">
        <v>86.639619999999994</v>
      </c>
      <c r="H264" t="s">
        <v>8</v>
      </c>
      <c r="I264" s="16">
        <v>75.338800000000006</v>
      </c>
    </row>
    <row r="265" spans="1:9" x14ac:dyDescent="0.3">
      <c r="A265" s="1">
        <v>46216</v>
      </c>
      <c r="B265">
        <v>42</v>
      </c>
      <c r="C265" t="s">
        <v>7377</v>
      </c>
      <c r="D265" t="s">
        <v>10</v>
      </c>
      <c r="E265" t="s">
        <v>7245</v>
      </c>
      <c r="F265" t="s">
        <v>7246</v>
      </c>
      <c r="G265" s="16">
        <v>167.11799999999999</v>
      </c>
      <c r="H265" t="s">
        <v>8</v>
      </c>
      <c r="I265" s="16">
        <v>145.32</v>
      </c>
    </row>
    <row r="266" spans="1:9" x14ac:dyDescent="0.3">
      <c r="A266" s="1">
        <v>46216</v>
      </c>
      <c r="B266">
        <v>42</v>
      </c>
      <c r="C266" t="s">
        <v>7362</v>
      </c>
      <c r="D266" t="s">
        <v>10</v>
      </c>
      <c r="E266" t="s">
        <v>3083</v>
      </c>
      <c r="F266" t="s">
        <v>3084</v>
      </c>
      <c r="G266" s="16">
        <v>10572.64</v>
      </c>
      <c r="H266" t="s">
        <v>8</v>
      </c>
      <c r="I266" s="16">
        <v>9193.6</v>
      </c>
    </row>
    <row r="267" spans="1:9" x14ac:dyDescent="0.3">
      <c r="A267" s="1">
        <v>46216</v>
      </c>
      <c r="B267">
        <v>42</v>
      </c>
      <c r="C267" t="s">
        <v>7401</v>
      </c>
      <c r="D267" t="s">
        <v>10</v>
      </c>
      <c r="E267" t="s">
        <v>854</v>
      </c>
      <c r="F267" t="s">
        <v>855</v>
      </c>
      <c r="G267" s="16">
        <v>67.677499999999995</v>
      </c>
      <c r="H267" t="s">
        <v>8</v>
      </c>
      <c r="I267" s="16">
        <v>58.85</v>
      </c>
    </row>
    <row r="268" spans="1:9" x14ac:dyDescent="0.3">
      <c r="A268" s="1">
        <v>46216</v>
      </c>
      <c r="B268">
        <v>42</v>
      </c>
      <c r="C268" t="s">
        <v>7416</v>
      </c>
      <c r="D268" t="s">
        <v>2460</v>
      </c>
      <c r="E268" t="s">
        <v>704</v>
      </c>
      <c r="F268" t="s">
        <v>705</v>
      </c>
      <c r="G268" s="16">
        <v>3881.94</v>
      </c>
      <c r="H268" t="s">
        <v>8</v>
      </c>
      <c r="I268" s="16">
        <v>3375.6</v>
      </c>
    </row>
    <row r="269" spans="1:9" x14ac:dyDescent="0.3">
      <c r="A269" s="1">
        <v>46216</v>
      </c>
      <c r="B269">
        <v>42</v>
      </c>
      <c r="C269" t="s">
        <v>7394</v>
      </c>
      <c r="D269" t="s">
        <v>10</v>
      </c>
      <c r="E269" t="s">
        <v>7392</v>
      </c>
      <c r="F269" t="s">
        <v>7393</v>
      </c>
      <c r="G269" s="16">
        <v>64.400000000000006</v>
      </c>
      <c r="H269" t="s">
        <v>8</v>
      </c>
      <c r="I269" s="16">
        <v>56</v>
      </c>
    </row>
    <row r="270" spans="1:9" x14ac:dyDescent="0.3">
      <c r="A270" s="1">
        <v>46217</v>
      </c>
      <c r="B270">
        <v>41</v>
      </c>
      <c r="C270" t="s">
        <v>7523</v>
      </c>
      <c r="D270" t="s">
        <v>10</v>
      </c>
      <c r="E270" t="s">
        <v>53</v>
      </c>
      <c r="F270" t="s">
        <v>54</v>
      </c>
      <c r="G270" s="16">
        <v>262.2</v>
      </c>
      <c r="H270" t="s">
        <v>8</v>
      </c>
      <c r="I270" s="16">
        <v>228</v>
      </c>
    </row>
    <row r="271" spans="1:9" x14ac:dyDescent="0.3">
      <c r="A271" s="1">
        <v>46217</v>
      </c>
      <c r="B271">
        <v>41</v>
      </c>
      <c r="C271" t="s">
        <v>7444</v>
      </c>
      <c r="D271" t="s">
        <v>10</v>
      </c>
      <c r="E271" t="s">
        <v>39</v>
      </c>
      <c r="F271" t="s">
        <v>40</v>
      </c>
      <c r="G271" s="16">
        <v>3073.3757000000001</v>
      </c>
      <c r="H271" t="s">
        <v>8</v>
      </c>
      <c r="I271" s="16">
        <v>2672.5005000000001</v>
      </c>
    </row>
    <row r="272" spans="1:9" x14ac:dyDescent="0.3">
      <c r="A272" s="1">
        <v>46217</v>
      </c>
      <c r="B272">
        <v>41</v>
      </c>
      <c r="C272" t="s">
        <v>7445</v>
      </c>
      <c r="D272" t="s">
        <v>10</v>
      </c>
      <c r="E272" t="s">
        <v>7386</v>
      </c>
      <c r="F272" t="s">
        <v>7387</v>
      </c>
      <c r="G272" s="16">
        <v>6426</v>
      </c>
      <c r="H272" t="s">
        <v>8</v>
      </c>
      <c r="I272" s="16">
        <v>5587.826</v>
      </c>
    </row>
    <row r="273" spans="1:9" x14ac:dyDescent="0.3">
      <c r="A273" s="1">
        <v>46217</v>
      </c>
      <c r="B273">
        <v>41</v>
      </c>
      <c r="C273" t="s">
        <v>7515</v>
      </c>
      <c r="D273" t="s">
        <v>38</v>
      </c>
      <c r="E273" t="s">
        <v>2383</v>
      </c>
      <c r="F273" t="s">
        <v>2384</v>
      </c>
      <c r="G273" s="16">
        <v>303.60000000000002</v>
      </c>
      <c r="H273" t="s">
        <v>8</v>
      </c>
      <c r="I273" s="16">
        <v>264</v>
      </c>
    </row>
    <row r="274" spans="1:9" x14ac:dyDescent="0.3">
      <c r="A274" s="1">
        <v>46217</v>
      </c>
      <c r="B274">
        <v>41</v>
      </c>
      <c r="C274" t="s">
        <v>8420</v>
      </c>
      <c r="D274" t="s">
        <v>38</v>
      </c>
      <c r="E274" t="s">
        <v>349</v>
      </c>
      <c r="F274" t="s">
        <v>350</v>
      </c>
      <c r="G274" s="16">
        <v>149.24700000000001</v>
      </c>
      <c r="H274" t="s">
        <v>8</v>
      </c>
      <c r="I274" s="16">
        <v>129.78</v>
      </c>
    </row>
    <row r="275" spans="1:9" x14ac:dyDescent="0.3">
      <c r="A275" s="1">
        <v>46217</v>
      </c>
      <c r="B275">
        <v>41</v>
      </c>
      <c r="C275" t="s">
        <v>7536</v>
      </c>
      <c r="D275" t="s">
        <v>2467</v>
      </c>
      <c r="E275" t="s">
        <v>2241</v>
      </c>
      <c r="F275" t="s">
        <v>2474</v>
      </c>
      <c r="G275" s="16">
        <v>11971.5</v>
      </c>
      <c r="H275" t="s">
        <v>8</v>
      </c>
      <c r="I275" s="16">
        <v>10410</v>
      </c>
    </row>
    <row r="276" spans="1:9" x14ac:dyDescent="0.3">
      <c r="A276" s="1">
        <v>46217</v>
      </c>
      <c r="B276">
        <v>41</v>
      </c>
      <c r="C276" t="s">
        <v>7435</v>
      </c>
      <c r="D276" t="s">
        <v>38</v>
      </c>
      <c r="E276" t="s">
        <v>444</v>
      </c>
      <c r="F276" t="s">
        <v>445</v>
      </c>
      <c r="G276" s="16">
        <v>53.900500000000001</v>
      </c>
      <c r="H276" t="s">
        <v>8</v>
      </c>
      <c r="I276" s="16">
        <v>46.87</v>
      </c>
    </row>
    <row r="277" spans="1:9" x14ac:dyDescent="0.3">
      <c r="A277" s="1">
        <v>46217</v>
      </c>
      <c r="B277">
        <v>41</v>
      </c>
      <c r="C277" t="s">
        <v>7433</v>
      </c>
      <c r="D277" t="s">
        <v>10</v>
      </c>
      <c r="E277" t="s">
        <v>358</v>
      </c>
      <c r="F277" t="s">
        <v>359</v>
      </c>
      <c r="G277" s="16">
        <v>220.57</v>
      </c>
      <c r="H277" t="s">
        <v>8</v>
      </c>
      <c r="I277" s="16">
        <v>191.8</v>
      </c>
    </row>
    <row r="278" spans="1:9" x14ac:dyDescent="0.3">
      <c r="A278" s="1">
        <v>46217</v>
      </c>
      <c r="B278">
        <v>41</v>
      </c>
      <c r="C278" t="s">
        <v>7454</v>
      </c>
      <c r="D278" t="s">
        <v>10</v>
      </c>
      <c r="E278" t="s">
        <v>173</v>
      </c>
      <c r="F278" t="s">
        <v>174</v>
      </c>
      <c r="G278" s="16">
        <v>400.13099999999997</v>
      </c>
      <c r="H278" t="s">
        <v>8</v>
      </c>
      <c r="I278" s="16">
        <v>347.94</v>
      </c>
    </row>
    <row r="279" spans="1:9" x14ac:dyDescent="0.3">
      <c r="A279" s="1">
        <v>46217</v>
      </c>
      <c r="B279">
        <v>41</v>
      </c>
      <c r="C279" t="s">
        <v>7535</v>
      </c>
      <c r="D279" t="s">
        <v>2460</v>
      </c>
      <c r="E279" t="s">
        <v>2260</v>
      </c>
      <c r="F279" t="s">
        <v>2261</v>
      </c>
      <c r="G279" s="16">
        <v>10397.874</v>
      </c>
      <c r="H279" t="s">
        <v>8</v>
      </c>
      <c r="I279" s="16">
        <v>9041.6299999999992</v>
      </c>
    </row>
    <row r="280" spans="1:9" x14ac:dyDescent="0.3">
      <c r="A280" s="1">
        <v>46218</v>
      </c>
      <c r="B280">
        <v>40</v>
      </c>
      <c r="C280" t="s">
        <v>7547</v>
      </c>
      <c r="D280" t="s">
        <v>10</v>
      </c>
      <c r="E280" t="s">
        <v>358</v>
      </c>
      <c r="F280" t="s">
        <v>359</v>
      </c>
      <c r="G280" s="16">
        <v>115.7475</v>
      </c>
      <c r="H280" t="s">
        <v>8</v>
      </c>
      <c r="I280" s="16">
        <v>100.65</v>
      </c>
    </row>
    <row r="281" spans="1:9" x14ac:dyDescent="0.3">
      <c r="A281" s="1">
        <v>46218</v>
      </c>
      <c r="B281">
        <v>40</v>
      </c>
      <c r="C281" t="s">
        <v>7555</v>
      </c>
      <c r="D281" t="s">
        <v>10</v>
      </c>
      <c r="E281" t="s">
        <v>937</v>
      </c>
      <c r="F281" t="s">
        <v>938</v>
      </c>
      <c r="G281" s="16">
        <v>79.58</v>
      </c>
      <c r="H281" t="s">
        <v>8</v>
      </c>
      <c r="I281" s="16">
        <v>69.2</v>
      </c>
    </row>
    <row r="282" spans="1:9" x14ac:dyDescent="0.3">
      <c r="A282" s="1">
        <v>46218</v>
      </c>
      <c r="B282">
        <v>40</v>
      </c>
      <c r="C282" t="s">
        <v>7540</v>
      </c>
      <c r="D282" t="s">
        <v>10</v>
      </c>
      <c r="E282" t="s">
        <v>144</v>
      </c>
      <c r="F282" t="s">
        <v>145</v>
      </c>
      <c r="G282" s="16">
        <v>266.43200000000002</v>
      </c>
      <c r="H282" t="s">
        <v>8</v>
      </c>
      <c r="I282" s="16">
        <v>231.68</v>
      </c>
    </row>
    <row r="283" spans="1:9" x14ac:dyDescent="0.3">
      <c r="A283" s="1">
        <v>46218</v>
      </c>
      <c r="B283">
        <v>40</v>
      </c>
      <c r="C283" t="s">
        <v>7588</v>
      </c>
      <c r="D283" t="s">
        <v>10</v>
      </c>
      <c r="E283" t="s">
        <v>987</v>
      </c>
      <c r="F283" t="s">
        <v>988</v>
      </c>
      <c r="G283" s="16">
        <v>10.35</v>
      </c>
      <c r="H283" t="s">
        <v>8</v>
      </c>
      <c r="I283" s="16">
        <v>9</v>
      </c>
    </row>
    <row r="284" spans="1:9" x14ac:dyDescent="0.3">
      <c r="A284" s="1">
        <v>46218</v>
      </c>
      <c r="B284">
        <v>40</v>
      </c>
      <c r="C284" t="s">
        <v>7620</v>
      </c>
      <c r="D284" t="s">
        <v>38</v>
      </c>
      <c r="E284" t="s">
        <v>69</v>
      </c>
      <c r="F284" t="s">
        <v>70</v>
      </c>
      <c r="G284" s="16">
        <v>3051.7665999999999</v>
      </c>
      <c r="H284" t="s">
        <v>8</v>
      </c>
      <c r="I284" s="16">
        <v>2653.71</v>
      </c>
    </row>
    <row r="285" spans="1:9" x14ac:dyDescent="0.3">
      <c r="A285" s="1">
        <v>46218</v>
      </c>
      <c r="B285">
        <v>40</v>
      </c>
      <c r="C285" t="s">
        <v>7599</v>
      </c>
      <c r="D285" t="s">
        <v>38</v>
      </c>
      <c r="E285" t="s">
        <v>69</v>
      </c>
      <c r="F285" t="s">
        <v>70</v>
      </c>
      <c r="G285" s="16">
        <v>4421.4049999999997</v>
      </c>
      <c r="H285" t="s">
        <v>8</v>
      </c>
      <c r="I285" s="16">
        <v>3844.7</v>
      </c>
    </row>
    <row r="286" spans="1:9" x14ac:dyDescent="0.3">
      <c r="A286" s="1">
        <v>46218</v>
      </c>
      <c r="B286">
        <v>40</v>
      </c>
      <c r="C286" t="s">
        <v>7631</v>
      </c>
      <c r="D286" t="s">
        <v>10</v>
      </c>
      <c r="E286" t="s">
        <v>2166</v>
      </c>
      <c r="F286" t="s">
        <v>2167</v>
      </c>
      <c r="G286" s="16">
        <v>891.13499999999999</v>
      </c>
      <c r="H286" t="s">
        <v>8</v>
      </c>
      <c r="I286" s="16">
        <v>774.9</v>
      </c>
    </row>
    <row r="287" spans="1:9" x14ac:dyDescent="0.3">
      <c r="A287" s="1">
        <v>46218</v>
      </c>
      <c r="B287">
        <v>40</v>
      </c>
      <c r="C287" t="s">
        <v>7601</v>
      </c>
      <c r="D287" t="s">
        <v>10</v>
      </c>
      <c r="E287" t="s">
        <v>53</v>
      </c>
      <c r="F287" t="s">
        <v>54</v>
      </c>
      <c r="G287" s="16">
        <v>168.452</v>
      </c>
      <c r="H287" t="s">
        <v>8</v>
      </c>
      <c r="I287" s="16">
        <v>146.47999999999999</v>
      </c>
    </row>
    <row r="288" spans="1:9" x14ac:dyDescent="0.3">
      <c r="A288" s="1">
        <v>46218</v>
      </c>
      <c r="B288">
        <v>40</v>
      </c>
      <c r="C288" t="s">
        <v>11253</v>
      </c>
      <c r="D288" t="s">
        <v>2463</v>
      </c>
      <c r="E288" t="s">
        <v>562</v>
      </c>
      <c r="F288" t="s">
        <v>563</v>
      </c>
      <c r="G288" s="16">
        <v>364.32</v>
      </c>
      <c r="H288" t="s">
        <v>8</v>
      </c>
      <c r="I288" s="16">
        <v>316.8</v>
      </c>
    </row>
    <row r="289" spans="1:9" x14ac:dyDescent="0.3">
      <c r="A289" s="1">
        <v>46218</v>
      </c>
      <c r="B289">
        <v>40</v>
      </c>
      <c r="C289" t="s">
        <v>7653</v>
      </c>
      <c r="D289" t="s">
        <v>10</v>
      </c>
      <c r="E289" t="s">
        <v>4877</v>
      </c>
      <c r="F289" t="s">
        <v>5340</v>
      </c>
      <c r="G289" s="16">
        <v>5.1692499999999999</v>
      </c>
      <c r="H289" t="s">
        <v>8</v>
      </c>
      <c r="I289" s="16">
        <v>4.4950000000000001</v>
      </c>
    </row>
    <row r="290" spans="1:9" x14ac:dyDescent="0.3">
      <c r="A290" s="1">
        <v>46218</v>
      </c>
      <c r="B290">
        <v>40</v>
      </c>
      <c r="C290" t="s">
        <v>7612</v>
      </c>
      <c r="D290" t="s">
        <v>10</v>
      </c>
      <c r="E290" t="s">
        <v>821</v>
      </c>
      <c r="F290" t="s">
        <v>2040</v>
      </c>
      <c r="G290" s="16">
        <v>66.239999999999995</v>
      </c>
      <c r="H290" t="s">
        <v>8</v>
      </c>
      <c r="I290" s="16">
        <v>57.6</v>
      </c>
    </row>
    <row r="291" spans="1:9" x14ac:dyDescent="0.3">
      <c r="A291" s="1">
        <v>46218</v>
      </c>
      <c r="B291">
        <v>40</v>
      </c>
      <c r="C291" t="s">
        <v>7633</v>
      </c>
      <c r="D291" t="s">
        <v>38</v>
      </c>
      <c r="E291" t="s">
        <v>39</v>
      </c>
      <c r="F291" t="s">
        <v>40</v>
      </c>
      <c r="G291" s="16">
        <v>5931.6356999999998</v>
      </c>
      <c r="H291" t="s">
        <v>8</v>
      </c>
      <c r="I291" s="16">
        <v>5157.9440000000004</v>
      </c>
    </row>
    <row r="292" spans="1:9" x14ac:dyDescent="0.3">
      <c r="A292" s="1">
        <v>46219</v>
      </c>
      <c r="B292">
        <v>39</v>
      </c>
      <c r="C292" t="s">
        <v>7668</v>
      </c>
      <c r="D292" t="s">
        <v>10</v>
      </c>
      <c r="E292" t="s">
        <v>51</v>
      </c>
      <c r="F292" t="s">
        <v>52</v>
      </c>
      <c r="G292" s="16">
        <v>4328.7725</v>
      </c>
      <c r="H292" t="s">
        <v>8</v>
      </c>
      <c r="I292" s="16">
        <v>3764.15</v>
      </c>
    </row>
    <row r="293" spans="1:9" x14ac:dyDescent="0.3">
      <c r="A293" s="1">
        <v>46219</v>
      </c>
      <c r="B293">
        <v>39</v>
      </c>
      <c r="C293" t="s">
        <v>7722</v>
      </c>
      <c r="D293" t="s">
        <v>2460</v>
      </c>
      <c r="E293" t="s">
        <v>164</v>
      </c>
      <c r="F293" t="s">
        <v>165</v>
      </c>
      <c r="G293" s="16">
        <v>703.8</v>
      </c>
      <c r="H293" t="s">
        <v>8</v>
      </c>
      <c r="I293" s="16">
        <v>612</v>
      </c>
    </row>
    <row r="294" spans="1:9" x14ac:dyDescent="0.3">
      <c r="A294" s="1">
        <v>46219</v>
      </c>
      <c r="B294">
        <v>39</v>
      </c>
      <c r="C294" t="s">
        <v>7689</v>
      </c>
      <c r="D294" t="s">
        <v>38</v>
      </c>
      <c r="E294" t="s">
        <v>358</v>
      </c>
      <c r="F294" t="s">
        <v>359</v>
      </c>
      <c r="G294" s="16">
        <v>30.1875</v>
      </c>
      <c r="H294" t="s">
        <v>8</v>
      </c>
      <c r="I294" s="16">
        <v>26.25</v>
      </c>
    </row>
    <row r="295" spans="1:9" x14ac:dyDescent="0.3">
      <c r="A295" s="1">
        <v>46219</v>
      </c>
      <c r="B295">
        <v>39</v>
      </c>
      <c r="C295" t="s">
        <v>7706</v>
      </c>
      <c r="D295" t="s">
        <v>10</v>
      </c>
      <c r="E295" t="s">
        <v>51</v>
      </c>
      <c r="F295" t="s">
        <v>52</v>
      </c>
      <c r="G295" s="16">
        <v>33.338500000000003</v>
      </c>
      <c r="H295" t="s">
        <v>8</v>
      </c>
      <c r="I295" s="16">
        <v>28.99</v>
      </c>
    </row>
    <row r="296" spans="1:9" x14ac:dyDescent="0.3">
      <c r="A296" s="1">
        <v>46220</v>
      </c>
      <c r="B296">
        <v>38</v>
      </c>
      <c r="C296" t="s">
        <v>7710</v>
      </c>
      <c r="D296" t="s">
        <v>10</v>
      </c>
      <c r="E296" t="s">
        <v>65</v>
      </c>
      <c r="F296" t="s">
        <v>66</v>
      </c>
      <c r="G296" s="16">
        <v>5580.5039999999999</v>
      </c>
      <c r="H296" t="s">
        <v>8</v>
      </c>
      <c r="I296" s="16">
        <v>4852.6120000000001</v>
      </c>
    </row>
    <row r="297" spans="1:9" x14ac:dyDescent="0.3">
      <c r="A297" s="1">
        <v>46221</v>
      </c>
      <c r="B297">
        <v>37</v>
      </c>
      <c r="C297" t="s">
        <v>7721</v>
      </c>
      <c r="D297" t="s">
        <v>2460</v>
      </c>
      <c r="E297" t="s">
        <v>6375</v>
      </c>
      <c r="F297" t="s">
        <v>6376</v>
      </c>
      <c r="G297" s="16">
        <v>166.66559000000001</v>
      </c>
      <c r="H297" t="s">
        <v>8</v>
      </c>
      <c r="I297" s="16">
        <v>144.92660000000001</v>
      </c>
    </row>
    <row r="298" spans="1:9" x14ac:dyDescent="0.3">
      <c r="A298" s="1">
        <v>46221</v>
      </c>
      <c r="B298">
        <v>37</v>
      </c>
      <c r="C298" t="s">
        <v>7744</v>
      </c>
      <c r="D298" t="s">
        <v>10</v>
      </c>
      <c r="E298" t="s">
        <v>39</v>
      </c>
      <c r="F298" t="s">
        <v>40</v>
      </c>
      <c r="G298" s="16">
        <v>4484.5749999999998</v>
      </c>
      <c r="H298" t="s">
        <v>8</v>
      </c>
      <c r="I298" s="16">
        <v>3899.6309000000001</v>
      </c>
    </row>
    <row r="299" spans="1:9" x14ac:dyDescent="0.3">
      <c r="A299" s="1">
        <v>46221</v>
      </c>
      <c r="B299">
        <v>37</v>
      </c>
      <c r="C299" t="s">
        <v>7747</v>
      </c>
      <c r="D299" t="s">
        <v>10</v>
      </c>
      <c r="E299" t="s">
        <v>7392</v>
      </c>
      <c r="F299" t="s">
        <v>7393</v>
      </c>
      <c r="G299" s="16">
        <v>1551.0050000000001</v>
      </c>
      <c r="H299" t="s">
        <v>8</v>
      </c>
      <c r="I299" s="16">
        <v>1348.7</v>
      </c>
    </row>
    <row r="300" spans="1:9" x14ac:dyDescent="0.3">
      <c r="A300" s="1">
        <v>46221</v>
      </c>
      <c r="B300">
        <v>37</v>
      </c>
      <c r="C300" t="s">
        <v>7750</v>
      </c>
      <c r="D300" t="s">
        <v>10</v>
      </c>
      <c r="E300" t="s">
        <v>25</v>
      </c>
      <c r="F300" t="s">
        <v>26</v>
      </c>
      <c r="G300" s="16">
        <v>154.238</v>
      </c>
      <c r="H300" t="s">
        <v>8</v>
      </c>
      <c r="I300" s="16">
        <v>134.12</v>
      </c>
    </row>
    <row r="301" spans="1:9" x14ac:dyDescent="0.3">
      <c r="A301" s="1">
        <v>46221</v>
      </c>
      <c r="B301">
        <v>37</v>
      </c>
      <c r="C301" t="s">
        <v>7790</v>
      </c>
      <c r="D301" t="s">
        <v>10</v>
      </c>
      <c r="E301" t="s">
        <v>7386</v>
      </c>
      <c r="F301" t="s">
        <v>7387</v>
      </c>
      <c r="G301" s="16">
        <v>2243.9998000000001</v>
      </c>
      <c r="H301" t="s">
        <v>8</v>
      </c>
      <c r="I301" s="16">
        <v>1951.3041000000001</v>
      </c>
    </row>
    <row r="302" spans="1:9" x14ac:dyDescent="0.3">
      <c r="A302" s="1">
        <v>46221</v>
      </c>
      <c r="B302">
        <v>37</v>
      </c>
      <c r="C302" t="s">
        <v>7796</v>
      </c>
      <c r="D302" t="s">
        <v>10</v>
      </c>
      <c r="E302" t="s">
        <v>111</v>
      </c>
      <c r="F302" t="s">
        <v>112</v>
      </c>
      <c r="G302" s="16">
        <v>540.67250000000001</v>
      </c>
      <c r="H302" t="s">
        <v>8</v>
      </c>
      <c r="I302" s="16">
        <v>470.15</v>
      </c>
    </row>
    <row r="303" spans="1:9" x14ac:dyDescent="0.3">
      <c r="A303" s="1">
        <v>46221</v>
      </c>
      <c r="B303">
        <v>37</v>
      </c>
      <c r="C303" t="s">
        <v>7775</v>
      </c>
      <c r="D303" t="s">
        <v>10</v>
      </c>
      <c r="E303" t="s">
        <v>69</v>
      </c>
      <c r="F303" t="s">
        <v>70</v>
      </c>
      <c r="G303" s="16">
        <v>752.28399999999999</v>
      </c>
      <c r="H303" t="s">
        <v>8</v>
      </c>
      <c r="I303" s="16">
        <v>654.16</v>
      </c>
    </row>
    <row r="304" spans="1:9" x14ac:dyDescent="0.3">
      <c r="A304" s="1">
        <v>46221</v>
      </c>
      <c r="B304">
        <v>37</v>
      </c>
      <c r="C304" t="s">
        <v>7782</v>
      </c>
      <c r="D304" t="s">
        <v>10</v>
      </c>
      <c r="E304" t="s">
        <v>2302</v>
      </c>
      <c r="F304" t="s">
        <v>2303</v>
      </c>
      <c r="G304" s="16">
        <v>10.763999999999999</v>
      </c>
      <c r="H304" t="s">
        <v>8</v>
      </c>
      <c r="I304" s="16">
        <v>9.36</v>
      </c>
    </row>
    <row r="305" spans="1:9" x14ac:dyDescent="0.3">
      <c r="A305" s="1">
        <v>46221</v>
      </c>
      <c r="B305">
        <v>37</v>
      </c>
      <c r="C305" t="s">
        <v>7802</v>
      </c>
      <c r="D305" t="s">
        <v>10</v>
      </c>
      <c r="E305" t="s">
        <v>2273</v>
      </c>
      <c r="F305" t="s">
        <v>2274</v>
      </c>
      <c r="G305" s="16">
        <v>651.22199999999998</v>
      </c>
      <c r="H305" t="s">
        <v>8</v>
      </c>
      <c r="I305" s="16">
        <v>566.28</v>
      </c>
    </row>
    <row r="306" spans="1:9" x14ac:dyDescent="0.3">
      <c r="A306" s="1">
        <v>46222</v>
      </c>
      <c r="B306">
        <v>36</v>
      </c>
      <c r="C306" t="s">
        <v>6530</v>
      </c>
      <c r="D306" t="s">
        <v>38</v>
      </c>
      <c r="E306" t="s">
        <v>349</v>
      </c>
      <c r="F306" t="s">
        <v>350</v>
      </c>
      <c r="G306" s="16">
        <v>414</v>
      </c>
      <c r="H306" t="s">
        <v>8</v>
      </c>
      <c r="I306" s="16">
        <v>360</v>
      </c>
    </row>
    <row r="307" spans="1:9" x14ac:dyDescent="0.3">
      <c r="A307" s="1">
        <v>46222</v>
      </c>
      <c r="B307">
        <v>36</v>
      </c>
      <c r="C307" t="s">
        <v>7845</v>
      </c>
      <c r="D307" t="s">
        <v>10</v>
      </c>
      <c r="E307" t="s">
        <v>188</v>
      </c>
      <c r="F307" t="s">
        <v>189</v>
      </c>
      <c r="G307" s="16">
        <v>100.14575000000001</v>
      </c>
      <c r="H307" t="s">
        <v>8</v>
      </c>
      <c r="I307" s="16">
        <v>87.083259999999996</v>
      </c>
    </row>
    <row r="308" spans="1:9" x14ac:dyDescent="0.3">
      <c r="A308" s="1">
        <v>46222</v>
      </c>
      <c r="B308">
        <v>36</v>
      </c>
      <c r="C308" t="s">
        <v>6641</v>
      </c>
      <c r="D308" t="s">
        <v>38</v>
      </c>
      <c r="E308" t="s">
        <v>349</v>
      </c>
      <c r="F308" t="s">
        <v>350</v>
      </c>
      <c r="G308" s="16">
        <v>146.24549999999999</v>
      </c>
      <c r="H308" t="s">
        <v>8</v>
      </c>
      <c r="I308" s="16">
        <v>127.17</v>
      </c>
    </row>
    <row r="309" spans="1:9" x14ac:dyDescent="0.3">
      <c r="A309" s="1">
        <v>46222</v>
      </c>
      <c r="B309">
        <v>36</v>
      </c>
      <c r="C309" t="s">
        <v>6970</v>
      </c>
      <c r="D309" t="s">
        <v>38</v>
      </c>
      <c r="E309" t="s">
        <v>349</v>
      </c>
      <c r="F309" t="s">
        <v>350</v>
      </c>
      <c r="G309" s="16">
        <v>48.7485</v>
      </c>
      <c r="H309" t="s">
        <v>8</v>
      </c>
      <c r="I309" s="16">
        <v>42.39</v>
      </c>
    </row>
    <row r="310" spans="1:9" x14ac:dyDescent="0.3">
      <c r="A310" s="1">
        <v>46222</v>
      </c>
      <c r="B310">
        <v>36</v>
      </c>
      <c r="C310" t="s">
        <v>7810</v>
      </c>
      <c r="D310" t="s">
        <v>10</v>
      </c>
      <c r="E310" t="s">
        <v>7245</v>
      </c>
      <c r="F310" t="s">
        <v>7246</v>
      </c>
      <c r="G310" s="16">
        <v>278.52999999999997</v>
      </c>
      <c r="H310" t="s">
        <v>8</v>
      </c>
      <c r="I310" s="16">
        <v>242.2</v>
      </c>
    </row>
    <row r="311" spans="1:9" x14ac:dyDescent="0.3">
      <c r="A311" s="1">
        <v>46222</v>
      </c>
      <c r="B311">
        <v>36</v>
      </c>
      <c r="C311" t="s">
        <v>7861</v>
      </c>
      <c r="D311" t="s">
        <v>10</v>
      </c>
      <c r="E311" t="s">
        <v>4575</v>
      </c>
      <c r="F311" t="s">
        <v>4576</v>
      </c>
      <c r="G311" s="16">
        <v>42</v>
      </c>
      <c r="H311" t="s">
        <v>8</v>
      </c>
      <c r="I311" s="16">
        <v>36.521740000000001</v>
      </c>
    </row>
    <row r="312" spans="1:9" x14ac:dyDescent="0.3">
      <c r="A312" s="1">
        <v>46222</v>
      </c>
      <c r="B312">
        <v>36</v>
      </c>
      <c r="C312" t="s">
        <v>6753</v>
      </c>
      <c r="D312" t="s">
        <v>38</v>
      </c>
      <c r="E312" t="s">
        <v>349</v>
      </c>
      <c r="F312" t="s">
        <v>350</v>
      </c>
      <c r="G312" s="16">
        <v>200.99700000000001</v>
      </c>
      <c r="H312" t="s">
        <v>8</v>
      </c>
      <c r="I312" s="16">
        <v>174.78</v>
      </c>
    </row>
    <row r="313" spans="1:9" x14ac:dyDescent="0.3">
      <c r="A313" s="1">
        <v>46222</v>
      </c>
      <c r="B313">
        <v>36</v>
      </c>
      <c r="C313" t="s">
        <v>7853</v>
      </c>
      <c r="D313" t="s">
        <v>10</v>
      </c>
      <c r="E313" t="s">
        <v>173</v>
      </c>
      <c r="F313" t="s">
        <v>174</v>
      </c>
      <c r="G313" s="16">
        <v>68.194999999999993</v>
      </c>
      <c r="H313" t="s">
        <v>8</v>
      </c>
      <c r="I313" s="16">
        <v>59.3</v>
      </c>
    </row>
    <row r="314" spans="1:9" x14ac:dyDescent="0.3">
      <c r="A314" s="1">
        <v>46222</v>
      </c>
      <c r="B314">
        <v>36</v>
      </c>
      <c r="C314" t="s">
        <v>7834</v>
      </c>
      <c r="D314" t="s">
        <v>10</v>
      </c>
      <c r="E314" t="s">
        <v>173</v>
      </c>
      <c r="F314" t="s">
        <v>174</v>
      </c>
      <c r="G314" s="16">
        <v>2049.4380000000001</v>
      </c>
      <c r="H314" t="s">
        <v>8</v>
      </c>
      <c r="I314" s="16">
        <v>1782.12</v>
      </c>
    </row>
    <row r="315" spans="1:9" x14ac:dyDescent="0.3">
      <c r="A315" s="1">
        <v>46222</v>
      </c>
      <c r="B315">
        <v>36</v>
      </c>
      <c r="C315" t="s">
        <v>7855</v>
      </c>
      <c r="D315" t="s">
        <v>10</v>
      </c>
      <c r="E315" t="s">
        <v>804</v>
      </c>
      <c r="F315" t="s">
        <v>805</v>
      </c>
      <c r="G315" s="16">
        <v>67.688999999999993</v>
      </c>
      <c r="H315" t="s">
        <v>8</v>
      </c>
      <c r="I315" s="16">
        <v>58.86</v>
      </c>
    </row>
    <row r="316" spans="1:9" x14ac:dyDescent="0.3">
      <c r="A316" s="1">
        <v>46222</v>
      </c>
      <c r="B316">
        <v>36</v>
      </c>
      <c r="C316" t="s">
        <v>7850</v>
      </c>
      <c r="D316" t="s">
        <v>38</v>
      </c>
      <c r="E316" t="s">
        <v>349</v>
      </c>
      <c r="F316" t="s">
        <v>350</v>
      </c>
      <c r="G316" s="16">
        <v>153.74350000000001</v>
      </c>
      <c r="H316" t="s">
        <v>8</v>
      </c>
      <c r="I316" s="16">
        <v>133.69</v>
      </c>
    </row>
    <row r="317" spans="1:9" x14ac:dyDescent="0.3">
      <c r="A317" s="1">
        <v>46223</v>
      </c>
      <c r="B317">
        <v>35</v>
      </c>
      <c r="C317" t="s">
        <v>6719</v>
      </c>
      <c r="D317" t="s">
        <v>10</v>
      </c>
      <c r="E317" t="s">
        <v>73</v>
      </c>
      <c r="F317" t="s">
        <v>74</v>
      </c>
      <c r="G317" s="16">
        <v>479.84784000000002</v>
      </c>
      <c r="H317" t="s">
        <v>8</v>
      </c>
      <c r="I317" s="16">
        <v>417.25900000000001</v>
      </c>
    </row>
    <row r="318" spans="1:9" x14ac:dyDescent="0.3">
      <c r="A318" s="1">
        <v>46223</v>
      </c>
      <c r="B318">
        <v>35</v>
      </c>
      <c r="C318" t="s">
        <v>2434</v>
      </c>
      <c r="D318" t="s">
        <v>10</v>
      </c>
      <c r="E318" t="s">
        <v>835</v>
      </c>
      <c r="F318" t="s">
        <v>836</v>
      </c>
      <c r="G318" s="16">
        <v>1949.7</v>
      </c>
      <c r="H318" t="s">
        <v>8</v>
      </c>
      <c r="I318" s="16">
        <v>1949.7</v>
      </c>
    </row>
    <row r="319" spans="1:9" x14ac:dyDescent="0.3">
      <c r="A319" s="1">
        <v>46223</v>
      </c>
      <c r="B319">
        <v>35</v>
      </c>
      <c r="C319" t="s">
        <v>1013</v>
      </c>
      <c r="D319" t="s">
        <v>10</v>
      </c>
      <c r="E319" t="s">
        <v>835</v>
      </c>
      <c r="F319" t="s">
        <v>836</v>
      </c>
      <c r="G319" s="16">
        <v>2654.35</v>
      </c>
      <c r="H319" t="s">
        <v>8</v>
      </c>
      <c r="I319" s="16">
        <v>2654.35</v>
      </c>
    </row>
    <row r="320" spans="1:9" x14ac:dyDescent="0.3">
      <c r="A320" s="1">
        <v>46223</v>
      </c>
      <c r="B320">
        <v>35</v>
      </c>
      <c r="C320" t="s">
        <v>7494</v>
      </c>
      <c r="D320" t="s">
        <v>10</v>
      </c>
      <c r="E320" t="s">
        <v>73</v>
      </c>
      <c r="F320" t="s">
        <v>74</v>
      </c>
      <c r="G320" s="16">
        <v>41.543750000000003</v>
      </c>
      <c r="H320" t="s">
        <v>8</v>
      </c>
      <c r="I320" s="16">
        <v>36.125</v>
      </c>
    </row>
    <row r="321" spans="1:9" x14ac:dyDescent="0.3">
      <c r="A321" s="1">
        <v>46223</v>
      </c>
      <c r="B321">
        <v>35</v>
      </c>
      <c r="C321" t="s">
        <v>11254</v>
      </c>
      <c r="D321" t="s">
        <v>2467</v>
      </c>
      <c r="E321" t="s">
        <v>11255</v>
      </c>
      <c r="F321" t="s">
        <v>11256</v>
      </c>
      <c r="G321" s="16">
        <v>403.07499999999999</v>
      </c>
      <c r="H321" t="s">
        <v>8</v>
      </c>
      <c r="I321" s="16">
        <v>350.5</v>
      </c>
    </row>
    <row r="322" spans="1:9" x14ac:dyDescent="0.3">
      <c r="A322" s="1">
        <v>46223</v>
      </c>
      <c r="B322">
        <v>35</v>
      </c>
      <c r="C322" t="s">
        <v>7688</v>
      </c>
      <c r="D322" t="s">
        <v>169</v>
      </c>
      <c r="E322" t="s">
        <v>135</v>
      </c>
      <c r="F322" t="s">
        <v>136</v>
      </c>
      <c r="G322" s="16">
        <v>251.73500000000001</v>
      </c>
      <c r="H322" t="s">
        <v>8</v>
      </c>
      <c r="I322" s="16">
        <v>218.9</v>
      </c>
    </row>
    <row r="323" spans="1:9" x14ac:dyDescent="0.3">
      <c r="A323" s="1">
        <v>46223</v>
      </c>
      <c r="B323">
        <v>35</v>
      </c>
      <c r="C323" t="s">
        <v>6021</v>
      </c>
      <c r="D323" t="s">
        <v>10</v>
      </c>
      <c r="E323" t="s">
        <v>73</v>
      </c>
      <c r="F323" t="s">
        <v>74</v>
      </c>
      <c r="G323" s="16">
        <v>573.84770000000003</v>
      </c>
      <c r="H323" t="s">
        <v>8</v>
      </c>
      <c r="I323" s="16">
        <v>498.99799999999999</v>
      </c>
    </row>
    <row r="324" spans="1:9" x14ac:dyDescent="0.3">
      <c r="A324" s="1">
        <v>46223</v>
      </c>
      <c r="B324">
        <v>35</v>
      </c>
      <c r="C324" t="s">
        <v>2900</v>
      </c>
      <c r="D324" t="s">
        <v>10</v>
      </c>
      <c r="E324" t="s">
        <v>835</v>
      </c>
      <c r="F324" t="s">
        <v>836</v>
      </c>
      <c r="G324" s="16">
        <v>1551.7</v>
      </c>
      <c r="H324" t="s">
        <v>8</v>
      </c>
      <c r="I324" s="16">
        <v>1551.7</v>
      </c>
    </row>
    <row r="325" spans="1:9" x14ac:dyDescent="0.3">
      <c r="A325" s="1">
        <v>46223</v>
      </c>
      <c r="B325">
        <v>35</v>
      </c>
      <c r="C325" t="s">
        <v>7967</v>
      </c>
      <c r="D325" t="s">
        <v>2460</v>
      </c>
      <c r="E325" t="s">
        <v>148</v>
      </c>
      <c r="F325" t="s">
        <v>149</v>
      </c>
      <c r="G325" s="16">
        <v>230.00018</v>
      </c>
      <c r="H325" t="s">
        <v>8</v>
      </c>
      <c r="I325" s="16">
        <v>200.00014999999999</v>
      </c>
    </row>
    <row r="326" spans="1:9" x14ac:dyDescent="0.3">
      <c r="A326" s="1">
        <v>46223</v>
      </c>
      <c r="B326">
        <v>35</v>
      </c>
      <c r="C326" t="s">
        <v>6447</v>
      </c>
      <c r="D326" t="s">
        <v>10</v>
      </c>
      <c r="E326" t="s">
        <v>73</v>
      </c>
      <c r="F326" t="s">
        <v>74</v>
      </c>
      <c r="G326" s="16">
        <v>905.44213999999999</v>
      </c>
      <c r="H326" t="s">
        <v>8</v>
      </c>
      <c r="I326" s="16">
        <v>787.34100000000001</v>
      </c>
    </row>
    <row r="327" spans="1:9" x14ac:dyDescent="0.3">
      <c r="A327" s="1">
        <v>46223</v>
      </c>
      <c r="B327">
        <v>35</v>
      </c>
      <c r="C327" t="s">
        <v>4749</v>
      </c>
      <c r="D327" t="s">
        <v>10</v>
      </c>
      <c r="E327" t="s">
        <v>835</v>
      </c>
      <c r="F327" t="s">
        <v>836</v>
      </c>
      <c r="G327" s="16">
        <v>449.55</v>
      </c>
      <c r="H327" t="s">
        <v>8</v>
      </c>
      <c r="I327" s="16">
        <v>449.55</v>
      </c>
    </row>
    <row r="328" spans="1:9" x14ac:dyDescent="0.3">
      <c r="A328" s="1">
        <v>46223</v>
      </c>
      <c r="B328">
        <v>35</v>
      </c>
      <c r="C328" t="s">
        <v>7966</v>
      </c>
      <c r="D328" t="s">
        <v>2460</v>
      </c>
      <c r="E328" t="s">
        <v>615</v>
      </c>
      <c r="F328" t="s">
        <v>616</v>
      </c>
      <c r="G328" s="16">
        <v>265.69583</v>
      </c>
      <c r="H328" t="s">
        <v>8</v>
      </c>
      <c r="I328" s="16">
        <v>231.03984</v>
      </c>
    </row>
    <row r="329" spans="1:9" x14ac:dyDescent="0.3">
      <c r="A329" s="1">
        <v>46223</v>
      </c>
      <c r="B329">
        <v>35</v>
      </c>
      <c r="C329" t="s">
        <v>3633</v>
      </c>
      <c r="D329" t="s">
        <v>10</v>
      </c>
      <c r="E329" t="s">
        <v>835</v>
      </c>
      <c r="F329" t="s">
        <v>836</v>
      </c>
      <c r="G329" s="16">
        <v>1619.7</v>
      </c>
      <c r="H329" t="s">
        <v>8</v>
      </c>
      <c r="I329" s="16">
        <v>1619.7</v>
      </c>
    </row>
    <row r="330" spans="1:9" x14ac:dyDescent="0.3">
      <c r="A330" s="1">
        <v>46223</v>
      </c>
      <c r="B330">
        <v>35</v>
      </c>
      <c r="C330" t="s">
        <v>7277</v>
      </c>
      <c r="D330" t="s">
        <v>10</v>
      </c>
      <c r="E330" t="s">
        <v>73</v>
      </c>
      <c r="F330" t="s">
        <v>74</v>
      </c>
      <c r="G330" s="16">
        <v>824.22490000000005</v>
      </c>
      <c r="H330" t="s">
        <v>8</v>
      </c>
      <c r="I330" s="16">
        <v>716.71730000000002</v>
      </c>
    </row>
    <row r="331" spans="1:9" x14ac:dyDescent="0.3">
      <c r="A331" s="1">
        <v>46223</v>
      </c>
      <c r="B331">
        <v>35</v>
      </c>
      <c r="C331" t="s">
        <v>7752</v>
      </c>
      <c r="D331" t="s">
        <v>10</v>
      </c>
      <c r="E331" t="s">
        <v>73</v>
      </c>
      <c r="F331" t="s">
        <v>74</v>
      </c>
      <c r="G331" s="16">
        <v>480.59453999999999</v>
      </c>
      <c r="H331" t="s">
        <v>8</v>
      </c>
      <c r="I331" s="16">
        <v>417.9083</v>
      </c>
    </row>
    <row r="332" spans="1:9" x14ac:dyDescent="0.3">
      <c r="A332" s="1">
        <v>46223</v>
      </c>
      <c r="B332">
        <v>35</v>
      </c>
      <c r="C332" t="s">
        <v>7960</v>
      </c>
      <c r="D332" t="s">
        <v>10</v>
      </c>
      <c r="E332" t="s">
        <v>358</v>
      </c>
      <c r="F332" t="s">
        <v>359</v>
      </c>
      <c r="G332" s="16">
        <v>971.23249999999996</v>
      </c>
      <c r="H332" t="s">
        <v>8</v>
      </c>
      <c r="I332" s="16">
        <v>844.55</v>
      </c>
    </row>
    <row r="333" spans="1:9" x14ac:dyDescent="0.3">
      <c r="A333" s="1">
        <v>46224</v>
      </c>
      <c r="B333">
        <v>34</v>
      </c>
      <c r="C333" t="s">
        <v>7994</v>
      </c>
      <c r="D333" t="s">
        <v>10</v>
      </c>
      <c r="E333" t="s">
        <v>39</v>
      </c>
      <c r="F333" t="s">
        <v>40</v>
      </c>
      <c r="G333" s="16">
        <v>3571.8782000000001</v>
      </c>
      <c r="H333" t="s">
        <v>8</v>
      </c>
      <c r="I333" s="16">
        <v>3105.9812000000002</v>
      </c>
    </row>
    <row r="334" spans="1:9" x14ac:dyDescent="0.3">
      <c r="A334" s="1">
        <v>46224</v>
      </c>
      <c r="B334">
        <v>34</v>
      </c>
      <c r="C334" t="s">
        <v>7997</v>
      </c>
      <c r="D334" t="s">
        <v>38</v>
      </c>
      <c r="E334" t="s">
        <v>69</v>
      </c>
      <c r="F334" t="s">
        <v>70</v>
      </c>
      <c r="G334" s="16">
        <v>4563.3149999999996</v>
      </c>
      <c r="H334" t="s">
        <v>8</v>
      </c>
      <c r="I334" s="16">
        <v>3968.1</v>
      </c>
    </row>
    <row r="335" spans="1:9" x14ac:dyDescent="0.3">
      <c r="A335" s="1">
        <v>46224</v>
      </c>
      <c r="B335">
        <v>34</v>
      </c>
      <c r="C335" t="s">
        <v>7981</v>
      </c>
      <c r="D335" t="s">
        <v>38</v>
      </c>
      <c r="E335" t="s">
        <v>69</v>
      </c>
      <c r="F335" t="s">
        <v>70</v>
      </c>
      <c r="G335" s="16">
        <v>842.46699999999998</v>
      </c>
      <c r="H335" t="s">
        <v>8</v>
      </c>
      <c r="I335" s="16">
        <v>732.58</v>
      </c>
    </row>
    <row r="336" spans="1:9" x14ac:dyDescent="0.3">
      <c r="A336" s="1">
        <v>46224</v>
      </c>
      <c r="B336">
        <v>34</v>
      </c>
      <c r="C336" t="s">
        <v>7989</v>
      </c>
      <c r="D336" t="s">
        <v>38</v>
      </c>
      <c r="E336" t="s">
        <v>4387</v>
      </c>
      <c r="F336" t="s">
        <v>4388</v>
      </c>
      <c r="G336" s="16">
        <v>938.28269999999998</v>
      </c>
      <c r="H336" t="s">
        <v>8</v>
      </c>
      <c r="I336" s="16">
        <v>815.89800000000002</v>
      </c>
    </row>
    <row r="337" spans="1:9" x14ac:dyDescent="0.3">
      <c r="A337" s="1">
        <v>46224</v>
      </c>
      <c r="B337">
        <v>34</v>
      </c>
      <c r="C337" t="s">
        <v>8001</v>
      </c>
      <c r="D337" t="s">
        <v>169</v>
      </c>
      <c r="E337" t="s">
        <v>5199</v>
      </c>
      <c r="F337" t="s">
        <v>5200</v>
      </c>
      <c r="G337" s="16">
        <v>30.475000000000001</v>
      </c>
      <c r="H337" t="s">
        <v>8</v>
      </c>
      <c r="I337" s="16">
        <v>26.5</v>
      </c>
    </row>
    <row r="338" spans="1:9" x14ac:dyDescent="0.3">
      <c r="A338" s="1">
        <v>46224</v>
      </c>
      <c r="B338">
        <v>34</v>
      </c>
      <c r="C338" t="s">
        <v>7978</v>
      </c>
      <c r="D338" t="s">
        <v>169</v>
      </c>
      <c r="E338" t="s">
        <v>47</v>
      </c>
      <c r="F338" t="s">
        <v>48</v>
      </c>
      <c r="G338" s="16">
        <v>445.53300000000002</v>
      </c>
      <c r="H338" t="s">
        <v>8</v>
      </c>
      <c r="I338" s="16">
        <v>387.42</v>
      </c>
    </row>
    <row r="339" spans="1:9" x14ac:dyDescent="0.3">
      <c r="A339" s="1">
        <v>46224</v>
      </c>
      <c r="B339">
        <v>34</v>
      </c>
      <c r="C339" t="s">
        <v>7974</v>
      </c>
      <c r="D339" t="s">
        <v>38</v>
      </c>
      <c r="E339" t="s">
        <v>39</v>
      </c>
      <c r="F339" t="s">
        <v>40</v>
      </c>
      <c r="G339" s="16">
        <v>2649.61</v>
      </c>
      <c r="H339" t="s">
        <v>8</v>
      </c>
      <c r="I339" s="16">
        <v>2304.0088000000001</v>
      </c>
    </row>
    <row r="340" spans="1:9" x14ac:dyDescent="0.3">
      <c r="A340" s="1">
        <v>46225</v>
      </c>
      <c r="B340">
        <v>33</v>
      </c>
      <c r="C340" t="s">
        <v>8050</v>
      </c>
      <c r="D340" t="s">
        <v>10</v>
      </c>
      <c r="E340" t="s">
        <v>4877</v>
      </c>
      <c r="F340" t="s">
        <v>5340</v>
      </c>
      <c r="G340" s="16">
        <v>138.69150999999999</v>
      </c>
      <c r="H340" t="s">
        <v>8</v>
      </c>
      <c r="I340" s="16">
        <v>120.60133</v>
      </c>
    </row>
    <row r="341" spans="1:9" x14ac:dyDescent="0.3">
      <c r="A341" s="1">
        <v>46225</v>
      </c>
      <c r="B341">
        <v>33</v>
      </c>
      <c r="C341" t="s">
        <v>8232</v>
      </c>
      <c r="D341" t="s">
        <v>10</v>
      </c>
      <c r="E341" t="s">
        <v>51</v>
      </c>
      <c r="F341" t="s">
        <v>52</v>
      </c>
      <c r="G341" s="16">
        <v>1259.8710000000001</v>
      </c>
      <c r="H341" t="s">
        <v>8</v>
      </c>
      <c r="I341" s="16">
        <v>1095.54</v>
      </c>
    </row>
    <row r="342" spans="1:9" x14ac:dyDescent="0.3">
      <c r="A342" s="1">
        <v>46225</v>
      </c>
      <c r="B342">
        <v>33</v>
      </c>
      <c r="C342" t="s">
        <v>8014</v>
      </c>
      <c r="D342" t="s">
        <v>10</v>
      </c>
      <c r="E342" t="s">
        <v>5437</v>
      </c>
      <c r="F342" t="s">
        <v>5438</v>
      </c>
      <c r="G342" s="16">
        <v>147.77135000000001</v>
      </c>
      <c r="H342" t="s">
        <v>8</v>
      </c>
      <c r="I342" s="16">
        <v>128.49682999999999</v>
      </c>
    </row>
    <row r="343" spans="1:9" x14ac:dyDescent="0.3">
      <c r="A343" s="1">
        <v>46225</v>
      </c>
      <c r="B343">
        <v>33</v>
      </c>
      <c r="C343" t="s">
        <v>8174</v>
      </c>
      <c r="D343" t="s">
        <v>10</v>
      </c>
      <c r="E343" t="s">
        <v>111</v>
      </c>
      <c r="F343" t="s">
        <v>112</v>
      </c>
      <c r="G343" s="16">
        <v>308.02175999999997</v>
      </c>
      <c r="H343" t="s">
        <v>8</v>
      </c>
      <c r="I343" s="16">
        <v>267.84500000000003</v>
      </c>
    </row>
    <row r="344" spans="1:9" x14ac:dyDescent="0.3">
      <c r="A344" s="1">
        <v>46225</v>
      </c>
      <c r="B344">
        <v>33</v>
      </c>
      <c r="C344" t="s">
        <v>8090</v>
      </c>
      <c r="D344" t="s">
        <v>10</v>
      </c>
      <c r="E344" t="s">
        <v>7245</v>
      </c>
      <c r="F344" t="s">
        <v>7246</v>
      </c>
      <c r="G344" s="16">
        <v>811.71600000000001</v>
      </c>
      <c r="H344" t="s">
        <v>8</v>
      </c>
      <c r="I344" s="16">
        <v>705.84</v>
      </c>
    </row>
    <row r="345" spans="1:9" x14ac:dyDescent="0.3">
      <c r="A345" s="1">
        <v>46225</v>
      </c>
      <c r="B345">
        <v>33</v>
      </c>
      <c r="C345" t="s">
        <v>8186</v>
      </c>
      <c r="D345" t="s">
        <v>10</v>
      </c>
      <c r="E345" t="s">
        <v>2166</v>
      </c>
      <c r="F345" t="s">
        <v>2167</v>
      </c>
      <c r="G345" s="16">
        <v>504.09100000000001</v>
      </c>
      <c r="H345" t="s">
        <v>8</v>
      </c>
      <c r="I345" s="16">
        <v>438.34</v>
      </c>
    </row>
    <row r="346" spans="1:9" x14ac:dyDescent="0.3">
      <c r="A346" s="1">
        <v>46225</v>
      </c>
      <c r="B346">
        <v>33</v>
      </c>
      <c r="C346" t="s">
        <v>8089</v>
      </c>
      <c r="D346" t="s">
        <v>10</v>
      </c>
      <c r="E346" t="s">
        <v>144</v>
      </c>
      <c r="F346" t="s">
        <v>145</v>
      </c>
      <c r="G346" s="16">
        <v>109.526</v>
      </c>
      <c r="H346" t="s">
        <v>8</v>
      </c>
      <c r="I346" s="16">
        <v>95.24</v>
      </c>
    </row>
    <row r="347" spans="1:9" x14ac:dyDescent="0.3">
      <c r="A347" s="1">
        <v>46225</v>
      </c>
      <c r="B347">
        <v>33</v>
      </c>
      <c r="C347" t="s">
        <v>8099</v>
      </c>
      <c r="D347" t="s">
        <v>10</v>
      </c>
      <c r="E347" t="s">
        <v>188</v>
      </c>
      <c r="F347" t="s">
        <v>189</v>
      </c>
      <c r="G347" s="16">
        <v>118.35406999999999</v>
      </c>
      <c r="H347" t="s">
        <v>8</v>
      </c>
      <c r="I347" s="16">
        <v>102.91658</v>
      </c>
    </row>
    <row r="348" spans="1:9" x14ac:dyDescent="0.3">
      <c r="A348" s="1">
        <v>46225</v>
      </c>
      <c r="B348">
        <v>33</v>
      </c>
      <c r="C348" t="s">
        <v>8275</v>
      </c>
      <c r="D348" t="s">
        <v>38</v>
      </c>
      <c r="E348" t="s">
        <v>69</v>
      </c>
      <c r="F348" t="s">
        <v>70</v>
      </c>
      <c r="G348" s="16">
        <v>2970.2775999999999</v>
      </c>
      <c r="H348" t="s">
        <v>8</v>
      </c>
      <c r="I348" s="16">
        <v>2582.85</v>
      </c>
    </row>
    <row r="349" spans="1:9" x14ac:dyDescent="0.3">
      <c r="A349" s="1">
        <v>46225</v>
      </c>
      <c r="B349">
        <v>33</v>
      </c>
      <c r="C349" t="s">
        <v>2086</v>
      </c>
      <c r="D349" t="s">
        <v>38</v>
      </c>
      <c r="E349" t="s">
        <v>305</v>
      </c>
      <c r="F349" t="s">
        <v>306</v>
      </c>
      <c r="G349" s="16">
        <v>1698.895</v>
      </c>
      <c r="H349" t="s">
        <v>8</v>
      </c>
      <c r="I349" s="16">
        <v>1477.3</v>
      </c>
    </row>
    <row r="350" spans="1:9" x14ac:dyDescent="0.3">
      <c r="A350" s="1">
        <v>46225</v>
      </c>
      <c r="B350">
        <v>33</v>
      </c>
      <c r="C350" t="s">
        <v>8117</v>
      </c>
      <c r="D350" t="s">
        <v>10</v>
      </c>
      <c r="E350" t="s">
        <v>534</v>
      </c>
      <c r="F350" t="s">
        <v>535</v>
      </c>
      <c r="G350" s="16">
        <v>16.63625</v>
      </c>
      <c r="H350" t="s">
        <v>8</v>
      </c>
      <c r="I350" s="16">
        <v>14.4663</v>
      </c>
    </row>
    <row r="351" spans="1:9" x14ac:dyDescent="0.3">
      <c r="A351" s="1">
        <v>46225</v>
      </c>
      <c r="B351">
        <v>33</v>
      </c>
      <c r="C351" t="s">
        <v>8141</v>
      </c>
      <c r="D351" t="s">
        <v>10</v>
      </c>
      <c r="E351" t="s">
        <v>358</v>
      </c>
      <c r="F351" t="s">
        <v>359</v>
      </c>
      <c r="G351" s="16">
        <v>189.75</v>
      </c>
      <c r="H351" t="s">
        <v>8</v>
      </c>
      <c r="I351" s="16">
        <v>165</v>
      </c>
    </row>
    <row r="352" spans="1:9" x14ac:dyDescent="0.3">
      <c r="A352" s="1">
        <v>46225</v>
      </c>
      <c r="B352">
        <v>33</v>
      </c>
      <c r="C352" t="s">
        <v>8257</v>
      </c>
      <c r="D352" t="s">
        <v>10</v>
      </c>
      <c r="E352" t="s">
        <v>173</v>
      </c>
      <c r="F352" t="s">
        <v>174</v>
      </c>
      <c r="G352" s="16">
        <v>1201.8420000000001</v>
      </c>
      <c r="H352" t="s">
        <v>8</v>
      </c>
      <c r="I352" s="16">
        <v>1045.08</v>
      </c>
    </row>
    <row r="353" spans="1:9" x14ac:dyDescent="0.3">
      <c r="A353" s="1">
        <v>46225</v>
      </c>
      <c r="B353">
        <v>33</v>
      </c>
      <c r="C353" t="s">
        <v>8036</v>
      </c>
      <c r="D353" t="s">
        <v>10</v>
      </c>
      <c r="E353" t="s">
        <v>5437</v>
      </c>
      <c r="F353" t="s">
        <v>5438</v>
      </c>
      <c r="G353" s="16">
        <v>748.42939999999999</v>
      </c>
      <c r="H353" t="s">
        <v>8</v>
      </c>
      <c r="I353" s="16">
        <v>650.80817000000002</v>
      </c>
    </row>
    <row r="354" spans="1:9" x14ac:dyDescent="0.3">
      <c r="A354" s="1">
        <v>46225</v>
      </c>
      <c r="B354">
        <v>33</v>
      </c>
      <c r="C354" t="s">
        <v>2082</v>
      </c>
      <c r="D354" t="s">
        <v>38</v>
      </c>
      <c r="E354" t="s">
        <v>305</v>
      </c>
      <c r="F354" t="s">
        <v>306</v>
      </c>
      <c r="G354" s="16">
        <v>1188.088</v>
      </c>
      <c r="H354" t="s">
        <v>8</v>
      </c>
      <c r="I354" s="16">
        <v>1033.1199999999999</v>
      </c>
    </row>
    <row r="355" spans="1:9" x14ac:dyDescent="0.3">
      <c r="A355" s="1">
        <v>46225</v>
      </c>
      <c r="B355">
        <v>33</v>
      </c>
      <c r="C355" t="s">
        <v>6127</v>
      </c>
      <c r="D355" t="s">
        <v>10</v>
      </c>
      <c r="E355" t="s">
        <v>846</v>
      </c>
      <c r="F355" t="s">
        <v>847</v>
      </c>
      <c r="G355" s="16">
        <v>463.68</v>
      </c>
      <c r="H355" t="s">
        <v>8</v>
      </c>
      <c r="I355" s="16">
        <v>403.2</v>
      </c>
    </row>
    <row r="356" spans="1:9" x14ac:dyDescent="0.3">
      <c r="A356" s="1">
        <v>46225</v>
      </c>
      <c r="B356">
        <v>33</v>
      </c>
      <c r="C356" t="s">
        <v>7882</v>
      </c>
      <c r="D356" t="s">
        <v>38</v>
      </c>
      <c r="E356" t="s">
        <v>305</v>
      </c>
      <c r="F356" t="s">
        <v>306</v>
      </c>
      <c r="G356" s="16">
        <v>381.01799999999997</v>
      </c>
      <c r="H356" t="s">
        <v>8</v>
      </c>
      <c r="I356" s="16">
        <v>331.32</v>
      </c>
    </row>
    <row r="357" spans="1:9" x14ac:dyDescent="0.3">
      <c r="A357" s="1">
        <v>46225</v>
      </c>
      <c r="B357">
        <v>33</v>
      </c>
      <c r="C357" t="s">
        <v>7624</v>
      </c>
      <c r="D357" t="s">
        <v>10</v>
      </c>
      <c r="E357" t="s">
        <v>2269</v>
      </c>
      <c r="F357" t="s">
        <v>2270</v>
      </c>
      <c r="G357" s="16">
        <v>86.777730000000005</v>
      </c>
      <c r="H357" t="s">
        <v>8</v>
      </c>
      <c r="I357" s="16">
        <v>75.458889999999997</v>
      </c>
    </row>
    <row r="358" spans="1:9" x14ac:dyDescent="0.3">
      <c r="A358" s="1">
        <v>46225</v>
      </c>
      <c r="B358">
        <v>33</v>
      </c>
      <c r="C358" t="s">
        <v>6895</v>
      </c>
      <c r="D358" t="s">
        <v>10</v>
      </c>
      <c r="E358" t="s">
        <v>665</v>
      </c>
      <c r="F358" t="s">
        <v>666</v>
      </c>
      <c r="G358" s="16">
        <v>442.71390000000002</v>
      </c>
      <c r="H358" t="s">
        <v>8</v>
      </c>
      <c r="I358" s="16">
        <v>384.96859999999998</v>
      </c>
    </row>
    <row r="359" spans="1:9" x14ac:dyDescent="0.3">
      <c r="A359" s="1">
        <v>46225</v>
      </c>
      <c r="B359">
        <v>33</v>
      </c>
      <c r="C359" t="s">
        <v>4065</v>
      </c>
      <c r="D359" t="s">
        <v>38</v>
      </c>
      <c r="E359" t="s">
        <v>305</v>
      </c>
      <c r="F359" t="s">
        <v>306</v>
      </c>
      <c r="G359" s="16">
        <v>896.32150000000001</v>
      </c>
      <c r="H359" t="s">
        <v>8</v>
      </c>
      <c r="I359" s="16">
        <v>779.41</v>
      </c>
    </row>
    <row r="360" spans="1:9" x14ac:dyDescent="0.3">
      <c r="A360" s="1">
        <v>46225</v>
      </c>
      <c r="B360">
        <v>33</v>
      </c>
      <c r="C360" t="s">
        <v>8067</v>
      </c>
      <c r="D360" t="s">
        <v>10</v>
      </c>
      <c r="E360" t="s">
        <v>2273</v>
      </c>
      <c r="F360" t="s">
        <v>2274</v>
      </c>
      <c r="G360" s="16">
        <v>236.80799999999999</v>
      </c>
      <c r="H360" t="s">
        <v>8</v>
      </c>
      <c r="I360" s="16">
        <v>205.92</v>
      </c>
    </row>
    <row r="361" spans="1:9" x14ac:dyDescent="0.3">
      <c r="A361" s="1">
        <v>46225</v>
      </c>
      <c r="B361">
        <v>33</v>
      </c>
      <c r="C361" t="s">
        <v>8146</v>
      </c>
      <c r="D361" t="s">
        <v>10</v>
      </c>
      <c r="E361" t="s">
        <v>821</v>
      </c>
      <c r="F361" t="s">
        <v>2040</v>
      </c>
      <c r="G361" s="16">
        <v>16.559999999999999</v>
      </c>
      <c r="H361" t="s">
        <v>8</v>
      </c>
      <c r="I361" s="16">
        <v>14.4</v>
      </c>
    </row>
    <row r="362" spans="1:9" x14ac:dyDescent="0.3">
      <c r="A362" s="1">
        <v>46225</v>
      </c>
      <c r="B362">
        <v>33</v>
      </c>
      <c r="C362" t="s">
        <v>7610</v>
      </c>
      <c r="D362" t="s">
        <v>10</v>
      </c>
      <c r="E362" t="s">
        <v>2943</v>
      </c>
      <c r="F362" t="s">
        <v>2944</v>
      </c>
      <c r="G362" s="16">
        <v>739.23149999999998</v>
      </c>
      <c r="H362" t="s">
        <v>8</v>
      </c>
      <c r="I362" s="16">
        <v>642.80999999999995</v>
      </c>
    </row>
    <row r="363" spans="1:9" x14ac:dyDescent="0.3">
      <c r="A363" s="1">
        <v>46225</v>
      </c>
      <c r="B363">
        <v>33</v>
      </c>
      <c r="C363" t="s">
        <v>8115</v>
      </c>
      <c r="D363" t="s">
        <v>10</v>
      </c>
      <c r="E363" t="s">
        <v>1725</v>
      </c>
      <c r="F363" t="s">
        <v>1726</v>
      </c>
      <c r="G363" s="16">
        <v>20.0077</v>
      </c>
      <c r="H363" t="s">
        <v>8</v>
      </c>
      <c r="I363" s="16">
        <v>17.398</v>
      </c>
    </row>
    <row r="364" spans="1:9" x14ac:dyDescent="0.3">
      <c r="A364" s="1">
        <v>46225</v>
      </c>
      <c r="B364">
        <v>33</v>
      </c>
      <c r="C364" t="s">
        <v>8145</v>
      </c>
      <c r="D364" t="s">
        <v>10</v>
      </c>
      <c r="E364" t="s">
        <v>580</v>
      </c>
      <c r="F364" t="s">
        <v>581</v>
      </c>
      <c r="G364" s="16">
        <v>49.104999999999997</v>
      </c>
      <c r="H364" t="s">
        <v>8</v>
      </c>
      <c r="I364" s="16">
        <v>42.7</v>
      </c>
    </row>
    <row r="365" spans="1:9" x14ac:dyDescent="0.3">
      <c r="A365" s="1">
        <v>46225</v>
      </c>
      <c r="B365">
        <v>33</v>
      </c>
      <c r="C365" t="s">
        <v>8239</v>
      </c>
      <c r="D365" t="s">
        <v>10</v>
      </c>
      <c r="E365" t="s">
        <v>323</v>
      </c>
      <c r="F365" t="s">
        <v>324</v>
      </c>
      <c r="G365" s="16">
        <v>23.574999999999999</v>
      </c>
      <c r="H365" t="s">
        <v>8</v>
      </c>
      <c r="I365" s="16">
        <v>20.5</v>
      </c>
    </row>
    <row r="366" spans="1:9" x14ac:dyDescent="0.3">
      <c r="A366" s="1">
        <v>46225</v>
      </c>
      <c r="B366">
        <v>33</v>
      </c>
      <c r="C366" t="s">
        <v>8302</v>
      </c>
      <c r="D366" t="s">
        <v>10</v>
      </c>
      <c r="E366" t="s">
        <v>73</v>
      </c>
      <c r="F366" t="s">
        <v>74</v>
      </c>
      <c r="G366" s="16">
        <v>462.73009999999999</v>
      </c>
      <c r="H366" t="s">
        <v>8</v>
      </c>
      <c r="I366" s="16">
        <v>402.37400000000002</v>
      </c>
    </row>
    <row r="367" spans="1:9" x14ac:dyDescent="0.3">
      <c r="A367" s="1">
        <v>46225</v>
      </c>
      <c r="B367">
        <v>33</v>
      </c>
      <c r="C367" t="s">
        <v>8143</v>
      </c>
      <c r="D367" t="s">
        <v>10</v>
      </c>
      <c r="E367" t="s">
        <v>53</v>
      </c>
      <c r="F367" t="s">
        <v>54</v>
      </c>
      <c r="G367" s="16">
        <v>250.56774999999999</v>
      </c>
      <c r="H367" t="s">
        <v>8</v>
      </c>
      <c r="I367" s="16">
        <v>217.88499999999999</v>
      </c>
    </row>
    <row r="368" spans="1:9" x14ac:dyDescent="0.3">
      <c r="A368" s="1">
        <v>46225</v>
      </c>
      <c r="B368">
        <v>33</v>
      </c>
      <c r="C368" t="s">
        <v>2534</v>
      </c>
      <c r="D368" t="s">
        <v>38</v>
      </c>
      <c r="E368" t="s">
        <v>305</v>
      </c>
      <c r="F368" t="s">
        <v>306</v>
      </c>
      <c r="G368" s="16">
        <v>1050.0764999999999</v>
      </c>
      <c r="H368" t="s">
        <v>8</v>
      </c>
      <c r="I368" s="16">
        <v>913.11</v>
      </c>
    </row>
    <row r="369" spans="1:9" x14ac:dyDescent="0.3">
      <c r="A369" s="1">
        <v>46225</v>
      </c>
      <c r="B369">
        <v>33</v>
      </c>
      <c r="C369" t="s">
        <v>8103</v>
      </c>
      <c r="D369" t="s">
        <v>10</v>
      </c>
      <c r="E369" t="s">
        <v>11</v>
      </c>
      <c r="F369" t="s">
        <v>12</v>
      </c>
      <c r="G369" s="16">
        <v>910.8</v>
      </c>
      <c r="H369" t="s">
        <v>8</v>
      </c>
      <c r="I369" s="16">
        <v>792</v>
      </c>
    </row>
    <row r="370" spans="1:9" x14ac:dyDescent="0.3">
      <c r="A370" s="1">
        <v>46225</v>
      </c>
      <c r="B370">
        <v>33</v>
      </c>
      <c r="C370" t="s">
        <v>8094</v>
      </c>
      <c r="D370" t="s">
        <v>10</v>
      </c>
      <c r="E370" t="s">
        <v>183</v>
      </c>
      <c r="F370" t="s">
        <v>184</v>
      </c>
      <c r="G370" s="16">
        <v>24.15</v>
      </c>
      <c r="H370" t="s">
        <v>8</v>
      </c>
      <c r="I370" s="16">
        <v>21</v>
      </c>
    </row>
    <row r="371" spans="1:9" x14ac:dyDescent="0.3">
      <c r="A371" s="1">
        <v>46225</v>
      </c>
      <c r="B371">
        <v>33</v>
      </c>
      <c r="C371" t="s">
        <v>7138</v>
      </c>
      <c r="D371" t="s">
        <v>10</v>
      </c>
      <c r="E371" t="s">
        <v>846</v>
      </c>
      <c r="F371" t="s">
        <v>847</v>
      </c>
      <c r="G371" s="16">
        <v>218.97149999999999</v>
      </c>
      <c r="H371" t="s">
        <v>8</v>
      </c>
      <c r="I371" s="16">
        <v>190.41</v>
      </c>
    </row>
    <row r="372" spans="1:9" x14ac:dyDescent="0.3">
      <c r="A372" s="1">
        <v>46225</v>
      </c>
      <c r="B372">
        <v>33</v>
      </c>
      <c r="C372" t="s">
        <v>8101</v>
      </c>
      <c r="D372" t="s">
        <v>10</v>
      </c>
      <c r="E372" t="s">
        <v>7245</v>
      </c>
      <c r="F372" t="s">
        <v>7246</v>
      </c>
      <c r="G372" s="16">
        <v>238.74</v>
      </c>
      <c r="H372" t="s">
        <v>8</v>
      </c>
      <c r="I372" s="16">
        <v>207.6</v>
      </c>
    </row>
    <row r="373" spans="1:9" x14ac:dyDescent="0.3">
      <c r="A373" s="1">
        <v>46225</v>
      </c>
      <c r="B373">
        <v>33</v>
      </c>
      <c r="C373" t="s">
        <v>8102</v>
      </c>
      <c r="D373" t="s">
        <v>10</v>
      </c>
      <c r="E373" t="s">
        <v>69</v>
      </c>
      <c r="F373" t="s">
        <v>70</v>
      </c>
      <c r="G373" s="16">
        <v>184.59800000000001</v>
      </c>
      <c r="H373" t="s">
        <v>8</v>
      </c>
      <c r="I373" s="16">
        <v>160.52000000000001</v>
      </c>
    </row>
    <row r="374" spans="1:9" x14ac:dyDescent="0.3">
      <c r="A374" s="1">
        <v>46225</v>
      </c>
      <c r="B374">
        <v>33</v>
      </c>
      <c r="C374" t="s">
        <v>7816</v>
      </c>
      <c r="D374" t="s">
        <v>10</v>
      </c>
      <c r="E374" t="s">
        <v>5437</v>
      </c>
      <c r="F374" t="s">
        <v>5438</v>
      </c>
      <c r="G374" s="16">
        <v>162.83843999999999</v>
      </c>
      <c r="H374" t="s">
        <v>8</v>
      </c>
      <c r="I374" s="16">
        <v>141.59863000000001</v>
      </c>
    </row>
    <row r="375" spans="1:9" x14ac:dyDescent="0.3">
      <c r="A375" s="1">
        <v>46225</v>
      </c>
      <c r="B375">
        <v>33</v>
      </c>
      <c r="C375" t="s">
        <v>8189</v>
      </c>
      <c r="D375" t="s">
        <v>10</v>
      </c>
      <c r="E375" t="s">
        <v>144</v>
      </c>
      <c r="F375" t="s">
        <v>145</v>
      </c>
      <c r="G375" s="16">
        <v>6.67</v>
      </c>
      <c r="H375" t="s">
        <v>8</v>
      </c>
      <c r="I375" s="16">
        <v>5.8</v>
      </c>
    </row>
    <row r="376" spans="1:9" x14ac:dyDescent="0.3">
      <c r="A376" s="1">
        <v>46225</v>
      </c>
      <c r="B376">
        <v>33</v>
      </c>
      <c r="C376" t="s">
        <v>5544</v>
      </c>
      <c r="D376" t="s">
        <v>38</v>
      </c>
      <c r="E376" t="s">
        <v>305</v>
      </c>
      <c r="F376" t="s">
        <v>306</v>
      </c>
      <c r="G376" s="16">
        <v>450.02949999999998</v>
      </c>
      <c r="H376" t="s">
        <v>8</v>
      </c>
      <c r="I376" s="16">
        <v>391.33</v>
      </c>
    </row>
    <row r="377" spans="1:9" x14ac:dyDescent="0.3">
      <c r="A377" s="1">
        <v>46225</v>
      </c>
      <c r="B377">
        <v>33</v>
      </c>
      <c r="C377" t="s">
        <v>7503</v>
      </c>
      <c r="D377" t="s">
        <v>10</v>
      </c>
      <c r="E377" t="s">
        <v>882</v>
      </c>
      <c r="F377" t="s">
        <v>883</v>
      </c>
      <c r="G377" s="16">
        <v>4095.15</v>
      </c>
      <c r="H377" t="s">
        <v>8</v>
      </c>
      <c r="I377" s="16">
        <v>3561</v>
      </c>
    </row>
    <row r="378" spans="1:9" x14ac:dyDescent="0.3">
      <c r="A378" s="1">
        <v>46225</v>
      </c>
      <c r="B378">
        <v>33</v>
      </c>
      <c r="C378" t="s">
        <v>454</v>
      </c>
      <c r="D378" t="s">
        <v>38</v>
      </c>
      <c r="E378" t="s">
        <v>305</v>
      </c>
      <c r="F378" t="s">
        <v>306</v>
      </c>
      <c r="G378" s="16">
        <v>2439.2190000000001</v>
      </c>
      <c r="H378" t="s">
        <v>8</v>
      </c>
      <c r="I378" s="16">
        <v>2121.06</v>
      </c>
    </row>
    <row r="379" spans="1:9" x14ac:dyDescent="0.3">
      <c r="A379" s="1">
        <v>46225</v>
      </c>
      <c r="B379">
        <v>33</v>
      </c>
      <c r="C379" t="s">
        <v>2052</v>
      </c>
      <c r="D379" t="s">
        <v>38</v>
      </c>
      <c r="E379" t="s">
        <v>305</v>
      </c>
      <c r="F379" t="s">
        <v>306</v>
      </c>
      <c r="G379" s="16">
        <v>513.01499999999999</v>
      </c>
      <c r="H379" t="s">
        <v>8</v>
      </c>
      <c r="I379" s="16">
        <v>446.1</v>
      </c>
    </row>
    <row r="380" spans="1:9" x14ac:dyDescent="0.3">
      <c r="A380" s="1">
        <v>46225</v>
      </c>
      <c r="B380">
        <v>33</v>
      </c>
      <c r="C380" t="s">
        <v>8140</v>
      </c>
      <c r="D380" t="s">
        <v>38</v>
      </c>
      <c r="E380" t="s">
        <v>69</v>
      </c>
      <c r="F380" t="s">
        <v>70</v>
      </c>
      <c r="G380" s="16">
        <v>30.774000000000001</v>
      </c>
      <c r="H380" t="s">
        <v>8</v>
      </c>
      <c r="I380" s="16">
        <v>26.76</v>
      </c>
    </row>
    <row r="381" spans="1:9" x14ac:dyDescent="0.3">
      <c r="A381" s="1">
        <v>46225</v>
      </c>
      <c r="B381">
        <v>33</v>
      </c>
      <c r="C381" t="s">
        <v>8069</v>
      </c>
      <c r="D381" t="s">
        <v>10</v>
      </c>
      <c r="E381" t="s">
        <v>710</v>
      </c>
      <c r="F381" t="s">
        <v>711</v>
      </c>
      <c r="G381" s="16">
        <v>104.65</v>
      </c>
      <c r="H381" t="s">
        <v>8</v>
      </c>
      <c r="I381" s="16">
        <v>91</v>
      </c>
    </row>
    <row r="382" spans="1:9" x14ac:dyDescent="0.3">
      <c r="A382" s="1">
        <v>46225</v>
      </c>
      <c r="B382">
        <v>33</v>
      </c>
      <c r="C382" t="s">
        <v>8280</v>
      </c>
      <c r="D382" t="s">
        <v>10</v>
      </c>
      <c r="E382" t="s">
        <v>8278</v>
      </c>
      <c r="F382" t="s">
        <v>8279</v>
      </c>
      <c r="G382" s="16">
        <v>1673.894</v>
      </c>
      <c r="H382" t="s">
        <v>8</v>
      </c>
      <c r="I382" s="16">
        <v>1455.56</v>
      </c>
    </row>
    <row r="383" spans="1:9" x14ac:dyDescent="0.3">
      <c r="A383" s="1">
        <v>46225</v>
      </c>
      <c r="B383">
        <v>33</v>
      </c>
      <c r="C383" t="s">
        <v>7811</v>
      </c>
      <c r="D383" t="s">
        <v>10</v>
      </c>
      <c r="E383" t="s">
        <v>665</v>
      </c>
      <c r="F383" t="s">
        <v>666</v>
      </c>
      <c r="G383" s="16">
        <v>88.909940000000006</v>
      </c>
      <c r="H383" t="s">
        <v>8</v>
      </c>
      <c r="I383" s="16">
        <v>77.312989999999999</v>
      </c>
    </row>
    <row r="384" spans="1:9" x14ac:dyDescent="0.3">
      <c r="A384" s="1">
        <v>46225</v>
      </c>
      <c r="B384">
        <v>33</v>
      </c>
      <c r="C384" t="s">
        <v>4869</v>
      </c>
      <c r="D384" t="s">
        <v>10</v>
      </c>
      <c r="E384" t="s">
        <v>846</v>
      </c>
      <c r="F384" t="s">
        <v>847</v>
      </c>
      <c r="G384" s="16">
        <v>573.49350000000004</v>
      </c>
      <c r="H384" t="s">
        <v>8</v>
      </c>
      <c r="I384" s="16">
        <v>498.69</v>
      </c>
    </row>
    <row r="385" spans="1:9" x14ac:dyDescent="0.3">
      <c r="A385" s="1">
        <v>46225</v>
      </c>
      <c r="B385">
        <v>33</v>
      </c>
      <c r="C385" t="s">
        <v>8292</v>
      </c>
      <c r="D385" t="s">
        <v>10</v>
      </c>
      <c r="E385" t="s">
        <v>613</v>
      </c>
      <c r="F385" t="s">
        <v>614</v>
      </c>
      <c r="G385" s="16">
        <v>101.7175</v>
      </c>
      <c r="H385" t="s">
        <v>8</v>
      </c>
      <c r="I385" s="16">
        <v>88.45</v>
      </c>
    </row>
    <row r="386" spans="1:9" x14ac:dyDescent="0.3">
      <c r="A386" s="1">
        <v>46225</v>
      </c>
      <c r="B386">
        <v>33</v>
      </c>
      <c r="C386" t="s">
        <v>8297</v>
      </c>
      <c r="D386" t="s">
        <v>10</v>
      </c>
      <c r="E386" t="s">
        <v>987</v>
      </c>
      <c r="F386" t="s">
        <v>988</v>
      </c>
      <c r="G386" s="16">
        <v>2.645</v>
      </c>
      <c r="H386" t="s">
        <v>8</v>
      </c>
      <c r="I386" s="16">
        <v>2.2999999999999998</v>
      </c>
    </row>
    <row r="387" spans="1:9" x14ac:dyDescent="0.3">
      <c r="A387" s="1">
        <v>46225</v>
      </c>
      <c r="B387">
        <v>33</v>
      </c>
      <c r="C387" t="s">
        <v>8056</v>
      </c>
      <c r="D387" t="s">
        <v>10</v>
      </c>
      <c r="E387" t="s">
        <v>177</v>
      </c>
      <c r="F387" t="s">
        <v>178</v>
      </c>
      <c r="G387" s="16">
        <v>86.962999999999994</v>
      </c>
      <c r="H387" t="s">
        <v>8</v>
      </c>
      <c r="I387" s="16">
        <v>75.62</v>
      </c>
    </row>
    <row r="388" spans="1:9" x14ac:dyDescent="0.3">
      <c r="A388" s="1">
        <v>46225</v>
      </c>
      <c r="B388">
        <v>33</v>
      </c>
      <c r="C388" t="s">
        <v>7836</v>
      </c>
      <c r="D388" t="s">
        <v>10</v>
      </c>
      <c r="E388" t="s">
        <v>882</v>
      </c>
      <c r="F388" t="s">
        <v>883</v>
      </c>
      <c r="G388" s="16">
        <v>3201.6</v>
      </c>
      <c r="H388" t="s">
        <v>8</v>
      </c>
      <c r="I388" s="16">
        <v>2784</v>
      </c>
    </row>
    <row r="389" spans="1:9" x14ac:dyDescent="0.3">
      <c r="A389" s="1">
        <v>46225</v>
      </c>
      <c r="B389">
        <v>33</v>
      </c>
      <c r="C389" t="s">
        <v>8052</v>
      </c>
      <c r="D389" t="s">
        <v>10</v>
      </c>
      <c r="E389" t="s">
        <v>7386</v>
      </c>
      <c r="F389" t="s">
        <v>7387</v>
      </c>
      <c r="G389" s="16">
        <v>180</v>
      </c>
      <c r="H389" t="s">
        <v>8</v>
      </c>
      <c r="I389" s="16">
        <v>156.52173999999999</v>
      </c>
    </row>
    <row r="390" spans="1:9" x14ac:dyDescent="0.3">
      <c r="A390" s="1">
        <v>46225</v>
      </c>
      <c r="B390">
        <v>33</v>
      </c>
      <c r="C390" t="s">
        <v>5530</v>
      </c>
      <c r="D390" t="s">
        <v>10</v>
      </c>
      <c r="E390" t="s">
        <v>846</v>
      </c>
      <c r="F390" t="s">
        <v>847</v>
      </c>
      <c r="G390" s="16">
        <v>30.843</v>
      </c>
      <c r="H390" t="s">
        <v>8</v>
      </c>
      <c r="I390" s="16">
        <v>26.82</v>
      </c>
    </row>
    <row r="391" spans="1:9" x14ac:dyDescent="0.3">
      <c r="A391" s="1">
        <v>46225</v>
      </c>
      <c r="B391">
        <v>33</v>
      </c>
      <c r="C391" t="s">
        <v>8300</v>
      </c>
      <c r="D391" t="s">
        <v>10</v>
      </c>
      <c r="E391" t="s">
        <v>7392</v>
      </c>
      <c r="F391" t="s">
        <v>7393</v>
      </c>
      <c r="G391" s="16">
        <v>11.5</v>
      </c>
      <c r="H391" t="s">
        <v>8</v>
      </c>
      <c r="I391" s="16">
        <v>10</v>
      </c>
    </row>
    <row r="392" spans="1:9" x14ac:dyDescent="0.3">
      <c r="A392" s="1">
        <v>46225</v>
      </c>
      <c r="B392">
        <v>33</v>
      </c>
      <c r="C392" t="s">
        <v>6631</v>
      </c>
      <c r="D392" t="s">
        <v>10</v>
      </c>
      <c r="E392" t="s">
        <v>2943</v>
      </c>
      <c r="F392" t="s">
        <v>2944</v>
      </c>
      <c r="G392" s="16">
        <v>1568.1514999999999</v>
      </c>
      <c r="H392" t="s">
        <v>8</v>
      </c>
      <c r="I392" s="16">
        <v>1363.61</v>
      </c>
    </row>
    <row r="393" spans="1:9" x14ac:dyDescent="0.3">
      <c r="A393" s="1">
        <v>46225</v>
      </c>
      <c r="B393">
        <v>33</v>
      </c>
      <c r="C393" t="s">
        <v>8112</v>
      </c>
      <c r="D393" t="s">
        <v>10</v>
      </c>
      <c r="E393" t="s">
        <v>854</v>
      </c>
      <c r="F393" t="s">
        <v>855</v>
      </c>
      <c r="G393" s="16">
        <v>86.639619999999994</v>
      </c>
      <c r="H393" t="s">
        <v>8</v>
      </c>
      <c r="I393" s="16">
        <v>75.338800000000006</v>
      </c>
    </row>
    <row r="394" spans="1:9" x14ac:dyDescent="0.3">
      <c r="A394" s="1">
        <v>46225</v>
      </c>
      <c r="B394">
        <v>33</v>
      </c>
      <c r="C394" t="s">
        <v>7248</v>
      </c>
      <c r="D394" t="s">
        <v>10</v>
      </c>
      <c r="E394" t="s">
        <v>2943</v>
      </c>
      <c r="F394" t="s">
        <v>2944</v>
      </c>
      <c r="G394" s="16">
        <v>1279.5820000000001</v>
      </c>
      <c r="H394" t="s">
        <v>8</v>
      </c>
      <c r="I394" s="16">
        <v>1112.68</v>
      </c>
    </row>
    <row r="395" spans="1:9" x14ac:dyDescent="0.3">
      <c r="A395" s="1">
        <v>46225</v>
      </c>
      <c r="B395">
        <v>33</v>
      </c>
      <c r="C395" t="s">
        <v>6596</v>
      </c>
      <c r="D395" t="s">
        <v>10</v>
      </c>
      <c r="E395" t="s">
        <v>2290</v>
      </c>
      <c r="F395" t="s">
        <v>2291</v>
      </c>
      <c r="G395" s="16">
        <v>78.132919999999999</v>
      </c>
      <c r="H395" t="s">
        <v>8</v>
      </c>
      <c r="I395" s="16">
        <v>67.941670000000002</v>
      </c>
    </row>
    <row r="396" spans="1:9" x14ac:dyDescent="0.3">
      <c r="A396" s="1">
        <v>46225</v>
      </c>
      <c r="B396">
        <v>33</v>
      </c>
      <c r="C396" t="s">
        <v>2169</v>
      </c>
      <c r="D396" t="s">
        <v>10</v>
      </c>
      <c r="E396" t="s">
        <v>846</v>
      </c>
      <c r="F396" t="s">
        <v>847</v>
      </c>
      <c r="G396" s="16">
        <v>956.62750000000005</v>
      </c>
      <c r="H396" t="s">
        <v>8</v>
      </c>
      <c r="I396" s="16">
        <v>831.85</v>
      </c>
    </row>
    <row r="397" spans="1:9" x14ac:dyDescent="0.3">
      <c r="A397" s="1">
        <v>46225</v>
      </c>
      <c r="B397">
        <v>33</v>
      </c>
      <c r="C397" t="s">
        <v>7351</v>
      </c>
      <c r="D397" t="s">
        <v>10</v>
      </c>
      <c r="E397" t="s">
        <v>665</v>
      </c>
      <c r="F397" t="s">
        <v>666</v>
      </c>
      <c r="G397" s="16">
        <v>67.658929999999998</v>
      </c>
      <c r="H397" t="s">
        <v>8</v>
      </c>
      <c r="I397" s="16">
        <v>58.833849999999998</v>
      </c>
    </row>
    <row r="398" spans="1:9" x14ac:dyDescent="0.3">
      <c r="A398" s="1">
        <v>46225</v>
      </c>
      <c r="B398">
        <v>33</v>
      </c>
      <c r="C398" t="s">
        <v>8190</v>
      </c>
      <c r="D398" t="s">
        <v>10</v>
      </c>
      <c r="E398" t="s">
        <v>39</v>
      </c>
      <c r="F398" t="s">
        <v>40</v>
      </c>
      <c r="G398" s="16">
        <v>1092.7141999999999</v>
      </c>
      <c r="H398" t="s">
        <v>8</v>
      </c>
      <c r="I398" s="16">
        <v>950.18629999999996</v>
      </c>
    </row>
    <row r="399" spans="1:9" x14ac:dyDescent="0.3">
      <c r="A399" s="1">
        <v>46225</v>
      </c>
      <c r="B399">
        <v>33</v>
      </c>
      <c r="C399" t="s">
        <v>7530</v>
      </c>
      <c r="D399" t="s">
        <v>10</v>
      </c>
      <c r="E399" t="s">
        <v>846</v>
      </c>
      <c r="F399" t="s">
        <v>847</v>
      </c>
      <c r="G399" s="16">
        <v>66.239999999999995</v>
      </c>
      <c r="H399" t="s">
        <v>8</v>
      </c>
      <c r="I399" s="16">
        <v>57.6</v>
      </c>
    </row>
    <row r="400" spans="1:9" x14ac:dyDescent="0.3">
      <c r="A400" s="1">
        <v>46225</v>
      </c>
      <c r="B400">
        <v>33</v>
      </c>
      <c r="C400" t="s">
        <v>8306</v>
      </c>
      <c r="D400" t="s">
        <v>2460</v>
      </c>
      <c r="E400" t="s">
        <v>7538</v>
      </c>
      <c r="F400" t="s">
        <v>7914</v>
      </c>
      <c r="G400" s="16">
        <v>358.19279999999998</v>
      </c>
      <c r="H400" t="s">
        <v>8</v>
      </c>
      <c r="I400" s="16">
        <v>311.47199999999998</v>
      </c>
    </row>
    <row r="401" spans="1:9" x14ac:dyDescent="0.3">
      <c r="A401" s="1">
        <v>46225</v>
      </c>
      <c r="B401">
        <v>33</v>
      </c>
      <c r="C401" t="s">
        <v>8220</v>
      </c>
      <c r="D401" t="s">
        <v>10</v>
      </c>
      <c r="E401" t="s">
        <v>25</v>
      </c>
      <c r="F401" t="s">
        <v>26</v>
      </c>
      <c r="G401" s="16">
        <v>25.507000000000001</v>
      </c>
      <c r="H401" t="s">
        <v>8</v>
      </c>
      <c r="I401" s="16">
        <v>22.18</v>
      </c>
    </row>
    <row r="402" spans="1:9" x14ac:dyDescent="0.3">
      <c r="A402" s="1">
        <v>46225</v>
      </c>
      <c r="B402">
        <v>33</v>
      </c>
      <c r="C402" t="s">
        <v>7825</v>
      </c>
      <c r="D402" t="s">
        <v>10</v>
      </c>
      <c r="E402" t="s">
        <v>5437</v>
      </c>
      <c r="F402" t="s">
        <v>5438</v>
      </c>
      <c r="G402" s="16">
        <v>109.12778</v>
      </c>
      <c r="H402" t="s">
        <v>8</v>
      </c>
      <c r="I402" s="16">
        <v>94.893720000000002</v>
      </c>
    </row>
    <row r="403" spans="1:9" x14ac:dyDescent="0.3">
      <c r="A403" s="1">
        <v>46225</v>
      </c>
      <c r="B403">
        <v>33</v>
      </c>
      <c r="C403" t="s">
        <v>8244</v>
      </c>
      <c r="D403" t="s">
        <v>10</v>
      </c>
      <c r="E403" t="s">
        <v>804</v>
      </c>
      <c r="F403" t="s">
        <v>805</v>
      </c>
      <c r="G403" s="16">
        <v>45.125999999999998</v>
      </c>
      <c r="H403" t="s">
        <v>8</v>
      </c>
      <c r="I403" s="16">
        <v>39.24</v>
      </c>
    </row>
    <row r="404" spans="1:9" x14ac:dyDescent="0.3">
      <c r="A404" s="1">
        <v>46225</v>
      </c>
      <c r="B404">
        <v>33</v>
      </c>
      <c r="C404" t="s">
        <v>7436</v>
      </c>
      <c r="D404" t="s">
        <v>38</v>
      </c>
      <c r="E404" t="s">
        <v>305</v>
      </c>
      <c r="F404" t="s">
        <v>306</v>
      </c>
      <c r="G404" s="16">
        <v>564.79949999999997</v>
      </c>
      <c r="H404" t="s">
        <v>8</v>
      </c>
      <c r="I404" s="16">
        <v>491.13</v>
      </c>
    </row>
    <row r="405" spans="1:9" x14ac:dyDescent="0.3">
      <c r="A405" s="1">
        <v>46225</v>
      </c>
      <c r="B405">
        <v>33</v>
      </c>
      <c r="C405" t="s">
        <v>2772</v>
      </c>
      <c r="D405" t="s">
        <v>10</v>
      </c>
      <c r="E405" t="s">
        <v>846</v>
      </c>
      <c r="F405" t="s">
        <v>847</v>
      </c>
      <c r="G405" s="16">
        <v>172.661</v>
      </c>
      <c r="H405" t="s">
        <v>8</v>
      </c>
      <c r="I405" s="16">
        <v>150.13999999999999</v>
      </c>
    </row>
    <row r="406" spans="1:9" x14ac:dyDescent="0.3">
      <c r="A406" s="1">
        <v>46226</v>
      </c>
      <c r="B406">
        <v>32</v>
      </c>
      <c r="C406" t="s">
        <v>8371</v>
      </c>
      <c r="D406" t="s">
        <v>2460</v>
      </c>
      <c r="E406" t="s">
        <v>2292</v>
      </c>
      <c r="F406" t="s">
        <v>2293</v>
      </c>
      <c r="G406" s="16">
        <v>538.20000000000005</v>
      </c>
      <c r="H406" t="s">
        <v>8</v>
      </c>
      <c r="I406" s="16">
        <v>468</v>
      </c>
    </row>
    <row r="407" spans="1:9" x14ac:dyDescent="0.3">
      <c r="A407" s="1">
        <v>46226</v>
      </c>
      <c r="B407">
        <v>32</v>
      </c>
      <c r="C407" t="s">
        <v>11257</v>
      </c>
      <c r="D407" t="s">
        <v>2460</v>
      </c>
      <c r="E407" t="s">
        <v>7912</v>
      </c>
      <c r="F407" t="s">
        <v>7913</v>
      </c>
      <c r="G407" s="16">
        <v>1459.0396000000001</v>
      </c>
      <c r="H407" t="s">
        <v>8</v>
      </c>
      <c r="I407" s="16">
        <v>1268.73</v>
      </c>
    </row>
    <row r="408" spans="1:9" x14ac:dyDescent="0.3">
      <c r="A408" s="1">
        <v>46226</v>
      </c>
      <c r="B408">
        <v>32</v>
      </c>
      <c r="C408" t="s">
        <v>8362</v>
      </c>
      <c r="D408" t="s">
        <v>38</v>
      </c>
      <c r="E408" t="s">
        <v>93</v>
      </c>
      <c r="F408" t="s">
        <v>94</v>
      </c>
      <c r="G408" s="16">
        <v>357.68450000000001</v>
      </c>
      <c r="H408" t="s">
        <v>8</v>
      </c>
      <c r="I408" s="16">
        <v>311.02999999999997</v>
      </c>
    </row>
    <row r="409" spans="1:9" x14ac:dyDescent="0.3">
      <c r="A409" s="1">
        <v>46226</v>
      </c>
      <c r="B409">
        <v>32</v>
      </c>
      <c r="C409" t="s">
        <v>8370</v>
      </c>
      <c r="D409" t="s">
        <v>2460</v>
      </c>
      <c r="E409" t="s">
        <v>5151</v>
      </c>
      <c r="F409" t="s">
        <v>5152</v>
      </c>
      <c r="G409" s="16">
        <v>4405.6499999999996</v>
      </c>
      <c r="H409" t="s">
        <v>8</v>
      </c>
      <c r="I409" s="16">
        <v>3831</v>
      </c>
    </row>
    <row r="410" spans="1:9" x14ac:dyDescent="0.3">
      <c r="A410" s="1">
        <v>46226</v>
      </c>
      <c r="B410">
        <v>32</v>
      </c>
      <c r="C410" t="s">
        <v>8376</v>
      </c>
      <c r="D410" t="s">
        <v>10</v>
      </c>
      <c r="E410" t="s">
        <v>39</v>
      </c>
      <c r="F410" t="s">
        <v>40</v>
      </c>
      <c r="G410" s="16">
        <v>2334.5007000000001</v>
      </c>
      <c r="H410" t="s">
        <v>8</v>
      </c>
      <c r="I410" s="16">
        <v>2030.0005000000001</v>
      </c>
    </row>
    <row r="411" spans="1:9" x14ac:dyDescent="0.3">
      <c r="A411" s="1">
        <v>46226</v>
      </c>
      <c r="B411">
        <v>32</v>
      </c>
      <c r="C411" t="s">
        <v>8369</v>
      </c>
      <c r="D411" t="s">
        <v>2463</v>
      </c>
      <c r="E411" t="s">
        <v>5151</v>
      </c>
      <c r="F411" t="s">
        <v>5152</v>
      </c>
      <c r="G411" s="16">
        <v>2400.9699999999998</v>
      </c>
      <c r="H411" t="s">
        <v>8</v>
      </c>
      <c r="I411" s="16">
        <v>2087.8000000000002</v>
      </c>
    </row>
    <row r="412" spans="1:9" x14ac:dyDescent="0.3">
      <c r="A412" s="1">
        <v>46226</v>
      </c>
      <c r="B412">
        <v>32</v>
      </c>
      <c r="C412" t="s">
        <v>8359</v>
      </c>
      <c r="D412" t="s">
        <v>38</v>
      </c>
      <c r="E412" t="s">
        <v>305</v>
      </c>
      <c r="F412" t="s">
        <v>306</v>
      </c>
      <c r="G412" s="16">
        <v>432.03199999999998</v>
      </c>
      <c r="H412" t="s">
        <v>8</v>
      </c>
      <c r="I412" s="16">
        <v>375.68</v>
      </c>
    </row>
    <row r="413" spans="1:9" x14ac:dyDescent="0.3">
      <c r="A413" s="1">
        <v>46228</v>
      </c>
      <c r="B413">
        <v>30</v>
      </c>
      <c r="C413" t="s">
        <v>8419</v>
      </c>
      <c r="D413" t="s">
        <v>2460</v>
      </c>
      <c r="E413" t="s">
        <v>16</v>
      </c>
      <c r="F413" t="s">
        <v>17</v>
      </c>
      <c r="G413" s="16">
        <v>10108.155000000001</v>
      </c>
      <c r="H413" t="s">
        <v>8</v>
      </c>
      <c r="I413" s="16">
        <v>8789.7000000000007</v>
      </c>
    </row>
    <row r="414" spans="1:9" x14ac:dyDescent="0.3">
      <c r="A414" s="1">
        <v>46228</v>
      </c>
      <c r="B414">
        <v>30</v>
      </c>
      <c r="C414" t="s">
        <v>11258</v>
      </c>
      <c r="D414" t="s">
        <v>2463</v>
      </c>
      <c r="E414" t="s">
        <v>398</v>
      </c>
      <c r="F414" t="s">
        <v>399</v>
      </c>
      <c r="G414" s="16">
        <v>372.74993999999998</v>
      </c>
      <c r="H414" t="s">
        <v>8</v>
      </c>
      <c r="I414" s="16">
        <v>324.13037000000003</v>
      </c>
    </row>
    <row r="415" spans="1:9" x14ac:dyDescent="0.3">
      <c r="A415" s="1">
        <v>46229</v>
      </c>
      <c r="B415">
        <v>29</v>
      </c>
      <c r="C415" t="s">
        <v>8438</v>
      </c>
      <c r="D415" t="s">
        <v>2460</v>
      </c>
      <c r="E415" t="s">
        <v>8372</v>
      </c>
      <c r="F415" t="s">
        <v>8373</v>
      </c>
      <c r="G415" s="16">
        <v>24.15</v>
      </c>
      <c r="H415" t="s">
        <v>8</v>
      </c>
      <c r="I415" s="16">
        <v>21</v>
      </c>
    </row>
    <row r="416" spans="1:9" x14ac:dyDescent="0.3">
      <c r="A416" s="1">
        <v>46229</v>
      </c>
      <c r="B416">
        <v>29</v>
      </c>
      <c r="C416" t="s">
        <v>8299</v>
      </c>
      <c r="D416" t="s">
        <v>10</v>
      </c>
      <c r="E416" t="s">
        <v>151</v>
      </c>
      <c r="F416" t="s">
        <v>152</v>
      </c>
      <c r="G416" s="16">
        <v>1612.9929</v>
      </c>
      <c r="H416" t="s">
        <v>8</v>
      </c>
      <c r="I416" s="16">
        <v>1402.6025</v>
      </c>
    </row>
    <row r="417" spans="1:9" x14ac:dyDescent="0.3">
      <c r="A417" s="1">
        <v>46229</v>
      </c>
      <c r="B417">
        <v>29</v>
      </c>
      <c r="C417" t="s">
        <v>7801</v>
      </c>
      <c r="D417" t="s">
        <v>10</v>
      </c>
      <c r="E417" t="s">
        <v>151</v>
      </c>
      <c r="F417" t="s">
        <v>152</v>
      </c>
      <c r="G417" s="16">
        <v>3371.0324999999998</v>
      </c>
      <c r="H417" t="s">
        <v>8</v>
      </c>
      <c r="I417" s="16">
        <v>2931.3325</v>
      </c>
    </row>
    <row r="418" spans="1:9" x14ac:dyDescent="0.3">
      <c r="A418" s="1">
        <v>46229</v>
      </c>
      <c r="B418">
        <v>29</v>
      </c>
      <c r="C418" t="s">
        <v>8482</v>
      </c>
      <c r="D418" t="s">
        <v>2467</v>
      </c>
      <c r="E418" t="s">
        <v>49</v>
      </c>
      <c r="F418" t="s">
        <v>50</v>
      </c>
      <c r="G418" s="16">
        <v>1314.68</v>
      </c>
      <c r="H418" t="s">
        <v>8</v>
      </c>
      <c r="I418" s="16">
        <v>1143.2</v>
      </c>
    </row>
    <row r="419" spans="1:9" x14ac:dyDescent="0.3">
      <c r="A419" s="1">
        <v>46229</v>
      </c>
      <c r="B419">
        <v>29</v>
      </c>
      <c r="C419" t="s">
        <v>11259</v>
      </c>
      <c r="D419" t="s">
        <v>2460</v>
      </c>
      <c r="E419" t="s">
        <v>16</v>
      </c>
      <c r="F419" t="s">
        <v>17</v>
      </c>
      <c r="G419" s="16">
        <v>140.4725</v>
      </c>
      <c r="H419" t="s">
        <v>8</v>
      </c>
      <c r="I419" s="16">
        <v>122.15</v>
      </c>
    </row>
    <row r="420" spans="1:9" x14ac:dyDescent="0.3">
      <c r="A420" s="1">
        <v>46229</v>
      </c>
      <c r="B420">
        <v>29</v>
      </c>
      <c r="C420" t="s">
        <v>8429</v>
      </c>
      <c r="D420" t="s">
        <v>2460</v>
      </c>
      <c r="E420" t="s">
        <v>8372</v>
      </c>
      <c r="F420" t="s">
        <v>8373</v>
      </c>
      <c r="G420" s="16">
        <v>552.57500000000005</v>
      </c>
      <c r="H420" t="s">
        <v>8</v>
      </c>
      <c r="I420" s="16">
        <v>480.5</v>
      </c>
    </row>
    <row r="421" spans="1:9" x14ac:dyDescent="0.3">
      <c r="A421" s="1">
        <v>46229</v>
      </c>
      <c r="B421">
        <v>29</v>
      </c>
      <c r="C421" t="s">
        <v>8442</v>
      </c>
      <c r="D421" t="s">
        <v>2460</v>
      </c>
      <c r="E421" t="s">
        <v>710</v>
      </c>
      <c r="F421" t="s">
        <v>711</v>
      </c>
      <c r="G421" s="16">
        <v>1188.5250000000001</v>
      </c>
      <c r="H421" t="s">
        <v>8</v>
      </c>
      <c r="I421" s="16">
        <v>1033.5</v>
      </c>
    </row>
    <row r="422" spans="1:9" x14ac:dyDescent="0.3">
      <c r="A422" s="1">
        <v>46229</v>
      </c>
      <c r="B422">
        <v>29</v>
      </c>
      <c r="C422" t="s">
        <v>8446</v>
      </c>
      <c r="D422" t="s">
        <v>10</v>
      </c>
      <c r="E422" t="s">
        <v>11</v>
      </c>
      <c r="F422" t="s">
        <v>12</v>
      </c>
      <c r="G422" s="16">
        <v>211.6</v>
      </c>
      <c r="H422" t="s">
        <v>8</v>
      </c>
      <c r="I422" s="16">
        <v>184</v>
      </c>
    </row>
    <row r="423" spans="1:9" x14ac:dyDescent="0.3">
      <c r="A423" s="1">
        <v>46229</v>
      </c>
      <c r="B423">
        <v>29</v>
      </c>
      <c r="C423" t="s">
        <v>8426</v>
      </c>
      <c r="D423" t="s">
        <v>10</v>
      </c>
      <c r="E423" t="s">
        <v>358</v>
      </c>
      <c r="F423" t="s">
        <v>359</v>
      </c>
      <c r="G423" s="16">
        <v>64.974999999999994</v>
      </c>
      <c r="H423" t="s">
        <v>8</v>
      </c>
      <c r="I423" s="16">
        <v>56.5</v>
      </c>
    </row>
    <row r="424" spans="1:9" x14ac:dyDescent="0.3">
      <c r="A424" s="1">
        <v>46229</v>
      </c>
      <c r="B424">
        <v>29</v>
      </c>
      <c r="C424" t="s">
        <v>8481</v>
      </c>
      <c r="D424" t="s">
        <v>2460</v>
      </c>
      <c r="E424" t="s">
        <v>2260</v>
      </c>
      <c r="F424" t="s">
        <v>2261</v>
      </c>
      <c r="G424" s="16">
        <v>1185.903</v>
      </c>
      <c r="H424" t="s">
        <v>8</v>
      </c>
      <c r="I424" s="16">
        <v>1031.22</v>
      </c>
    </row>
    <row r="425" spans="1:9" x14ac:dyDescent="0.3">
      <c r="A425" s="1">
        <v>46229</v>
      </c>
      <c r="B425">
        <v>29</v>
      </c>
      <c r="C425" t="s">
        <v>8428</v>
      </c>
      <c r="D425" t="s">
        <v>10</v>
      </c>
      <c r="E425" t="s">
        <v>39</v>
      </c>
      <c r="F425" t="s">
        <v>40</v>
      </c>
      <c r="G425" s="16">
        <v>2620.8325</v>
      </c>
      <c r="H425" t="s">
        <v>8</v>
      </c>
      <c r="I425" s="16">
        <v>2278.9848999999999</v>
      </c>
    </row>
    <row r="426" spans="1:9" x14ac:dyDescent="0.3">
      <c r="A426" s="1">
        <v>46229</v>
      </c>
      <c r="B426">
        <v>29</v>
      </c>
      <c r="C426" t="s">
        <v>6564</v>
      </c>
      <c r="D426" t="s">
        <v>10</v>
      </c>
      <c r="E426" t="s">
        <v>877</v>
      </c>
      <c r="F426" t="s">
        <v>2343</v>
      </c>
      <c r="G426" s="16">
        <v>173.88</v>
      </c>
      <c r="H426" t="s">
        <v>8</v>
      </c>
      <c r="I426" s="16">
        <v>151.19999999999999</v>
      </c>
    </row>
    <row r="427" spans="1:9" x14ac:dyDescent="0.3">
      <c r="A427" s="1">
        <v>46230</v>
      </c>
      <c r="B427">
        <v>28</v>
      </c>
      <c r="C427" t="s">
        <v>8548</v>
      </c>
      <c r="D427" t="s">
        <v>10</v>
      </c>
      <c r="E427" t="s">
        <v>183</v>
      </c>
      <c r="F427" t="s">
        <v>184</v>
      </c>
      <c r="G427" s="16">
        <v>112.7</v>
      </c>
      <c r="H427" t="s">
        <v>8</v>
      </c>
      <c r="I427" s="16">
        <v>98</v>
      </c>
    </row>
    <row r="428" spans="1:9" x14ac:dyDescent="0.3">
      <c r="A428" s="1">
        <v>46230</v>
      </c>
      <c r="B428">
        <v>28</v>
      </c>
      <c r="C428" t="s">
        <v>11260</v>
      </c>
      <c r="D428" t="s">
        <v>2467</v>
      </c>
      <c r="E428" t="s">
        <v>1945</v>
      </c>
      <c r="F428" t="s">
        <v>1946</v>
      </c>
      <c r="G428" s="16">
        <v>46.191659999999999</v>
      </c>
      <c r="H428" t="s">
        <v>8</v>
      </c>
      <c r="I428" s="16">
        <v>40.16666</v>
      </c>
    </row>
    <row r="429" spans="1:9" x14ac:dyDescent="0.3">
      <c r="A429" s="1">
        <v>46230</v>
      </c>
      <c r="B429">
        <v>28</v>
      </c>
      <c r="C429" t="s">
        <v>8536</v>
      </c>
      <c r="D429" t="s">
        <v>38</v>
      </c>
      <c r="E429" t="s">
        <v>69</v>
      </c>
      <c r="F429" t="s">
        <v>70</v>
      </c>
      <c r="G429" s="16">
        <v>6350.0469999999996</v>
      </c>
      <c r="H429" t="s">
        <v>8</v>
      </c>
      <c r="I429" s="16">
        <v>5521.78</v>
      </c>
    </row>
    <row r="430" spans="1:9" x14ac:dyDescent="0.3">
      <c r="A430" s="1">
        <v>46230</v>
      </c>
      <c r="B430">
        <v>28</v>
      </c>
      <c r="C430" t="s">
        <v>8578</v>
      </c>
      <c r="D430" t="s">
        <v>10</v>
      </c>
      <c r="E430" t="s">
        <v>144</v>
      </c>
      <c r="F430" t="s">
        <v>145</v>
      </c>
      <c r="G430" s="16">
        <v>75.750500000000002</v>
      </c>
      <c r="H430" t="s">
        <v>8</v>
      </c>
      <c r="I430" s="16">
        <v>65.87</v>
      </c>
    </row>
    <row r="431" spans="1:9" x14ac:dyDescent="0.3">
      <c r="A431" s="1">
        <v>46230</v>
      </c>
      <c r="B431">
        <v>28</v>
      </c>
      <c r="C431" t="s">
        <v>8554</v>
      </c>
      <c r="D431" t="s">
        <v>10</v>
      </c>
      <c r="E431" t="s">
        <v>151</v>
      </c>
      <c r="F431" t="s">
        <v>152</v>
      </c>
      <c r="G431" s="16">
        <v>1943.7874999999999</v>
      </c>
      <c r="H431" t="s">
        <v>8</v>
      </c>
      <c r="I431" s="16">
        <v>1690.25</v>
      </c>
    </row>
    <row r="432" spans="1:9" x14ac:dyDescent="0.3">
      <c r="A432" s="1">
        <v>46230</v>
      </c>
      <c r="B432">
        <v>28</v>
      </c>
      <c r="C432" t="s">
        <v>8498</v>
      </c>
      <c r="D432" t="s">
        <v>38</v>
      </c>
      <c r="E432" t="s">
        <v>39</v>
      </c>
      <c r="F432" t="s">
        <v>40</v>
      </c>
      <c r="G432" s="16">
        <v>2765.6404000000002</v>
      </c>
      <c r="H432" t="s">
        <v>8</v>
      </c>
      <c r="I432" s="16">
        <v>2404.9045000000001</v>
      </c>
    </row>
    <row r="433" spans="1:9" x14ac:dyDescent="0.3">
      <c r="A433" s="1">
        <v>46230</v>
      </c>
      <c r="B433">
        <v>28</v>
      </c>
      <c r="C433" t="s">
        <v>8547</v>
      </c>
      <c r="D433" t="s">
        <v>10</v>
      </c>
      <c r="E433" t="s">
        <v>188</v>
      </c>
      <c r="F433" t="s">
        <v>189</v>
      </c>
      <c r="G433" s="16">
        <v>341.88403</v>
      </c>
      <c r="H433" t="s">
        <v>8</v>
      </c>
      <c r="I433" s="16">
        <v>297.29043999999999</v>
      </c>
    </row>
    <row r="434" spans="1:9" x14ac:dyDescent="0.3">
      <c r="A434" s="1">
        <v>46230</v>
      </c>
      <c r="B434">
        <v>28</v>
      </c>
      <c r="C434" t="s">
        <v>11261</v>
      </c>
      <c r="D434" t="s">
        <v>38</v>
      </c>
      <c r="E434" t="s">
        <v>941</v>
      </c>
      <c r="F434" t="s">
        <v>942</v>
      </c>
      <c r="G434" s="16">
        <v>2619.8955000000001</v>
      </c>
      <c r="H434" t="s">
        <v>8</v>
      </c>
      <c r="I434" s="16">
        <v>2278.17</v>
      </c>
    </row>
    <row r="435" spans="1:9" x14ac:dyDescent="0.3">
      <c r="A435" s="1">
        <v>46230</v>
      </c>
      <c r="B435">
        <v>28</v>
      </c>
      <c r="C435" t="s">
        <v>8574</v>
      </c>
      <c r="D435" t="s">
        <v>10</v>
      </c>
      <c r="E435" t="s">
        <v>4575</v>
      </c>
      <c r="F435" t="s">
        <v>4576</v>
      </c>
      <c r="G435" s="16">
        <v>84</v>
      </c>
      <c r="H435" t="s">
        <v>8</v>
      </c>
      <c r="I435" s="16">
        <v>73.043480000000002</v>
      </c>
    </row>
    <row r="436" spans="1:9" x14ac:dyDescent="0.3">
      <c r="A436" s="1">
        <v>46230</v>
      </c>
      <c r="B436">
        <v>28</v>
      </c>
      <c r="C436" t="s">
        <v>8565</v>
      </c>
      <c r="D436" t="s">
        <v>10</v>
      </c>
      <c r="E436" t="s">
        <v>173</v>
      </c>
      <c r="F436" t="s">
        <v>174</v>
      </c>
      <c r="G436" s="16">
        <v>936.53700000000003</v>
      </c>
      <c r="H436" t="s">
        <v>8</v>
      </c>
      <c r="I436" s="16">
        <v>814.38</v>
      </c>
    </row>
    <row r="437" spans="1:9" x14ac:dyDescent="0.3">
      <c r="A437" s="1">
        <v>46230</v>
      </c>
      <c r="B437">
        <v>28</v>
      </c>
      <c r="C437" t="s">
        <v>8546</v>
      </c>
      <c r="D437" t="s">
        <v>2460</v>
      </c>
      <c r="E437" t="s">
        <v>2383</v>
      </c>
      <c r="F437" t="s">
        <v>2384</v>
      </c>
      <c r="G437" s="16">
        <v>8436.86</v>
      </c>
      <c r="H437" t="s">
        <v>8</v>
      </c>
      <c r="I437" s="16">
        <v>7336.4</v>
      </c>
    </row>
    <row r="438" spans="1:9" x14ac:dyDescent="0.3">
      <c r="A438" s="1">
        <v>46230</v>
      </c>
      <c r="B438">
        <v>28</v>
      </c>
      <c r="C438" t="s">
        <v>8556</v>
      </c>
      <c r="D438" t="s">
        <v>10</v>
      </c>
      <c r="E438" t="s">
        <v>69</v>
      </c>
      <c r="F438" t="s">
        <v>70</v>
      </c>
      <c r="G438" s="16">
        <v>875.13850000000002</v>
      </c>
      <c r="H438" t="s">
        <v>8</v>
      </c>
      <c r="I438" s="16">
        <v>760.99</v>
      </c>
    </row>
    <row r="439" spans="1:9" x14ac:dyDescent="0.3">
      <c r="A439" s="1">
        <v>46230</v>
      </c>
      <c r="B439">
        <v>28</v>
      </c>
      <c r="C439" t="s">
        <v>8567</v>
      </c>
      <c r="D439" t="s">
        <v>10</v>
      </c>
      <c r="E439" t="s">
        <v>1472</v>
      </c>
      <c r="F439" t="s">
        <v>1473</v>
      </c>
      <c r="G439" s="16">
        <v>332.33</v>
      </c>
      <c r="H439" t="s">
        <v>8</v>
      </c>
      <c r="I439" s="16">
        <v>288.98259999999999</v>
      </c>
    </row>
    <row r="440" spans="1:9" x14ac:dyDescent="0.3">
      <c r="A440" s="1">
        <v>46230</v>
      </c>
      <c r="B440">
        <v>28</v>
      </c>
      <c r="C440" t="s">
        <v>8569</v>
      </c>
      <c r="D440" t="s">
        <v>10</v>
      </c>
      <c r="E440" t="s">
        <v>183</v>
      </c>
      <c r="F440" t="s">
        <v>184</v>
      </c>
      <c r="G440" s="16">
        <v>72.45</v>
      </c>
      <c r="H440" t="s">
        <v>8</v>
      </c>
      <c r="I440" s="16">
        <v>63</v>
      </c>
    </row>
    <row r="441" spans="1:9" x14ac:dyDescent="0.3">
      <c r="A441" s="1">
        <v>46230</v>
      </c>
      <c r="B441">
        <v>28</v>
      </c>
      <c r="C441" t="s">
        <v>8576</v>
      </c>
      <c r="D441" t="s">
        <v>10</v>
      </c>
      <c r="E441" t="s">
        <v>710</v>
      </c>
      <c r="F441" t="s">
        <v>711</v>
      </c>
      <c r="G441" s="16">
        <v>96.6</v>
      </c>
      <c r="H441" t="s">
        <v>8</v>
      </c>
      <c r="I441" s="16">
        <v>84</v>
      </c>
    </row>
    <row r="442" spans="1:9" x14ac:dyDescent="0.3">
      <c r="A442" s="1">
        <v>46230</v>
      </c>
      <c r="B442">
        <v>28</v>
      </c>
      <c r="C442" t="s">
        <v>11262</v>
      </c>
      <c r="D442" t="s">
        <v>2460</v>
      </c>
      <c r="E442" t="s">
        <v>137</v>
      </c>
      <c r="F442" t="s">
        <v>138</v>
      </c>
      <c r="G442" s="16">
        <v>194.35</v>
      </c>
      <c r="H442" t="s">
        <v>8</v>
      </c>
      <c r="I442" s="16">
        <v>169</v>
      </c>
    </row>
    <row r="443" spans="1:9" x14ac:dyDescent="0.3">
      <c r="A443" s="1">
        <v>46230</v>
      </c>
      <c r="B443">
        <v>28</v>
      </c>
      <c r="C443" t="s">
        <v>8564</v>
      </c>
      <c r="D443" t="s">
        <v>10</v>
      </c>
      <c r="E443" t="s">
        <v>65</v>
      </c>
      <c r="F443" t="s">
        <v>66</v>
      </c>
      <c r="G443" s="16">
        <v>1087.9081000000001</v>
      </c>
      <c r="H443" t="s">
        <v>8</v>
      </c>
      <c r="I443" s="16">
        <v>946.00699999999995</v>
      </c>
    </row>
    <row r="444" spans="1:9" x14ac:dyDescent="0.3">
      <c r="A444" s="1">
        <v>46230</v>
      </c>
      <c r="B444">
        <v>28</v>
      </c>
      <c r="C444" t="s">
        <v>8525</v>
      </c>
      <c r="D444" t="s">
        <v>38</v>
      </c>
      <c r="E444" t="s">
        <v>69</v>
      </c>
      <c r="F444" t="s">
        <v>70</v>
      </c>
      <c r="G444" s="16">
        <v>183.63200000000001</v>
      </c>
      <c r="H444" t="s">
        <v>8</v>
      </c>
      <c r="I444" s="16">
        <v>159.68</v>
      </c>
    </row>
    <row r="445" spans="1:9" x14ac:dyDescent="0.3">
      <c r="A445" s="1">
        <v>46230</v>
      </c>
      <c r="B445">
        <v>28</v>
      </c>
      <c r="C445" t="s">
        <v>8559</v>
      </c>
      <c r="D445" t="s">
        <v>10</v>
      </c>
      <c r="E445" t="s">
        <v>7245</v>
      </c>
      <c r="F445" t="s">
        <v>7246</v>
      </c>
      <c r="G445" s="16">
        <v>732.13599999999997</v>
      </c>
      <c r="H445" t="s">
        <v>8</v>
      </c>
      <c r="I445" s="16">
        <v>636.64</v>
      </c>
    </row>
    <row r="446" spans="1:9" x14ac:dyDescent="0.3">
      <c r="A446" s="1">
        <v>46230</v>
      </c>
      <c r="B446">
        <v>28</v>
      </c>
      <c r="C446" t="s">
        <v>8560</v>
      </c>
      <c r="D446" t="s">
        <v>10</v>
      </c>
      <c r="E446" t="s">
        <v>177</v>
      </c>
      <c r="F446" t="s">
        <v>178</v>
      </c>
      <c r="G446" s="16">
        <v>85.657749999999993</v>
      </c>
      <c r="H446" t="s">
        <v>8</v>
      </c>
      <c r="I446" s="16">
        <v>74.484999999999999</v>
      </c>
    </row>
    <row r="447" spans="1:9" x14ac:dyDescent="0.3">
      <c r="A447" s="1">
        <v>46230</v>
      </c>
      <c r="B447">
        <v>28</v>
      </c>
      <c r="C447" t="s">
        <v>8577</v>
      </c>
      <c r="D447" t="s">
        <v>10</v>
      </c>
      <c r="E447" t="s">
        <v>2166</v>
      </c>
      <c r="F447" t="s">
        <v>2167</v>
      </c>
      <c r="G447" s="16">
        <v>912.16849999999999</v>
      </c>
      <c r="H447" t="s">
        <v>8</v>
      </c>
      <c r="I447" s="16">
        <v>793.19</v>
      </c>
    </row>
    <row r="448" spans="1:9" x14ac:dyDescent="0.3">
      <c r="A448" s="1">
        <v>46231</v>
      </c>
      <c r="B448">
        <v>27</v>
      </c>
      <c r="C448" t="s">
        <v>8604</v>
      </c>
      <c r="D448" t="s">
        <v>10</v>
      </c>
      <c r="E448" t="s">
        <v>39</v>
      </c>
      <c r="F448" t="s">
        <v>40</v>
      </c>
      <c r="G448" s="16">
        <v>3634.6147000000001</v>
      </c>
      <c r="H448" t="s">
        <v>8</v>
      </c>
      <c r="I448" s="16">
        <v>3160.5347000000002</v>
      </c>
    </row>
    <row r="449" spans="1:9" x14ac:dyDescent="0.3">
      <c r="A449" s="1">
        <v>46231</v>
      </c>
      <c r="B449">
        <v>27</v>
      </c>
      <c r="C449" t="s">
        <v>6569</v>
      </c>
      <c r="D449" t="s">
        <v>10</v>
      </c>
      <c r="E449" t="s">
        <v>749</v>
      </c>
      <c r="F449" t="s">
        <v>750</v>
      </c>
      <c r="G449" s="16">
        <v>37.662500000000001</v>
      </c>
      <c r="H449" t="s">
        <v>8</v>
      </c>
      <c r="I449" s="16">
        <v>32.75</v>
      </c>
    </row>
    <row r="450" spans="1:9" x14ac:dyDescent="0.3">
      <c r="A450" s="1">
        <v>46231</v>
      </c>
      <c r="B450">
        <v>27</v>
      </c>
      <c r="C450" t="s">
        <v>8643</v>
      </c>
      <c r="D450" t="s">
        <v>2460</v>
      </c>
      <c r="E450" t="s">
        <v>71</v>
      </c>
      <c r="F450" t="s">
        <v>72</v>
      </c>
      <c r="G450" s="16">
        <v>356.2056</v>
      </c>
      <c r="H450" t="s">
        <v>8</v>
      </c>
      <c r="I450" s="16">
        <v>309.74400000000003</v>
      </c>
    </row>
    <row r="451" spans="1:9" x14ac:dyDescent="0.3">
      <c r="A451" s="1">
        <v>46231</v>
      </c>
      <c r="B451">
        <v>27</v>
      </c>
      <c r="C451" t="s">
        <v>11263</v>
      </c>
      <c r="D451" t="s">
        <v>2467</v>
      </c>
      <c r="E451" t="s">
        <v>356</v>
      </c>
      <c r="F451" t="s">
        <v>357</v>
      </c>
      <c r="G451" s="16">
        <v>843.25130000000001</v>
      </c>
      <c r="H451" t="s">
        <v>8</v>
      </c>
      <c r="I451" s="16">
        <v>733.26199999999994</v>
      </c>
    </row>
    <row r="452" spans="1:9" x14ac:dyDescent="0.3">
      <c r="A452" s="1">
        <v>46231</v>
      </c>
      <c r="B452">
        <v>27</v>
      </c>
      <c r="C452" t="s">
        <v>8644</v>
      </c>
      <c r="D452" t="s">
        <v>2463</v>
      </c>
      <c r="E452" t="s">
        <v>111</v>
      </c>
      <c r="F452" t="s">
        <v>112</v>
      </c>
      <c r="G452" s="16">
        <v>2750.7993000000001</v>
      </c>
      <c r="H452" t="s">
        <v>8</v>
      </c>
      <c r="I452" s="16">
        <v>2391.9994999999999</v>
      </c>
    </row>
    <row r="453" spans="1:9" x14ac:dyDescent="0.3">
      <c r="A453" s="1">
        <v>46232</v>
      </c>
      <c r="B453">
        <v>26</v>
      </c>
      <c r="C453" t="s">
        <v>8733</v>
      </c>
      <c r="D453" t="s">
        <v>38</v>
      </c>
      <c r="E453" t="s">
        <v>69</v>
      </c>
      <c r="F453" t="s">
        <v>70</v>
      </c>
      <c r="G453" s="16">
        <v>4114.7573000000002</v>
      </c>
      <c r="H453" t="s">
        <v>8</v>
      </c>
      <c r="I453" s="16">
        <v>3578.05</v>
      </c>
    </row>
    <row r="454" spans="1:9" x14ac:dyDescent="0.3">
      <c r="A454" s="1">
        <v>46232</v>
      </c>
      <c r="B454">
        <v>26</v>
      </c>
      <c r="C454" t="s">
        <v>8740</v>
      </c>
      <c r="D454" t="s">
        <v>10</v>
      </c>
      <c r="E454" t="s">
        <v>613</v>
      </c>
      <c r="F454" t="s">
        <v>614</v>
      </c>
      <c r="G454" s="16">
        <v>49.0015</v>
      </c>
      <c r="H454" t="s">
        <v>8</v>
      </c>
      <c r="I454" s="16">
        <v>42.61</v>
      </c>
    </row>
    <row r="455" spans="1:9" x14ac:dyDescent="0.3">
      <c r="A455" s="1">
        <v>46232</v>
      </c>
      <c r="B455">
        <v>26</v>
      </c>
      <c r="C455" t="s">
        <v>8653</v>
      </c>
      <c r="D455" t="s">
        <v>10</v>
      </c>
      <c r="E455" t="s">
        <v>51</v>
      </c>
      <c r="F455" t="s">
        <v>52</v>
      </c>
      <c r="G455" s="16">
        <v>232.05850000000001</v>
      </c>
      <c r="H455" t="s">
        <v>8</v>
      </c>
      <c r="I455" s="16">
        <v>201.79</v>
      </c>
    </row>
    <row r="456" spans="1:9" x14ac:dyDescent="0.3">
      <c r="A456" s="1">
        <v>46232</v>
      </c>
      <c r="B456">
        <v>26</v>
      </c>
      <c r="C456" t="s">
        <v>8646</v>
      </c>
      <c r="D456" t="s">
        <v>10</v>
      </c>
      <c r="E456" t="s">
        <v>2302</v>
      </c>
      <c r="F456" t="s">
        <v>2303</v>
      </c>
      <c r="G456" s="16">
        <v>33.189</v>
      </c>
      <c r="H456" t="s">
        <v>8</v>
      </c>
      <c r="I456" s="16">
        <v>28.86</v>
      </c>
    </row>
    <row r="457" spans="1:9" x14ac:dyDescent="0.3">
      <c r="A457" s="1">
        <v>46232</v>
      </c>
      <c r="B457">
        <v>26</v>
      </c>
      <c r="C457" t="s">
        <v>6698</v>
      </c>
      <c r="D457" t="s">
        <v>38</v>
      </c>
      <c r="E457" t="s">
        <v>173</v>
      </c>
      <c r="F457" t="s">
        <v>174</v>
      </c>
      <c r="G457" s="16">
        <v>3131.3926000000001</v>
      </c>
      <c r="H457" t="s">
        <v>8</v>
      </c>
      <c r="I457" s="16">
        <v>2722.95</v>
      </c>
    </row>
    <row r="458" spans="1:9" x14ac:dyDescent="0.3">
      <c r="A458" s="1">
        <v>46232</v>
      </c>
      <c r="B458">
        <v>26</v>
      </c>
      <c r="C458" t="s">
        <v>8670</v>
      </c>
      <c r="D458" t="s">
        <v>10</v>
      </c>
      <c r="E458" t="s">
        <v>73</v>
      </c>
      <c r="F458" t="s">
        <v>74</v>
      </c>
      <c r="G458" s="16">
        <v>124.71198</v>
      </c>
      <c r="H458" t="s">
        <v>8</v>
      </c>
      <c r="I458" s="16">
        <v>108.4452</v>
      </c>
    </row>
    <row r="459" spans="1:9" x14ac:dyDescent="0.3">
      <c r="A459" s="1">
        <v>46232</v>
      </c>
      <c r="B459">
        <v>26</v>
      </c>
      <c r="C459" t="s">
        <v>8763</v>
      </c>
      <c r="D459" t="s">
        <v>10</v>
      </c>
      <c r="E459" t="s">
        <v>2328</v>
      </c>
      <c r="F459" t="s">
        <v>2329</v>
      </c>
      <c r="G459" s="16">
        <v>48.3</v>
      </c>
      <c r="H459" t="s">
        <v>8</v>
      </c>
      <c r="I459" s="16">
        <v>42</v>
      </c>
    </row>
    <row r="460" spans="1:9" x14ac:dyDescent="0.3">
      <c r="A460" s="1">
        <v>46232</v>
      </c>
      <c r="B460">
        <v>26</v>
      </c>
      <c r="C460" t="s">
        <v>8672</v>
      </c>
      <c r="D460" t="s">
        <v>10</v>
      </c>
      <c r="E460" t="s">
        <v>4877</v>
      </c>
      <c r="F460" t="s">
        <v>5340</v>
      </c>
      <c r="G460" s="16">
        <v>73.140230000000003</v>
      </c>
      <c r="H460" t="s">
        <v>8</v>
      </c>
      <c r="I460" s="16">
        <v>63.600200000000001</v>
      </c>
    </row>
    <row r="461" spans="1:9" x14ac:dyDescent="0.3">
      <c r="A461" s="1">
        <v>46232</v>
      </c>
      <c r="B461">
        <v>26</v>
      </c>
      <c r="C461" t="s">
        <v>7975</v>
      </c>
      <c r="D461" t="s">
        <v>38</v>
      </c>
      <c r="E461" t="s">
        <v>173</v>
      </c>
      <c r="F461" t="s">
        <v>174</v>
      </c>
      <c r="G461" s="16">
        <v>2077.2566000000002</v>
      </c>
      <c r="H461" t="s">
        <v>8</v>
      </c>
      <c r="I461" s="16">
        <v>1806.31</v>
      </c>
    </row>
    <row r="462" spans="1:9" x14ac:dyDescent="0.3">
      <c r="A462" s="1">
        <v>46232</v>
      </c>
      <c r="B462">
        <v>26</v>
      </c>
      <c r="C462" t="s">
        <v>8761</v>
      </c>
      <c r="D462" t="s">
        <v>10</v>
      </c>
      <c r="E462" t="s">
        <v>804</v>
      </c>
      <c r="F462" t="s">
        <v>805</v>
      </c>
      <c r="G462" s="16">
        <v>110.30800000000001</v>
      </c>
      <c r="H462" t="s">
        <v>8</v>
      </c>
      <c r="I462" s="16">
        <v>95.92</v>
      </c>
    </row>
    <row r="463" spans="1:9" x14ac:dyDescent="0.3">
      <c r="A463" s="1">
        <v>46232</v>
      </c>
      <c r="B463">
        <v>26</v>
      </c>
      <c r="C463" t="s">
        <v>7869</v>
      </c>
      <c r="D463" t="s">
        <v>10</v>
      </c>
      <c r="E463" t="s">
        <v>7713</v>
      </c>
      <c r="F463" t="s">
        <v>7714</v>
      </c>
      <c r="G463" s="16">
        <v>1389.338</v>
      </c>
      <c r="H463" t="s">
        <v>8</v>
      </c>
      <c r="I463" s="16">
        <v>1208.1199999999999</v>
      </c>
    </row>
    <row r="464" spans="1:9" x14ac:dyDescent="0.3">
      <c r="A464" s="1">
        <v>46232</v>
      </c>
      <c r="B464">
        <v>26</v>
      </c>
      <c r="C464" t="s">
        <v>8691</v>
      </c>
      <c r="D464" t="s">
        <v>2460</v>
      </c>
      <c r="E464" t="s">
        <v>8641</v>
      </c>
      <c r="F464" t="s">
        <v>8642</v>
      </c>
      <c r="G464" s="16">
        <v>283.52100000000002</v>
      </c>
      <c r="H464" t="s">
        <v>8</v>
      </c>
      <c r="I464" s="16">
        <v>246.54</v>
      </c>
    </row>
    <row r="465" spans="1:9" x14ac:dyDescent="0.3">
      <c r="A465" s="1">
        <v>46232</v>
      </c>
      <c r="B465">
        <v>26</v>
      </c>
      <c r="C465" t="s">
        <v>8162</v>
      </c>
      <c r="D465" t="s">
        <v>10</v>
      </c>
      <c r="E465" t="s">
        <v>7713</v>
      </c>
      <c r="F465" t="s">
        <v>7714</v>
      </c>
      <c r="G465" s="16">
        <v>43.999000000000002</v>
      </c>
      <c r="H465" t="s">
        <v>8</v>
      </c>
      <c r="I465" s="16">
        <v>38.26</v>
      </c>
    </row>
    <row r="466" spans="1:9" x14ac:dyDescent="0.3">
      <c r="A466" s="1">
        <v>46232</v>
      </c>
      <c r="B466">
        <v>26</v>
      </c>
      <c r="C466" t="s">
        <v>8780</v>
      </c>
      <c r="D466" t="s">
        <v>2460</v>
      </c>
      <c r="E466" t="s">
        <v>111</v>
      </c>
      <c r="F466" t="s">
        <v>112</v>
      </c>
      <c r="G466" s="16">
        <v>768.20010000000002</v>
      </c>
      <c r="H466" t="s">
        <v>8</v>
      </c>
      <c r="I466" s="16">
        <v>668.00005999999996</v>
      </c>
    </row>
    <row r="467" spans="1:9" x14ac:dyDescent="0.3">
      <c r="A467" s="1">
        <v>46232</v>
      </c>
      <c r="B467">
        <v>26</v>
      </c>
      <c r="C467" t="s">
        <v>8769</v>
      </c>
      <c r="D467" t="s">
        <v>38</v>
      </c>
      <c r="E467" t="s">
        <v>69</v>
      </c>
      <c r="F467" t="s">
        <v>70</v>
      </c>
      <c r="G467" s="16">
        <v>490.46350000000001</v>
      </c>
      <c r="H467" t="s">
        <v>8</v>
      </c>
      <c r="I467" s="16">
        <v>426.49</v>
      </c>
    </row>
    <row r="468" spans="1:9" x14ac:dyDescent="0.3">
      <c r="A468" s="1">
        <v>46232</v>
      </c>
      <c r="B468">
        <v>26</v>
      </c>
      <c r="C468" t="s">
        <v>8745</v>
      </c>
      <c r="D468" t="s">
        <v>38</v>
      </c>
      <c r="E468" t="s">
        <v>598</v>
      </c>
      <c r="F468" t="s">
        <v>599</v>
      </c>
      <c r="G468" s="16">
        <v>1774.4480000000001</v>
      </c>
      <c r="H468" t="s">
        <v>8</v>
      </c>
      <c r="I468" s="16">
        <v>1542.9983</v>
      </c>
    </row>
    <row r="469" spans="1:9" x14ac:dyDescent="0.3">
      <c r="A469" s="1">
        <v>46232</v>
      </c>
      <c r="B469">
        <v>26</v>
      </c>
      <c r="C469" t="s">
        <v>8783</v>
      </c>
      <c r="D469" t="s">
        <v>2460</v>
      </c>
      <c r="E469" t="s">
        <v>73</v>
      </c>
      <c r="F469" t="s">
        <v>74</v>
      </c>
      <c r="G469" s="16">
        <v>73.599999999999994</v>
      </c>
      <c r="H469" t="s">
        <v>8</v>
      </c>
      <c r="I469" s="16">
        <v>64</v>
      </c>
    </row>
    <row r="470" spans="1:9" x14ac:dyDescent="0.3">
      <c r="A470" s="1">
        <v>46232</v>
      </c>
      <c r="B470">
        <v>26</v>
      </c>
      <c r="C470" t="s">
        <v>8664</v>
      </c>
      <c r="D470" t="s">
        <v>10</v>
      </c>
      <c r="E470" t="s">
        <v>3132</v>
      </c>
      <c r="F470" t="s">
        <v>3133</v>
      </c>
      <c r="G470" s="16">
        <v>22.26</v>
      </c>
      <c r="H470" t="s">
        <v>8</v>
      </c>
      <c r="I470" s="16">
        <v>19.35652</v>
      </c>
    </row>
    <row r="471" spans="1:9" x14ac:dyDescent="0.3">
      <c r="A471" s="1">
        <v>46232</v>
      </c>
      <c r="B471">
        <v>26</v>
      </c>
      <c r="C471" t="s">
        <v>11264</v>
      </c>
      <c r="D471" t="s">
        <v>2467</v>
      </c>
      <c r="E471" t="s">
        <v>1945</v>
      </c>
      <c r="F471" t="s">
        <v>1946</v>
      </c>
      <c r="G471" s="16">
        <v>33.54166</v>
      </c>
      <c r="H471" t="s">
        <v>8</v>
      </c>
      <c r="I471" s="16">
        <v>29.16666</v>
      </c>
    </row>
    <row r="472" spans="1:9" x14ac:dyDescent="0.3">
      <c r="A472" s="1">
        <v>46232</v>
      </c>
      <c r="B472">
        <v>26</v>
      </c>
      <c r="C472" t="s">
        <v>7421</v>
      </c>
      <c r="D472" t="s">
        <v>38</v>
      </c>
      <c r="E472" t="s">
        <v>173</v>
      </c>
      <c r="F472" t="s">
        <v>174</v>
      </c>
      <c r="G472" s="16">
        <v>2216.8434999999999</v>
      </c>
      <c r="H472" t="s">
        <v>8</v>
      </c>
      <c r="I472" s="16">
        <v>1927.69</v>
      </c>
    </row>
    <row r="473" spans="1:9" x14ac:dyDescent="0.3">
      <c r="A473" s="1">
        <v>46232</v>
      </c>
      <c r="B473">
        <v>26</v>
      </c>
      <c r="C473" t="s">
        <v>8774</v>
      </c>
      <c r="D473" t="s">
        <v>10</v>
      </c>
      <c r="E473" t="s">
        <v>919</v>
      </c>
      <c r="F473" t="s">
        <v>920</v>
      </c>
      <c r="G473" s="16">
        <v>2.2425000000000002</v>
      </c>
      <c r="H473" t="s">
        <v>8</v>
      </c>
      <c r="I473" s="16">
        <v>1.95</v>
      </c>
    </row>
    <row r="474" spans="1:9" x14ac:dyDescent="0.3">
      <c r="A474" s="1">
        <v>46232</v>
      </c>
      <c r="B474">
        <v>26</v>
      </c>
      <c r="C474" t="s">
        <v>8782</v>
      </c>
      <c r="D474" t="s">
        <v>2460</v>
      </c>
      <c r="E474" t="s">
        <v>34</v>
      </c>
      <c r="F474" t="s">
        <v>35</v>
      </c>
      <c r="G474" s="16">
        <v>63.847999999999999</v>
      </c>
      <c r="H474" t="s">
        <v>8</v>
      </c>
      <c r="I474" s="16">
        <v>55.52</v>
      </c>
    </row>
    <row r="475" spans="1:9" x14ac:dyDescent="0.3">
      <c r="A475" s="1">
        <v>46232</v>
      </c>
      <c r="B475">
        <v>26</v>
      </c>
      <c r="C475" t="s">
        <v>4633</v>
      </c>
      <c r="D475" t="s">
        <v>38</v>
      </c>
      <c r="E475" t="s">
        <v>173</v>
      </c>
      <c r="F475" t="s">
        <v>174</v>
      </c>
      <c r="G475" s="16">
        <v>1380.4255000000001</v>
      </c>
      <c r="H475" t="s">
        <v>8</v>
      </c>
      <c r="I475" s="16">
        <v>1200.3699999999999</v>
      </c>
    </row>
    <row r="476" spans="1:9" x14ac:dyDescent="0.3">
      <c r="A476" s="1">
        <v>46232</v>
      </c>
      <c r="B476">
        <v>26</v>
      </c>
      <c r="C476" t="s">
        <v>4950</v>
      </c>
      <c r="D476" t="s">
        <v>10</v>
      </c>
      <c r="E476" t="s">
        <v>984</v>
      </c>
      <c r="F476" t="s">
        <v>985</v>
      </c>
      <c r="G476" s="16">
        <v>853.53</v>
      </c>
      <c r="H476" t="s">
        <v>8</v>
      </c>
      <c r="I476" s="16">
        <v>742.2</v>
      </c>
    </row>
    <row r="477" spans="1:9" x14ac:dyDescent="0.3">
      <c r="A477" s="1">
        <v>46232</v>
      </c>
      <c r="B477">
        <v>26</v>
      </c>
      <c r="C477" t="s">
        <v>8717</v>
      </c>
      <c r="D477" t="s">
        <v>10</v>
      </c>
      <c r="E477" t="s">
        <v>821</v>
      </c>
      <c r="F477" t="s">
        <v>2040</v>
      </c>
      <c r="G477" s="16">
        <v>16.559999999999999</v>
      </c>
      <c r="H477" t="s">
        <v>8</v>
      </c>
      <c r="I477" s="16">
        <v>14.4</v>
      </c>
    </row>
    <row r="478" spans="1:9" x14ac:dyDescent="0.3">
      <c r="A478" s="1">
        <v>46232</v>
      </c>
      <c r="B478">
        <v>26</v>
      </c>
      <c r="C478" t="s">
        <v>8741</v>
      </c>
      <c r="D478" t="s">
        <v>10</v>
      </c>
      <c r="E478" t="s">
        <v>325</v>
      </c>
      <c r="F478" t="s">
        <v>326</v>
      </c>
      <c r="G478" s="16">
        <v>146.625</v>
      </c>
      <c r="H478" t="s">
        <v>8</v>
      </c>
      <c r="I478" s="16">
        <v>127.5</v>
      </c>
    </row>
    <row r="479" spans="1:9" x14ac:dyDescent="0.3">
      <c r="A479" s="1">
        <v>46232</v>
      </c>
      <c r="B479">
        <v>26</v>
      </c>
      <c r="C479" t="s">
        <v>8659</v>
      </c>
      <c r="D479" t="s">
        <v>10</v>
      </c>
      <c r="E479" t="s">
        <v>7386</v>
      </c>
      <c r="F479" t="s">
        <v>7387</v>
      </c>
      <c r="G479" s="16">
        <v>36.000059999999998</v>
      </c>
      <c r="H479" t="s">
        <v>8</v>
      </c>
      <c r="I479" s="16">
        <v>31.304400000000001</v>
      </c>
    </row>
    <row r="480" spans="1:9" x14ac:dyDescent="0.3">
      <c r="A480" s="1">
        <v>46232</v>
      </c>
      <c r="B480">
        <v>26</v>
      </c>
      <c r="C480" t="s">
        <v>8685</v>
      </c>
      <c r="D480" t="s">
        <v>10</v>
      </c>
      <c r="E480" t="s">
        <v>2273</v>
      </c>
      <c r="F480" t="s">
        <v>2274</v>
      </c>
      <c r="G480" s="16">
        <v>902.83050000000003</v>
      </c>
      <c r="H480" t="s">
        <v>8</v>
      </c>
      <c r="I480" s="16">
        <v>785.07</v>
      </c>
    </row>
    <row r="481" spans="1:9" x14ac:dyDescent="0.3">
      <c r="A481" s="1">
        <v>46232</v>
      </c>
      <c r="B481">
        <v>26</v>
      </c>
      <c r="C481" t="s">
        <v>7715</v>
      </c>
      <c r="D481" t="s">
        <v>10</v>
      </c>
      <c r="E481" t="s">
        <v>7713</v>
      </c>
      <c r="F481" t="s">
        <v>7714</v>
      </c>
      <c r="G481" s="16">
        <v>39148.336000000003</v>
      </c>
      <c r="H481" t="s">
        <v>8</v>
      </c>
      <c r="I481" s="16">
        <v>34042.03</v>
      </c>
    </row>
    <row r="482" spans="1:9" x14ac:dyDescent="0.3">
      <c r="A482" s="1">
        <v>46232</v>
      </c>
      <c r="B482">
        <v>26</v>
      </c>
      <c r="C482" t="s">
        <v>8690</v>
      </c>
      <c r="D482" t="s">
        <v>2460</v>
      </c>
      <c r="E482" t="s">
        <v>19</v>
      </c>
      <c r="F482" t="s">
        <v>20</v>
      </c>
      <c r="G482" s="16">
        <v>139.10400000000001</v>
      </c>
      <c r="H482" t="s">
        <v>8</v>
      </c>
      <c r="I482" s="16">
        <v>120.96</v>
      </c>
    </row>
    <row r="483" spans="1:9" x14ac:dyDescent="0.3">
      <c r="A483" s="1">
        <v>46232</v>
      </c>
      <c r="B483">
        <v>26</v>
      </c>
      <c r="C483" t="s">
        <v>8779</v>
      </c>
      <c r="D483" t="s">
        <v>10</v>
      </c>
      <c r="E483" t="s">
        <v>53</v>
      </c>
      <c r="F483" t="s">
        <v>54</v>
      </c>
      <c r="G483" s="16">
        <v>180.12450000000001</v>
      </c>
      <c r="H483" t="s">
        <v>8</v>
      </c>
      <c r="I483" s="16">
        <v>156.63</v>
      </c>
    </row>
    <row r="484" spans="1:9" x14ac:dyDescent="0.3">
      <c r="A484" s="1">
        <v>46232</v>
      </c>
      <c r="B484">
        <v>26</v>
      </c>
      <c r="C484" t="s">
        <v>8692</v>
      </c>
      <c r="D484" t="s">
        <v>2463</v>
      </c>
      <c r="E484" t="s">
        <v>358</v>
      </c>
      <c r="F484" t="s">
        <v>359</v>
      </c>
      <c r="G484" s="16">
        <v>517.5</v>
      </c>
      <c r="H484" t="s">
        <v>8</v>
      </c>
      <c r="I484" s="16">
        <v>450</v>
      </c>
    </row>
    <row r="485" spans="1:9" x14ac:dyDescent="0.3">
      <c r="A485" s="1">
        <v>46232</v>
      </c>
      <c r="B485">
        <v>26</v>
      </c>
      <c r="C485" t="s">
        <v>8699</v>
      </c>
      <c r="D485" t="s">
        <v>10</v>
      </c>
      <c r="E485" t="s">
        <v>854</v>
      </c>
      <c r="F485" t="s">
        <v>855</v>
      </c>
      <c r="G485" s="16">
        <v>229.47745</v>
      </c>
      <c r="H485" t="s">
        <v>8</v>
      </c>
      <c r="I485" s="16">
        <v>199.54560000000001</v>
      </c>
    </row>
    <row r="486" spans="1:9" x14ac:dyDescent="0.3">
      <c r="A486" s="1">
        <v>46233</v>
      </c>
      <c r="B486">
        <v>25</v>
      </c>
      <c r="C486" t="s">
        <v>8877</v>
      </c>
      <c r="D486" t="s">
        <v>10</v>
      </c>
      <c r="E486" t="s">
        <v>6178</v>
      </c>
      <c r="F486" t="s">
        <v>6261</v>
      </c>
      <c r="G486" s="16">
        <v>14.95</v>
      </c>
      <c r="H486" t="s">
        <v>8</v>
      </c>
      <c r="I486" s="16">
        <v>13</v>
      </c>
    </row>
    <row r="487" spans="1:9" x14ac:dyDescent="0.3">
      <c r="A487" s="1">
        <v>46233</v>
      </c>
      <c r="B487">
        <v>25</v>
      </c>
      <c r="C487" t="s">
        <v>11265</v>
      </c>
      <c r="D487" t="s">
        <v>10</v>
      </c>
      <c r="E487" t="s">
        <v>2363</v>
      </c>
      <c r="F487" t="s">
        <v>2364</v>
      </c>
      <c r="G487" s="16">
        <v>262.637</v>
      </c>
      <c r="H487" t="s">
        <v>8</v>
      </c>
      <c r="I487" s="16">
        <v>228.38</v>
      </c>
    </row>
    <row r="488" spans="1:9" x14ac:dyDescent="0.3">
      <c r="A488" s="1">
        <v>46233</v>
      </c>
      <c r="B488">
        <v>25</v>
      </c>
      <c r="C488" t="s">
        <v>8884</v>
      </c>
      <c r="D488" t="s">
        <v>38</v>
      </c>
      <c r="E488" t="s">
        <v>2383</v>
      </c>
      <c r="F488" t="s">
        <v>2384</v>
      </c>
      <c r="G488" s="16">
        <v>128.80000000000001</v>
      </c>
      <c r="H488" t="s">
        <v>8</v>
      </c>
      <c r="I488" s="16">
        <v>112</v>
      </c>
    </row>
    <row r="489" spans="1:9" x14ac:dyDescent="0.3">
      <c r="A489" s="1">
        <v>46233</v>
      </c>
      <c r="B489">
        <v>25</v>
      </c>
      <c r="C489" t="s">
        <v>8845</v>
      </c>
      <c r="D489" t="s">
        <v>10</v>
      </c>
      <c r="E489" t="s">
        <v>358</v>
      </c>
      <c r="F489" t="s">
        <v>359</v>
      </c>
      <c r="G489" s="16">
        <v>86.997500000000002</v>
      </c>
      <c r="H489" t="s">
        <v>8</v>
      </c>
      <c r="I489" s="16">
        <v>75.650000000000006</v>
      </c>
    </row>
    <row r="490" spans="1:9" x14ac:dyDescent="0.3">
      <c r="A490" s="1">
        <v>46233</v>
      </c>
      <c r="B490">
        <v>25</v>
      </c>
      <c r="C490" t="s">
        <v>8900</v>
      </c>
      <c r="D490" t="s">
        <v>2460</v>
      </c>
      <c r="E490" t="s">
        <v>2260</v>
      </c>
      <c r="F490" t="s">
        <v>2261</v>
      </c>
      <c r="G490" s="16">
        <v>4866.3285999999998</v>
      </c>
      <c r="H490" t="s">
        <v>8</v>
      </c>
      <c r="I490" s="16">
        <v>4231.59</v>
      </c>
    </row>
    <row r="491" spans="1:9" x14ac:dyDescent="0.3">
      <c r="A491" s="1">
        <v>46233</v>
      </c>
      <c r="B491">
        <v>25</v>
      </c>
      <c r="C491" t="s">
        <v>8787</v>
      </c>
      <c r="D491" t="s">
        <v>10</v>
      </c>
      <c r="E491" t="s">
        <v>183</v>
      </c>
      <c r="F491" t="s">
        <v>184</v>
      </c>
      <c r="G491" s="16">
        <v>257.60000000000002</v>
      </c>
      <c r="H491" t="s">
        <v>8</v>
      </c>
      <c r="I491" s="16">
        <v>224</v>
      </c>
    </row>
    <row r="492" spans="1:9" x14ac:dyDescent="0.3">
      <c r="A492" s="1">
        <v>46233</v>
      </c>
      <c r="B492">
        <v>25</v>
      </c>
      <c r="C492" t="s">
        <v>8827</v>
      </c>
      <c r="D492" t="s">
        <v>10</v>
      </c>
      <c r="E492" t="s">
        <v>111</v>
      </c>
      <c r="F492" t="s">
        <v>112</v>
      </c>
      <c r="G492" s="16">
        <v>565.98400000000004</v>
      </c>
      <c r="H492" t="s">
        <v>8</v>
      </c>
      <c r="I492" s="16">
        <v>492.16</v>
      </c>
    </row>
    <row r="493" spans="1:9" x14ac:dyDescent="0.3">
      <c r="A493" s="1">
        <v>46233</v>
      </c>
      <c r="B493">
        <v>25</v>
      </c>
      <c r="C493" t="s">
        <v>8808</v>
      </c>
      <c r="D493" t="s">
        <v>10</v>
      </c>
      <c r="E493" t="s">
        <v>580</v>
      </c>
      <c r="F493" t="s">
        <v>581</v>
      </c>
      <c r="G493" s="16">
        <v>34.5</v>
      </c>
      <c r="H493" t="s">
        <v>8</v>
      </c>
      <c r="I493" s="16">
        <v>30</v>
      </c>
    </row>
    <row r="494" spans="1:9" x14ac:dyDescent="0.3">
      <c r="A494" s="1">
        <v>46233</v>
      </c>
      <c r="B494">
        <v>25</v>
      </c>
      <c r="C494" t="s">
        <v>11266</v>
      </c>
      <c r="D494" t="s">
        <v>2460</v>
      </c>
      <c r="E494" t="s">
        <v>41</v>
      </c>
      <c r="F494" t="s">
        <v>42</v>
      </c>
      <c r="G494" s="16">
        <v>34.844999999999999</v>
      </c>
      <c r="H494" t="s">
        <v>8</v>
      </c>
      <c r="I494" s="16">
        <v>30.3</v>
      </c>
    </row>
    <row r="495" spans="1:9" x14ac:dyDescent="0.3">
      <c r="A495" s="1">
        <v>46233</v>
      </c>
      <c r="B495">
        <v>25</v>
      </c>
      <c r="C495" t="s">
        <v>8819</v>
      </c>
      <c r="D495" t="s">
        <v>10</v>
      </c>
      <c r="E495" t="s">
        <v>5503</v>
      </c>
      <c r="F495" t="s">
        <v>5504</v>
      </c>
      <c r="G495" s="16">
        <v>92</v>
      </c>
      <c r="H495" t="s">
        <v>8</v>
      </c>
      <c r="I495" s="16">
        <v>80</v>
      </c>
    </row>
    <row r="496" spans="1:9" x14ac:dyDescent="0.3">
      <c r="A496" s="1">
        <v>46233</v>
      </c>
      <c r="B496">
        <v>25</v>
      </c>
      <c r="C496" t="s">
        <v>8868</v>
      </c>
      <c r="D496" t="s">
        <v>38</v>
      </c>
      <c r="E496" t="s">
        <v>358</v>
      </c>
      <c r="F496" t="s">
        <v>359</v>
      </c>
      <c r="G496" s="16">
        <v>8.3375000000000004</v>
      </c>
      <c r="H496" t="s">
        <v>8</v>
      </c>
      <c r="I496" s="16">
        <v>7.25</v>
      </c>
    </row>
    <row r="497" spans="1:9" x14ac:dyDescent="0.3">
      <c r="A497" s="1">
        <v>46233</v>
      </c>
      <c r="B497">
        <v>25</v>
      </c>
      <c r="C497" t="s">
        <v>8809</v>
      </c>
      <c r="D497" t="s">
        <v>10</v>
      </c>
      <c r="E497" t="s">
        <v>69</v>
      </c>
      <c r="F497" t="s">
        <v>70</v>
      </c>
      <c r="G497" s="16">
        <v>396.589</v>
      </c>
      <c r="H497" t="s">
        <v>8</v>
      </c>
      <c r="I497" s="16">
        <v>344.86</v>
      </c>
    </row>
    <row r="498" spans="1:9" x14ac:dyDescent="0.3">
      <c r="A498" s="1">
        <v>46233</v>
      </c>
      <c r="B498">
        <v>25</v>
      </c>
      <c r="C498" t="s">
        <v>8795</v>
      </c>
      <c r="D498" t="s">
        <v>10</v>
      </c>
      <c r="E498" t="s">
        <v>899</v>
      </c>
      <c r="F498" t="s">
        <v>900</v>
      </c>
      <c r="G498" s="16">
        <v>441.6</v>
      </c>
      <c r="H498" t="s">
        <v>8</v>
      </c>
      <c r="I498" s="16">
        <v>384</v>
      </c>
    </row>
    <row r="499" spans="1:9" x14ac:dyDescent="0.3">
      <c r="A499" s="1">
        <v>46233</v>
      </c>
      <c r="B499">
        <v>25</v>
      </c>
      <c r="C499" t="s">
        <v>11267</v>
      </c>
      <c r="D499" t="s">
        <v>2467</v>
      </c>
      <c r="E499" t="s">
        <v>422</v>
      </c>
      <c r="F499" t="s">
        <v>490</v>
      </c>
      <c r="G499" s="16">
        <v>47.994999999999997</v>
      </c>
      <c r="H499" t="s">
        <v>8</v>
      </c>
      <c r="I499" s="16">
        <v>41.734780000000001</v>
      </c>
    </row>
    <row r="500" spans="1:9" x14ac:dyDescent="0.3">
      <c r="A500" s="1">
        <v>46233</v>
      </c>
      <c r="B500">
        <v>25</v>
      </c>
      <c r="C500" t="s">
        <v>11268</v>
      </c>
      <c r="D500" t="s">
        <v>2463</v>
      </c>
      <c r="E500" t="s">
        <v>377</v>
      </c>
      <c r="F500" t="s">
        <v>378</v>
      </c>
      <c r="G500" s="16">
        <v>2508.8566999999998</v>
      </c>
      <c r="H500" t="s">
        <v>8</v>
      </c>
      <c r="I500" s="16">
        <v>2181.6145000000001</v>
      </c>
    </row>
    <row r="501" spans="1:9" x14ac:dyDescent="0.3">
      <c r="A501" s="1">
        <v>46233</v>
      </c>
      <c r="B501">
        <v>25</v>
      </c>
      <c r="C501" t="s">
        <v>8899</v>
      </c>
      <c r="D501" t="s">
        <v>2460</v>
      </c>
      <c r="E501" t="s">
        <v>8709</v>
      </c>
      <c r="F501" t="s">
        <v>8710</v>
      </c>
      <c r="G501" s="16">
        <v>18691.238000000001</v>
      </c>
      <c r="H501" t="s">
        <v>8</v>
      </c>
      <c r="I501" s="16">
        <v>16253.25</v>
      </c>
    </row>
    <row r="502" spans="1:9" x14ac:dyDescent="0.3">
      <c r="A502" s="1">
        <v>46233</v>
      </c>
      <c r="B502">
        <v>25</v>
      </c>
      <c r="C502" t="s">
        <v>8867</v>
      </c>
      <c r="D502" t="s">
        <v>38</v>
      </c>
      <c r="E502" t="s">
        <v>7648</v>
      </c>
      <c r="F502" t="s">
        <v>7649</v>
      </c>
      <c r="G502" s="16">
        <v>134.83750000000001</v>
      </c>
      <c r="H502" t="s">
        <v>8</v>
      </c>
      <c r="I502" s="16">
        <v>117.25</v>
      </c>
    </row>
    <row r="503" spans="1:9" x14ac:dyDescent="0.3">
      <c r="A503" s="1">
        <v>46233</v>
      </c>
      <c r="B503">
        <v>25</v>
      </c>
      <c r="C503" t="s">
        <v>8901</v>
      </c>
      <c r="D503" t="s">
        <v>2460</v>
      </c>
      <c r="E503" t="s">
        <v>81</v>
      </c>
      <c r="F503" t="s">
        <v>82</v>
      </c>
      <c r="G503" s="16">
        <v>53.82</v>
      </c>
      <c r="H503" t="s">
        <v>8</v>
      </c>
      <c r="I503" s="16">
        <v>46.8</v>
      </c>
    </row>
    <row r="504" spans="1:9" x14ac:dyDescent="0.3">
      <c r="A504" s="1">
        <v>46233</v>
      </c>
      <c r="B504">
        <v>25</v>
      </c>
      <c r="C504" t="s">
        <v>8823</v>
      </c>
      <c r="D504" t="s">
        <v>38</v>
      </c>
      <c r="E504" t="s">
        <v>886</v>
      </c>
      <c r="F504" t="s">
        <v>887</v>
      </c>
      <c r="G504" s="16">
        <v>19620.46</v>
      </c>
      <c r="H504" t="s">
        <v>8</v>
      </c>
      <c r="I504" s="16">
        <v>17061.27</v>
      </c>
    </row>
    <row r="505" spans="1:9" x14ac:dyDescent="0.3">
      <c r="A505" s="1">
        <v>46233</v>
      </c>
      <c r="B505">
        <v>25</v>
      </c>
      <c r="C505" t="s">
        <v>8800</v>
      </c>
      <c r="D505" t="s">
        <v>10</v>
      </c>
      <c r="E505" t="s">
        <v>937</v>
      </c>
      <c r="F505" t="s">
        <v>938</v>
      </c>
      <c r="G505" s="16">
        <v>5.29</v>
      </c>
      <c r="H505" t="s">
        <v>8</v>
      </c>
      <c r="I505" s="16">
        <v>4.5999999999999996</v>
      </c>
    </row>
    <row r="506" spans="1:9" x14ac:dyDescent="0.3">
      <c r="A506" s="1">
        <v>46233</v>
      </c>
      <c r="B506">
        <v>25</v>
      </c>
      <c r="C506" t="s">
        <v>8803</v>
      </c>
      <c r="D506" t="s">
        <v>10</v>
      </c>
      <c r="E506" t="s">
        <v>632</v>
      </c>
      <c r="F506" t="s">
        <v>682</v>
      </c>
      <c r="G506" s="16">
        <v>103.5</v>
      </c>
      <c r="H506" t="s">
        <v>8</v>
      </c>
      <c r="I506" s="16">
        <v>90</v>
      </c>
    </row>
    <row r="507" spans="1:9" x14ac:dyDescent="0.3">
      <c r="A507" s="1">
        <v>46233</v>
      </c>
      <c r="B507">
        <v>25</v>
      </c>
      <c r="C507" t="s">
        <v>8824</v>
      </c>
      <c r="D507" t="s">
        <v>38</v>
      </c>
      <c r="E507" t="s">
        <v>5007</v>
      </c>
      <c r="F507" t="s">
        <v>5008</v>
      </c>
      <c r="G507" s="16">
        <v>581.072</v>
      </c>
      <c r="H507" t="s">
        <v>8</v>
      </c>
      <c r="I507" s="16">
        <v>505.28</v>
      </c>
    </row>
    <row r="508" spans="1:9" x14ac:dyDescent="0.3">
      <c r="A508" s="1">
        <v>46233</v>
      </c>
      <c r="B508">
        <v>25</v>
      </c>
      <c r="C508" t="s">
        <v>8799</v>
      </c>
      <c r="D508" t="s">
        <v>10</v>
      </c>
      <c r="E508" t="s">
        <v>1279</v>
      </c>
      <c r="F508" t="s">
        <v>1280</v>
      </c>
      <c r="G508" s="16">
        <v>131.1</v>
      </c>
      <c r="H508" t="s">
        <v>8</v>
      </c>
      <c r="I508" s="16">
        <v>114</v>
      </c>
    </row>
    <row r="509" spans="1:9" x14ac:dyDescent="0.3">
      <c r="A509" s="1">
        <v>46233</v>
      </c>
      <c r="B509">
        <v>25</v>
      </c>
      <c r="C509" t="s">
        <v>8898</v>
      </c>
      <c r="D509" t="s">
        <v>2460</v>
      </c>
      <c r="E509" t="s">
        <v>73</v>
      </c>
      <c r="F509" t="s">
        <v>74</v>
      </c>
      <c r="G509" s="16">
        <v>73.599999999999994</v>
      </c>
      <c r="H509" t="s">
        <v>8</v>
      </c>
      <c r="I509" s="16">
        <v>64</v>
      </c>
    </row>
    <row r="510" spans="1:9" x14ac:dyDescent="0.3">
      <c r="A510" s="1">
        <v>46233</v>
      </c>
      <c r="B510">
        <v>25</v>
      </c>
      <c r="C510" t="s">
        <v>8874</v>
      </c>
      <c r="D510" t="s">
        <v>10</v>
      </c>
      <c r="E510" t="s">
        <v>79</v>
      </c>
      <c r="F510" t="s">
        <v>80</v>
      </c>
      <c r="G510" s="16">
        <v>713.75476000000003</v>
      </c>
      <c r="H510" t="s">
        <v>8</v>
      </c>
      <c r="I510" s="16">
        <v>620.65629999999999</v>
      </c>
    </row>
    <row r="511" spans="1:9" x14ac:dyDescent="0.3">
      <c r="A511" s="1">
        <v>46233</v>
      </c>
      <c r="B511">
        <v>25</v>
      </c>
      <c r="C511" t="s">
        <v>8832</v>
      </c>
      <c r="D511" t="s">
        <v>38</v>
      </c>
      <c r="E511" t="s">
        <v>4387</v>
      </c>
      <c r="F511" t="s">
        <v>4388</v>
      </c>
      <c r="G511" s="16">
        <v>1805.2769000000001</v>
      </c>
      <c r="H511" t="s">
        <v>8</v>
      </c>
      <c r="I511" s="16">
        <v>1569.806</v>
      </c>
    </row>
    <row r="512" spans="1:9" x14ac:dyDescent="0.3">
      <c r="A512" s="1">
        <v>46233</v>
      </c>
      <c r="B512">
        <v>25</v>
      </c>
      <c r="C512" t="s">
        <v>8822</v>
      </c>
      <c r="D512" t="s">
        <v>10</v>
      </c>
      <c r="E512" t="s">
        <v>25</v>
      </c>
      <c r="F512" t="s">
        <v>26</v>
      </c>
      <c r="G512" s="16">
        <v>77.027000000000001</v>
      </c>
      <c r="H512" t="s">
        <v>8</v>
      </c>
      <c r="I512" s="16">
        <v>66.98</v>
      </c>
    </row>
    <row r="513" spans="1:9" x14ac:dyDescent="0.3">
      <c r="A513" s="1">
        <v>46233</v>
      </c>
      <c r="B513">
        <v>25</v>
      </c>
      <c r="C513" t="s">
        <v>8804</v>
      </c>
      <c r="D513" t="s">
        <v>10</v>
      </c>
      <c r="E513" t="s">
        <v>164</v>
      </c>
      <c r="F513" t="s">
        <v>165</v>
      </c>
      <c r="G513" s="16">
        <v>55.2</v>
      </c>
      <c r="H513" t="s">
        <v>8</v>
      </c>
      <c r="I513" s="16">
        <v>48</v>
      </c>
    </row>
    <row r="514" spans="1:9" x14ac:dyDescent="0.3">
      <c r="A514" s="1">
        <v>46235</v>
      </c>
      <c r="B514">
        <v>23</v>
      </c>
      <c r="C514" t="s">
        <v>4879</v>
      </c>
      <c r="D514" t="s">
        <v>38</v>
      </c>
      <c r="E514" t="s">
        <v>173</v>
      </c>
      <c r="F514" t="s">
        <v>174</v>
      </c>
      <c r="G514" s="16">
        <v>1283.009</v>
      </c>
      <c r="H514" t="s">
        <v>8</v>
      </c>
      <c r="I514" s="16">
        <v>1115.6600000000001</v>
      </c>
    </row>
    <row r="515" spans="1:9" x14ac:dyDescent="0.3">
      <c r="A515" s="1">
        <v>46235</v>
      </c>
      <c r="B515">
        <v>23</v>
      </c>
      <c r="C515" t="s">
        <v>7965</v>
      </c>
      <c r="D515" t="s">
        <v>38</v>
      </c>
      <c r="E515" t="s">
        <v>173</v>
      </c>
      <c r="F515" t="s">
        <v>174</v>
      </c>
      <c r="G515" s="16">
        <v>4343.4579999999996</v>
      </c>
      <c r="H515" t="s">
        <v>8</v>
      </c>
      <c r="I515" s="16">
        <v>3776.92</v>
      </c>
    </row>
    <row r="516" spans="1:9" x14ac:dyDescent="0.3">
      <c r="A516" s="1">
        <v>46235</v>
      </c>
      <c r="B516">
        <v>23</v>
      </c>
      <c r="C516" t="s">
        <v>8516</v>
      </c>
      <c r="D516" t="s">
        <v>38</v>
      </c>
      <c r="E516" t="s">
        <v>173</v>
      </c>
      <c r="F516" t="s">
        <v>174</v>
      </c>
      <c r="G516" s="16">
        <v>7260.9849999999997</v>
      </c>
      <c r="H516" t="s">
        <v>8</v>
      </c>
      <c r="I516" s="16">
        <v>6313.9</v>
      </c>
    </row>
    <row r="517" spans="1:9" x14ac:dyDescent="0.3">
      <c r="A517" s="1">
        <v>46235</v>
      </c>
      <c r="B517">
        <v>23</v>
      </c>
      <c r="C517" t="s">
        <v>11269</v>
      </c>
      <c r="D517" t="s">
        <v>2467</v>
      </c>
      <c r="E517" t="s">
        <v>11270</v>
      </c>
      <c r="F517" t="s">
        <v>11271</v>
      </c>
      <c r="G517" s="16">
        <v>33.542000000000002</v>
      </c>
      <c r="H517" t="s">
        <v>8</v>
      </c>
      <c r="I517" s="16">
        <v>33.542000000000002</v>
      </c>
    </row>
    <row r="518" spans="1:9" x14ac:dyDescent="0.3">
      <c r="A518" s="1">
        <v>46235</v>
      </c>
      <c r="B518">
        <v>23</v>
      </c>
      <c r="C518" t="s">
        <v>6034</v>
      </c>
      <c r="D518" t="s">
        <v>38</v>
      </c>
      <c r="E518" t="s">
        <v>173</v>
      </c>
      <c r="F518" t="s">
        <v>174</v>
      </c>
      <c r="G518" s="16">
        <v>1052.2384999999999</v>
      </c>
      <c r="H518" t="s">
        <v>8</v>
      </c>
      <c r="I518" s="16">
        <v>914.99</v>
      </c>
    </row>
    <row r="519" spans="1:9" x14ac:dyDescent="0.3">
      <c r="A519" s="1">
        <v>46235</v>
      </c>
      <c r="B519">
        <v>23</v>
      </c>
      <c r="C519" t="s">
        <v>8766</v>
      </c>
      <c r="D519" t="s">
        <v>38</v>
      </c>
      <c r="E519" t="s">
        <v>173</v>
      </c>
      <c r="F519" t="s">
        <v>174</v>
      </c>
      <c r="G519" s="16">
        <v>2302.7485000000001</v>
      </c>
      <c r="H519" t="s">
        <v>8</v>
      </c>
      <c r="I519" s="16">
        <v>2002.39</v>
      </c>
    </row>
    <row r="520" spans="1:9" x14ac:dyDescent="0.3">
      <c r="A520" s="1">
        <v>46235</v>
      </c>
      <c r="B520">
        <v>23</v>
      </c>
      <c r="C520" t="s">
        <v>7621</v>
      </c>
      <c r="D520" t="s">
        <v>38</v>
      </c>
      <c r="E520" t="s">
        <v>173</v>
      </c>
      <c r="F520" t="s">
        <v>174</v>
      </c>
      <c r="G520" s="16">
        <v>3062.5880000000002</v>
      </c>
      <c r="H520" t="s">
        <v>8</v>
      </c>
      <c r="I520" s="16">
        <v>2663.12</v>
      </c>
    </row>
    <row r="521" spans="1:9" x14ac:dyDescent="0.3">
      <c r="A521" s="1">
        <v>46235</v>
      </c>
      <c r="B521">
        <v>23</v>
      </c>
      <c r="C521" t="s">
        <v>11272</v>
      </c>
      <c r="D521" t="s">
        <v>2460</v>
      </c>
      <c r="E521" t="s">
        <v>49</v>
      </c>
      <c r="F521" t="s">
        <v>50</v>
      </c>
      <c r="G521" s="16">
        <v>1242.46</v>
      </c>
      <c r="H521" t="s">
        <v>8</v>
      </c>
      <c r="I521" s="16">
        <v>1080.4000000000001</v>
      </c>
    </row>
    <row r="522" spans="1:9" x14ac:dyDescent="0.3">
      <c r="A522" s="1">
        <v>46235</v>
      </c>
      <c r="B522">
        <v>23</v>
      </c>
      <c r="C522" t="s">
        <v>8085</v>
      </c>
      <c r="D522" t="s">
        <v>10</v>
      </c>
      <c r="E522" t="s">
        <v>1768</v>
      </c>
      <c r="F522" t="s">
        <v>1769</v>
      </c>
      <c r="G522" s="16">
        <v>11.2125</v>
      </c>
      <c r="H522" t="s">
        <v>8</v>
      </c>
      <c r="I522" s="16">
        <v>9.75</v>
      </c>
    </row>
    <row r="523" spans="1:9" x14ac:dyDescent="0.3">
      <c r="A523" s="1">
        <v>46235</v>
      </c>
      <c r="B523">
        <v>23</v>
      </c>
      <c r="C523" t="s">
        <v>8938</v>
      </c>
      <c r="D523" t="s">
        <v>2460</v>
      </c>
      <c r="E523" t="s">
        <v>7645</v>
      </c>
      <c r="F523" t="s">
        <v>7646</v>
      </c>
      <c r="G523" s="16">
        <v>12747.75</v>
      </c>
      <c r="H523" t="s">
        <v>8</v>
      </c>
      <c r="I523" s="16">
        <v>11085</v>
      </c>
    </row>
    <row r="524" spans="1:9" x14ac:dyDescent="0.3">
      <c r="A524" s="1">
        <v>46235</v>
      </c>
      <c r="B524">
        <v>23</v>
      </c>
      <c r="C524" t="s">
        <v>8908</v>
      </c>
      <c r="D524" t="s">
        <v>10</v>
      </c>
      <c r="E524" t="s">
        <v>39</v>
      </c>
      <c r="F524" t="s">
        <v>40</v>
      </c>
      <c r="G524" s="16">
        <v>3072.9358000000002</v>
      </c>
      <c r="H524" t="s">
        <v>8</v>
      </c>
      <c r="I524" s="16">
        <v>2672.1179999999999</v>
      </c>
    </row>
    <row r="525" spans="1:9" x14ac:dyDescent="0.3">
      <c r="A525" s="1">
        <v>46235</v>
      </c>
      <c r="B525">
        <v>23</v>
      </c>
      <c r="C525" t="s">
        <v>8789</v>
      </c>
      <c r="D525" t="s">
        <v>10</v>
      </c>
      <c r="E525" t="s">
        <v>635</v>
      </c>
      <c r="F525" t="s">
        <v>636</v>
      </c>
      <c r="G525" s="16">
        <v>23.479189999999999</v>
      </c>
      <c r="H525" t="s">
        <v>8</v>
      </c>
      <c r="I525" s="16">
        <v>20.416689999999999</v>
      </c>
    </row>
    <row r="526" spans="1:9" x14ac:dyDescent="0.3">
      <c r="A526" s="1">
        <v>46235</v>
      </c>
      <c r="B526">
        <v>23</v>
      </c>
      <c r="C526" t="s">
        <v>6480</v>
      </c>
      <c r="D526" t="s">
        <v>38</v>
      </c>
      <c r="E526" t="s">
        <v>173</v>
      </c>
      <c r="F526" t="s">
        <v>174</v>
      </c>
      <c r="G526" s="16">
        <v>1847.1875</v>
      </c>
      <c r="H526" t="s">
        <v>8</v>
      </c>
      <c r="I526" s="16">
        <v>1606.25</v>
      </c>
    </row>
    <row r="527" spans="1:9" x14ac:dyDescent="0.3">
      <c r="A527" s="1">
        <v>46235</v>
      </c>
      <c r="B527">
        <v>23</v>
      </c>
      <c r="C527" t="s">
        <v>8941</v>
      </c>
      <c r="D527" t="s">
        <v>2460</v>
      </c>
      <c r="E527" t="s">
        <v>111</v>
      </c>
      <c r="F527" t="s">
        <v>112</v>
      </c>
      <c r="G527" s="16">
        <v>167.9</v>
      </c>
      <c r="H527" t="s">
        <v>8</v>
      </c>
      <c r="I527" s="16">
        <v>146</v>
      </c>
    </row>
    <row r="528" spans="1:9" x14ac:dyDescent="0.3">
      <c r="A528" s="1">
        <v>46235</v>
      </c>
      <c r="B528">
        <v>23</v>
      </c>
      <c r="C528" t="s">
        <v>8940</v>
      </c>
      <c r="D528" t="s">
        <v>2460</v>
      </c>
      <c r="E528" t="s">
        <v>534</v>
      </c>
      <c r="F528" t="s">
        <v>535</v>
      </c>
      <c r="G528" s="16">
        <v>8894.0509999999995</v>
      </c>
      <c r="H528" t="s">
        <v>8</v>
      </c>
      <c r="I528" s="16">
        <v>7733.9570000000003</v>
      </c>
    </row>
    <row r="529" spans="1:9" x14ac:dyDescent="0.3">
      <c r="A529" s="1">
        <v>46235</v>
      </c>
      <c r="B529">
        <v>23</v>
      </c>
      <c r="C529" t="s">
        <v>8939</v>
      </c>
      <c r="D529" t="s">
        <v>2460</v>
      </c>
      <c r="E529" t="s">
        <v>8896</v>
      </c>
      <c r="F529" t="s">
        <v>8897</v>
      </c>
      <c r="G529" s="16">
        <v>657.36300000000006</v>
      </c>
      <c r="H529" t="s">
        <v>8</v>
      </c>
      <c r="I529" s="16">
        <v>571.62</v>
      </c>
    </row>
    <row r="530" spans="1:9" x14ac:dyDescent="0.3">
      <c r="A530" s="1">
        <v>46236</v>
      </c>
      <c r="B530">
        <v>22</v>
      </c>
      <c r="C530" t="s">
        <v>9047</v>
      </c>
      <c r="D530" t="s">
        <v>2460</v>
      </c>
      <c r="E530" t="s">
        <v>7129</v>
      </c>
      <c r="F530" t="s">
        <v>7130</v>
      </c>
      <c r="G530" s="16">
        <v>34.5</v>
      </c>
      <c r="H530" t="s">
        <v>8</v>
      </c>
      <c r="I530" s="16">
        <v>30</v>
      </c>
    </row>
    <row r="531" spans="1:9" x14ac:dyDescent="0.3">
      <c r="A531" s="1">
        <v>46236</v>
      </c>
      <c r="B531">
        <v>22</v>
      </c>
      <c r="C531" t="s">
        <v>8963</v>
      </c>
      <c r="D531" t="s">
        <v>10</v>
      </c>
      <c r="E531" t="s">
        <v>1411</v>
      </c>
      <c r="F531" t="s">
        <v>1412</v>
      </c>
      <c r="G531" s="16">
        <v>10.787000000000001</v>
      </c>
      <c r="H531" t="s">
        <v>8</v>
      </c>
      <c r="I531" s="16">
        <v>9.3800000000000008</v>
      </c>
    </row>
    <row r="532" spans="1:9" x14ac:dyDescent="0.3">
      <c r="A532" s="1">
        <v>46236</v>
      </c>
      <c r="B532">
        <v>22</v>
      </c>
      <c r="C532" t="s">
        <v>2587</v>
      </c>
      <c r="D532" t="s">
        <v>38</v>
      </c>
      <c r="E532" t="s">
        <v>75</v>
      </c>
      <c r="F532" t="s">
        <v>76</v>
      </c>
      <c r="G532" s="16">
        <v>22770.004000000001</v>
      </c>
      <c r="H532" t="s">
        <v>8</v>
      </c>
      <c r="I532" s="16">
        <v>19800.002</v>
      </c>
    </row>
    <row r="533" spans="1:9" x14ac:dyDescent="0.3">
      <c r="A533" s="1">
        <v>46236</v>
      </c>
      <c r="B533">
        <v>22</v>
      </c>
      <c r="C533" t="s">
        <v>8997</v>
      </c>
      <c r="D533" t="s">
        <v>10</v>
      </c>
      <c r="E533" t="s">
        <v>188</v>
      </c>
      <c r="F533" t="s">
        <v>189</v>
      </c>
      <c r="G533" s="16">
        <v>100.625</v>
      </c>
      <c r="H533" t="s">
        <v>8</v>
      </c>
      <c r="I533" s="16">
        <v>87.5</v>
      </c>
    </row>
    <row r="534" spans="1:9" x14ac:dyDescent="0.3">
      <c r="A534" s="1">
        <v>46236</v>
      </c>
      <c r="B534">
        <v>22</v>
      </c>
      <c r="C534" t="s">
        <v>8978</v>
      </c>
      <c r="D534" t="s">
        <v>10</v>
      </c>
      <c r="E534" t="s">
        <v>710</v>
      </c>
      <c r="F534" t="s">
        <v>711</v>
      </c>
      <c r="G534" s="16">
        <v>15.237500000000001</v>
      </c>
      <c r="H534" t="s">
        <v>8</v>
      </c>
      <c r="I534" s="16">
        <v>13.25</v>
      </c>
    </row>
    <row r="535" spans="1:9" x14ac:dyDescent="0.3">
      <c r="A535" s="1">
        <v>46236</v>
      </c>
      <c r="B535">
        <v>22</v>
      </c>
      <c r="C535" t="s">
        <v>9005</v>
      </c>
      <c r="D535" t="s">
        <v>10</v>
      </c>
      <c r="E535" t="s">
        <v>8988</v>
      </c>
      <c r="F535" t="s">
        <v>8989</v>
      </c>
      <c r="G535" s="16">
        <v>682.87</v>
      </c>
      <c r="H535" t="s">
        <v>8</v>
      </c>
      <c r="I535" s="16">
        <v>593.79999999999995</v>
      </c>
    </row>
    <row r="536" spans="1:9" x14ac:dyDescent="0.3">
      <c r="A536" s="1">
        <v>46236</v>
      </c>
      <c r="B536">
        <v>22</v>
      </c>
      <c r="C536" t="s">
        <v>8950</v>
      </c>
      <c r="D536" t="s">
        <v>10</v>
      </c>
      <c r="E536" t="s">
        <v>8948</v>
      </c>
      <c r="F536" t="s">
        <v>8949</v>
      </c>
      <c r="G536" s="16">
        <v>120.75</v>
      </c>
      <c r="H536" t="s">
        <v>8</v>
      </c>
      <c r="I536" s="16">
        <v>105</v>
      </c>
    </row>
    <row r="537" spans="1:9" x14ac:dyDescent="0.3">
      <c r="A537" s="1">
        <v>46236</v>
      </c>
      <c r="B537">
        <v>22</v>
      </c>
      <c r="C537" t="s">
        <v>8976</v>
      </c>
      <c r="D537" t="s">
        <v>10</v>
      </c>
      <c r="E537" t="s">
        <v>65</v>
      </c>
      <c r="F537" t="s">
        <v>66</v>
      </c>
      <c r="G537" s="16">
        <v>1520.9012</v>
      </c>
      <c r="H537" t="s">
        <v>8</v>
      </c>
      <c r="I537" s="16">
        <v>1322.5228</v>
      </c>
    </row>
    <row r="538" spans="1:9" x14ac:dyDescent="0.3">
      <c r="A538" s="1">
        <v>46236</v>
      </c>
      <c r="B538">
        <v>22</v>
      </c>
      <c r="C538" t="s">
        <v>8956</v>
      </c>
      <c r="D538" t="s">
        <v>38</v>
      </c>
      <c r="E538" t="s">
        <v>75</v>
      </c>
      <c r="F538" t="s">
        <v>76</v>
      </c>
      <c r="G538" s="16">
        <v>6202.0146000000004</v>
      </c>
      <c r="H538" t="s">
        <v>8</v>
      </c>
      <c r="I538" s="16">
        <v>5393.0559999999996</v>
      </c>
    </row>
    <row r="539" spans="1:9" x14ac:dyDescent="0.3">
      <c r="A539" s="1">
        <v>46236</v>
      </c>
      <c r="B539">
        <v>22</v>
      </c>
      <c r="C539" t="s">
        <v>9002</v>
      </c>
      <c r="D539" t="s">
        <v>10</v>
      </c>
      <c r="E539" t="s">
        <v>173</v>
      </c>
      <c r="F539" t="s">
        <v>174</v>
      </c>
      <c r="G539" s="16">
        <v>579.899</v>
      </c>
      <c r="H539" t="s">
        <v>8</v>
      </c>
      <c r="I539" s="16">
        <v>504.26</v>
      </c>
    </row>
    <row r="540" spans="1:9" x14ac:dyDescent="0.3">
      <c r="A540" s="1">
        <v>46236</v>
      </c>
      <c r="B540">
        <v>22</v>
      </c>
      <c r="C540" t="s">
        <v>9008</v>
      </c>
      <c r="D540" t="s">
        <v>10</v>
      </c>
      <c r="E540" t="s">
        <v>2166</v>
      </c>
      <c r="F540" t="s">
        <v>2167</v>
      </c>
      <c r="G540" s="16">
        <v>833.62350000000004</v>
      </c>
      <c r="H540" t="s">
        <v>8</v>
      </c>
      <c r="I540" s="16">
        <v>724.89</v>
      </c>
    </row>
    <row r="541" spans="1:9" x14ac:dyDescent="0.3">
      <c r="A541" s="1">
        <v>46236</v>
      </c>
      <c r="B541">
        <v>22</v>
      </c>
      <c r="C541" t="s">
        <v>7683</v>
      </c>
      <c r="D541" t="s">
        <v>38</v>
      </c>
      <c r="E541" t="s">
        <v>75</v>
      </c>
      <c r="F541" t="s">
        <v>76</v>
      </c>
      <c r="G541" s="16">
        <v>3795.0005000000001</v>
      </c>
      <c r="H541" t="s">
        <v>8</v>
      </c>
      <c r="I541" s="16">
        <v>3300.0005000000001</v>
      </c>
    </row>
    <row r="542" spans="1:9" x14ac:dyDescent="0.3">
      <c r="A542" s="1">
        <v>46236</v>
      </c>
      <c r="B542">
        <v>22</v>
      </c>
      <c r="C542" t="s">
        <v>8967</v>
      </c>
      <c r="D542" t="s">
        <v>10</v>
      </c>
      <c r="E542" t="s">
        <v>177</v>
      </c>
      <c r="F542" t="s">
        <v>178</v>
      </c>
      <c r="G542" s="16">
        <v>186.01249999999999</v>
      </c>
      <c r="H542" t="s">
        <v>8</v>
      </c>
      <c r="I542" s="16">
        <v>161.75</v>
      </c>
    </row>
    <row r="543" spans="1:9" x14ac:dyDescent="0.3">
      <c r="A543" s="1">
        <v>46236</v>
      </c>
      <c r="B543">
        <v>22</v>
      </c>
      <c r="C543" t="s">
        <v>9033</v>
      </c>
      <c r="D543" t="s">
        <v>10</v>
      </c>
      <c r="E543" t="s">
        <v>899</v>
      </c>
      <c r="F543" t="s">
        <v>900</v>
      </c>
      <c r="G543" s="16">
        <v>220.8</v>
      </c>
      <c r="H543" t="s">
        <v>8</v>
      </c>
      <c r="I543" s="16">
        <v>192</v>
      </c>
    </row>
    <row r="544" spans="1:9" x14ac:dyDescent="0.3">
      <c r="A544" s="1">
        <v>46236</v>
      </c>
      <c r="B544">
        <v>22</v>
      </c>
      <c r="C544" t="s">
        <v>8993</v>
      </c>
      <c r="D544" t="s">
        <v>10</v>
      </c>
      <c r="E544" t="s">
        <v>8991</v>
      </c>
      <c r="F544" t="s">
        <v>8992</v>
      </c>
      <c r="G544" s="16">
        <v>258</v>
      </c>
      <c r="H544" t="s">
        <v>8</v>
      </c>
      <c r="I544" s="16">
        <v>258</v>
      </c>
    </row>
    <row r="545" spans="1:9" x14ac:dyDescent="0.3">
      <c r="A545" s="1">
        <v>46236</v>
      </c>
      <c r="B545">
        <v>22</v>
      </c>
      <c r="C545" t="s">
        <v>2656</v>
      </c>
      <c r="D545" t="s">
        <v>38</v>
      </c>
      <c r="E545" t="s">
        <v>75</v>
      </c>
      <c r="F545" t="s">
        <v>76</v>
      </c>
      <c r="G545" s="16">
        <v>22770.004000000001</v>
      </c>
      <c r="H545" t="s">
        <v>8</v>
      </c>
      <c r="I545" s="16">
        <v>19800.002</v>
      </c>
    </row>
    <row r="546" spans="1:9" x14ac:dyDescent="0.3">
      <c r="A546" s="1">
        <v>46236</v>
      </c>
      <c r="B546">
        <v>22</v>
      </c>
      <c r="C546" t="s">
        <v>9022</v>
      </c>
      <c r="D546" t="s">
        <v>10</v>
      </c>
      <c r="E546" t="s">
        <v>846</v>
      </c>
      <c r="F546" t="s">
        <v>847</v>
      </c>
      <c r="G546" s="16">
        <v>120.88800000000001</v>
      </c>
      <c r="H546" t="s">
        <v>8</v>
      </c>
      <c r="I546" s="16">
        <v>105.12</v>
      </c>
    </row>
    <row r="547" spans="1:9" x14ac:dyDescent="0.3">
      <c r="A547" s="1">
        <v>46236</v>
      </c>
      <c r="B547">
        <v>22</v>
      </c>
      <c r="C547" t="s">
        <v>8972</v>
      </c>
      <c r="D547" t="s">
        <v>10</v>
      </c>
      <c r="E547" t="s">
        <v>151</v>
      </c>
      <c r="F547" t="s">
        <v>152</v>
      </c>
      <c r="G547" s="16">
        <v>3283.6179999999999</v>
      </c>
      <c r="H547" t="s">
        <v>8</v>
      </c>
      <c r="I547" s="16">
        <v>2855.32</v>
      </c>
    </row>
    <row r="548" spans="1:9" x14ac:dyDescent="0.3">
      <c r="A548" s="1">
        <v>46236</v>
      </c>
      <c r="B548">
        <v>22</v>
      </c>
      <c r="C548" t="s">
        <v>9046</v>
      </c>
      <c r="D548" t="s">
        <v>2460</v>
      </c>
      <c r="E548" t="s">
        <v>8483</v>
      </c>
      <c r="F548" t="s">
        <v>8484</v>
      </c>
      <c r="G548" s="16">
        <v>18</v>
      </c>
      <c r="H548" t="s">
        <v>8</v>
      </c>
      <c r="I548" s="16">
        <v>15.65217</v>
      </c>
    </row>
    <row r="549" spans="1:9" x14ac:dyDescent="0.3">
      <c r="A549" s="1">
        <v>46236</v>
      </c>
      <c r="B549">
        <v>22</v>
      </c>
      <c r="C549" t="s">
        <v>11273</v>
      </c>
      <c r="D549" t="s">
        <v>10</v>
      </c>
      <c r="E549" t="s">
        <v>104</v>
      </c>
      <c r="F549" t="s">
        <v>105</v>
      </c>
      <c r="G549" s="16">
        <v>90.665999999999997</v>
      </c>
      <c r="H549" t="s">
        <v>8</v>
      </c>
      <c r="I549" s="16">
        <v>78.84</v>
      </c>
    </row>
    <row r="550" spans="1:9" x14ac:dyDescent="0.3">
      <c r="A550" s="1">
        <v>46236</v>
      </c>
      <c r="B550">
        <v>22</v>
      </c>
      <c r="C550" t="s">
        <v>9006</v>
      </c>
      <c r="D550" t="s">
        <v>10</v>
      </c>
      <c r="E550" t="s">
        <v>53</v>
      </c>
      <c r="F550" t="s">
        <v>54</v>
      </c>
      <c r="G550" s="16">
        <v>401.35</v>
      </c>
      <c r="H550" t="s">
        <v>8</v>
      </c>
      <c r="I550" s="16">
        <v>349</v>
      </c>
    </row>
    <row r="551" spans="1:9" x14ac:dyDescent="0.3">
      <c r="A551" s="1">
        <v>46236</v>
      </c>
      <c r="B551">
        <v>22</v>
      </c>
      <c r="C551" t="s">
        <v>9007</v>
      </c>
      <c r="D551" t="s">
        <v>10</v>
      </c>
      <c r="E551" t="s">
        <v>8372</v>
      </c>
      <c r="F551" t="s">
        <v>8373</v>
      </c>
      <c r="G551" s="16">
        <v>481.85</v>
      </c>
      <c r="H551" t="s">
        <v>8</v>
      </c>
      <c r="I551" s="16">
        <v>419</v>
      </c>
    </row>
    <row r="552" spans="1:9" x14ac:dyDescent="0.3">
      <c r="A552" s="1">
        <v>46236</v>
      </c>
      <c r="B552">
        <v>22</v>
      </c>
      <c r="C552" t="s">
        <v>8970</v>
      </c>
      <c r="D552" t="s">
        <v>10</v>
      </c>
      <c r="E552" t="s">
        <v>4575</v>
      </c>
      <c r="F552" t="s">
        <v>4576</v>
      </c>
      <c r="G552" s="16">
        <v>126</v>
      </c>
      <c r="H552" t="s">
        <v>8</v>
      </c>
      <c r="I552" s="16">
        <v>109.56522</v>
      </c>
    </row>
    <row r="553" spans="1:9" x14ac:dyDescent="0.3">
      <c r="A553" s="1">
        <v>46236</v>
      </c>
      <c r="B553">
        <v>22</v>
      </c>
      <c r="C553" t="s">
        <v>9012</v>
      </c>
      <c r="D553" t="s">
        <v>10</v>
      </c>
      <c r="E553" t="s">
        <v>854</v>
      </c>
      <c r="F553" t="s">
        <v>855</v>
      </c>
      <c r="G553" s="16">
        <v>63.57</v>
      </c>
      <c r="H553" t="s">
        <v>8</v>
      </c>
      <c r="I553" s="16">
        <v>63.57</v>
      </c>
    </row>
    <row r="554" spans="1:9" x14ac:dyDescent="0.3">
      <c r="A554" s="1">
        <v>46237</v>
      </c>
      <c r="B554">
        <v>21</v>
      </c>
      <c r="C554" t="s">
        <v>9196</v>
      </c>
      <c r="D554" t="s">
        <v>2460</v>
      </c>
      <c r="E554" t="s">
        <v>534</v>
      </c>
      <c r="F554" t="s">
        <v>535</v>
      </c>
      <c r="G554" s="16">
        <v>2304.3681999999999</v>
      </c>
      <c r="H554" t="s">
        <v>8</v>
      </c>
      <c r="I554" s="16">
        <v>2003.7982999999999</v>
      </c>
    </row>
    <row r="555" spans="1:9" x14ac:dyDescent="0.3">
      <c r="A555" s="1">
        <v>46237</v>
      </c>
      <c r="B555">
        <v>21</v>
      </c>
      <c r="C555" t="s">
        <v>2559</v>
      </c>
      <c r="D555" t="s">
        <v>38</v>
      </c>
      <c r="E555" t="s">
        <v>47</v>
      </c>
      <c r="F555" t="s">
        <v>48</v>
      </c>
      <c r="G555" s="16">
        <v>2113.585</v>
      </c>
      <c r="H555" t="s">
        <v>8</v>
      </c>
      <c r="I555" s="16">
        <v>1837.9</v>
      </c>
    </row>
    <row r="556" spans="1:9" x14ac:dyDescent="0.3">
      <c r="A556" s="1">
        <v>46237</v>
      </c>
      <c r="B556">
        <v>21</v>
      </c>
      <c r="C556" t="s">
        <v>8083</v>
      </c>
      <c r="D556" t="s">
        <v>10</v>
      </c>
      <c r="E556" t="s">
        <v>846</v>
      </c>
      <c r="F556" t="s">
        <v>847</v>
      </c>
      <c r="G556" s="16">
        <v>306.36</v>
      </c>
      <c r="H556" t="s">
        <v>8</v>
      </c>
      <c r="I556" s="16">
        <v>266.39999999999998</v>
      </c>
    </row>
    <row r="557" spans="1:9" x14ac:dyDescent="0.3">
      <c r="A557" s="1">
        <v>46237</v>
      </c>
      <c r="B557">
        <v>21</v>
      </c>
      <c r="C557" t="s">
        <v>8707</v>
      </c>
      <c r="D557" t="s">
        <v>10</v>
      </c>
      <c r="E557" t="s">
        <v>3773</v>
      </c>
      <c r="F557" t="s">
        <v>3774</v>
      </c>
      <c r="G557" s="16">
        <v>21286.057000000001</v>
      </c>
      <c r="H557" t="s">
        <v>8</v>
      </c>
      <c r="I557" s="16">
        <v>18509.613000000001</v>
      </c>
    </row>
    <row r="558" spans="1:9" x14ac:dyDescent="0.3">
      <c r="A558" s="1">
        <v>46237</v>
      </c>
      <c r="B558">
        <v>21</v>
      </c>
      <c r="C558" t="s">
        <v>8820</v>
      </c>
      <c r="D558" t="s">
        <v>10</v>
      </c>
      <c r="E558" t="s">
        <v>3773</v>
      </c>
      <c r="F558" t="s">
        <v>3774</v>
      </c>
      <c r="G558" s="16">
        <v>26389.942999999999</v>
      </c>
      <c r="H558" t="s">
        <v>8</v>
      </c>
      <c r="I558" s="16">
        <v>22947.776999999998</v>
      </c>
    </row>
    <row r="559" spans="1:9" x14ac:dyDescent="0.3">
      <c r="A559" s="1">
        <v>46237</v>
      </c>
      <c r="B559">
        <v>21</v>
      </c>
      <c r="C559" t="s">
        <v>6752</v>
      </c>
      <c r="D559" t="s">
        <v>38</v>
      </c>
      <c r="E559" t="s">
        <v>47</v>
      </c>
      <c r="F559" t="s">
        <v>48</v>
      </c>
      <c r="G559" s="16">
        <v>397.50900000000001</v>
      </c>
      <c r="H559" t="s">
        <v>8</v>
      </c>
      <c r="I559" s="16">
        <v>345.66</v>
      </c>
    </row>
    <row r="560" spans="1:9" x14ac:dyDescent="0.3">
      <c r="A560" s="1">
        <v>46237</v>
      </c>
      <c r="B560">
        <v>21</v>
      </c>
      <c r="C560" t="s">
        <v>9082</v>
      </c>
      <c r="D560" t="s">
        <v>10</v>
      </c>
      <c r="E560" t="s">
        <v>325</v>
      </c>
      <c r="F560" t="s">
        <v>326</v>
      </c>
      <c r="G560" s="16">
        <v>50.024999999999999</v>
      </c>
      <c r="H560" t="s">
        <v>8</v>
      </c>
      <c r="I560" s="16">
        <v>43.5</v>
      </c>
    </row>
    <row r="561" spans="1:9" x14ac:dyDescent="0.3">
      <c r="A561" s="1">
        <v>46237</v>
      </c>
      <c r="B561">
        <v>21</v>
      </c>
      <c r="C561" t="s">
        <v>9174</v>
      </c>
      <c r="D561" t="s">
        <v>10</v>
      </c>
      <c r="E561" t="s">
        <v>9055</v>
      </c>
      <c r="F561" t="s">
        <v>9056</v>
      </c>
      <c r="G561" s="16">
        <v>63.25</v>
      </c>
      <c r="H561" t="s">
        <v>8</v>
      </c>
      <c r="I561" s="16">
        <v>55</v>
      </c>
    </row>
    <row r="562" spans="1:9" x14ac:dyDescent="0.3">
      <c r="A562" s="1">
        <v>46237</v>
      </c>
      <c r="B562">
        <v>21</v>
      </c>
      <c r="C562" t="s">
        <v>8694</v>
      </c>
      <c r="D562" t="s">
        <v>10</v>
      </c>
      <c r="E562" t="s">
        <v>931</v>
      </c>
      <c r="F562" t="s">
        <v>1767</v>
      </c>
      <c r="G562" s="16">
        <v>1303.9849999999999</v>
      </c>
      <c r="H562" t="s">
        <v>8</v>
      </c>
      <c r="I562" s="16">
        <v>1133.9000000000001</v>
      </c>
    </row>
    <row r="563" spans="1:9" x14ac:dyDescent="0.3">
      <c r="A563" s="1">
        <v>46237</v>
      </c>
      <c r="B563">
        <v>21</v>
      </c>
      <c r="C563" t="s">
        <v>8598</v>
      </c>
      <c r="D563" t="s">
        <v>10</v>
      </c>
      <c r="E563" t="s">
        <v>3773</v>
      </c>
      <c r="F563" t="s">
        <v>3774</v>
      </c>
      <c r="G563" s="16">
        <v>12885.023999999999</v>
      </c>
      <c r="H563" t="s">
        <v>8</v>
      </c>
      <c r="I563" s="16">
        <v>11204.369000000001</v>
      </c>
    </row>
    <row r="564" spans="1:9" x14ac:dyDescent="0.3">
      <c r="A564" s="1">
        <v>46237</v>
      </c>
      <c r="B564">
        <v>21</v>
      </c>
      <c r="C564" t="s">
        <v>9074</v>
      </c>
      <c r="D564" t="s">
        <v>10</v>
      </c>
      <c r="E564" t="s">
        <v>3773</v>
      </c>
      <c r="F564" t="s">
        <v>3774</v>
      </c>
      <c r="G564" s="16">
        <v>12988.2</v>
      </c>
      <c r="H564" t="s">
        <v>8</v>
      </c>
      <c r="I564" s="16">
        <v>11294.087</v>
      </c>
    </row>
    <row r="565" spans="1:9" x14ac:dyDescent="0.3">
      <c r="A565" s="1">
        <v>46237</v>
      </c>
      <c r="B565">
        <v>21</v>
      </c>
      <c r="C565" t="s">
        <v>9182</v>
      </c>
      <c r="D565" t="s">
        <v>10</v>
      </c>
      <c r="E565" t="s">
        <v>804</v>
      </c>
      <c r="F565" t="s">
        <v>805</v>
      </c>
      <c r="G565" s="16">
        <v>185.518</v>
      </c>
      <c r="H565" t="s">
        <v>8</v>
      </c>
      <c r="I565" s="16">
        <v>161.32</v>
      </c>
    </row>
    <row r="566" spans="1:9" x14ac:dyDescent="0.3">
      <c r="A566" s="1">
        <v>46237</v>
      </c>
      <c r="B566">
        <v>21</v>
      </c>
      <c r="C566" t="s">
        <v>9154</v>
      </c>
      <c r="D566" t="s">
        <v>10</v>
      </c>
      <c r="E566" t="s">
        <v>197</v>
      </c>
      <c r="F566" t="s">
        <v>198</v>
      </c>
      <c r="G566" s="16">
        <v>616.36879999999996</v>
      </c>
      <c r="H566" t="s">
        <v>8</v>
      </c>
      <c r="I566" s="16">
        <v>535.97284000000002</v>
      </c>
    </row>
    <row r="567" spans="1:9" x14ac:dyDescent="0.3">
      <c r="A567" s="1">
        <v>46237</v>
      </c>
      <c r="B567">
        <v>21</v>
      </c>
      <c r="C567" t="s">
        <v>387</v>
      </c>
      <c r="D567" t="s">
        <v>38</v>
      </c>
      <c r="E567" t="s">
        <v>47</v>
      </c>
      <c r="F567" t="s">
        <v>48</v>
      </c>
      <c r="G567" s="16">
        <v>10842.718000000001</v>
      </c>
      <c r="H567" t="s">
        <v>8</v>
      </c>
      <c r="I567" s="16">
        <v>9428.4500000000007</v>
      </c>
    </row>
    <row r="568" spans="1:9" x14ac:dyDescent="0.3">
      <c r="A568" s="1">
        <v>46237</v>
      </c>
      <c r="B568">
        <v>21</v>
      </c>
      <c r="C568" t="s">
        <v>9198</v>
      </c>
      <c r="D568" t="s">
        <v>2460</v>
      </c>
      <c r="E568" t="s">
        <v>2478</v>
      </c>
      <c r="F568" t="s">
        <v>2479</v>
      </c>
      <c r="G568" s="16">
        <v>263.17500000000001</v>
      </c>
      <c r="H568" t="s">
        <v>8</v>
      </c>
      <c r="I568" s="16">
        <v>263.17500000000001</v>
      </c>
    </row>
    <row r="569" spans="1:9" x14ac:dyDescent="0.3">
      <c r="A569" s="1">
        <v>46237</v>
      </c>
      <c r="B569">
        <v>21</v>
      </c>
      <c r="C569" t="s">
        <v>9067</v>
      </c>
      <c r="D569" t="s">
        <v>10</v>
      </c>
      <c r="E569" t="s">
        <v>987</v>
      </c>
      <c r="F569" t="s">
        <v>988</v>
      </c>
      <c r="G569" s="16">
        <v>6.9</v>
      </c>
      <c r="H569" t="s">
        <v>8</v>
      </c>
      <c r="I569" s="16">
        <v>6</v>
      </c>
    </row>
    <row r="570" spans="1:9" x14ac:dyDescent="0.3">
      <c r="A570" s="1">
        <v>46237</v>
      </c>
      <c r="B570">
        <v>21</v>
      </c>
      <c r="C570" t="s">
        <v>9138</v>
      </c>
      <c r="D570" t="s">
        <v>10</v>
      </c>
      <c r="E570" t="s">
        <v>295</v>
      </c>
      <c r="F570" t="s">
        <v>345</v>
      </c>
      <c r="G570" s="16">
        <v>87.974999999999994</v>
      </c>
      <c r="H570" t="s">
        <v>8</v>
      </c>
      <c r="I570" s="16">
        <v>76.5</v>
      </c>
    </row>
    <row r="571" spans="1:9" x14ac:dyDescent="0.3">
      <c r="A571" s="1">
        <v>46237</v>
      </c>
      <c r="B571">
        <v>21</v>
      </c>
      <c r="C571" t="s">
        <v>4067</v>
      </c>
      <c r="D571" t="s">
        <v>38</v>
      </c>
      <c r="E571" t="s">
        <v>47</v>
      </c>
      <c r="F571" t="s">
        <v>48</v>
      </c>
      <c r="G571" s="16">
        <v>3176.3806</v>
      </c>
      <c r="H571" t="s">
        <v>8</v>
      </c>
      <c r="I571" s="16">
        <v>2762.07</v>
      </c>
    </row>
    <row r="572" spans="1:9" x14ac:dyDescent="0.3">
      <c r="A572" s="1">
        <v>46237</v>
      </c>
      <c r="B572">
        <v>21</v>
      </c>
      <c r="C572" t="s">
        <v>9197</v>
      </c>
      <c r="D572" t="s">
        <v>2460</v>
      </c>
      <c r="E572" t="s">
        <v>2478</v>
      </c>
      <c r="F572" t="s">
        <v>2479</v>
      </c>
      <c r="G572" s="16">
        <v>685.85</v>
      </c>
      <c r="H572" t="s">
        <v>8</v>
      </c>
      <c r="I572" s="16">
        <v>685.85</v>
      </c>
    </row>
    <row r="573" spans="1:9" x14ac:dyDescent="0.3">
      <c r="A573" s="1">
        <v>46237</v>
      </c>
      <c r="B573">
        <v>21</v>
      </c>
      <c r="C573" t="s">
        <v>9078</v>
      </c>
      <c r="D573" t="s">
        <v>10</v>
      </c>
      <c r="E573" t="s">
        <v>534</v>
      </c>
      <c r="F573" t="s">
        <v>535</v>
      </c>
      <c r="G573" s="16">
        <v>129.214</v>
      </c>
      <c r="H573" t="s">
        <v>8</v>
      </c>
      <c r="I573" s="16">
        <v>112.36</v>
      </c>
    </row>
    <row r="574" spans="1:9" x14ac:dyDescent="0.3">
      <c r="A574" s="1">
        <v>46237</v>
      </c>
      <c r="B574">
        <v>21</v>
      </c>
      <c r="C574" t="s">
        <v>9199</v>
      </c>
      <c r="D574" t="s">
        <v>2460</v>
      </c>
      <c r="E574" t="s">
        <v>3132</v>
      </c>
      <c r="F574" t="s">
        <v>3133</v>
      </c>
      <c r="G574" s="16">
        <v>10684.799000000001</v>
      </c>
      <c r="H574" t="s">
        <v>8</v>
      </c>
      <c r="I574" s="16">
        <v>9291.1299999999992</v>
      </c>
    </row>
    <row r="575" spans="1:9" x14ac:dyDescent="0.3">
      <c r="A575" s="1">
        <v>46237</v>
      </c>
      <c r="B575">
        <v>21</v>
      </c>
      <c r="C575" t="s">
        <v>9143</v>
      </c>
      <c r="D575" t="s">
        <v>10</v>
      </c>
      <c r="E575" t="s">
        <v>821</v>
      </c>
      <c r="F575" t="s">
        <v>2040</v>
      </c>
      <c r="G575" s="16">
        <v>53.13</v>
      </c>
      <c r="H575" t="s">
        <v>8</v>
      </c>
      <c r="I575" s="16">
        <v>46.2</v>
      </c>
    </row>
    <row r="576" spans="1:9" x14ac:dyDescent="0.3">
      <c r="A576" s="1">
        <v>46237</v>
      </c>
      <c r="B576">
        <v>21</v>
      </c>
      <c r="C576" t="s">
        <v>9134</v>
      </c>
      <c r="D576" t="s">
        <v>10</v>
      </c>
      <c r="E576" t="s">
        <v>987</v>
      </c>
      <c r="F576" t="s">
        <v>988</v>
      </c>
      <c r="G576" s="16">
        <v>85.905000000000001</v>
      </c>
      <c r="H576" t="s">
        <v>8</v>
      </c>
      <c r="I576" s="16">
        <v>74.7</v>
      </c>
    </row>
    <row r="577" spans="1:9" x14ac:dyDescent="0.3">
      <c r="A577" s="1">
        <v>46237</v>
      </c>
      <c r="B577">
        <v>21</v>
      </c>
      <c r="C577" t="s">
        <v>9076</v>
      </c>
      <c r="D577" t="s">
        <v>10</v>
      </c>
      <c r="E577" t="s">
        <v>51</v>
      </c>
      <c r="F577" t="s">
        <v>52</v>
      </c>
      <c r="G577" s="16">
        <v>4078.038</v>
      </c>
      <c r="H577" t="s">
        <v>8</v>
      </c>
      <c r="I577" s="16">
        <v>3546.12</v>
      </c>
    </row>
    <row r="578" spans="1:9" x14ac:dyDescent="0.3">
      <c r="A578" s="1">
        <v>46237</v>
      </c>
      <c r="B578">
        <v>21</v>
      </c>
      <c r="C578" t="s">
        <v>8051</v>
      </c>
      <c r="D578" t="s">
        <v>10</v>
      </c>
      <c r="E578" t="s">
        <v>2290</v>
      </c>
      <c r="F578" t="s">
        <v>2291</v>
      </c>
      <c r="G578" s="16">
        <v>21.274999999999999</v>
      </c>
      <c r="H578" t="s">
        <v>8</v>
      </c>
      <c r="I578" s="16">
        <v>18.5</v>
      </c>
    </row>
    <row r="579" spans="1:9" x14ac:dyDescent="0.3">
      <c r="A579" s="1">
        <v>46237</v>
      </c>
      <c r="B579">
        <v>21</v>
      </c>
      <c r="C579" t="s">
        <v>8562</v>
      </c>
      <c r="D579" t="s">
        <v>10</v>
      </c>
      <c r="E579" t="s">
        <v>882</v>
      </c>
      <c r="F579" t="s">
        <v>883</v>
      </c>
      <c r="G579" s="16">
        <v>341.55</v>
      </c>
      <c r="H579" t="s">
        <v>8</v>
      </c>
      <c r="I579" s="16">
        <v>297</v>
      </c>
    </row>
    <row r="580" spans="1:9" x14ac:dyDescent="0.3">
      <c r="A580" s="1">
        <v>46237</v>
      </c>
      <c r="B580">
        <v>21</v>
      </c>
      <c r="C580" t="s">
        <v>8254</v>
      </c>
      <c r="D580" t="s">
        <v>10</v>
      </c>
      <c r="E580" t="s">
        <v>882</v>
      </c>
      <c r="F580" t="s">
        <v>883</v>
      </c>
      <c r="G580" s="16">
        <v>86.25</v>
      </c>
      <c r="H580" t="s">
        <v>8</v>
      </c>
      <c r="I580" s="16">
        <v>75</v>
      </c>
    </row>
    <row r="581" spans="1:9" x14ac:dyDescent="0.3">
      <c r="A581" s="1">
        <v>46237</v>
      </c>
      <c r="B581">
        <v>21</v>
      </c>
      <c r="C581" t="s">
        <v>9192</v>
      </c>
      <c r="D581" t="s">
        <v>10</v>
      </c>
      <c r="E581" t="s">
        <v>73</v>
      </c>
      <c r="F581" t="s">
        <v>74</v>
      </c>
      <c r="G581" s="16">
        <v>166.70894000000001</v>
      </c>
      <c r="H581" t="s">
        <v>8</v>
      </c>
      <c r="I581" s="16">
        <v>144.96430000000001</v>
      </c>
    </row>
    <row r="582" spans="1:9" x14ac:dyDescent="0.3">
      <c r="A582" s="1">
        <v>46237</v>
      </c>
      <c r="B582">
        <v>21</v>
      </c>
      <c r="C582" t="s">
        <v>11274</v>
      </c>
      <c r="D582" t="s">
        <v>2460</v>
      </c>
      <c r="E582" t="s">
        <v>615</v>
      </c>
      <c r="F582" t="s">
        <v>616</v>
      </c>
      <c r="G582" s="16">
        <v>623.29989999999998</v>
      </c>
      <c r="H582" t="s">
        <v>8</v>
      </c>
      <c r="I582" s="16">
        <v>541.99994000000004</v>
      </c>
    </row>
    <row r="583" spans="1:9" x14ac:dyDescent="0.3">
      <c r="A583" s="1">
        <v>46237</v>
      </c>
      <c r="B583">
        <v>21</v>
      </c>
      <c r="C583" t="s">
        <v>9124</v>
      </c>
      <c r="D583" t="s">
        <v>10</v>
      </c>
      <c r="E583" t="s">
        <v>882</v>
      </c>
      <c r="F583" t="s">
        <v>883</v>
      </c>
      <c r="G583" s="16">
        <v>307.05</v>
      </c>
      <c r="H583" t="s">
        <v>8</v>
      </c>
      <c r="I583" s="16">
        <v>267</v>
      </c>
    </row>
    <row r="584" spans="1:9" x14ac:dyDescent="0.3">
      <c r="A584" s="1">
        <v>46237</v>
      </c>
      <c r="B584">
        <v>21</v>
      </c>
      <c r="C584" t="s">
        <v>3097</v>
      </c>
      <c r="D584" t="s">
        <v>10</v>
      </c>
      <c r="E584" t="s">
        <v>1911</v>
      </c>
      <c r="F584" t="s">
        <v>1912</v>
      </c>
      <c r="G584" s="16">
        <v>1983.4032999999999</v>
      </c>
      <c r="H584" t="s">
        <v>8</v>
      </c>
      <c r="I584" s="16">
        <v>1724.6985</v>
      </c>
    </row>
    <row r="585" spans="1:9" x14ac:dyDescent="0.3">
      <c r="A585" s="1">
        <v>46237</v>
      </c>
      <c r="B585">
        <v>21</v>
      </c>
      <c r="C585" t="s">
        <v>9122</v>
      </c>
      <c r="D585" t="s">
        <v>10</v>
      </c>
      <c r="E585" t="s">
        <v>144</v>
      </c>
      <c r="F585" t="s">
        <v>145</v>
      </c>
      <c r="G585" s="16">
        <v>78.245999999999995</v>
      </c>
      <c r="H585" t="s">
        <v>8</v>
      </c>
      <c r="I585" s="16">
        <v>68.040000000000006</v>
      </c>
    </row>
    <row r="586" spans="1:9" x14ac:dyDescent="0.3">
      <c r="A586" s="1">
        <v>46237</v>
      </c>
      <c r="B586">
        <v>21</v>
      </c>
      <c r="C586" t="s">
        <v>8593</v>
      </c>
      <c r="D586" t="s">
        <v>10</v>
      </c>
      <c r="E586" t="s">
        <v>3773</v>
      </c>
      <c r="F586" t="s">
        <v>3774</v>
      </c>
      <c r="G586" s="16">
        <v>24148.703000000001</v>
      </c>
      <c r="H586" t="s">
        <v>8</v>
      </c>
      <c r="I586" s="16">
        <v>20998.873</v>
      </c>
    </row>
    <row r="587" spans="1:9" x14ac:dyDescent="0.3">
      <c r="A587" s="1">
        <v>46237</v>
      </c>
      <c r="B587">
        <v>21</v>
      </c>
      <c r="C587" t="s">
        <v>8566</v>
      </c>
      <c r="D587" t="s">
        <v>10</v>
      </c>
      <c r="E587" t="s">
        <v>846</v>
      </c>
      <c r="F587" t="s">
        <v>847</v>
      </c>
      <c r="G587" s="16">
        <v>448.15499999999997</v>
      </c>
      <c r="H587" t="s">
        <v>8</v>
      </c>
      <c r="I587" s="16">
        <v>389.7</v>
      </c>
    </row>
    <row r="588" spans="1:9" x14ac:dyDescent="0.3">
      <c r="A588" s="1">
        <v>46237</v>
      </c>
      <c r="B588">
        <v>21</v>
      </c>
      <c r="C588" t="s">
        <v>389</v>
      </c>
      <c r="D588" t="s">
        <v>38</v>
      </c>
      <c r="E588" t="s">
        <v>47</v>
      </c>
      <c r="F588" t="s">
        <v>48</v>
      </c>
      <c r="G588" s="16">
        <v>1039.577</v>
      </c>
      <c r="H588" t="s">
        <v>8</v>
      </c>
      <c r="I588" s="16">
        <v>903.98</v>
      </c>
    </row>
    <row r="589" spans="1:9" x14ac:dyDescent="0.3">
      <c r="A589" s="1">
        <v>46238</v>
      </c>
      <c r="B589">
        <v>20</v>
      </c>
      <c r="C589" t="s">
        <v>9256</v>
      </c>
      <c r="D589" t="s">
        <v>2460</v>
      </c>
      <c r="E589" t="s">
        <v>362</v>
      </c>
      <c r="F589" t="s">
        <v>363</v>
      </c>
      <c r="G589" s="16">
        <v>4023.85</v>
      </c>
      <c r="H589" t="s">
        <v>8</v>
      </c>
      <c r="I589" s="16">
        <v>3499</v>
      </c>
    </row>
    <row r="590" spans="1:9" x14ac:dyDescent="0.3">
      <c r="A590" s="1">
        <v>46238</v>
      </c>
      <c r="B590">
        <v>20</v>
      </c>
      <c r="C590" t="s">
        <v>6248</v>
      </c>
      <c r="D590" t="s">
        <v>38</v>
      </c>
      <c r="E590" t="s">
        <v>47</v>
      </c>
      <c r="F590" t="s">
        <v>48</v>
      </c>
      <c r="G590" s="16">
        <v>6616.4907000000003</v>
      </c>
      <c r="H590" t="s">
        <v>8</v>
      </c>
      <c r="I590" s="16">
        <v>5753.47</v>
      </c>
    </row>
    <row r="591" spans="1:9" x14ac:dyDescent="0.3">
      <c r="A591" s="1">
        <v>46238</v>
      </c>
      <c r="B591">
        <v>20</v>
      </c>
      <c r="C591" t="s">
        <v>2101</v>
      </c>
      <c r="D591" t="s">
        <v>38</v>
      </c>
      <c r="E591" t="s">
        <v>47</v>
      </c>
      <c r="F591" t="s">
        <v>48</v>
      </c>
      <c r="G591" s="16">
        <v>1650.0315000000001</v>
      </c>
      <c r="H591" t="s">
        <v>8</v>
      </c>
      <c r="I591" s="16">
        <v>1434.81</v>
      </c>
    </row>
    <row r="592" spans="1:9" x14ac:dyDescent="0.3">
      <c r="A592" s="1">
        <v>46238</v>
      </c>
      <c r="B592">
        <v>20</v>
      </c>
      <c r="C592" t="s">
        <v>11275</v>
      </c>
      <c r="D592" t="s">
        <v>2467</v>
      </c>
      <c r="E592" t="s">
        <v>75</v>
      </c>
      <c r="F592" t="s">
        <v>76</v>
      </c>
      <c r="G592" s="16">
        <v>717.87634000000003</v>
      </c>
      <c r="H592" t="s">
        <v>8</v>
      </c>
      <c r="I592" s="16">
        <v>624.24030000000005</v>
      </c>
    </row>
    <row r="593" spans="1:9" x14ac:dyDescent="0.3">
      <c r="A593" s="1">
        <v>46238</v>
      </c>
      <c r="B593">
        <v>20</v>
      </c>
      <c r="C593" t="s">
        <v>6520</v>
      </c>
      <c r="D593" t="s">
        <v>38</v>
      </c>
      <c r="E593" t="s">
        <v>47</v>
      </c>
      <c r="F593" t="s">
        <v>48</v>
      </c>
      <c r="G593" s="16">
        <v>375.00349999999997</v>
      </c>
      <c r="H593" t="s">
        <v>8</v>
      </c>
      <c r="I593" s="16">
        <v>326.08999999999997</v>
      </c>
    </row>
    <row r="594" spans="1:9" x14ac:dyDescent="0.3">
      <c r="A594" s="1">
        <v>46238</v>
      </c>
      <c r="B594">
        <v>20</v>
      </c>
      <c r="C594" t="s">
        <v>2110</v>
      </c>
      <c r="D594" t="s">
        <v>38</v>
      </c>
      <c r="E594" t="s">
        <v>47</v>
      </c>
      <c r="F594" t="s">
        <v>48</v>
      </c>
      <c r="G594" s="16">
        <v>108.008</v>
      </c>
      <c r="H594" t="s">
        <v>8</v>
      </c>
      <c r="I594" s="16">
        <v>93.92</v>
      </c>
    </row>
    <row r="595" spans="1:9" x14ac:dyDescent="0.3">
      <c r="A595" s="1">
        <v>46238</v>
      </c>
      <c r="B595">
        <v>20</v>
      </c>
      <c r="C595" t="s">
        <v>9257</v>
      </c>
      <c r="D595" t="s">
        <v>2460</v>
      </c>
      <c r="E595" t="s">
        <v>8641</v>
      </c>
      <c r="F595" t="s">
        <v>8642</v>
      </c>
      <c r="G595" s="16">
        <v>134.68799999999999</v>
      </c>
      <c r="H595" t="s">
        <v>8</v>
      </c>
      <c r="I595" s="16">
        <v>117.12</v>
      </c>
    </row>
    <row r="596" spans="1:9" x14ac:dyDescent="0.3">
      <c r="A596" s="1">
        <v>46238</v>
      </c>
      <c r="B596">
        <v>20</v>
      </c>
      <c r="C596" t="s">
        <v>4025</v>
      </c>
      <c r="D596" t="s">
        <v>38</v>
      </c>
      <c r="E596" t="s">
        <v>47</v>
      </c>
      <c r="F596" t="s">
        <v>48</v>
      </c>
      <c r="G596" s="16">
        <v>445.53300000000002</v>
      </c>
      <c r="H596" t="s">
        <v>8</v>
      </c>
      <c r="I596" s="16">
        <v>387.42</v>
      </c>
    </row>
    <row r="597" spans="1:9" x14ac:dyDescent="0.3">
      <c r="A597" s="1">
        <v>46238</v>
      </c>
      <c r="B597">
        <v>20</v>
      </c>
      <c r="C597" t="s">
        <v>8325</v>
      </c>
      <c r="D597" t="s">
        <v>38</v>
      </c>
      <c r="E597" t="s">
        <v>47</v>
      </c>
      <c r="F597" t="s">
        <v>48</v>
      </c>
      <c r="G597" s="16">
        <v>2195.3154</v>
      </c>
      <c r="H597" t="s">
        <v>8</v>
      </c>
      <c r="I597" s="16">
        <v>1908.97</v>
      </c>
    </row>
    <row r="598" spans="1:9" x14ac:dyDescent="0.3">
      <c r="A598" s="1">
        <v>46238</v>
      </c>
      <c r="B598">
        <v>20</v>
      </c>
      <c r="C598" t="s">
        <v>9255</v>
      </c>
      <c r="D598" t="s">
        <v>2460</v>
      </c>
      <c r="E598" t="s">
        <v>7645</v>
      </c>
      <c r="F598" t="s">
        <v>7646</v>
      </c>
      <c r="G598" s="16">
        <v>8190.6279999999997</v>
      </c>
      <c r="H598" t="s">
        <v>8</v>
      </c>
      <c r="I598" s="16">
        <v>7122.2849999999999</v>
      </c>
    </row>
    <row r="599" spans="1:9" x14ac:dyDescent="0.3">
      <c r="A599" s="1">
        <v>46238</v>
      </c>
      <c r="B599">
        <v>20</v>
      </c>
      <c r="C599" t="s">
        <v>9254</v>
      </c>
      <c r="D599" t="s">
        <v>2460</v>
      </c>
      <c r="E599" t="s">
        <v>173</v>
      </c>
      <c r="F599" t="s">
        <v>174</v>
      </c>
      <c r="G599" s="16">
        <v>208.38</v>
      </c>
      <c r="H599" t="s">
        <v>8</v>
      </c>
      <c r="I599" s="16">
        <v>181.2</v>
      </c>
    </row>
    <row r="600" spans="1:9" x14ac:dyDescent="0.3">
      <c r="A600" s="1">
        <v>46238</v>
      </c>
      <c r="B600">
        <v>20</v>
      </c>
      <c r="C600" t="s">
        <v>7827</v>
      </c>
      <c r="D600" t="s">
        <v>38</v>
      </c>
      <c r="E600" t="s">
        <v>47</v>
      </c>
      <c r="F600" t="s">
        <v>48</v>
      </c>
      <c r="G600" s="16">
        <v>1840.575</v>
      </c>
      <c r="H600" t="s">
        <v>8</v>
      </c>
      <c r="I600" s="16">
        <v>1600.5</v>
      </c>
    </row>
    <row r="601" spans="1:9" x14ac:dyDescent="0.3">
      <c r="A601" s="1">
        <v>46238</v>
      </c>
      <c r="B601">
        <v>20</v>
      </c>
      <c r="C601" t="s">
        <v>6989</v>
      </c>
      <c r="D601" t="s">
        <v>38</v>
      </c>
      <c r="E601" t="s">
        <v>47</v>
      </c>
      <c r="F601" t="s">
        <v>48</v>
      </c>
      <c r="G601" s="16">
        <v>108.008</v>
      </c>
      <c r="H601" t="s">
        <v>8</v>
      </c>
      <c r="I601" s="16">
        <v>93.92</v>
      </c>
    </row>
    <row r="602" spans="1:9" x14ac:dyDescent="0.3">
      <c r="A602" s="1">
        <v>46238</v>
      </c>
      <c r="B602">
        <v>20</v>
      </c>
      <c r="C602" t="s">
        <v>5543</v>
      </c>
      <c r="D602" t="s">
        <v>38</v>
      </c>
      <c r="E602" t="s">
        <v>47</v>
      </c>
      <c r="F602" t="s">
        <v>48</v>
      </c>
      <c r="G602" s="16">
        <v>6114.1934000000001</v>
      </c>
      <c r="H602" t="s">
        <v>8</v>
      </c>
      <c r="I602" s="16">
        <v>5316.69</v>
      </c>
    </row>
    <row r="603" spans="1:9" x14ac:dyDescent="0.3">
      <c r="A603" s="1">
        <v>46239</v>
      </c>
      <c r="B603">
        <v>19</v>
      </c>
      <c r="C603" t="s">
        <v>9315</v>
      </c>
      <c r="D603" t="s">
        <v>10</v>
      </c>
      <c r="E603" t="s">
        <v>3132</v>
      </c>
      <c r="F603" t="s">
        <v>3133</v>
      </c>
      <c r="G603" s="16">
        <v>11.13</v>
      </c>
      <c r="H603" t="s">
        <v>8</v>
      </c>
      <c r="I603" s="16">
        <v>9.6782599999999999</v>
      </c>
    </row>
    <row r="604" spans="1:9" x14ac:dyDescent="0.3">
      <c r="A604" s="1">
        <v>46239</v>
      </c>
      <c r="B604">
        <v>19</v>
      </c>
      <c r="C604" t="s">
        <v>4490</v>
      </c>
      <c r="D604" t="s">
        <v>10</v>
      </c>
      <c r="E604" t="s">
        <v>3132</v>
      </c>
      <c r="F604" t="s">
        <v>3133</v>
      </c>
      <c r="G604" s="16">
        <v>10099.128000000001</v>
      </c>
      <c r="H604" t="s">
        <v>8</v>
      </c>
      <c r="I604" s="16">
        <v>8781.8510000000006</v>
      </c>
    </row>
    <row r="605" spans="1:9" x14ac:dyDescent="0.3">
      <c r="A605" s="1">
        <v>46239</v>
      </c>
      <c r="B605">
        <v>19</v>
      </c>
      <c r="C605" t="s">
        <v>6816</v>
      </c>
      <c r="D605" t="s">
        <v>38</v>
      </c>
      <c r="E605" t="s">
        <v>201</v>
      </c>
      <c r="F605" t="s">
        <v>202</v>
      </c>
      <c r="G605" s="16">
        <v>101.8074</v>
      </c>
      <c r="H605" t="s">
        <v>8</v>
      </c>
      <c r="I605" s="16">
        <v>88.528180000000006</v>
      </c>
    </row>
    <row r="606" spans="1:9" x14ac:dyDescent="0.3">
      <c r="A606" s="1">
        <v>46239</v>
      </c>
      <c r="B606">
        <v>19</v>
      </c>
      <c r="C606" t="s">
        <v>9333</v>
      </c>
      <c r="D606" t="s">
        <v>2460</v>
      </c>
      <c r="E606" t="s">
        <v>8709</v>
      </c>
      <c r="F606" t="s">
        <v>8710</v>
      </c>
      <c r="G606" s="16">
        <v>8336.0625</v>
      </c>
      <c r="H606" t="s">
        <v>8</v>
      </c>
      <c r="I606" s="16">
        <v>7248.75</v>
      </c>
    </row>
    <row r="607" spans="1:9" x14ac:dyDescent="0.3">
      <c r="A607" s="1">
        <v>46239</v>
      </c>
      <c r="B607">
        <v>19</v>
      </c>
      <c r="C607" t="s">
        <v>9330</v>
      </c>
      <c r="D607" t="s">
        <v>2463</v>
      </c>
      <c r="E607" t="s">
        <v>448</v>
      </c>
      <c r="F607" t="s">
        <v>449</v>
      </c>
      <c r="G607" s="16">
        <v>603.75</v>
      </c>
      <c r="H607" t="s">
        <v>8</v>
      </c>
      <c r="I607" s="16">
        <v>525</v>
      </c>
    </row>
    <row r="608" spans="1:9" x14ac:dyDescent="0.3">
      <c r="A608" s="1">
        <v>46239</v>
      </c>
      <c r="B608">
        <v>19</v>
      </c>
      <c r="C608" t="s">
        <v>9331</v>
      </c>
      <c r="D608" t="s">
        <v>2460</v>
      </c>
      <c r="E608" t="s">
        <v>9327</v>
      </c>
      <c r="F608" t="s">
        <v>9328</v>
      </c>
      <c r="G608" s="16">
        <v>110.4</v>
      </c>
      <c r="H608" t="s">
        <v>8</v>
      </c>
      <c r="I608" s="16">
        <v>96</v>
      </c>
    </row>
    <row r="609" spans="1:9" x14ac:dyDescent="0.3">
      <c r="A609" s="1">
        <v>46239</v>
      </c>
      <c r="B609">
        <v>19</v>
      </c>
      <c r="C609" t="s">
        <v>6552</v>
      </c>
      <c r="D609" t="s">
        <v>10</v>
      </c>
      <c r="E609" t="s">
        <v>3132</v>
      </c>
      <c r="F609" t="s">
        <v>3133</v>
      </c>
      <c r="G609" s="16">
        <v>1680.0398</v>
      </c>
      <c r="H609" t="s">
        <v>8</v>
      </c>
      <c r="I609" s="16">
        <v>1460.9041999999999</v>
      </c>
    </row>
    <row r="610" spans="1:9" x14ac:dyDescent="0.3">
      <c r="A610" s="1">
        <v>46239</v>
      </c>
      <c r="B610">
        <v>19</v>
      </c>
      <c r="C610" t="s">
        <v>4603</v>
      </c>
      <c r="D610" t="s">
        <v>10</v>
      </c>
      <c r="E610" t="s">
        <v>3132</v>
      </c>
      <c r="F610" t="s">
        <v>3133</v>
      </c>
      <c r="G610" s="16">
        <v>2737.7395000000001</v>
      </c>
      <c r="H610" t="s">
        <v>8</v>
      </c>
      <c r="I610" s="16">
        <v>2380.643</v>
      </c>
    </row>
    <row r="611" spans="1:9" x14ac:dyDescent="0.3">
      <c r="A611" s="1">
        <v>46239</v>
      </c>
      <c r="B611">
        <v>19</v>
      </c>
      <c r="C611" t="s">
        <v>4435</v>
      </c>
      <c r="D611" t="s">
        <v>10</v>
      </c>
      <c r="E611" t="s">
        <v>3132</v>
      </c>
      <c r="F611" t="s">
        <v>3133</v>
      </c>
      <c r="G611" s="16">
        <v>5790.2489999999998</v>
      </c>
      <c r="H611" t="s">
        <v>8</v>
      </c>
      <c r="I611" s="16">
        <v>5034.9989999999998</v>
      </c>
    </row>
    <row r="612" spans="1:9" x14ac:dyDescent="0.3">
      <c r="A612" s="1">
        <v>46239</v>
      </c>
      <c r="B612">
        <v>19</v>
      </c>
      <c r="C612" t="s">
        <v>11276</v>
      </c>
      <c r="D612" t="s">
        <v>2463</v>
      </c>
      <c r="E612" t="s">
        <v>582</v>
      </c>
      <c r="F612" t="s">
        <v>583</v>
      </c>
      <c r="G612" s="16">
        <v>16.100000000000001</v>
      </c>
      <c r="H612" t="s">
        <v>8</v>
      </c>
      <c r="I612" s="16">
        <v>14</v>
      </c>
    </row>
    <row r="613" spans="1:9" x14ac:dyDescent="0.3">
      <c r="A613" s="1">
        <v>46239</v>
      </c>
      <c r="B613">
        <v>19</v>
      </c>
      <c r="C613" t="s">
        <v>9259</v>
      </c>
      <c r="D613" t="s">
        <v>2460</v>
      </c>
      <c r="E613" t="s">
        <v>8641</v>
      </c>
      <c r="F613" t="s">
        <v>8642</v>
      </c>
      <c r="G613" s="16">
        <v>97.52</v>
      </c>
      <c r="H613" t="s">
        <v>8</v>
      </c>
      <c r="I613" s="16">
        <v>84.8</v>
      </c>
    </row>
    <row r="614" spans="1:9" x14ac:dyDescent="0.3">
      <c r="A614" s="1">
        <v>46239</v>
      </c>
      <c r="B614">
        <v>19</v>
      </c>
      <c r="C614" t="s">
        <v>9332</v>
      </c>
      <c r="D614" t="s">
        <v>2467</v>
      </c>
      <c r="E614" t="s">
        <v>49</v>
      </c>
      <c r="F614" t="s">
        <v>50</v>
      </c>
      <c r="G614" s="16">
        <v>1769.2059999999999</v>
      </c>
      <c r="H614" t="s">
        <v>8</v>
      </c>
      <c r="I614" s="16">
        <v>1538.44</v>
      </c>
    </row>
    <row r="615" spans="1:9" x14ac:dyDescent="0.3">
      <c r="A615" s="1">
        <v>46239</v>
      </c>
      <c r="B615">
        <v>19</v>
      </c>
      <c r="C615" t="s">
        <v>7286</v>
      </c>
      <c r="D615" t="s">
        <v>10</v>
      </c>
      <c r="E615" t="s">
        <v>3132</v>
      </c>
      <c r="F615" t="s">
        <v>3133</v>
      </c>
      <c r="G615" s="16">
        <v>1361.2698</v>
      </c>
      <c r="H615" t="s">
        <v>8</v>
      </c>
      <c r="I615" s="16">
        <v>1183.7129</v>
      </c>
    </row>
    <row r="616" spans="1:9" x14ac:dyDescent="0.3">
      <c r="A616" s="1">
        <v>46239</v>
      </c>
      <c r="B616">
        <v>19</v>
      </c>
      <c r="C616" t="s">
        <v>4724</v>
      </c>
      <c r="D616" t="s">
        <v>10</v>
      </c>
      <c r="E616" t="s">
        <v>3132</v>
      </c>
      <c r="F616" t="s">
        <v>3133</v>
      </c>
      <c r="G616" s="16">
        <v>5352.7690000000002</v>
      </c>
      <c r="H616" t="s">
        <v>8</v>
      </c>
      <c r="I616" s="16">
        <v>4654.5820000000003</v>
      </c>
    </row>
    <row r="617" spans="1:9" x14ac:dyDescent="0.3">
      <c r="A617" s="1">
        <v>46239</v>
      </c>
      <c r="B617">
        <v>19</v>
      </c>
      <c r="C617" t="s">
        <v>9269</v>
      </c>
      <c r="D617" t="s">
        <v>10</v>
      </c>
      <c r="E617" t="s">
        <v>51</v>
      </c>
      <c r="F617" t="s">
        <v>52</v>
      </c>
      <c r="G617" s="16">
        <v>1192.32</v>
      </c>
      <c r="H617" t="s">
        <v>8</v>
      </c>
      <c r="I617" s="16">
        <v>1036.8</v>
      </c>
    </row>
    <row r="618" spans="1:9" x14ac:dyDescent="0.3">
      <c r="A618" s="1">
        <v>46239</v>
      </c>
      <c r="B618">
        <v>19</v>
      </c>
      <c r="C618" t="s">
        <v>9329</v>
      </c>
      <c r="D618" t="s">
        <v>2460</v>
      </c>
      <c r="E618" t="s">
        <v>9327</v>
      </c>
      <c r="F618" t="s">
        <v>9328</v>
      </c>
      <c r="G618" s="16">
        <v>4894.3999999999996</v>
      </c>
      <c r="H618" t="s">
        <v>8</v>
      </c>
      <c r="I618" s="16">
        <v>4256</v>
      </c>
    </row>
    <row r="619" spans="1:9" x14ac:dyDescent="0.3">
      <c r="A619" s="1">
        <v>46239</v>
      </c>
      <c r="B619">
        <v>19</v>
      </c>
      <c r="C619" t="s">
        <v>7157</v>
      </c>
      <c r="D619" t="s">
        <v>10</v>
      </c>
      <c r="E619" t="s">
        <v>5151</v>
      </c>
      <c r="F619" t="s">
        <v>5152</v>
      </c>
      <c r="G619" s="16">
        <v>87.906000000000006</v>
      </c>
      <c r="H619" t="s">
        <v>8</v>
      </c>
      <c r="I619" s="16">
        <v>76.44</v>
      </c>
    </row>
    <row r="620" spans="1:9" x14ac:dyDescent="0.3">
      <c r="A620" s="1">
        <v>46239</v>
      </c>
      <c r="B620">
        <v>19</v>
      </c>
      <c r="C620" t="s">
        <v>5038</v>
      </c>
      <c r="D620" t="s">
        <v>10</v>
      </c>
      <c r="E620" t="s">
        <v>3132</v>
      </c>
      <c r="F620" t="s">
        <v>3133</v>
      </c>
      <c r="G620" s="16">
        <v>3007.3292999999999</v>
      </c>
      <c r="H620" t="s">
        <v>8</v>
      </c>
      <c r="I620" s="16">
        <v>2615.069</v>
      </c>
    </row>
    <row r="621" spans="1:9" x14ac:dyDescent="0.3">
      <c r="A621" s="1">
        <v>46239</v>
      </c>
      <c r="B621">
        <v>19</v>
      </c>
      <c r="C621" t="s">
        <v>7742</v>
      </c>
      <c r="D621" t="s">
        <v>10</v>
      </c>
      <c r="E621" t="s">
        <v>3132</v>
      </c>
      <c r="F621" t="s">
        <v>3133</v>
      </c>
      <c r="G621" s="16">
        <v>156.62</v>
      </c>
      <c r="H621" t="s">
        <v>8</v>
      </c>
      <c r="I621" s="16">
        <v>136.19128000000001</v>
      </c>
    </row>
    <row r="622" spans="1:9" x14ac:dyDescent="0.3">
      <c r="A622" s="1">
        <v>46239</v>
      </c>
      <c r="B622">
        <v>19</v>
      </c>
      <c r="C622" t="s">
        <v>4859</v>
      </c>
      <c r="D622" t="s">
        <v>10</v>
      </c>
      <c r="E622" t="s">
        <v>3132</v>
      </c>
      <c r="F622" t="s">
        <v>3133</v>
      </c>
      <c r="G622" s="16">
        <v>5350.5092999999997</v>
      </c>
      <c r="H622" t="s">
        <v>8</v>
      </c>
      <c r="I622" s="16">
        <v>4652.6166999999996</v>
      </c>
    </row>
    <row r="623" spans="1:9" x14ac:dyDescent="0.3">
      <c r="A623" s="1">
        <v>46239</v>
      </c>
      <c r="B623">
        <v>19</v>
      </c>
      <c r="C623" t="s">
        <v>4263</v>
      </c>
      <c r="D623" t="s">
        <v>10</v>
      </c>
      <c r="E623" t="s">
        <v>3132</v>
      </c>
      <c r="F623" t="s">
        <v>3133</v>
      </c>
      <c r="G623" s="16">
        <v>2100.7896000000001</v>
      </c>
      <c r="H623" t="s">
        <v>8</v>
      </c>
      <c r="I623" s="16">
        <v>1826.7736</v>
      </c>
    </row>
    <row r="624" spans="1:9" x14ac:dyDescent="0.3">
      <c r="A624" s="1">
        <v>46239</v>
      </c>
      <c r="B624">
        <v>19</v>
      </c>
      <c r="C624" t="s">
        <v>8817</v>
      </c>
      <c r="D624" t="s">
        <v>38</v>
      </c>
      <c r="E624" t="s">
        <v>5151</v>
      </c>
      <c r="F624" t="s">
        <v>5152</v>
      </c>
      <c r="G624" s="16">
        <v>20.71518</v>
      </c>
      <c r="H624" t="s">
        <v>8</v>
      </c>
      <c r="I624" s="16">
        <v>18.013200000000001</v>
      </c>
    </row>
    <row r="625" spans="1:9" x14ac:dyDescent="0.3">
      <c r="A625" s="1">
        <v>46239</v>
      </c>
      <c r="B625">
        <v>19</v>
      </c>
      <c r="C625" t="s">
        <v>9309</v>
      </c>
      <c r="D625" t="s">
        <v>10</v>
      </c>
      <c r="E625" t="s">
        <v>164</v>
      </c>
      <c r="F625" t="s">
        <v>165</v>
      </c>
      <c r="G625" s="16">
        <v>198.8005</v>
      </c>
      <c r="H625" t="s">
        <v>8</v>
      </c>
      <c r="I625" s="16">
        <v>172.87</v>
      </c>
    </row>
    <row r="626" spans="1:9" x14ac:dyDescent="0.3">
      <c r="A626" s="1">
        <v>46239</v>
      </c>
      <c r="B626">
        <v>19</v>
      </c>
      <c r="C626" t="s">
        <v>5292</v>
      </c>
      <c r="D626" t="s">
        <v>10</v>
      </c>
      <c r="E626" t="s">
        <v>3132</v>
      </c>
      <c r="F626" t="s">
        <v>3133</v>
      </c>
      <c r="G626" s="16">
        <v>799.09984999999995</v>
      </c>
      <c r="H626" t="s">
        <v>8</v>
      </c>
      <c r="I626" s="16">
        <v>694.86945000000003</v>
      </c>
    </row>
    <row r="627" spans="1:9" x14ac:dyDescent="0.3">
      <c r="A627" s="1">
        <v>46240</v>
      </c>
      <c r="B627">
        <v>18</v>
      </c>
      <c r="C627" t="s">
        <v>9391</v>
      </c>
      <c r="D627" t="s">
        <v>2460</v>
      </c>
      <c r="E627" t="s">
        <v>470</v>
      </c>
      <c r="F627" t="s">
        <v>471</v>
      </c>
      <c r="G627" s="16">
        <v>77.902500000000003</v>
      </c>
      <c r="H627" t="s">
        <v>8</v>
      </c>
      <c r="I627" s="16">
        <v>77.902500000000003</v>
      </c>
    </row>
    <row r="628" spans="1:9" x14ac:dyDescent="0.3">
      <c r="A628" s="1">
        <v>46240</v>
      </c>
      <c r="B628">
        <v>18</v>
      </c>
      <c r="C628" t="s">
        <v>8380</v>
      </c>
      <c r="D628" t="s">
        <v>10</v>
      </c>
      <c r="E628" t="s">
        <v>2963</v>
      </c>
      <c r="F628" t="s">
        <v>2964</v>
      </c>
      <c r="G628" s="16">
        <v>2417.0041999999999</v>
      </c>
      <c r="H628" t="s">
        <v>8</v>
      </c>
      <c r="I628" s="16">
        <v>2101.7429999999999</v>
      </c>
    </row>
    <row r="629" spans="1:9" x14ac:dyDescent="0.3">
      <c r="A629" s="1">
        <v>46240</v>
      </c>
      <c r="B629">
        <v>18</v>
      </c>
      <c r="C629" t="s">
        <v>6547</v>
      </c>
      <c r="D629" t="s">
        <v>10</v>
      </c>
      <c r="E629" t="s">
        <v>2963</v>
      </c>
      <c r="F629" t="s">
        <v>2964</v>
      </c>
      <c r="G629" s="16">
        <v>10876.261</v>
      </c>
      <c r="H629" t="s">
        <v>8</v>
      </c>
      <c r="I629" s="16">
        <v>9457.6180000000004</v>
      </c>
    </row>
    <row r="630" spans="1:9" x14ac:dyDescent="0.3">
      <c r="A630" s="1">
        <v>46240</v>
      </c>
      <c r="B630">
        <v>18</v>
      </c>
      <c r="C630" t="s">
        <v>9390</v>
      </c>
      <c r="D630" t="s">
        <v>2467</v>
      </c>
      <c r="E630" t="s">
        <v>9200</v>
      </c>
      <c r="F630" t="s">
        <v>9201</v>
      </c>
      <c r="G630" s="16">
        <v>176.52500000000001</v>
      </c>
      <c r="H630" t="s">
        <v>8</v>
      </c>
      <c r="I630" s="16">
        <v>153.5</v>
      </c>
    </row>
    <row r="631" spans="1:9" x14ac:dyDescent="0.3">
      <c r="A631" s="1">
        <v>46240</v>
      </c>
      <c r="B631">
        <v>18</v>
      </c>
      <c r="C631" t="s">
        <v>8064</v>
      </c>
      <c r="D631" t="s">
        <v>10</v>
      </c>
      <c r="E631" t="s">
        <v>2963</v>
      </c>
      <c r="F631" t="s">
        <v>2964</v>
      </c>
      <c r="G631" s="16">
        <v>7091.5347000000002</v>
      </c>
      <c r="H631" t="s">
        <v>8</v>
      </c>
      <c r="I631" s="16">
        <v>6166.5522000000001</v>
      </c>
    </row>
    <row r="632" spans="1:9" x14ac:dyDescent="0.3">
      <c r="A632" s="1">
        <v>46240</v>
      </c>
      <c r="B632">
        <v>18</v>
      </c>
      <c r="C632" t="s">
        <v>9364</v>
      </c>
      <c r="D632" t="s">
        <v>10</v>
      </c>
      <c r="E632" t="s">
        <v>3773</v>
      </c>
      <c r="F632" t="s">
        <v>3774</v>
      </c>
      <c r="G632" s="16">
        <v>3113.328</v>
      </c>
      <c r="H632" t="s">
        <v>8</v>
      </c>
      <c r="I632" s="16">
        <v>2707.2417</v>
      </c>
    </row>
    <row r="633" spans="1:9" x14ac:dyDescent="0.3">
      <c r="A633" s="1">
        <v>46240</v>
      </c>
      <c r="B633">
        <v>18</v>
      </c>
      <c r="C633" t="s">
        <v>7056</v>
      </c>
      <c r="D633" t="s">
        <v>10</v>
      </c>
      <c r="E633" t="s">
        <v>2963</v>
      </c>
      <c r="F633" t="s">
        <v>2964</v>
      </c>
      <c r="G633" s="16">
        <v>7567.9709999999995</v>
      </c>
      <c r="H633" t="s">
        <v>8</v>
      </c>
      <c r="I633" s="16">
        <v>6580.8440000000001</v>
      </c>
    </row>
    <row r="634" spans="1:9" x14ac:dyDescent="0.3">
      <c r="A634" s="1">
        <v>46240</v>
      </c>
      <c r="B634">
        <v>18</v>
      </c>
      <c r="C634" t="s">
        <v>6470</v>
      </c>
      <c r="D634" t="s">
        <v>10</v>
      </c>
      <c r="E634" t="s">
        <v>2963</v>
      </c>
      <c r="F634" t="s">
        <v>2964</v>
      </c>
      <c r="G634" s="16">
        <v>11751.829</v>
      </c>
      <c r="H634" t="s">
        <v>8</v>
      </c>
      <c r="I634" s="16">
        <v>10218.982</v>
      </c>
    </row>
    <row r="635" spans="1:9" x14ac:dyDescent="0.3">
      <c r="A635" s="1">
        <v>46240</v>
      </c>
      <c r="B635">
        <v>18</v>
      </c>
      <c r="C635" t="s">
        <v>11277</v>
      </c>
      <c r="D635" t="s">
        <v>2463</v>
      </c>
      <c r="E635" t="s">
        <v>398</v>
      </c>
      <c r="F635" t="s">
        <v>399</v>
      </c>
      <c r="G635" s="16">
        <v>67.750020000000006</v>
      </c>
      <c r="H635" t="s">
        <v>8</v>
      </c>
      <c r="I635" s="16">
        <v>58.913060000000002</v>
      </c>
    </row>
    <row r="636" spans="1:9" x14ac:dyDescent="0.3">
      <c r="A636" s="1">
        <v>46240</v>
      </c>
      <c r="B636">
        <v>18</v>
      </c>
      <c r="C636" t="s">
        <v>8743</v>
      </c>
      <c r="D636" t="s">
        <v>10</v>
      </c>
      <c r="E636" t="s">
        <v>2963</v>
      </c>
      <c r="F636" t="s">
        <v>2964</v>
      </c>
      <c r="G636" s="16">
        <v>513.50819999999999</v>
      </c>
      <c r="H636" t="s">
        <v>8</v>
      </c>
      <c r="I636" s="16">
        <v>446.52886999999998</v>
      </c>
    </row>
    <row r="637" spans="1:9" x14ac:dyDescent="0.3">
      <c r="A637" s="1">
        <v>46240</v>
      </c>
      <c r="B637">
        <v>18</v>
      </c>
      <c r="C637" t="s">
        <v>9392</v>
      </c>
      <c r="D637" t="s">
        <v>2467</v>
      </c>
      <c r="E637" t="s">
        <v>2241</v>
      </c>
      <c r="F637" t="s">
        <v>2474</v>
      </c>
      <c r="G637" s="16">
        <v>2213.7501999999999</v>
      </c>
      <c r="H637" t="s">
        <v>8</v>
      </c>
      <c r="I637" s="16">
        <v>1925.0001999999999</v>
      </c>
    </row>
    <row r="638" spans="1:9" x14ac:dyDescent="0.3">
      <c r="A638" s="1">
        <v>46240</v>
      </c>
      <c r="B638">
        <v>18</v>
      </c>
      <c r="C638" t="s">
        <v>9338</v>
      </c>
      <c r="D638" t="s">
        <v>169</v>
      </c>
      <c r="E638" t="s">
        <v>69</v>
      </c>
      <c r="F638" t="s">
        <v>70</v>
      </c>
      <c r="G638" s="16">
        <v>7.7279999999999998</v>
      </c>
      <c r="H638" t="s">
        <v>8</v>
      </c>
      <c r="I638" s="16">
        <v>6.72</v>
      </c>
    </row>
    <row r="639" spans="1:9" x14ac:dyDescent="0.3">
      <c r="A639" s="1">
        <v>46242</v>
      </c>
      <c r="B639">
        <v>16</v>
      </c>
      <c r="C639" t="s">
        <v>9460</v>
      </c>
      <c r="D639" t="s">
        <v>10</v>
      </c>
      <c r="E639" t="s">
        <v>39</v>
      </c>
      <c r="F639" t="s">
        <v>40</v>
      </c>
      <c r="G639" s="16">
        <v>4745.4380000000001</v>
      </c>
      <c r="H639" t="s">
        <v>8</v>
      </c>
      <c r="I639" s="16">
        <v>4126.4679999999998</v>
      </c>
    </row>
    <row r="640" spans="1:9" x14ac:dyDescent="0.3">
      <c r="A640" s="1">
        <v>46242</v>
      </c>
      <c r="B640">
        <v>16</v>
      </c>
      <c r="C640" t="s">
        <v>9470</v>
      </c>
      <c r="D640" t="s">
        <v>10</v>
      </c>
      <c r="E640" t="s">
        <v>1346</v>
      </c>
      <c r="F640" t="s">
        <v>1347</v>
      </c>
      <c r="G640" s="16">
        <v>208.702</v>
      </c>
      <c r="H640" t="s">
        <v>8</v>
      </c>
      <c r="I640" s="16">
        <v>181.48</v>
      </c>
    </row>
    <row r="641" spans="1:9" x14ac:dyDescent="0.3">
      <c r="A641" s="1">
        <v>46242</v>
      </c>
      <c r="B641">
        <v>16</v>
      </c>
      <c r="C641" t="s">
        <v>9425</v>
      </c>
      <c r="D641" t="s">
        <v>10</v>
      </c>
      <c r="E641" t="s">
        <v>43</v>
      </c>
      <c r="F641" t="s">
        <v>44</v>
      </c>
      <c r="G641" s="16">
        <v>582.63599999999997</v>
      </c>
      <c r="H641" t="s">
        <v>8</v>
      </c>
      <c r="I641" s="16">
        <v>506.64</v>
      </c>
    </row>
    <row r="642" spans="1:9" x14ac:dyDescent="0.3">
      <c r="A642" s="1">
        <v>46242</v>
      </c>
      <c r="B642">
        <v>16</v>
      </c>
      <c r="C642" t="s">
        <v>9419</v>
      </c>
      <c r="D642" t="s">
        <v>10</v>
      </c>
      <c r="E642" t="s">
        <v>1722</v>
      </c>
      <c r="F642" t="s">
        <v>1723</v>
      </c>
      <c r="G642" s="16">
        <v>278.3</v>
      </c>
      <c r="H642" t="s">
        <v>8</v>
      </c>
      <c r="I642" s="16">
        <v>242</v>
      </c>
    </row>
    <row r="643" spans="1:9" x14ac:dyDescent="0.3">
      <c r="A643" s="1">
        <v>46242</v>
      </c>
      <c r="B643">
        <v>16</v>
      </c>
      <c r="C643" t="s">
        <v>9455</v>
      </c>
      <c r="D643" t="s">
        <v>10</v>
      </c>
      <c r="E643" t="s">
        <v>7245</v>
      </c>
      <c r="F643" t="s">
        <v>7246</v>
      </c>
      <c r="G643" s="16">
        <v>2825.09</v>
      </c>
      <c r="H643" t="s">
        <v>8</v>
      </c>
      <c r="I643" s="16">
        <v>2456.6</v>
      </c>
    </row>
    <row r="644" spans="1:9" x14ac:dyDescent="0.3">
      <c r="A644" s="1">
        <v>46242</v>
      </c>
      <c r="B644">
        <v>16</v>
      </c>
      <c r="C644" t="s">
        <v>9407</v>
      </c>
      <c r="D644" t="s">
        <v>10</v>
      </c>
      <c r="E644" t="s">
        <v>4877</v>
      </c>
      <c r="F644" t="s">
        <v>5340</v>
      </c>
      <c r="G644" s="16">
        <v>206.52887000000001</v>
      </c>
      <c r="H644" t="s">
        <v>8</v>
      </c>
      <c r="I644" s="16">
        <v>179.59031999999999</v>
      </c>
    </row>
    <row r="645" spans="1:9" x14ac:dyDescent="0.3">
      <c r="A645" s="1">
        <v>46242</v>
      </c>
      <c r="B645">
        <v>16</v>
      </c>
      <c r="C645" t="s">
        <v>9393</v>
      </c>
      <c r="D645" t="s">
        <v>2460</v>
      </c>
      <c r="E645" t="s">
        <v>164</v>
      </c>
      <c r="F645" t="s">
        <v>165</v>
      </c>
      <c r="G645" s="16">
        <v>434.7</v>
      </c>
      <c r="H645" t="s">
        <v>8</v>
      </c>
      <c r="I645" s="16">
        <v>378</v>
      </c>
    </row>
    <row r="646" spans="1:9" x14ac:dyDescent="0.3">
      <c r="A646" s="1">
        <v>46242</v>
      </c>
      <c r="B646">
        <v>16</v>
      </c>
      <c r="C646" t="s">
        <v>9465</v>
      </c>
      <c r="D646" t="s">
        <v>10</v>
      </c>
      <c r="E646" t="s">
        <v>102</v>
      </c>
      <c r="F646" t="s">
        <v>103</v>
      </c>
      <c r="G646" s="16">
        <v>1924.6975</v>
      </c>
      <c r="H646" t="s">
        <v>8</v>
      </c>
      <c r="I646" s="16">
        <v>1673.65</v>
      </c>
    </row>
    <row r="647" spans="1:9" x14ac:dyDescent="0.3">
      <c r="A647" s="1">
        <v>46242</v>
      </c>
      <c r="B647">
        <v>16</v>
      </c>
      <c r="C647" t="s">
        <v>9428</v>
      </c>
      <c r="D647" t="s">
        <v>10</v>
      </c>
      <c r="E647" t="s">
        <v>932</v>
      </c>
      <c r="F647" t="s">
        <v>1612</v>
      </c>
      <c r="G647" s="16">
        <v>172.5</v>
      </c>
      <c r="H647" t="s">
        <v>8</v>
      </c>
      <c r="I647" s="16">
        <v>150</v>
      </c>
    </row>
    <row r="648" spans="1:9" x14ac:dyDescent="0.3">
      <c r="A648" s="1">
        <v>46242</v>
      </c>
      <c r="B648">
        <v>16</v>
      </c>
      <c r="C648" t="s">
        <v>9451</v>
      </c>
      <c r="D648" t="s">
        <v>10</v>
      </c>
      <c r="E648" t="s">
        <v>183</v>
      </c>
      <c r="F648" t="s">
        <v>184</v>
      </c>
      <c r="G648" s="16">
        <v>362.25</v>
      </c>
      <c r="H648" t="s">
        <v>8</v>
      </c>
      <c r="I648" s="16">
        <v>315</v>
      </c>
    </row>
    <row r="649" spans="1:9" x14ac:dyDescent="0.3">
      <c r="A649" s="1">
        <v>46242</v>
      </c>
      <c r="B649">
        <v>16</v>
      </c>
      <c r="C649" t="s">
        <v>9405</v>
      </c>
      <c r="D649" t="s">
        <v>10</v>
      </c>
      <c r="E649" t="s">
        <v>69</v>
      </c>
      <c r="F649" t="s">
        <v>70</v>
      </c>
      <c r="G649" s="16">
        <v>4228.4462999999996</v>
      </c>
      <c r="H649" t="s">
        <v>8</v>
      </c>
      <c r="I649" s="16">
        <v>3676.91</v>
      </c>
    </row>
    <row r="650" spans="1:9" x14ac:dyDescent="0.3">
      <c r="A650" s="1">
        <v>46242</v>
      </c>
      <c r="B650">
        <v>16</v>
      </c>
      <c r="C650" t="s">
        <v>9431</v>
      </c>
      <c r="D650" t="s">
        <v>10</v>
      </c>
      <c r="E650" t="s">
        <v>173</v>
      </c>
      <c r="F650" t="s">
        <v>174</v>
      </c>
      <c r="G650" s="16">
        <v>31.187999999999999</v>
      </c>
      <c r="H650" t="s">
        <v>8</v>
      </c>
      <c r="I650" s="16">
        <v>27.12</v>
      </c>
    </row>
    <row r="651" spans="1:9" x14ac:dyDescent="0.3">
      <c r="A651" s="1">
        <v>46242</v>
      </c>
      <c r="B651">
        <v>16</v>
      </c>
      <c r="C651" t="s">
        <v>9402</v>
      </c>
      <c r="D651" t="s">
        <v>10</v>
      </c>
      <c r="E651" t="s">
        <v>358</v>
      </c>
      <c r="F651" t="s">
        <v>359</v>
      </c>
      <c r="G651" s="16">
        <v>178.02</v>
      </c>
      <c r="H651" t="s">
        <v>8</v>
      </c>
      <c r="I651" s="16">
        <v>154.80000000000001</v>
      </c>
    </row>
    <row r="652" spans="1:9" x14ac:dyDescent="0.3">
      <c r="A652" s="1">
        <v>46242</v>
      </c>
      <c r="B652">
        <v>16</v>
      </c>
      <c r="C652" t="s">
        <v>9384</v>
      </c>
      <c r="D652" t="s">
        <v>10</v>
      </c>
      <c r="E652" t="s">
        <v>173</v>
      </c>
      <c r="F652" t="s">
        <v>174</v>
      </c>
      <c r="G652" s="16">
        <v>3502.8654999999999</v>
      </c>
      <c r="H652" t="s">
        <v>8</v>
      </c>
      <c r="I652" s="16">
        <v>3045.97</v>
      </c>
    </row>
    <row r="653" spans="1:9" x14ac:dyDescent="0.3">
      <c r="A653" s="1">
        <v>46242</v>
      </c>
      <c r="B653">
        <v>16</v>
      </c>
      <c r="C653" t="s">
        <v>9450</v>
      </c>
      <c r="D653" t="s">
        <v>10</v>
      </c>
      <c r="E653" t="s">
        <v>79</v>
      </c>
      <c r="F653" t="s">
        <v>80</v>
      </c>
      <c r="G653" s="16">
        <v>4947.7056000000002</v>
      </c>
      <c r="H653" t="s">
        <v>8</v>
      </c>
      <c r="I653" s="16">
        <v>4302.3525</v>
      </c>
    </row>
    <row r="654" spans="1:9" x14ac:dyDescent="0.3">
      <c r="A654" s="1">
        <v>46242</v>
      </c>
      <c r="B654">
        <v>16</v>
      </c>
      <c r="C654" t="s">
        <v>9439</v>
      </c>
      <c r="D654" t="s">
        <v>10</v>
      </c>
      <c r="E654" t="s">
        <v>1743</v>
      </c>
      <c r="F654" t="s">
        <v>1744</v>
      </c>
      <c r="G654" s="16">
        <v>103.5</v>
      </c>
      <c r="H654" t="s">
        <v>8</v>
      </c>
      <c r="I654" s="16">
        <v>90</v>
      </c>
    </row>
    <row r="655" spans="1:9" x14ac:dyDescent="0.3">
      <c r="A655" s="1">
        <v>46242</v>
      </c>
      <c r="B655">
        <v>16</v>
      </c>
      <c r="C655" t="s">
        <v>9426</v>
      </c>
      <c r="D655" t="s">
        <v>10</v>
      </c>
      <c r="E655" t="s">
        <v>111</v>
      </c>
      <c r="F655" t="s">
        <v>112</v>
      </c>
      <c r="G655" s="16">
        <v>225.83124000000001</v>
      </c>
      <c r="H655" t="s">
        <v>8</v>
      </c>
      <c r="I655" s="16">
        <v>196.37497999999999</v>
      </c>
    </row>
    <row r="656" spans="1:9" x14ac:dyDescent="0.3">
      <c r="A656" s="1">
        <v>46242</v>
      </c>
      <c r="B656">
        <v>16</v>
      </c>
      <c r="C656" t="s">
        <v>9398</v>
      </c>
      <c r="D656" t="s">
        <v>10</v>
      </c>
      <c r="E656" t="s">
        <v>2283</v>
      </c>
      <c r="F656" t="s">
        <v>2284</v>
      </c>
      <c r="G656" s="16">
        <v>20.7</v>
      </c>
      <c r="H656" t="s">
        <v>8</v>
      </c>
      <c r="I656" s="16">
        <v>18</v>
      </c>
    </row>
    <row r="657" spans="1:9" x14ac:dyDescent="0.3">
      <c r="A657" s="1">
        <v>46242</v>
      </c>
      <c r="B657">
        <v>16</v>
      </c>
      <c r="C657" t="s">
        <v>9399</v>
      </c>
      <c r="D657" t="s">
        <v>10</v>
      </c>
      <c r="E657" t="s">
        <v>854</v>
      </c>
      <c r="F657" t="s">
        <v>855</v>
      </c>
      <c r="G657" s="16">
        <v>548.05640000000005</v>
      </c>
      <c r="H657" t="s">
        <v>8</v>
      </c>
      <c r="I657" s="16">
        <v>476.57080000000002</v>
      </c>
    </row>
    <row r="658" spans="1:9" x14ac:dyDescent="0.3">
      <c r="A658" s="1">
        <v>46242</v>
      </c>
      <c r="B658">
        <v>16</v>
      </c>
      <c r="C658" t="s">
        <v>9394</v>
      </c>
      <c r="D658" t="s">
        <v>2460</v>
      </c>
      <c r="E658" t="s">
        <v>2294</v>
      </c>
      <c r="F658" t="s">
        <v>2295</v>
      </c>
      <c r="G658" s="16">
        <v>172.04</v>
      </c>
      <c r="H658" t="s">
        <v>8</v>
      </c>
      <c r="I658" s="16">
        <v>149.6</v>
      </c>
    </row>
    <row r="659" spans="1:9" x14ac:dyDescent="0.3">
      <c r="A659" s="1">
        <v>46242</v>
      </c>
      <c r="B659">
        <v>16</v>
      </c>
      <c r="C659" t="s">
        <v>9432</v>
      </c>
      <c r="D659" t="s">
        <v>10</v>
      </c>
      <c r="E659" t="s">
        <v>566</v>
      </c>
      <c r="F659" t="s">
        <v>590</v>
      </c>
      <c r="G659" s="16">
        <v>86.729169999999996</v>
      </c>
      <c r="H659" t="s">
        <v>8</v>
      </c>
      <c r="I659" s="16">
        <v>75.416669999999996</v>
      </c>
    </row>
    <row r="660" spans="1:9" x14ac:dyDescent="0.3">
      <c r="A660" s="1">
        <v>46242</v>
      </c>
      <c r="B660">
        <v>16</v>
      </c>
      <c r="C660" t="s">
        <v>9413</v>
      </c>
      <c r="D660" t="s">
        <v>10</v>
      </c>
      <c r="E660" t="s">
        <v>580</v>
      </c>
      <c r="F660" t="s">
        <v>581</v>
      </c>
      <c r="G660" s="16">
        <v>621</v>
      </c>
      <c r="H660" t="s">
        <v>8</v>
      </c>
      <c r="I660" s="16">
        <v>540</v>
      </c>
    </row>
    <row r="661" spans="1:9" x14ac:dyDescent="0.3">
      <c r="A661" s="1">
        <v>46242</v>
      </c>
      <c r="B661">
        <v>16</v>
      </c>
      <c r="C661" t="s">
        <v>9404</v>
      </c>
      <c r="D661" t="s">
        <v>10</v>
      </c>
      <c r="E661" t="s">
        <v>323</v>
      </c>
      <c r="F661" t="s">
        <v>324</v>
      </c>
      <c r="G661" s="16">
        <v>188.6</v>
      </c>
      <c r="H661" t="s">
        <v>8</v>
      </c>
      <c r="I661" s="16">
        <v>164</v>
      </c>
    </row>
    <row r="662" spans="1:9" x14ac:dyDescent="0.3">
      <c r="A662" s="1">
        <v>46242</v>
      </c>
      <c r="B662">
        <v>16</v>
      </c>
      <c r="C662" t="s">
        <v>11278</v>
      </c>
      <c r="D662" t="s">
        <v>2467</v>
      </c>
      <c r="E662" t="s">
        <v>201</v>
      </c>
      <c r="F662" t="s">
        <v>202</v>
      </c>
      <c r="G662" s="16">
        <v>26.047499999999999</v>
      </c>
      <c r="H662" t="s">
        <v>8</v>
      </c>
      <c r="I662" s="16">
        <v>22.65</v>
      </c>
    </row>
    <row r="663" spans="1:9" x14ac:dyDescent="0.3">
      <c r="A663" s="1">
        <v>46242</v>
      </c>
      <c r="B663">
        <v>16</v>
      </c>
      <c r="C663" t="s">
        <v>9436</v>
      </c>
      <c r="D663" t="s">
        <v>10</v>
      </c>
      <c r="E663" t="s">
        <v>361</v>
      </c>
      <c r="F663" t="s">
        <v>7334</v>
      </c>
      <c r="G663" s="16">
        <v>5090.4750000000004</v>
      </c>
      <c r="H663" t="s">
        <v>8</v>
      </c>
      <c r="I663" s="16">
        <v>4426.5</v>
      </c>
    </row>
    <row r="664" spans="1:9" x14ac:dyDescent="0.3">
      <c r="A664" s="1">
        <v>46242</v>
      </c>
      <c r="B664">
        <v>16</v>
      </c>
      <c r="C664" t="s">
        <v>9395</v>
      </c>
      <c r="D664" t="s">
        <v>2467</v>
      </c>
      <c r="E664" t="s">
        <v>2241</v>
      </c>
      <c r="F664" t="s">
        <v>2474</v>
      </c>
      <c r="G664" s="16">
        <v>2118.2995999999998</v>
      </c>
      <c r="H664" t="s">
        <v>8</v>
      </c>
      <c r="I664" s="16">
        <v>1841.9996000000001</v>
      </c>
    </row>
    <row r="665" spans="1:9" x14ac:dyDescent="0.3">
      <c r="A665" s="1">
        <v>46242</v>
      </c>
      <c r="B665">
        <v>16</v>
      </c>
      <c r="C665" t="s">
        <v>9420</v>
      </c>
      <c r="D665" t="s">
        <v>10</v>
      </c>
      <c r="E665" t="s">
        <v>5416</v>
      </c>
      <c r="F665" t="s">
        <v>5417</v>
      </c>
      <c r="G665" s="16">
        <v>36.4</v>
      </c>
      <c r="H665" t="s">
        <v>8</v>
      </c>
      <c r="I665" s="16">
        <v>31.652170000000002</v>
      </c>
    </row>
    <row r="666" spans="1:9" x14ac:dyDescent="0.3">
      <c r="A666" s="1">
        <v>46242</v>
      </c>
      <c r="B666">
        <v>16</v>
      </c>
      <c r="C666" t="s">
        <v>9464</v>
      </c>
      <c r="D666" t="s">
        <v>10</v>
      </c>
      <c r="E666" t="s">
        <v>843</v>
      </c>
      <c r="F666" t="s">
        <v>844</v>
      </c>
      <c r="G666" s="16">
        <v>75.900000000000006</v>
      </c>
      <c r="H666" t="s">
        <v>8</v>
      </c>
      <c r="I666" s="16">
        <v>66</v>
      </c>
    </row>
    <row r="667" spans="1:9" x14ac:dyDescent="0.3">
      <c r="A667" s="1">
        <v>46242</v>
      </c>
      <c r="B667">
        <v>16</v>
      </c>
      <c r="C667" t="s">
        <v>9416</v>
      </c>
      <c r="D667" t="s">
        <v>10</v>
      </c>
      <c r="E667" t="s">
        <v>1279</v>
      </c>
      <c r="F667" t="s">
        <v>1280</v>
      </c>
      <c r="G667" s="16">
        <v>48.3</v>
      </c>
      <c r="H667" t="s">
        <v>8</v>
      </c>
      <c r="I667" s="16">
        <v>42</v>
      </c>
    </row>
    <row r="668" spans="1:9" x14ac:dyDescent="0.3">
      <c r="A668" s="1">
        <v>46242</v>
      </c>
      <c r="B668">
        <v>16</v>
      </c>
      <c r="C668" t="s">
        <v>9467</v>
      </c>
      <c r="D668" t="s">
        <v>10</v>
      </c>
      <c r="E668" t="s">
        <v>804</v>
      </c>
      <c r="F668" t="s">
        <v>805</v>
      </c>
      <c r="G668" s="16">
        <v>65.182000000000002</v>
      </c>
      <c r="H668" t="s">
        <v>8</v>
      </c>
      <c r="I668" s="16">
        <v>56.68</v>
      </c>
    </row>
    <row r="669" spans="1:9" x14ac:dyDescent="0.3">
      <c r="A669" s="1">
        <v>46242</v>
      </c>
      <c r="B669">
        <v>16</v>
      </c>
      <c r="C669" t="s">
        <v>9427</v>
      </c>
      <c r="D669" t="s">
        <v>10</v>
      </c>
      <c r="E669" t="s">
        <v>84</v>
      </c>
      <c r="F669" t="s">
        <v>85</v>
      </c>
      <c r="G669" s="16">
        <v>1021.29645</v>
      </c>
      <c r="H669" t="s">
        <v>8</v>
      </c>
      <c r="I669" s="16">
        <v>888.08385999999996</v>
      </c>
    </row>
    <row r="670" spans="1:9" x14ac:dyDescent="0.3">
      <c r="A670" s="1">
        <v>46242</v>
      </c>
      <c r="B670">
        <v>16</v>
      </c>
      <c r="C670" t="s">
        <v>9444</v>
      </c>
      <c r="D670" t="s">
        <v>10</v>
      </c>
      <c r="E670" t="s">
        <v>632</v>
      </c>
      <c r="F670" t="s">
        <v>682</v>
      </c>
      <c r="G670" s="16">
        <v>371.45</v>
      </c>
      <c r="H670" t="s">
        <v>8</v>
      </c>
      <c r="I670" s="16">
        <v>323</v>
      </c>
    </row>
    <row r="671" spans="1:9" x14ac:dyDescent="0.3">
      <c r="A671" s="1">
        <v>46242</v>
      </c>
      <c r="B671">
        <v>16</v>
      </c>
      <c r="C671" t="s">
        <v>9453</v>
      </c>
      <c r="D671" t="s">
        <v>10</v>
      </c>
      <c r="E671" t="s">
        <v>2273</v>
      </c>
      <c r="F671" t="s">
        <v>2274</v>
      </c>
      <c r="G671" s="16">
        <v>1929.3665000000001</v>
      </c>
      <c r="H671" t="s">
        <v>8</v>
      </c>
      <c r="I671" s="16">
        <v>1677.71</v>
      </c>
    </row>
    <row r="672" spans="1:9" x14ac:dyDescent="0.3">
      <c r="A672" s="1">
        <v>46243</v>
      </c>
      <c r="B672">
        <v>15</v>
      </c>
      <c r="C672" t="s">
        <v>9488</v>
      </c>
      <c r="D672" t="s">
        <v>2460</v>
      </c>
      <c r="E672" t="s">
        <v>573</v>
      </c>
      <c r="F672" t="s">
        <v>574</v>
      </c>
      <c r="G672" s="16">
        <v>1591.278</v>
      </c>
      <c r="H672" t="s">
        <v>8</v>
      </c>
      <c r="I672" s="16">
        <v>1383.72</v>
      </c>
    </row>
    <row r="673" spans="1:9" x14ac:dyDescent="0.3">
      <c r="A673" s="1">
        <v>46243</v>
      </c>
      <c r="B673">
        <v>15</v>
      </c>
      <c r="C673" t="s">
        <v>9556</v>
      </c>
      <c r="D673" t="s">
        <v>10</v>
      </c>
      <c r="E673" t="s">
        <v>118</v>
      </c>
      <c r="F673" t="s">
        <v>119</v>
      </c>
      <c r="G673" s="16">
        <v>135.125</v>
      </c>
      <c r="H673" t="s">
        <v>8</v>
      </c>
      <c r="I673" s="16">
        <v>117.5</v>
      </c>
    </row>
    <row r="674" spans="1:9" x14ac:dyDescent="0.3">
      <c r="A674" s="1">
        <v>46243</v>
      </c>
      <c r="B674">
        <v>15</v>
      </c>
      <c r="C674" t="s">
        <v>9521</v>
      </c>
      <c r="D674" t="s">
        <v>10</v>
      </c>
      <c r="E674" t="s">
        <v>197</v>
      </c>
      <c r="F674" t="s">
        <v>198</v>
      </c>
      <c r="G674" s="16">
        <v>1393.9249</v>
      </c>
      <c r="H674" t="s">
        <v>8</v>
      </c>
      <c r="I674" s="16">
        <v>1212.1086</v>
      </c>
    </row>
    <row r="675" spans="1:9" x14ac:dyDescent="0.3">
      <c r="A675" s="1">
        <v>46243</v>
      </c>
      <c r="B675">
        <v>15</v>
      </c>
      <c r="C675" t="s">
        <v>11279</v>
      </c>
      <c r="D675" t="s">
        <v>2467</v>
      </c>
      <c r="E675" t="s">
        <v>9361</v>
      </c>
      <c r="F675" t="s">
        <v>9362</v>
      </c>
      <c r="G675" s="16">
        <v>92.316999999999993</v>
      </c>
      <c r="H675" t="s">
        <v>8</v>
      </c>
      <c r="I675" s="16">
        <v>80.275660000000002</v>
      </c>
    </row>
    <row r="676" spans="1:9" x14ac:dyDescent="0.3">
      <c r="A676" s="1">
        <v>46243</v>
      </c>
      <c r="B676">
        <v>15</v>
      </c>
      <c r="C676" t="s">
        <v>9579</v>
      </c>
      <c r="D676" t="s">
        <v>10</v>
      </c>
      <c r="E676" t="s">
        <v>534</v>
      </c>
      <c r="F676" t="s">
        <v>535</v>
      </c>
      <c r="G676" s="16">
        <v>18.089500000000001</v>
      </c>
      <c r="H676" t="s">
        <v>8</v>
      </c>
      <c r="I676" s="16">
        <v>15.73</v>
      </c>
    </row>
    <row r="677" spans="1:9" x14ac:dyDescent="0.3">
      <c r="A677" s="1">
        <v>46243</v>
      </c>
      <c r="B677">
        <v>15</v>
      </c>
      <c r="C677" t="s">
        <v>9494</v>
      </c>
      <c r="D677" t="s">
        <v>10</v>
      </c>
      <c r="E677" t="s">
        <v>5199</v>
      </c>
      <c r="F677" t="s">
        <v>5200</v>
      </c>
      <c r="G677" s="16">
        <v>22.041640000000001</v>
      </c>
      <c r="H677" t="s">
        <v>8</v>
      </c>
      <c r="I677" s="16">
        <v>19.166640000000001</v>
      </c>
    </row>
    <row r="678" spans="1:9" x14ac:dyDescent="0.3">
      <c r="A678" s="1">
        <v>46243</v>
      </c>
      <c r="B678">
        <v>15</v>
      </c>
      <c r="C678" t="s">
        <v>9530</v>
      </c>
      <c r="D678" t="s">
        <v>10</v>
      </c>
      <c r="E678" t="s">
        <v>494</v>
      </c>
      <c r="F678" t="s">
        <v>495</v>
      </c>
      <c r="G678" s="16">
        <v>1032.3206</v>
      </c>
      <c r="H678" t="s">
        <v>8</v>
      </c>
      <c r="I678" s="16">
        <v>897.67</v>
      </c>
    </row>
    <row r="679" spans="1:9" x14ac:dyDescent="0.3">
      <c r="A679" s="1">
        <v>46243</v>
      </c>
      <c r="B679">
        <v>15</v>
      </c>
      <c r="C679" t="s">
        <v>9495</v>
      </c>
      <c r="D679" t="s">
        <v>10</v>
      </c>
      <c r="E679" t="s">
        <v>7129</v>
      </c>
      <c r="F679" t="s">
        <v>7130</v>
      </c>
      <c r="G679" s="16">
        <v>4.0250000000000004</v>
      </c>
      <c r="H679" t="s">
        <v>8</v>
      </c>
      <c r="I679" s="16">
        <v>3.5</v>
      </c>
    </row>
    <row r="680" spans="1:9" x14ac:dyDescent="0.3">
      <c r="A680" s="1">
        <v>46243</v>
      </c>
      <c r="B680">
        <v>15</v>
      </c>
      <c r="C680" t="s">
        <v>11280</v>
      </c>
      <c r="D680" t="s">
        <v>2460</v>
      </c>
      <c r="E680" t="s">
        <v>7129</v>
      </c>
      <c r="F680" t="s">
        <v>7130</v>
      </c>
      <c r="G680" s="16">
        <v>69</v>
      </c>
      <c r="H680" t="s">
        <v>8</v>
      </c>
      <c r="I680" s="16">
        <v>60</v>
      </c>
    </row>
    <row r="681" spans="1:9" x14ac:dyDescent="0.3">
      <c r="A681" s="1">
        <v>46243</v>
      </c>
      <c r="B681">
        <v>15</v>
      </c>
      <c r="C681" t="s">
        <v>5480</v>
      </c>
      <c r="D681" t="s">
        <v>10</v>
      </c>
      <c r="E681" t="s">
        <v>951</v>
      </c>
      <c r="F681" t="s">
        <v>952</v>
      </c>
      <c r="G681" s="16">
        <v>433.67791999999997</v>
      </c>
      <c r="H681" t="s">
        <v>8</v>
      </c>
      <c r="I681" s="16">
        <v>377.11124000000001</v>
      </c>
    </row>
    <row r="682" spans="1:9" x14ac:dyDescent="0.3">
      <c r="A682" s="1">
        <v>46243</v>
      </c>
      <c r="B682">
        <v>15</v>
      </c>
      <c r="C682" t="s">
        <v>9567</v>
      </c>
      <c r="D682" t="s">
        <v>10</v>
      </c>
      <c r="E682" t="s">
        <v>843</v>
      </c>
      <c r="F682" t="s">
        <v>844</v>
      </c>
      <c r="G682" s="16">
        <v>37.950000000000003</v>
      </c>
      <c r="H682" t="s">
        <v>8</v>
      </c>
      <c r="I682" s="16">
        <v>33</v>
      </c>
    </row>
    <row r="683" spans="1:9" x14ac:dyDescent="0.3">
      <c r="A683" s="1">
        <v>46243</v>
      </c>
      <c r="B683">
        <v>15</v>
      </c>
      <c r="C683" t="s">
        <v>9581</v>
      </c>
      <c r="D683" t="s">
        <v>10</v>
      </c>
      <c r="E683" t="s">
        <v>2963</v>
      </c>
      <c r="F683" t="s">
        <v>2964</v>
      </c>
      <c r="G683" s="16">
        <v>755.01819999999998</v>
      </c>
      <c r="H683" t="s">
        <v>8</v>
      </c>
      <c r="I683" s="16">
        <v>656.5376</v>
      </c>
    </row>
    <row r="684" spans="1:9" x14ac:dyDescent="0.3">
      <c r="A684" s="1">
        <v>46243</v>
      </c>
      <c r="B684">
        <v>15</v>
      </c>
      <c r="C684" t="s">
        <v>9486</v>
      </c>
      <c r="D684" t="s">
        <v>2463</v>
      </c>
      <c r="E684" t="s">
        <v>8397</v>
      </c>
      <c r="F684" t="s">
        <v>8398</v>
      </c>
      <c r="G684" s="16">
        <v>1194.7349999999999</v>
      </c>
      <c r="H684" t="s">
        <v>8</v>
      </c>
      <c r="I684" s="16">
        <v>1038.9000000000001</v>
      </c>
    </row>
    <row r="685" spans="1:9" x14ac:dyDescent="0.3">
      <c r="A685" s="1">
        <v>46243</v>
      </c>
      <c r="B685">
        <v>15</v>
      </c>
      <c r="C685" t="s">
        <v>9487</v>
      </c>
      <c r="D685" t="s">
        <v>2460</v>
      </c>
      <c r="E685" t="s">
        <v>7129</v>
      </c>
      <c r="F685" t="s">
        <v>7130</v>
      </c>
      <c r="G685" s="16">
        <v>113.85</v>
      </c>
      <c r="H685" t="s">
        <v>8</v>
      </c>
      <c r="I685" s="16">
        <v>99</v>
      </c>
    </row>
    <row r="686" spans="1:9" x14ac:dyDescent="0.3">
      <c r="A686" s="1">
        <v>46243</v>
      </c>
      <c r="B686">
        <v>15</v>
      </c>
      <c r="C686" t="s">
        <v>11281</v>
      </c>
      <c r="D686" t="s">
        <v>2460</v>
      </c>
      <c r="E686" t="s">
        <v>569</v>
      </c>
      <c r="F686" t="s">
        <v>570</v>
      </c>
      <c r="G686" s="16">
        <v>378</v>
      </c>
      <c r="H686" t="s">
        <v>8</v>
      </c>
      <c r="I686" s="16">
        <v>328.69565</v>
      </c>
    </row>
    <row r="687" spans="1:9" x14ac:dyDescent="0.3">
      <c r="A687" s="1">
        <v>46243</v>
      </c>
      <c r="B687">
        <v>15</v>
      </c>
      <c r="C687" t="s">
        <v>9568</v>
      </c>
      <c r="D687" t="s">
        <v>10</v>
      </c>
      <c r="E687" t="s">
        <v>5416</v>
      </c>
      <c r="F687" t="s">
        <v>5417</v>
      </c>
      <c r="G687" s="16">
        <v>36.4</v>
      </c>
      <c r="H687" t="s">
        <v>8</v>
      </c>
      <c r="I687" s="16">
        <v>31.652170000000002</v>
      </c>
    </row>
    <row r="688" spans="1:9" x14ac:dyDescent="0.3">
      <c r="A688" s="1">
        <v>46243</v>
      </c>
      <c r="B688">
        <v>15</v>
      </c>
      <c r="C688" t="s">
        <v>7806</v>
      </c>
      <c r="D688" t="s">
        <v>10</v>
      </c>
      <c r="E688" t="s">
        <v>951</v>
      </c>
      <c r="F688" t="s">
        <v>952</v>
      </c>
      <c r="G688" s="16">
        <v>11.97438</v>
      </c>
      <c r="H688" t="s">
        <v>8</v>
      </c>
      <c r="I688" s="16">
        <v>10.4125</v>
      </c>
    </row>
    <row r="689" spans="1:9" x14ac:dyDescent="0.3">
      <c r="A689" s="1">
        <v>46243</v>
      </c>
      <c r="B689">
        <v>15</v>
      </c>
      <c r="C689" t="s">
        <v>11282</v>
      </c>
      <c r="D689" t="s">
        <v>10</v>
      </c>
      <c r="E689" t="s">
        <v>1424</v>
      </c>
      <c r="F689" t="s">
        <v>1425</v>
      </c>
      <c r="G689" s="16">
        <v>88.55</v>
      </c>
      <c r="H689" t="s">
        <v>8</v>
      </c>
      <c r="I689" s="16">
        <v>77</v>
      </c>
    </row>
    <row r="690" spans="1:9" x14ac:dyDescent="0.3">
      <c r="A690" s="1">
        <v>46243</v>
      </c>
      <c r="B690">
        <v>15</v>
      </c>
      <c r="C690" t="s">
        <v>9499</v>
      </c>
      <c r="D690" t="s">
        <v>10</v>
      </c>
      <c r="E690" t="s">
        <v>931</v>
      </c>
      <c r="F690" t="s">
        <v>1767</v>
      </c>
      <c r="G690" s="16">
        <v>4600.1035000000002</v>
      </c>
      <c r="H690" t="s">
        <v>8</v>
      </c>
      <c r="I690" s="16">
        <v>4000.09</v>
      </c>
    </row>
    <row r="691" spans="1:9" x14ac:dyDescent="0.3">
      <c r="A691" s="1">
        <v>46243</v>
      </c>
      <c r="B691">
        <v>15</v>
      </c>
      <c r="C691" t="s">
        <v>9582</v>
      </c>
      <c r="D691" t="s">
        <v>10</v>
      </c>
      <c r="E691" t="s">
        <v>67</v>
      </c>
      <c r="F691" t="s">
        <v>68</v>
      </c>
      <c r="G691" s="16">
        <v>262.79413</v>
      </c>
      <c r="H691" t="s">
        <v>8</v>
      </c>
      <c r="I691" s="16">
        <v>228.51665</v>
      </c>
    </row>
    <row r="692" spans="1:9" x14ac:dyDescent="0.3">
      <c r="A692" s="1">
        <v>46243</v>
      </c>
      <c r="B692">
        <v>15</v>
      </c>
      <c r="C692" t="s">
        <v>9571</v>
      </c>
      <c r="D692" t="s">
        <v>10</v>
      </c>
      <c r="E692" t="s">
        <v>177</v>
      </c>
      <c r="F692" t="s">
        <v>178</v>
      </c>
      <c r="G692" s="16">
        <v>655.45399999999995</v>
      </c>
      <c r="H692" t="s">
        <v>8</v>
      </c>
      <c r="I692" s="16">
        <v>569.96</v>
      </c>
    </row>
    <row r="693" spans="1:9" x14ac:dyDescent="0.3">
      <c r="A693" s="1">
        <v>46243</v>
      </c>
      <c r="B693">
        <v>15</v>
      </c>
      <c r="C693" t="s">
        <v>9594</v>
      </c>
      <c r="D693" t="s">
        <v>10</v>
      </c>
      <c r="E693" t="s">
        <v>173</v>
      </c>
      <c r="F693" t="s">
        <v>174</v>
      </c>
      <c r="G693" s="16">
        <v>2616.6179999999999</v>
      </c>
      <c r="H693" t="s">
        <v>8</v>
      </c>
      <c r="I693" s="16">
        <v>2275.3200000000002</v>
      </c>
    </row>
    <row r="694" spans="1:9" x14ac:dyDescent="0.3">
      <c r="A694" s="1">
        <v>46243</v>
      </c>
      <c r="B694">
        <v>15</v>
      </c>
      <c r="C694" t="s">
        <v>9593</v>
      </c>
      <c r="D694" t="s">
        <v>10</v>
      </c>
      <c r="E694" t="s">
        <v>69</v>
      </c>
      <c r="F694" t="s">
        <v>70</v>
      </c>
      <c r="G694" s="16">
        <v>6045.8145000000004</v>
      </c>
      <c r="H694" t="s">
        <v>8</v>
      </c>
      <c r="I694" s="16">
        <v>5257.23</v>
      </c>
    </row>
    <row r="695" spans="1:9" x14ac:dyDescent="0.3">
      <c r="A695" s="1">
        <v>46243</v>
      </c>
      <c r="B695">
        <v>15</v>
      </c>
      <c r="C695" t="s">
        <v>9066</v>
      </c>
      <c r="D695" t="s">
        <v>10</v>
      </c>
      <c r="E695" t="s">
        <v>931</v>
      </c>
      <c r="F695" t="s">
        <v>1767</v>
      </c>
      <c r="G695" s="16">
        <v>870.14750000000004</v>
      </c>
      <c r="H695" t="s">
        <v>8</v>
      </c>
      <c r="I695" s="16">
        <v>756.65</v>
      </c>
    </row>
    <row r="696" spans="1:9" x14ac:dyDescent="0.3">
      <c r="A696" s="1">
        <v>46243</v>
      </c>
      <c r="B696">
        <v>15</v>
      </c>
      <c r="C696" t="s">
        <v>9502</v>
      </c>
      <c r="D696" t="s">
        <v>10</v>
      </c>
      <c r="E696" t="s">
        <v>65</v>
      </c>
      <c r="F696" t="s">
        <v>66</v>
      </c>
      <c r="G696" s="16">
        <v>479.61962999999997</v>
      </c>
      <c r="H696" t="s">
        <v>8</v>
      </c>
      <c r="I696" s="16">
        <v>417.06054999999998</v>
      </c>
    </row>
    <row r="697" spans="1:9" x14ac:dyDescent="0.3">
      <c r="A697" s="1">
        <v>46243</v>
      </c>
      <c r="B697">
        <v>15</v>
      </c>
      <c r="C697" t="s">
        <v>11283</v>
      </c>
      <c r="D697" t="s">
        <v>2467</v>
      </c>
      <c r="E697" t="s">
        <v>356</v>
      </c>
      <c r="F697" t="s">
        <v>357</v>
      </c>
      <c r="G697" s="16">
        <v>566.97875999999997</v>
      </c>
      <c r="H697" t="s">
        <v>8</v>
      </c>
      <c r="I697" s="16">
        <v>493.02499999999998</v>
      </c>
    </row>
    <row r="698" spans="1:9" x14ac:dyDescent="0.3">
      <c r="A698" s="1">
        <v>46243</v>
      </c>
      <c r="B698">
        <v>15</v>
      </c>
      <c r="C698" t="s">
        <v>9526</v>
      </c>
      <c r="D698" t="s">
        <v>10</v>
      </c>
      <c r="E698" t="s">
        <v>22</v>
      </c>
      <c r="F698" t="s">
        <v>23</v>
      </c>
      <c r="G698" s="16">
        <v>8828.5499999999993</v>
      </c>
      <c r="H698" t="s">
        <v>8</v>
      </c>
      <c r="I698" s="16">
        <v>7677</v>
      </c>
    </row>
    <row r="699" spans="1:9" x14ac:dyDescent="0.3">
      <c r="A699" s="1">
        <v>46243</v>
      </c>
      <c r="B699">
        <v>15</v>
      </c>
      <c r="C699" t="s">
        <v>9528</v>
      </c>
      <c r="D699" t="s">
        <v>10</v>
      </c>
      <c r="E699" t="s">
        <v>25</v>
      </c>
      <c r="F699" t="s">
        <v>26</v>
      </c>
      <c r="G699" s="16">
        <v>130.06755000000001</v>
      </c>
      <c r="H699" t="s">
        <v>8</v>
      </c>
      <c r="I699" s="16">
        <v>113.10222</v>
      </c>
    </row>
    <row r="700" spans="1:9" x14ac:dyDescent="0.3">
      <c r="A700" s="1">
        <v>46243</v>
      </c>
      <c r="B700">
        <v>15</v>
      </c>
      <c r="C700" t="s">
        <v>9557</v>
      </c>
      <c r="D700" t="s">
        <v>10</v>
      </c>
      <c r="E700" t="s">
        <v>53</v>
      </c>
      <c r="F700" t="s">
        <v>54</v>
      </c>
      <c r="G700" s="16">
        <v>411.26873999999998</v>
      </c>
      <c r="H700" t="s">
        <v>8</v>
      </c>
      <c r="I700" s="16">
        <v>357.625</v>
      </c>
    </row>
    <row r="701" spans="1:9" x14ac:dyDescent="0.3">
      <c r="A701" s="1">
        <v>46243</v>
      </c>
      <c r="B701">
        <v>15</v>
      </c>
      <c r="C701" t="s">
        <v>6921</v>
      </c>
      <c r="D701" t="s">
        <v>10</v>
      </c>
      <c r="E701" t="s">
        <v>951</v>
      </c>
      <c r="F701" t="s">
        <v>952</v>
      </c>
      <c r="G701" s="16">
        <v>161.71732</v>
      </c>
      <c r="H701" t="s">
        <v>8</v>
      </c>
      <c r="I701" s="16">
        <v>140.62375</v>
      </c>
    </row>
    <row r="702" spans="1:9" x14ac:dyDescent="0.3">
      <c r="A702" s="1">
        <v>46243</v>
      </c>
      <c r="B702">
        <v>15</v>
      </c>
      <c r="C702" t="s">
        <v>9519</v>
      </c>
      <c r="D702" t="s">
        <v>10</v>
      </c>
      <c r="E702" t="s">
        <v>188</v>
      </c>
      <c r="F702" t="s">
        <v>189</v>
      </c>
      <c r="G702" s="16">
        <v>256.59375</v>
      </c>
      <c r="H702" t="s">
        <v>8</v>
      </c>
      <c r="I702" s="16">
        <v>223.125</v>
      </c>
    </row>
    <row r="703" spans="1:9" x14ac:dyDescent="0.3">
      <c r="A703" s="1">
        <v>46243</v>
      </c>
      <c r="B703">
        <v>15</v>
      </c>
      <c r="C703" t="s">
        <v>8828</v>
      </c>
      <c r="D703" t="s">
        <v>38</v>
      </c>
      <c r="E703" t="s">
        <v>643</v>
      </c>
      <c r="F703" t="s">
        <v>644</v>
      </c>
      <c r="G703" s="16">
        <v>554.875</v>
      </c>
      <c r="H703" t="s">
        <v>8</v>
      </c>
      <c r="I703" s="16">
        <v>482.5</v>
      </c>
    </row>
    <row r="704" spans="1:9" x14ac:dyDescent="0.3">
      <c r="A704" s="1">
        <v>46243</v>
      </c>
      <c r="B704">
        <v>15</v>
      </c>
      <c r="C704" t="s">
        <v>9489</v>
      </c>
      <c r="D704" t="s">
        <v>2460</v>
      </c>
      <c r="E704" t="s">
        <v>9462</v>
      </c>
      <c r="F704" t="s">
        <v>9463</v>
      </c>
      <c r="G704" s="16">
        <v>1746.85</v>
      </c>
      <c r="H704" t="s">
        <v>8</v>
      </c>
      <c r="I704" s="16">
        <v>1519</v>
      </c>
    </row>
    <row r="705" spans="1:9" x14ac:dyDescent="0.3">
      <c r="A705" s="1">
        <v>46243</v>
      </c>
      <c r="B705">
        <v>15</v>
      </c>
      <c r="C705" t="s">
        <v>9522</v>
      </c>
      <c r="D705" t="s">
        <v>10</v>
      </c>
      <c r="E705" t="s">
        <v>151</v>
      </c>
      <c r="F705" t="s">
        <v>152</v>
      </c>
      <c r="G705" s="16">
        <v>1938.5349000000001</v>
      </c>
      <c r="H705" t="s">
        <v>8</v>
      </c>
      <c r="I705" s="16">
        <v>1685.6824999999999</v>
      </c>
    </row>
    <row r="706" spans="1:9" x14ac:dyDescent="0.3">
      <c r="A706" s="1">
        <v>46243</v>
      </c>
      <c r="B706">
        <v>15</v>
      </c>
      <c r="C706" t="s">
        <v>9501</v>
      </c>
      <c r="D706" t="s">
        <v>10</v>
      </c>
      <c r="E706" t="s">
        <v>804</v>
      </c>
      <c r="F706" t="s">
        <v>805</v>
      </c>
      <c r="G706" s="16">
        <v>85.238</v>
      </c>
      <c r="H706" t="s">
        <v>8</v>
      </c>
      <c r="I706" s="16">
        <v>74.12</v>
      </c>
    </row>
    <row r="707" spans="1:9" x14ac:dyDescent="0.3">
      <c r="A707" s="1">
        <v>46243</v>
      </c>
      <c r="B707">
        <v>15</v>
      </c>
      <c r="C707" t="s">
        <v>9339</v>
      </c>
      <c r="D707" t="s">
        <v>169</v>
      </c>
      <c r="E707" t="s">
        <v>356</v>
      </c>
      <c r="F707" t="s">
        <v>357</v>
      </c>
      <c r="G707" s="16">
        <v>65.78</v>
      </c>
      <c r="H707" t="s">
        <v>8</v>
      </c>
      <c r="I707" s="16">
        <v>57.2</v>
      </c>
    </row>
    <row r="708" spans="1:9" x14ac:dyDescent="0.3">
      <c r="A708" s="1">
        <v>46243</v>
      </c>
      <c r="B708">
        <v>15</v>
      </c>
      <c r="C708" t="s">
        <v>9590</v>
      </c>
      <c r="D708" t="s">
        <v>2460</v>
      </c>
      <c r="E708" t="s">
        <v>9591</v>
      </c>
      <c r="F708" t="s">
        <v>9592</v>
      </c>
      <c r="G708" s="16">
        <v>90.85</v>
      </c>
      <c r="H708" t="s">
        <v>8</v>
      </c>
      <c r="I708" s="16">
        <v>79</v>
      </c>
    </row>
    <row r="709" spans="1:9" x14ac:dyDescent="0.3">
      <c r="A709" s="1">
        <v>46243</v>
      </c>
      <c r="B709">
        <v>15</v>
      </c>
      <c r="C709" t="s">
        <v>9524</v>
      </c>
      <c r="D709" t="s">
        <v>10</v>
      </c>
      <c r="E709" t="s">
        <v>6178</v>
      </c>
      <c r="F709" t="s">
        <v>6261</v>
      </c>
      <c r="G709" s="16">
        <v>60.95</v>
      </c>
      <c r="H709" t="s">
        <v>8</v>
      </c>
      <c r="I709" s="16">
        <v>53</v>
      </c>
    </row>
    <row r="710" spans="1:9" x14ac:dyDescent="0.3">
      <c r="A710" s="1">
        <v>46243</v>
      </c>
      <c r="B710">
        <v>15</v>
      </c>
      <c r="C710" t="s">
        <v>9562</v>
      </c>
      <c r="D710" t="s">
        <v>10</v>
      </c>
      <c r="E710" t="s">
        <v>128</v>
      </c>
      <c r="F710" t="s">
        <v>129</v>
      </c>
      <c r="G710" s="16">
        <v>998.61400000000003</v>
      </c>
      <c r="H710" t="s">
        <v>8</v>
      </c>
      <c r="I710" s="16">
        <v>868.36</v>
      </c>
    </row>
    <row r="711" spans="1:9" x14ac:dyDescent="0.3">
      <c r="A711" s="1">
        <v>46243</v>
      </c>
      <c r="B711">
        <v>15</v>
      </c>
      <c r="C711" t="s">
        <v>9577</v>
      </c>
      <c r="D711" t="s">
        <v>10</v>
      </c>
      <c r="E711" t="s">
        <v>2166</v>
      </c>
      <c r="F711" t="s">
        <v>2167</v>
      </c>
      <c r="G711" s="16">
        <v>1894.6414</v>
      </c>
      <c r="H711" t="s">
        <v>8</v>
      </c>
      <c r="I711" s="16">
        <v>1647.5142000000001</v>
      </c>
    </row>
    <row r="712" spans="1:9" x14ac:dyDescent="0.3">
      <c r="A712" s="1">
        <v>46243</v>
      </c>
      <c r="B712">
        <v>15</v>
      </c>
      <c r="C712" t="s">
        <v>7408</v>
      </c>
      <c r="D712" t="s">
        <v>10</v>
      </c>
      <c r="E712" t="s">
        <v>951</v>
      </c>
      <c r="F712" t="s">
        <v>952</v>
      </c>
      <c r="G712" s="16">
        <v>11.73</v>
      </c>
      <c r="H712" t="s">
        <v>8</v>
      </c>
      <c r="I712" s="16">
        <v>10.199999999999999</v>
      </c>
    </row>
    <row r="713" spans="1:9" x14ac:dyDescent="0.3">
      <c r="A713" s="1">
        <v>46243</v>
      </c>
      <c r="B713">
        <v>15</v>
      </c>
      <c r="C713" t="s">
        <v>9507</v>
      </c>
      <c r="D713" t="s">
        <v>10</v>
      </c>
      <c r="E713" t="s">
        <v>79</v>
      </c>
      <c r="F713" t="s">
        <v>80</v>
      </c>
      <c r="G713" s="16">
        <v>167.93978999999999</v>
      </c>
      <c r="H713" t="s">
        <v>8</v>
      </c>
      <c r="I713" s="16">
        <v>146.03460000000001</v>
      </c>
    </row>
    <row r="714" spans="1:9" x14ac:dyDescent="0.3">
      <c r="A714" s="1">
        <v>46243</v>
      </c>
      <c r="B714">
        <v>15</v>
      </c>
      <c r="C714" t="s">
        <v>9510</v>
      </c>
      <c r="D714" t="s">
        <v>10</v>
      </c>
      <c r="E714" t="s">
        <v>173</v>
      </c>
      <c r="F714" t="s">
        <v>174</v>
      </c>
      <c r="G714" s="16">
        <v>2939.2734</v>
      </c>
      <c r="H714" t="s">
        <v>8</v>
      </c>
      <c r="I714" s="16">
        <v>2555.89</v>
      </c>
    </row>
    <row r="715" spans="1:9" x14ac:dyDescent="0.3">
      <c r="A715" s="1">
        <v>46243</v>
      </c>
      <c r="B715">
        <v>15</v>
      </c>
      <c r="C715" t="s">
        <v>9493</v>
      </c>
      <c r="D715" t="s">
        <v>169</v>
      </c>
      <c r="E715" t="s">
        <v>356</v>
      </c>
      <c r="F715" t="s">
        <v>357</v>
      </c>
      <c r="G715" s="16">
        <v>4.3125</v>
      </c>
      <c r="H715" t="s">
        <v>8</v>
      </c>
      <c r="I715" s="16">
        <v>3.75</v>
      </c>
    </row>
    <row r="716" spans="1:9" x14ac:dyDescent="0.3">
      <c r="A716" s="1">
        <v>46243</v>
      </c>
      <c r="B716">
        <v>15</v>
      </c>
      <c r="C716" t="s">
        <v>9584</v>
      </c>
      <c r="D716" t="s">
        <v>10</v>
      </c>
      <c r="E716" t="s">
        <v>128</v>
      </c>
      <c r="F716" t="s">
        <v>129</v>
      </c>
      <c r="G716" s="16">
        <v>11.454000000000001</v>
      </c>
      <c r="H716" t="s">
        <v>8</v>
      </c>
      <c r="I716" s="16">
        <v>9.9600000000000009</v>
      </c>
    </row>
    <row r="717" spans="1:9" x14ac:dyDescent="0.3">
      <c r="A717" s="1">
        <v>46244</v>
      </c>
      <c r="B717">
        <v>14</v>
      </c>
      <c r="C717" t="s">
        <v>9607</v>
      </c>
      <c r="D717" t="s">
        <v>10</v>
      </c>
      <c r="E717" t="s">
        <v>710</v>
      </c>
      <c r="F717" t="s">
        <v>711</v>
      </c>
      <c r="G717" s="16">
        <v>859.00400000000002</v>
      </c>
      <c r="H717" t="s">
        <v>8</v>
      </c>
      <c r="I717" s="16">
        <v>746.96</v>
      </c>
    </row>
    <row r="718" spans="1:9" x14ac:dyDescent="0.3">
      <c r="A718" s="1">
        <v>46244</v>
      </c>
      <c r="B718">
        <v>14</v>
      </c>
      <c r="C718" t="s">
        <v>9637</v>
      </c>
      <c r="D718" t="s">
        <v>10</v>
      </c>
      <c r="E718" t="s">
        <v>1024</v>
      </c>
      <c r="F718" t="s">
        <v>1025</v>
      </c>
      <c r="G718" s="16">
        <v>155.42250000000001</v>
      </c>
      <c r="H718" t="s">
        <v>8</v>
      </c>
      <c r="I718" s="16">
        <v>135.15</v>
      </c>
    </row>
    <row r="719" spans="1:9" x14ac:dyDescent="0.3">
      <c r="A719" s="1">
        <v>46244</v>
      </c>
      <c r="B719">
        <v>14</v>
      </c>
      <c r="C719" t="s">
        <v>9604</v>
      </c>
      <c r="D719" t="s">
        <v>38</v>
      </c>
      <c r="E719" t="s">
        <v>75</v>
      </c>
      <c r="F719" t="s">
        <v>76</v>
      </c>
      <c r="G719" s="16">
        <v>2020.4865</v>
      </c>
      <c r="H719" t="s">
        <v>8</v>
      </c>
      <c r="I719" s="16">
        <v>1756.9447</v>
      </c>
    </row>
    <row r="720" spans="1:9" x14ac:dyDescent="0.3">
      <c r="A720" s="1">
        <v>46244</v>
      </c>
      <c r="B720">
        <v>14</v>
      </c>
      <c r="C720" t="s">
        <v>9657</v>
      </c>
      <c r="D720" t="s">
        <v>10</v>
      </c>
      <c r="E720" t="s">
        <v>69</v>
      </c>
      <c r="F720" t="s">
        <v>70</v>
      </c>
      <c r="G720" s="16">
        <v>5571.7960000000003</v>
      </c>
      <c r="H720" t="s">
        <v>8</v>
      </c>
      <c r="I720" s="16">
        <v>4845.04</v>
      </c>
    </row>
    <row r="721" spans="1:9" x14ac:dyDescent="0.3">
      <c r="A721" s="1">
        <v>46244</v>
      </c>
      <c r="B721">
        <v>14</v>
      </c>
      <c r="C721" t="s">
        <v>9017</v>
      </c>
      <c r="D721" t="s">
        <v>10</v>
      </c>
      <c r="E721" t="s">
        <v>634</v>
      </c>
      <c r="F721" t="s">
        <v>659</v>
      </c>
      <c r="G721" s="16">
        <v>210.85249999999999</v>
      </c>
      <c r="H721" t="s">
        <v>8</v>
      </c>
      <c r="I721" s="16">
        <v>183.35</v>
      </c>
    </row>
    <row r="722" spans="1:9" x14ac:dyDescent="0.3">
      <c r="A722" s="1">
        <v>46244</v>
      </c>
      <c r="B722">
        <v>14</v>
      </c>
      <c r="C722" t="s">
        <v>9609</v>
      </c>
      <c r="D722" t="s">
        <v>38</v>
      </c>
      <c r="E722" t="s">
        <v>75</v>
      </c>
      <c r="F722" t="s">
        <v>76</v>
      </c>
      <c r="G722" s="16">
        <v>1932.6392000000001</v>
      </c>
      <c r="H722" t="s">
        <v>8</v>
      </c>
      <c r="I722" s="16">
        <v>1680.5558000000001</v>
      </c>
    </row>
    <row r="723" spans="1:9" x14ac:dyDescent="0.3">
      <c r="A723" s="1">
        <v>46244</v>
      </c>
      <c r="B723">
        <v>14</v>
      </c>
      <c r="C723" t="s">
        <v>9634</v>
      </c>
      <c r="D723" t="s">
        <v>10</v>
      </c>
      <c r="E723" t="s">
        <v>373</v>
      </c>
      <c r="F723" t="s">
        <v>374</v>
      </c>
      <c r="G723" s="16">
        <v>2747.7804999999998</v>
      </c>
      <c r="H723" t="s">
        <v>8</v>
      </c>
      <c r="I723" s="16">
        <v>2389.3744999999999</v>
      </c>
    </row>
    <row r="724" spans="1:9" x14ac:dyDescent="0.3">
      <c r="A724" s="1">
        <v>46244</v>
      </c>
      <c r="B724">
        <v>14</v>
      </c>
      <c r="C724" t="s">
        <v>7217</v>
      </c>
      <c r="D724" t="s">
        <v>10</v>
      </c>
      <c r="E724" t="s">
        <v>5199</v>
      </c>
      <c r="F724" t="s">
        <v>5200</v>
      </c>
      <c r="G724" s="16">
        <v>220.41637</v>
      </c>
      <c r="H724" t="s">
        <v>8</v>
      </c>
      <c r="I724" s="16">
        <v>191.66640000000001</v>
      </c>
    </row>
    <row r="725" spans="1:9" x14ac:dyDescent="0.3">
      <c r="A725" s="1">
        <v>46244</v>
      </c>
      <c r="B725">
        <v>14</v>
      </c>
      <c r="C725" t="s">
        <v>9692</v>
      </c>
      <c r="D725" t="s">
        <v>10</v>
      </c>
      <c r="E725" t="s">
        <v>7131</v>
      </c>
      <c r="F725" t="s">
        <v>7132</v>
      </c>
      <c r="G725" s="16">
        <v>310.5</v>
      </c>
      <c r="H725" t="s">
        <v>8</v>
      </c>
      <c r="I725" s="16">
        <v>270</v>
      </c>
    </row>
    <row r="726" spans="1:9" x14ac:dyDescent="0.3">
      <c r="A726" s="1">
        <v>46244</v>
      </c>
      <c r="B726">
        <v>14</v>
      </c>
      <c r="C726" t="s">
        <v>11284</v>
      </c>
      <c r="D726" t="s">
        <v>2460</v>
      </c>
      <c r="E726" t="s">
        <v>9591</v>
      </c>
      <c r="F726" t="s">
        <v>9592</v>
      </c>
      <c r="G726" s="16">
        <v>1922.8</v>
      </c>
      <c r="H726" t="s">
        <v>8</v>
      </c>
      <c r="I726" s="16">
        <v>1672</v>
      </c>
    </row>
    <row r="727" spans="1:9" x14ac:dyDescent="0.3">
      <c r="A727" s="1">
        <v>46244</v>
      </c>
      <c r="B727">
        <v>14</v>
      </c>
      <c r="C727" t="s">
        <v>9685</v>
      </c>
      <c r="D727" t="s">
        <v>2463</v>
      </c>
      <c r="E727" t="s">
        <v>508</v>
      </c>
      <c r="F727" t="s">
        <v>509</v>
      </c>
      <c r="G727" s="16">
        <v>1380</v>
      </c>
      <c r="H727" t="s">
        <v>8</v>
      </c>
      <c r="I727" s="16">
        <v>1200</v>
      </c>
    </row>
    <row r="728" spans="1:9" x14ac:dyDescent="0.3">
      <c r="A728" s="1">
        <v>46244</v>
      </c>
      <c r="B728">
        <v>14</v>
      </c>
      <c r="C728" t="s">
        <v>9606</v>
      </c>
      <c r="D728" t="s">
        <v>10</v>
      </c>
      <c r="E728" t="s">
        <v>987</v>
      </c>
      <c r="F728" t="s">
        <v>988</v>
      </c>
      <c r="G728" s="16">
        <v>213.9</v>
      </c>
      <c r="H728" t="s">
        <v>8</v>
      </c>
      <c r="I728" s="16">
        <v>186</v>
      </c>
    </row>
    <row r="729" spans="1:9" x14ac:dyDescent="0.3">
      <c r="A729" s="1">
        <v>46244</v>
      </c>
      <c r="B729">
        <v>14</v>
      </c>
      <c r="C729" t="s">
        <v>11285</v>
      </c>
      <c r="D729" t="s">
        <v>10</v>
      </c>
      <c r="E729" t="s">
        <v>7001</v>
      </c>
      <c r="F729" t="s">
        <v>7002</v>
      </c>
      <c r="G729" s="16">
        <v>154.376</v>
      </c>
      <c r="H729" t="s">
        <v>8</v>
      </c>
      <c r="I729" s="16">
        <v>134.24</v>
      </c>
    </row>
    <row r="730" spans="1:9" x14ac:dyDescent="0.3">
      <c r="A730" s="1">
        <v>46244</v>
      </c>
      <c r="B730">
        <v>14</v>
      </c>
      <c r="C730" t="s">
        <v>9641</v>
      </c>
      <c r="D730" t="s">
        <v>10</v>
      </c>
      <c r="E730" t="s">
        <v>73</v>
      </c>
      <c r="F730" t="s">
        <v>74</v>
      </c>
      <c r="G730" s="16">
        <v>782.45</v>
      </c>
      <c r="H730" t="s">
        <v>8</v>
      </c>
      <c r="I730" s="16">
        <v>680.3913</v>
      </c>
    </row>
    <row r="731" spans="1:9" x14ac:dyDescent="0.3">
      <c r="A731" s="1">
        <v>46244</v>
      </c>
      <c r="B731">
        <v>14</v>
      </c>
      <c r="C731" t="s">
        <v>9691</v>
      </c>
      <c r="D731" t="s">
        <v>10</v>
      </c>
      <c r="E731" t="s">
        <v>804</v>
      </c>
      <c r="F731" t="s">
        <v>805</v>
      </c>
      <c r="G731" s="16">
        <v>127.857</v>
      </c>
      <c r="H731" t="s">
        <v>8</v>
      </c>
      <c r="I731" s="16">
        <v>111.18</v>
      </c>
    </row>
    <row r="732" spans="1:9" x14ac:dyDescent="0.3">
      <c r="A732" s="1">
        <v>46244</v>
      </c>
      <c r="B732">
        <v>14</v>
      </c>
      <c r="C732" t="s">
        <v>9635</v>
      </c>
      <c r="D732" t="s">
        <v>10</v>
      </c>
      <c r="E732" t="s">
        <v>325</v>
      </c>
      <c r="F732" t="s">
        <v>326</v>
      </c>
      <c r="G732" s="16">
        <v>415.15</v>
      </c>
      <c r="H732" t="s">
        <v>8</v>
      </c>
      <c r="I732" s="16">
        <v>361</v>
      </c>
    </row>
    <row r="733" spans="1:9" x14ac:dyDescent="0.3">
      <c r="A733" s="1">
        <v>46244</v>
      </c>
      <c r="B733">
        <v>14</v>
      </c>
      <c r="C733" t="s">
        <v>9636</v>
      </c>
      <c r="D733" t="s">
        <v>10</v>
      </c>
      <c r="E733" t="s">
        <v>9055</v>
      </c>
      <c r="F733" t="s">
        <v>9056</v>
      </c>
      <c r="G733" s="16">
        <v>63.25</v>
      </c>
      <c r="H733" t="s">
        <v>8</v>
      </c>
      <c r="I733" s="16">
        <v>55</v>
      </c>
    </row>
    <row r="734" spans="1:9" x14ac:dyDescent="0.3">
      <c r="A734" s="1">
        <v>46244</v>
      </c>
      <c r="B734">
        <v>14</v>
      </c>
      <c r="C734" t="s">
        <v>9684</v>
      </c>
      <c r="D734" t="s">
        <v>2460</v>
      </c>
      <c r="E734" t="s">
        <v>2289</v>
      </c>
      <c r="F734" t="s">
        <v>5554</v>
      </c>
      <c r="G734" s="16">
        <v>248.4</v>
      </c>
      <c r="H734" t="s">
        <v>8</v>
      </c>
      <c r="I734" s="16">
        <v>216</v>
      </c>
    </row>
    <row r="735" spans="1:9" x14ac:dyDescent="0.3">
      <c r="A735" s="1">
        <v>46244</v>
      </c>
      <c r="B735">
        <v>14</v>
      </c>
      <c r="C735" t="s">
        <v>9631</v>
      </c>
      <c r="D735" t="s">
        <v>38</v>
      </c>
      <c r="E735" t="s">
        <v>75</v>
      </c>
      <c r="F735" t="s">
        <v>76</v>
      </c>
      <c r="G735" s="16">
        <v>1669.0974000000001</v>
      </c>
      <c r="H735" t="s">
        <v>8</v>
      </c>
      <c r="I735" s="16">
        <v>1451.3892000000001</v>
      </c>
    </row>
    <row r="736" spans="1:9" x14ac:dyDescent="0.3">
      <c r="A736" s="1">
        <v>46244</v>
      </c>
      <c r="B736">
        <v>14</v>
      </c>
      <c r="C736" t="s">
        <v>8798</v>
      </c>
      <c r="D736" t="s">
        <v>38</v>
      </c>
      <c r="E736" t="s">
        <v>508</v>
      </c>
      <c r="F736" t="s">
        <v>509</v>
      </c>
      <c r="G736" s="16">
        <v>299.03449999999998</v>
      </c>
      <c r="H736" t="s">
        <v>8</v>
      </c>
      <c r="I736" s="16">
        <v>260.02999999999997</v>
      </c>
    </row>
    <row r="737" spans="1:9" x14ac:dyDescent="0.3">
      <c r="A737" s="1">
        <v>46244</v>
      </c>
      <c r="B737">
        <v>14</v>
      </c>
      <c r="C737" t="s">
        <v>11286</v>
      </c>
      <c r="D737" t="s">
        <v>2460</v>
      </c>
      <c r="E737" t="s">
        <v>567</v>
      </c>
      <c r="F737" t="s">
        <v>568</v>
      </c>
      <c r="G737" s="16">
        <v>449.53293000000002</v>
      </c>
      <c r="H737" t="s">
        <v>8</v>
      </c>
      <c r="I737" s="16">
        <v>390.89819999999997</v>
      </c>
    </row>
    <row r="738" spans="1:9" x14ac:dyDescent="0.3">
      <c r="A738" s="1">
        <v>46244</v>
      </c>
      <c r="B738">
        <v>14</v>
      </c>
      <c r="C738" t="s">
        <v>9603</v>
      </c>
      <c r="D738" t="s">
        <v>38</v>
      </c>
      <c r="E738" t="s">
        <v>886</v>
      </c>
      <c r="F738" t="s">
        <v>887</v>
      </c>
      <c r="G738" s="16">
        <v>15126.743</v>
      </c>
      <c r="H738" t="s">
        <v>8</v>
      </c>
      <c r="I738" s="16">
        <v>13153.69</v>
      </c>
    </row>
    <row r="739" spans="1:9" x14ac:dyDescent="0.3">
      <c r="A739" s="1">
        <v>46244</v>
      </c>
      <c r="B739">
        <v>14</v>
      </c>
      <c r="C739" t="s">
        <v>6896</v>
      </c>
      <c r="D739" t="s">
        <v>10</v>
      </c>
      <c r="E739" t="s">
        <v>957</v>
      </c>
      <c r="F739" t="s">
        <v>958</v>
      </c>
      <c r="G739" s="16">
        <v>17.713190000000001</v>
      </c>
      <c r="H739" t="s">
        <v>8</v>
      </c>
      <c r="I739" s="16">
        <v>15.40277</v>
      </c>
    </row>
    <row r="740" spans="1:9" x14ac:dyDescent="0.3">
      <c r="A740" s="1">
        <v>46244</v>
      </c>
      <c r="B740">
        <v>14</v>
      </c>
      <c r="C740" t="s">
        <v>9600</v>
      </c>
      <c r="D740" t="s">
        <v>10</v>
      </c>
      <c r="E740" t="s">
        <v>5199</v>
      </c>
      <c r="F740" t="s">
        <v>5200</v>
      </c>
      <c r="G740" s="16">
        <v>135.00502</v>
      </c>
      <c r="H740" t="s">
        <v>8</v>
      </c>
      <c r="I740" s="16">
        <v>117.39567</v>
      </c>
    </row>
    <row r="741" spans="1:9" x14ac:dyDescent="0.3">
      <c r="A741" s="1">
        <v>46244</v>
      </c>
      <c r="B741">
        <v>14</v>
      </c>
      <c r="C741" t="s">
        <v>9656</v>
      </c>
      <c r="D741" t="s">
        <v>10</v>
      </c>
      <c r="E741" t="s">
        <v>8988</v>
      </c>
      <c r="F741" t="s">
        <v>8989</v>
      </c>
      <c r="G741" s="16">
        <v>35.65</v>
      </c>
      <c r="H741" t="s">
        <v>8</v>
      </c>
      <c r="I741" s="16">
        <v>31</v>
      </c>
    </row>
    <row r="742" spans="1:9" x14ac:dyDescent="0.3">
      <c r="A742" s="1">
        <v>46244</v>
      </c>
      <c r="B742">
        <v>14</v>
      </c>
      <c r="C742" t="s">
        <v>9643</v>
      </c>
      <c r="D742" t="s">
        <v>10</v>
      </c>
      <c r="E742" t="s">
        <v>183</v>
      </c>
      <c r="F742" t="s">
        <v>184</v>
      </c>
      <c r="G742" s="16">
        <v>64.400000000000006</v>
      </c>
      <c r="H742" t="s">
        <v>8</v>
      </c>
      <c r="I742" s="16">
        <v>56</v>
      </c>
    </row>
    <row r="743" spans="1:9" x14ac:dyDescent="0.3">
      <c r="A743" s="1">
        <v>46244</v>
      </c>
      <c r="B743">
        <v>14</v>
      </c>
      <c r="C743" t="s">
        <v>9682</v>
      </c>
      <c r="D743" t="s">
        <v>2460</v>
      </c>
      <c r="E743" t="s">
        <v>362</v>
      </c>
      <c r="F743" t="s">
        <v>363</v>
      </c>
      <c r="G743" s="16">
        <v>442.75</v>
      </c>
      <c r="H743" t="s">
        <v>8</v>
      </c>
      <c r="I743" s="16">
        <v>385</v>
      </c>
    </row>
    <row r="744" spans="1:9" x14ac:dyDescent="0.3">
      <c r="A744" s="1">
        <v>46244</v>
      </c>
      <c r="B744">
        <v>14</v>
      </c>
      <c r="C744" t="s">
        <v>9658</v>
      </c>
      <c r="D744" t="s">
        <v>10</v>
      </c>
      <c r="E744" t="s">
        <v>39</v>
      </c>
      <c r="F744" t="s">
        <v>40</v>
      </c>
      <c r="G744" s="16">
        <v>4598.1859999999997</v>
      </c>
      <c r="H744" t="s">
        <v>8</v>
      </c>
      <c r="I744" s="16">
        <v>3998.4225999999999</v>
      </c>
    </row>
    <row r="745" spans="1:9" x14ac:dyDescent="0.3">
      <c r="A745" s="1">
        <v>46244</v>
      </c>
      <c r="B745">
        <v>14</v>
      </c>
      <c r="C745" t="s">
        <v>9679</v>
      </c>
      <c r="D745" t="s">
        <v>2463</v>
      </c>
      <c r="E745" t="s">
        <v>111</v>
      </c>
      <c r="F745" t="s">
        <v>112</v>
      </c>
      <c r="G745" s="16">
        <v>190.89994999999999</v>
      </c>
      <c r="H745" t="s">
        <v>8</v>
      </c>
      <c r="I745" s="16">
        <v>165.99995000000001</v>
      </c>
    </row>
    <row r="746" spans="1:9" x14ac:dyDescent="0.3">
      <c r="A746" s="1">
        <v>46244</v>
      </c>
      <c r="B746">
        <v>14</v>
      </c>
      <c r="C746" t="s">
        <v>9629</v>
      </c>
      <c r="D746" t="s">
        <v>10</v>
      </c>
      <c r="E746" t="s">
        <v>173</v>
      </c>
      <c r="F746" t="s">
        <v>174</v>
      </c>
      <c r="G746" s="16">
        <v>2301.7595000000001</v>
      </c>
      <c r="H746" t="s">
        <v>8</v>
      </c>
      <c r="I746" s="16">
        <v>2001.53</v>
      </c>
    </row>
    <row r="747" spans="1:9" x14ac:dyDescent="0.3">
      <c r="A747" s="1">
        <v>46244</v>
      </c>
      <c r="B747">
        <v>14</v>
      </c>
      <c r="C747" t="s">
        <v>9613</v>
      </c>
      <c r="D747" t="s">
        <v>10</v>
      </c>
      <c r="E747" t="s">
        <v>9055</v>
      </c>
      <c r="F747" t="s">
        <v>9056</v>
      </c>
      <c r="G747" s="16">
        <v>59.8</v>
      </c>
      <c r="H747" t="s">
        <v>8</v>
      </c>
      <c r="I747" s="16">
        <v>52</v>
      </c>
    </row>
    <row r="748" spans="1:9" x14ac:dyDescent="0.3">
      <c r="A748" s="1">
        <v>46244</v>
      </c>
      <c r="B748">
        <v>14</v>
      </c>
      <c r="C748" t="s">
        <v>11287</v>
      </c>
      <c r="D748" t="s">
        <v>2460</v>
      </c>
      <c r="E748" t="s">
        <v>911</v>
      </c>
      <c r="F748" t="s">
        <v>912</v>
      </c>
      <c r="G748" s="16">
        <v>110.4</v>
      </c>
      <c r="H748" t="s">
        <v>8</v>
      </c>
      <c r="I748" s="16">
        <v>96</v>
      </c>
    </row>
    <row r="749" spans="1:9" x14ac:dyDescent="0.3">
      <c r="A749" s="1">
        <v>46244</v>
      </c>
      <c r="B749">
        <v>14</v>
      </c>
      <c r="C749" t="s">
        <v>9645</v>
      </c>
      <c r="D749" t="s">
        <v>10</v>
      </c>
      <c r="E749" t="s">
        <v>5293</v>
      </c>
      <c r="F749" t="s">
        <v>5294</v>
      </c>
      <c r="G749" s="16">
        <v>4.0709999999999997</v>
      </c>
      <c r="H749" t="s">
        <v>8</v>
      </c>
      <c r="I749" s="16">
        <v>3.54</v>
      </c>
    </row>
    <row r="750" spans="1:9" x14ac:dyDescent="0.3">
      <c r="A750" s="1">
        <v>46244</v>
      </c>
      <c r="B750">
        <v>14</v>
      </c>
      <c r="C750" t="s">
        <v>9633</v>
      </c>
      <c r="D750" t="s">
        <v>10</v>
      </c>
      <c r="E750" t="s">
        <v>531</v>
      </c>
      <c r="F750" t="s">
        <v>532</v>
      </c>
      <c r="G750" s="16">
        <v>46</v>
      </c>
      <c r="H750" t="s">
        <v>8</v>
      </c>
      <c r="I750" s="16">
        <v>40</v>
      </c>
    </row>
    <row r="751" spans="1:9" x14ac:dyDescent="0.3">
      <c r="A751" s="1">
        <v>46244</v>
      </c>
      <c r="B751">
        <v>14</v>
      </c>
      <c r="C751" t="s">
        <v>9683</v>
      </c>
      <c r="D751" t="s">
        <v>2460</v>
      </c>
      <c r="E751" t="s">
        <v>615</v>
      </c>
      <c r="F751" t="s">
        <v>616</v>
      </c>
      <c r="G751" s="16">
        <v>235.22114999999999</v>
      </c>
      <c r="H751" t="s">
        <v>8</v>
      </c>
      <c r="I751" s="16">
        <v>204.54012</v>
      </c>
    </row>
    <row r="752" spans="1:9" x14ac:dyDescent="0.3">
      <c r="A752" s="1">
        <v>46244</v>
      </c>
      <c r="B752">
        <v>14</v>
      </c>
      <c r="C752" t="s">
        <v>9680</v>
      </c>
      <c r="D752" t="s">
        <v>2460</v>
      </c>
      <c r="E752" t="s">
        <v>769</v>
      </c>
      <c r="F752" t="s">
        <v>770</v>
      </c>
      <c r="G752" s="16">
        <v>372.6</v>
      </c>
      <c r="H752" t="s">
        <v>8</v>
      </c>
      <c r="I752" s="16">
        <v>324</v>
      </c>
    </row>
    <row r="753" spans="1:9" x14ac:dyDescent="0.3">
      <c r="A753" s="1">
        <v>46244</v>
      </c>
      <c r="B753">
        <v>14</v>
      </c>
      <c r="C753" t="s">
        <v>9681</v>
      </c>
      <c r="D753" t="s">
        <v>2460</v>
      </c>
      <c r="E753" t="s">
        <v>111</v>
      </c>
      <c r="F753" t="s">
        <v>112</v>
      </c>
      <c r="G753" s="16">
        <v>801.54989999999998</v>
      </c>
      <c r="H753" t="s">
        <v>8</v>
      </c>
      <c r="I753" s="16">
        <v>696.99994000000004</v>
      </c>
    </row>
    <row r="754" spans="1:9" x14ac:dyDescent="0.3">
      <c r="A754" s="1">
        <v>46245</v>
      </c>
      <c r="B754">
        <v>13</v>
      </c>
      <c r="C754" t="s">
        <v>9711</v>
      </c>
      <c r="D754" t="s">
        <v>38</v>
      </c>
      <c r="E754" t="s">
        <v>812</v>
      </c>
      <c r="F754" t="s">
        <v>2394</v>
      </c>
      <c r="G754" s="16">
        <v>3990.5</v>
      </c>
      <c r="H754" t="s">
        <v>8</v>
      </c>
      <c r="I754" s="16">
        <v>3470</v>
      </c>
    </row>
    <row r="755" spans="1:9" x14ac:dyDescent="0.3">
      <c r="A755" s="1">
        <v>46245</v>
      </c>
      <c r="B755">
        <v>13</v>
      </c>
      <c r="C755" t="s">
        <v>9771</v>
      </c>
      <c r="D755" t="s">
        <v>2460</v>
      </c>
      <c r="E755" t="s">
        <v>9595</v>
      </c>
      <c r="F755" t="s">
        <v>9768</v>
      </c>
      <c r="G755" s="16">
        <v>98.400899999999993</v>
      </c>
      <c r="H755" t="s">
        <v>8</v>
      </c>
      <c r="I755" s="16">
        <v>85.566000000000003</v>
      </c>
    </row>
    <row r="756" spans="1:9" x14ac:dyDescent="0.3">
      <c r="A756" s="1">
        <v>46245</v>
      </c>
      <c r="B756">
        <v>13</v>
      </c>
      <c r="C756" t="s">
        <v>9004</v>
      </c>
      <c r="D756" t="s">
        <v>10</v>
      </c>
      <c r="E756" t="s">
        <v>2943</v>
      </c>
      <c r="F756" t="s">
        <v>2944</v>
      </c>
      <c r="G756" s="16">
        <v>554.05849999999998</v>
      </c>
      <c r="H756" t="s">
        <v>8</v>
      </c>
      <c r="I756" s="16">
        <v>481.79</v>
      </c>
    </row>
    <row r="757" spans="1:9" x14ac:dyDescent="0.3">
      <c r="A757" s="1">
        <v>46245</v>
      </c>
      <c r="B757">
        <v>13</v>
      </c>
      <c r="C757" t="s">
        <v>9693</v>
      </c>
      <c r="D757" t="s">
        <v>10</v>
      </c>
      <c r="E757" t="s">
        <v>562</v>
      </c>
      <c r="F757" t="s">
        <v>563</v>
      </c>
      <c r="G757" s="16">
        <v>4882.6625999999997</v>
      </c>
      <c r="H757" t="s">
        <v>8</v>
      </c>
      <c r="I757" s="16">
        <v>4245.7934999999998</v>
      </c>
    </row>
    <row r="758" spans="1:9" x14ac:dyDescent="0.3">
      <c r="A758" s="1">
        <v>46245</v>
      </c>
      <c r="B758">
        <v>13</v>
      </c>
      <c r="C758" t="s">
        <v>8549</v>
      </c>
      <c r="D758" t="s">
        <v>10</v>
      </c>
      <c r="E758" t="s">
        <v>49</v>
      </c>
      <c r="F758" t="s">
        <v>50</v>
      </c>
      <c r="G758" s="16">
        <v>898.58699999999999</v>
      </c>
      <c r="H758" t="s">
        <v>8</v>
      </c>
      <c r="I758" s="16">
        <v>781.38</v>
      </c>
    </row>
    <row r="759" spans="1:9" x14ac:dyDescent="0.3">
      <c r="A759" s="1">
        <v>46245</v>
      </c>
      <c r="B759">
        <v>13</v>
      </c>
      <c r="C759" t="s">
        <v>9708</v>
      </c>
      <c r="D759" t="s">
        <v>38</v>
      </c>
      <c r="E759" t="s">
        <v>69</v>
      </c>
      <c r="F759" t="s">
        <v>70</v>
      </c>
      <c r="G759" s="16">
        <v>18310.678</v>
      </c>
      <c r="H759" t="s">
        <v>8</v>
      </c>
      <c r="I759" s="16">
        <v>15922.329</v>
      </c>
    </row>
    <row r="760" spans="1:9" x14ac:dyDescent="0.3">
      <c r="A760" s="1">
        <v>46245</v>
      </c>
      <c r="B760">
        <v>13</v>
      </c>
      <c r="C760" t="s">
        <v>9773</v>
      </c>
      <c r="D760" t="s">
        <v>2460</v>
      </c>
      <c r="E760" t="s">
        <v>9483</v>
      </c>
      <c r="F760" t="s">
        <v>9484</v>
      </c>
      <c r="G760" s="16">
        <v>5007.1000000000004</v>
      </c>
      <c r="H760" t="s">
        <v>8</v>
      </c>
      <c r="I760" s="16">
        <v>4354</v>
      </c>
    </row>
    <row r="761" spans="1:9" x14ac:dyDescent="0.3">
      <c r="A761" s="1">
        <v>46245</v>
      </c>
      <c r="B761">
        <v>13</v>
      </c>
      <c r="C761" t="s">
        <v>9707</v>
      </c>
      <c r="D761" t="s">
        <v>38</v>
      </c>
      <c r="E761" t="s">
        <v>69</v>
      </c>
      <c r="F761" t="s">
        <v>70</v>
      </c>
      <c r="G761" s="16">
        <v>178.53749999999999</v>
      </c>
      <c r="H761" t="s">
        <v>8</v>
      </c>
      <c r="I761" s="16">
        <v>155.25</v>
      </c>
    </row>
    <row r="762" spans="1:9" x14ac:dyDescent="0.3">
      <c r="A762" s="1">
        <v>46245</v>
      </c>
      <c r="B762">
        <v>13</v>
      </c>
      <c r="C762" t="s">
        <v>8563</v>
      </c>
      <c r="D762" t="s">
        <v>10</v>
      </c>
      <c r="E762" t="s">
        <v>2943</v>
      </c>
      <c r="F762" t="s">
        <v>2944</v>
      </c>
      <c r="G762" s="16">
        <v>255.49549999999999</v>
      </c>
      <c r="H762" t="s">
        <v>8</v>
      </c>
      <c r="I762" s="16">
        <v>222.17</v>
      </c>
    </row>
    <row r="763" spans="1:9" x14ac:dyDescent="0.3">
      <c r="A763" s="1">
        <v>46245</v>
      </c>
      <c r="B763">
        <v>13</v>
      </c>
      <c r="C763" t="s">
        <v>7893</v>
      </c>
      <c r="D763" t="s">
        <v>38</v>
      </c>
      <c r="E763" t="s">
        <v>126</v>
      </c>
      <c r="F763" t="s">
        <v>127</v>
      </c>
      <c r="G763" s="16">
        <v>312.28043000000002</v>
      </c>
      <c r="H763" t="s">
        <v>8</v>
      </c>
      <c r="I763" s="16">
        <v>271.54820000000001</v>
      </c>
    </row>
    <row r="764" spans="1:9" x14ac:dyDescent="0.3">
      <c r="A764" s="1">
        <v>46245</v>
      </c>
      <c r="B764">
        <v>13</v>
      </c>
      <c r="C764" t="s">
        <v>9738</v>
      </c>
      <c r="D764" t="s">
        <v>38</v>
      </c>
      <c r="E764" t="s">
        <v>358</v>
      </c>
      <c r="F764" t="s">
        <v>359</v>
      </c>
      <c r="G764" s="16">
        <v>103.21250000000001</v>
      </c>
      <c r="H764" t="s">
        <v>8</v>
      </c>
      <c r="I764" s="16">
        <v>89.75</v>
      </c>
    </row>
    <row r="765" spans="1:9" x14ac:dyDescent="0.3">
      <c r="A765" s="1">
        <v>46245</v>
      </c>
      <c r="B765">
        <v>13</v>
      </c>
      <c r="C765" t="s">
        <v>8943</v>
      </c>
      <c r="D765" t="s">
        <v>10</v>
      </c>
      <c r="E765" t="s">
        <v>49</v>
      </c>
      <c r="F765" t="s">
        <v>50</v>
      </c>
      <c r="G765" s="16">
        <v>1617.1415</v>
      </c>
      <c r="H765" t="s">
        <v>8</v>
      </c>
      <c r="I765" s="16">
        <v>1406.21</v>
      </c>
    </row>
    <row r="766" spans="1:9" x14ac:dyDescent="0.3">
      <c r="A766" s="1">
        <v>46245</v>
      </c>
      <c r="B766">
        <v>13</v>
      </c>
      <c r="C766" t="s">
        <v>9756</v>
      </c>
      <c r="D766" t="s">
        <v>38</v>
      </c>
      <c r="E766" t="s">
        <v>4364</v>
      </c>
      <c r="F766" t="s">
        <v>4542</v>
      </c>
      <c r="G766" s="16">
        <v>8109.8</v>
      </c>
      <c r="H766" t="s">
        <v>8</v>
      </c>
      <c r="I766" s="16">
        <v>7052</v>
      </c>
    </row>
    <row r="767" spans="1:9" x14ac:dyDescent="0.3">
      <c r="A767" s="1">
        <v>46245</v>
      </c>
      <c r="B767">
        <v>13</v>
      </c>
      <c r="C767" t="s">
        <v>9500</v>
      </c>
      <c r="D767" t="s">
        <v>10</v>
      </c>
      <c r="E767" t="s">
        <v>2943</v>
      </c>
      <c r="F767" t="s">
        <v>2944</v>
      </c>
      <c r="G767" s="16">
        <v>929.10799999999995</v>
      </c>
      <c r="H767" t="s">
        <v>8</v>
      </c>
      <c r="I767" s="16">
        <v>807.92</v>
      </c>
    </row>
    <row r="768" spans="1:9" x14ac:dyDescent="0.3">
      <c r="A768" s="1">
        <v>46245</v>
      </c>
      <c r="B768">
        <v>13</v>
      </c>
      <c r="C768" t="s">
        <v>9714</v>
      </c>
      <c r="D768" t="s">
        <v>38</v>
      </c>
      <c r="E768" t="s">
        <v>5007</v>
      </c>
      <c r="F768" t="s">
        <v>5008</v>
      </c>
      <c r="G768" s="16">
        <v>403.18884000000003</v>
      </c>
      <c r="H768" t="s">
        <v>8</v>
      </c>
      <c r="I768" s="16">
        <v>350.59899999999999</v>
      </c>
    </row>
    <row r="769" spans="1:9" x14ac:dyDescent="0.3">
      <c r="A769" s="1">
        <v>46245</v>
      </c>
      <c r="B769">
        <v>13</v>
      </c>
      <c r="C769" t="s">
        <v>7147</v>
      </c>
      <c r="D769" t="s">
        <v>10</v>
      </c>
      <c r="E769" t="s">
        <v>2970</v>
      </c>
      <c r="F769" t="s">
        <v>2971</v>
      </c>
      <c r="G769" s="16">
        <v>136.49809999999999</v>
      </c>
      <c r="H769" t="s">
        <v>8</v>
      </c>
      <c r="I769" s="16">
        <v>118.694</v>
      </c>
    </row>
    <row r="770" spans="1:9" x14ac:dyDescent="0.3">
      <c r="A770" s="1">
        <v>46245</v>
      </c>
      <c r="B770">
        <v>13</v>
      </c>
      <c r="C770" t="s">
        <v>9777</v>
      </c>
      <c r="D770" t="s">
        <v>2460</v>
      </c>
      <c r="E770" t="s">
        <v>154</v>
      </c>
      <c r="F770" t="s">
        <v>155</v>
      </c>
      <c r="G770" s="16">
        <v>7653.7269999999999</v>
      </c>
      <c r="H770" t="s">
        <v>8</v>
      </c>
      <c r="I770" s="16">
        <v>6655.4146000000001</v>
      </c>
    </row>
    <row r="771" spans="1:9" x14ac:dyDescent="0.3">
      <c r="A771" s="1">
        <v>46245</v>
      </c>
      <c r="B771">
        <v>13</v>
      </c>
      <c r="C771" t="s">
        <v>11288</v>
      </c>
      <c r="D771" t="s">
        <v>2463</v>
      </c>
      <c r="E771" t="s">
        <v>1031</v>
      </c>
      <c r="F771" t="s">
        <v>1032</v>
      </c>
      <c r="G771" s="16">
        <v>50.37</v>
      </c>
      <c r="H771" t="s">
        <v>8</v>
      </c>
      <c r="I771" s="16">
        <v>43.8</v>
      </c>
    </row>
    <row r="772" spans="1:9" x14ac:dyDescent="0.3">
      <c r="A772" s="1">
        <v>46245</v>
      </c>
      <c r="B772">
        <v>13</v>
      </c>
      <c r="C772" t="s">
        <v>8805</v>
      </c>
      <c r="D772" t="s">
        <v>10</v>
      </c>
      <c r="E772" t="s">
        <v>130</v>
      </c>
      <c r="F772" t="s">
        <v>131</v>
      </c>
      <c r="G772" s="16">
        <v>110.4</v>
      </c>
      <c r="H772" t="s">
        <v>8</v>
      </c>
      <c r="I772" s="16">
        <v>96</v>
      </c>
    </row>
    <row r="773" spans="1:9" x14ac:dyDescent="0.3">
      <c r="A773" s="1">
        <v>46245</v>
      </c>
      <c r="B773">
        <v>13</v>
      </c>
      <c r="C773" t="s">
        <v>9580</v>
      </c>
      <c r="D773" t="s">
        <v>10</v>
      </c>
      <c r="E773" t="s">
        <v>49</v>
      </c>
      <c r="F773" t="s">
        <v>50</v>
      </c>
      <c r="G773" s="16">
        <v>3879.7779999999998</v>
      </c>
      <c r="H773" t="s">
        <v>8</v>
      </c>
      <c r="I773" s="16">
        <v>3373.72</v>
      </c>
    </row>
    <row r="774" spans="1:9" x14ac:dyDescent="0.3">
      <c r="A774" s="1">
        <v>46245</v>
      </c>
      <c r="B774">
        <v>13</v>
      </c>
      <c r="C774" t="s">
        <v>9769</v>
      </c>
      <c r="D774" t="s">
        <v>2467</v>
      </c>
      <c r="E774" t="s">
        <v>2241</v>
      </c>
      <c r="F774" t="s">
        <v>2474</v>
      </c>
      <c r="G774" s="16">
        <v>6160.5510000000004</v>
      </c>
      <c r="H774" t="s">
        <v>8</v>
      </c>
      <c r="I774" s="16">
        <v>5357.0005000000001</v>
      </c>
    </row>
    <row r="775" spans="1:9" x14ac:dyDescent="0.3">
      <c r="A775" s="1">
        <v>46245</v>
      </c>
      <c r="B775">
        <v>13</v>
      </c>
      <c r="C775" t="s">
        <v>9725</v>
      </c>
      <c r="D775" t="s">
        <v>38</v>
      </c>
      <c r="E775" t="s">
        <v>398</v>
      </c>
      <c r="F775" t="s">
        <v>399</v>
      </c>
      <c r="G775" s="16">
        <v>14434.209000000001</v>
      </c>
      <c r="H775" t="s">
        <v>8</v>
      </c>
      <c r="I775" s="16">
        <v>12551.486000000001</v>
      </c>
    </row>
    <row r="776" spans="1:9" x14ac:dyDescent="0.3">
      <c r="A776" s="1">
        <v>46245</v>
      </c>
      <c r="B776">
        <v>13</v>
      </c>
      <c r="C776" t="s">
        <v>8058</v>
      </c>
      <c r="D776" t="s">
        <v>10</v>
      </c>
      <c r="E776" t="s">
        <v>2943</v>
      </c>
      <c r="F776" t="s">
        <v>2944</v>
      </c>
      <c r="G776" s="16">
        <v>1076.7449999999999</v>
      </c>
      <c r="H776" t="s">
        <v>8</v>
      </c>
      <c r="I776" s="16">
        <v>936.3</v>
      </c>
    </row>
    <row r="777" spans="1:9" x14ac:dyDescent="0.3">
      <c r="A777" s="1">
        <v>46245</v>
      </c>
      <c r="B777">
        <v>13</v>
      </c>
      <c r="C777" t="s">
        <v>8310</v>
      </c>
      <c r="D777" t="s">
        <v>38</v>
      </c>
      <c r="E777" t="s">
        <v>126</v>
      </c>
      <c r="F777" t="s">
        <v>127</v>
      </c>
      <c r="G777" s="16">
        <v>116.9205</v>
      </c>
      <c r="H777" t="s">
        <v>8</v>
      </c>
      <c r="I777" s="16">
        <v>101.67</v>
      </c>
    </row>
    <row r="778" spans="1:9" x14ac:dyDescent="0.3">
      <c r="A778" s="1">
        <v>46245</v>
      </c>
      <c r="B778">
        <v>13</v>
      </c>
      <c r="C778" t="s">
        <v>9770</v>
      </c>
      <c r="D778" t="s">
        <v>2463</v>
      </c>
      <c r="E778" t="s">
        <v>154</v>
      </c>
      <c r="F778" t="s">
        <v>155</v>
      </c>
      <c r="G778" s="16">
        <v>1009.01</v>
      </c>
      <c r="H778" t="s">
        <v>8</v>
      </c>
      <c r="I778" s="16">
        <v>877.4</v>
      </c>
    </row>
    <row r="779" spans="1:9" x14ac:dyDescent="0.3">
      <c r="A779" s="1">
        <v>46245</v>
      </c>
      <c r="B779">
        <v>13</v>
      </c>
      <c r="C779" t="s">
        <v>9775</v>
      </c>
      <c r="D779" t="s">
        <v>2460</v>
      </c>
      <c r="E779" t="s">
        <v>148</v>
      </c>
      <c r="F779" t="s">
        <v>149</v>
      </c>
      <c r="G779" s="16">
        <v>207</v>
      </c>
      <c r="H779" t="s">
        <v>8</v>
      </c>
      <c r="I779" s="16">
        <v>180</v>
      </c>
    </row>
    <row r="780" spans="1:9" x14ac:dyDescent="0.3">
      <c r="A780" s="1">
        <v>46245</v>
      </c>
      <c r="B780">
        <v>13</v>
      </c>
      <c r="C780" t="s">
        <v>9736</v>
      </c>
      <c r="D780" t="s">
        <v>38</v>
      </c>
      <c r="E780" t="s">
        <v>4387</v>
      </c>
      <c r="F780" t="s">
        <v>4388</v>
      </c>
      <c r="G780" s="16">
        <v>4137.5230000000001</v>
      </c>
      <c r="H780" t="s">
        <v>8</v>
      </c>
      <c r="I780" s="16">
        <v>3597.846</v>
      </c>
    </row>
    <row r="781" spans="1:9" x14ac:dyDescent="0.3">
      <c r="A781" s="1">
        <v>46245</v>
      </c>
      <c r="B781">
        <v>13</v>
      </c>
      <c r="C781" t="s">
        <v>9715</v>
      </c>
      <c r="D781" t="s">
        <v>38</v>
      </c>
      <c r="E781" t="s">
        <v>508</v>
      </c>
      <c r="F781" t="s">
        <v>509</v>
      </c>
      <c r="G781" s="16">
        <v>195.523</v>
      </c>
      <c r="H781" t="s">
        <v>8</v>
      </c>
      <c r="I781" s="16">
        <v>170.02</v>
      </c>
    </row>
    <row r="782" spans="1:9" x14ac:dyDescent="0.3">
      <c r="A782" s="1">
        <v>46245</v>
      </c>
      <c r="B782">
        <v>13</v>
      </c>
      <c r="C782" t="s">
        <v>9750</v>
      </c>
      <c r="D782" t="s">
        <v>10</v>
      </c>
      <c r="E782" t="s">
        <v>173</v>
      </c>
      <c r="F782" t="s">
        <v>174</v>
      </c>
      <c r="G782" s="16">
        <v>3257.7890000000002</v>
      </c>
      <c r="H782" t="s">
        <v>8</v>
      </c>
      <c r="I782" s="16">
        <v>2832.86</v>
      </c>
    </row>
    <row r="783" spans="1:9" x14ac:dyDescent="0.3">
      <c r="A783" s="1">
        <v>46245</v>
      </c>
      <c r="B783">
        <v>13</v>
      </c>
      <c r="C783" t="s">
        <v>9776</v>
      </c>
      <c r="D783" t="s">
        <v>2460</v>
      </c>
      <c r="E783" t="s">
        <v>154</v>
      </c>
      <c r="F783" t="s">
        <v>155</v>
      </c>
      <c r="G783" s="16">
        <v>13830.002</v>
      </c>
      <c r="H783" t="s">
        <v>8</v>
      </c>
      <c r="I783" s="16">
        <v>12026.089</v>
      </c>
    </row>
    <row r="784" spans="1:9" x14ac:dyDescent="0.3">
      <c r="A784" s="1">
        <v>46245</v>
      </c>
      <c r="B784">
        <v>13</v>
      </c>
      <c r="C784" t="s">
        <v>9772</v>
      </c>
      <c r="D784" t="s">
        <v>2460</v>
      </c>
      <c r="E784" t="s">
        <v>8641</v>
      </c>
      <c r="F784" t="s">
        <v>8642</v>
      </c>
      <c r="G784" s="16">
        <v>137.31</v>
      </c>
      <c r="H784" t="s">
        <v>8</v>
      </c>
      <c r="I784" s="16">
        <v>119.4</v>
      </c>
    </row>
    <row r="785" spans="1:9" x14ac:dyDescent="0.3">
      <c r="A785" s="1">
        <v>46245</v>
      </c>
      <c r="B785">
        <v>13</v>
      </c>
      <c r="C785" t="s">
        <v>11289</v>
      </c>
      <c r="D785" t="s">
        <v>2463</v>
      </c>
      <c r="E785" t="s">
        <v>808</v>
      </c>
      <c r="F785" t="s">
        <v>904</v>
      </c>
      <c r="G785" s="16">
        <v>80.612120000000004</v>
      </c>
      <c r="H785" t="s">
        <v>8</v>
      </c>
      <c r="I785" s="16">
        <v>70.097499999999997</v>
      </c>
    </row>
    <row r="786" spans="1:9" x14ac:dyDescent="0.3">
      <c r="A786" s="1">
        <v>46245</v>
      </c>
      <c r="B786">
        <v>13</v>
      </c>
      <c r="C786" t="s">
        <v>9774</v>
      </c>
      <c r="D786" t="s">
        <v>2460</v>
      </c>
      <c r="E786" t="s">
        <v>148</v>
      </c>
      <c r="F786" t="s">
        <v>149</v>
      </c>
      <c r="G786" s="16">
        <v>1297.2</v>
      </c>
      <c r="H786" t="s">
        <v>8</v>
      </c>
      <c r="I786" s="16">
        <v>1128</v>
      </c>
    </row>
    <row r="787" spans="1:9" x14ac:dyDescent="0.3">
      <c r="A787" s="1">
        <v>46245</v>
      </c>
      <c r="B787">
        <v>13</v>
      </c>
      <c r="C787" t="s">
        <v>11290</v>
      </c>
      <c r="D787" t="s">
        <v>2467</v>
      </c>
      <c r="E787" t="s">
        <v>1945</v>
      </c>
      <c r="F787" t="s">
        <v>1946</v>
      </c>
      <c r="G787" s="16">
        <v>37.950000000000003</v>
      </c>
      <c r="H787" t="s">
        <v>8</v>
      </c>
      <c r="I787" s="16">
        <v>33</v>
      </c>
    </row>
    <row r="788" spans="1:9" x14ac:dyDescent="0.3">
      <c r="A788" s="1">
        <v>46245</v>
      </c>
      <c r="B788">
        <v>13</v>
      </c>
      <c r="C788" t="s">
        <v>8887</v>
      </c>
      <c r="D788" t="s">
        <v>38</v>
      </c>
      <c r="E788" t="s">
        <v>808</v>
      </c>
      <c r="F788" t="s">
        <v>904</v>
      </c>
      <c r="G788" s="16">
        <v>1903.5719999999999</v>
      </c>
      <c r="H788" t="s">
        <v>8</v>
      </c>
      <c r="I788" s="16">
        <v>1655.28</v>
      </c>
    </row>
    <row r="789" spans="1:9" x14ac:dyDescent="0.3">
      <c r="A789" s="1">
        <v>46245</v>
      </c>
      <c r="B789">
        <v>13</v>
      </c>
      <c r="C789" t="s">
        <v>9726</v>
      </c>
      <c r="D789" t="s">
        <v>38</v>
      </c>
      <c r="E789" t="s">
        <v>643</v>
      </c>
      <c r="F789" t="s">
        <v>644</v>
      </c>
      <c r="G789" s="16">
        <v>478.97500000000002</v>
      </c>
      <c r="H789" t="s">
        <v>8</v>
      </c>
      <c r="I789" s="16">
        <v>416.5</v>
      </c>
    </row>
    <row r="790" spans="1:9" x14ac:dyDescent="0.3">
      <c r="A790" s="1">
        <v>46245</v>
      </c>
      <c r="B790">
        <v>13</v>
      </c>
      <c r="C790" t="s">
        <v>8125</v>
      </c>
      <c r="D790" t="s">
        <v>10</v>
      </c>
      <c r="E790" t="s">
        <v>2970</v>
      </c>
      <c r="F790" t="s">
        <v>2971</v>
      </c>
      <c r="G790" s="16">
        <v>35.100299999999997</v>
      </c>
      <c r="H790" t="s">
        <v>8</v>
      </c>
      <c r="I790" s="16">
        <v>30.521999999999998</v>
      </c>
    </row>
    <row r="791" spans="1:9" x14ac:dyDescent="0.3">
      <c r="A791" s="1">
        <v>46245</v>
      </c>
      <c r="B791">
        <v>13</v>
      </c>
      <c r="C791" t="s">
        <v>9706</v>
      </c>
      <c r="D791" t="s">
        <v>38</v>
      </c>
      <c r="E791" t="s">
        <v>39</v>
      </c>
      <c r="F791" t="s">
        <v>40</v>
      </c>
      <c r="G791" s="16">
        <v>3394.4202</v>
      </c>
      <c r="H791" t="s">
        <v>8</v>
      </c>
      <c r="I791" s="16">
        <v>2951.6696999999999</v>
      </c>
    </row>
    <row r="792" spans="1:9" x14ac:dyDescent="0.3">
      <c r="A792" s="1">
        <v>46246</v>
      </c>
      <c r="B792">
        <v>12</v>
      </c>
      <c r="C792" t="s">
        <v>8134</v>
      </c>
      <c r="D792" t="s">
        <v>10</v>
      </c>
      <c r="E792" t="s">
        <v>5437</v>
      </c>
      <c r="F792" t="s">
        <v>5438</v>
      </c>
      <c r="G792" s="16">
        <v>35.001399999999997</v>
      </c>
      <c r="H792" t="s">
        <v>8</v>
      </c>
      <c r="I792" s="16">
        <v>30.436</v>
      </c>
    </row>
    <row r="793" spans="1:9" x14ac:dyDescent="0.3">
      <c r="A793" s="1">
        <v>46246</v>
      </c>
      <c r="B793">
        <v>12</v>
      </c>
      <c r="C793" t="s">
        <v>8652</v>
      </c>
      <c r="D793" t="s">
        <v>10</v>
      </c>
      <c r="E793" t="s">
        <v>5437</v>
      </c>
      <c r="F793" t="s">
        <v>5438</v>
      </c>
      <c r="G793" s="16">
        <v>26.251049999999999</v>
      </c>
      <c r="H793" t="s">
        <v>8</v>
      </c>
      <c r="I793" s="16">
        <v>22.827000000000002</v>
      </c>
    </row>
    <row r="794" spans="1:9" x14ac:dyDescent="0.3">
      <c r="A794" s="1">
        <v>46246</v>
      </c>
      <c r="B794">
        <v>12</v>
      </c>
      <c r="C794" t="s">
        <v>9907</v>
      </c>
      <c r="D794" t="s">
        <v>10</v>
      </c>
      <c r="E794" t="s">
        <v>2612</v>
      </c>
      <c r="F794" t="s">
        <v>2613</v>
      </c>
      <c r="G794" s="16">
        <v>66.125119999999995</v>
      </c>
      <c r="H794" t="s">
        <v>8</v>
      </c>
      <c r="I794" s="16">
        <v>57.500100000000003</v>
      </c>
    </row>
    <row r="795" spans="1:9" x14ac:dyDescent="0.3">
      <c r="A795" s="1">
        <v>46246</v>
      </c>
      <c r="B795">
        <v>12</v>
      </c>
      <c r="C795" t="s">
        <v>9796</v>
      </c>
      <c r="D795" t="s">
        <v>10</v>
      </c>
      <c r="E795" t="s">
        <v>937</v>
      </c>
      <c r="F795" t="s">
        <v>938</v>
      </c>
      <c r="G795" s="16">
        <v>5.3144400000000003</v>
      </c>
      <c r="H795" t="s">
        <v>8</v>
      </c>
      <c r="I795" s="16">
        <v>4.6212499999999999</v>
      </c>
    </row>
    <row r="796" spans="1:9" x14ac:dyDescent="0.3">
      <c r="A796" s="1">
        <v>46246</v>
      </c>
      <c r="B796">
        <v>12</v>
      </c>
      <c r="C796" t="s">
        <v>9783</v>
      </c>
      <c r="D796" t="s">
        <v>10</v>
      </c>
      <c r="E796" t="s">
        <v>144</v>
      </c>
      <c r="F796" t="s">
        <v>145</v>
      </c>
      <c r="G796" s="16">
        <v>166.1405</v>
      </c>
      <c r="H796" t="s">
        <v>8</v>
      </c>
      <c r="I796" s="16">
        <v>144.47</v>
      </c>
    </row>
    <row r="797" spans="1:9" x14ac:dyDescent="0.3">
      <c r="A797" s="1">
        <v>46246</v>
      </c>
      <c r="B797">
        <v>12</v>
      </c>
      <c r="C797" t="s">
        <v>9836</v>
      </c>
      <c r="D797" t="s">
        <v>10</v>
      </c>
      <c r="E797" t="s">
        <v>2352</v>
      </c>
      <c r="F797" t="s">
        <v>2353</v>
      </c>
      <c r="G797" s="16">
        <v>5.0715000000000003</v>
      </c>
      <c r="H797" t="s">
        <v>8</v>
      </c>
      <c r="I797" s="16">
        <v>4.41</v>
      </c>
    </row>
    <row r="798" spans="1:9" x14ac:dyDescent="0.3">
      <c r="A798" s="1">
        <v>46246</v>
      </c>
      <c r="B798">
        <v>12</v>
      </c>
      <c r="C798" t="s">
        <v>9843</v>
      </c>
      <c r="D798" t="s">
        <v>10</v>
      </c>
      <c r="E798" t="s">
        <v>5199</v>
      </c>
      <c r="F798" t="s">
        <v>5200</v>
      </c>
      <c r="G798" s="16">
        <v>110.20818</v>
      </c>
      <c r="H798" t="s">
        <v>8</v>
      </c>
      <c r="I798" s="16">
        <v>95.833200000000005</v>
      </c>
    </row>
    <row r="799" spans="1:9" x14ac:dyDescent="0.3">
      <c r="A799" s="1">
        <v>46246</v>
      </c>
      <c r="B799">
        <v>12</v>
      </c>
      <c r="C799" t="s">
        <v>9403</v>
      </c>
      <c r="D799" t="s">
        <v>10</v>
      </c>
      <c r="E799" t="s">
        <v>130</v>
      </c>
      <c r="F799" t="s">
        <v>131</v>
      </c>
      <c r="G799" s="16">
        <v>240.24420000000001</v>
      </c>
      <c r="H799" t="s">
        <v>8</v>
      </c>
      <c r="I799" s="16">
        <v>208.90799999999999</v>
      </c>
    </row>
    <row r="800" spans="1:9" x14ac:dyDescent="0.3">
      <c r="A800" s="1">
        <v>46246</v>
      </c>
      <c r="B800">
        <v>12</v>
      </c>
      <c r="C800" t="s">
        <v>9852</v>
      </c>
      <c r="D800" t="s">
        <v>10</v>
      </c>
      <c r="E800" t="s">
        <v>9485</v>
      </c>
      <c r="F800" t="s">
        <v>2291</v>
      </c>
      <c r="G800" s="16">
        <v>129.16417000000001</v>
      </c>
      <c r="H800" t="s">
        <v>8</v>
      </c>
      <c r="I800" s="16">
        <v>112.31667</v>
      </c>
    </row>
    <row r="801" spans="1:9" x14ac:dyDescent="0.3">
      <c r="A801" s="1">
        <v>46246</v>
      </c>
      <c r="B801">
        <v>12</v>
      </c>
      <c r="C801" t="s">
        <v>9797</v>
      </c>
      <c r="D801" t="s">
        <v>10</v>
      </c>
      <c r="E801" t="s">
        <v>2273</v>
      </c>
      <c r="F801" t="s">
        <v>2274</v>
      </c>
      <c r="G801" s="16">
        <v>355.21199999999999</v>
      </c>
      <c r="H801" t="s">
        <v>8</v>
      </c>
      <c r="I801" s="16">
        <v>308.88</v>
      </c>
    </row>
    <row r="802" spans="1:9" x14ac:dyDescent="0.3">
      <c r="A802" s="1">
        <v>46246</v>
      </c>
      <c r="B802">
        <v>12</v>
      </c>
      <c r="C802" t="s">
        <v>9880</v>
      </c>
      <c r="D802" t="s">
        <v>10</v>
      </c>
      <c r="E802" t="s">
        <v>9878</v>
      </c>
      <c r="F802" t="s">
        <v>9879</v>
      </c>
      <c r="G802" s="16">
        <v>24.62555</v>
      </c>
      <c r="H802" t="s">
        <v>8</v>
      </c>
      <c r="I802" s="16">
        <v>21.413519999999998</v>
      </c>
    </row>
    <row r="803" spans="1:9" x14ac:dyDescent="0.3">
      <c r="A803" s="1">
        <v>46246</v>
      </c>
      <c r="B803">
        <v>12</v>
      </c>
      <c r="C803" t="s">
        <v>9916</v>
      </c>
      <c r="D803" t="s">
        <v>2460</v>
      </c>
      <c r="E803" t="s">
        <v>9050</v>
      </c>
      <c r="F803" t="s">
        <v>9258</v>
      </c>
      <c r="G803" s="16">
        <v>105.99550000000001</v>
      </c>
      <c r="H803" t="s">
        <v>8</v>
      </c>
      <c r="I803" s="16">
        <v>92.17</v>
      </c>
    </row>
    <row r="804" spans="1:9" x14ac:dyDescent="0.3">
      <c r="A804" s="1">
        <v>46246</v>
      </c>
      <c r="B804">
        <v>12</v>
      </c>
      <c r="C804" t="s">
        <v>9882</v>
      </c>
      <c r="D804" t="s">
        <v>10</v>
      </c>
      <c r="E804" t="s">
        <v>5157</v>
      </c>
      <c r="F804" t="s">
        <v>5158</v>
      </c>
      <c r="G804" s="16">
        <v>496.8</v>
      </c>
      <c r="H804" t="s">
        <v>8</v>
      </c>
      <c r="I804" s="16">
        <v>432</v>
      </c>
    </row>
    <row r="805" spans="1:9" x14ac:dyDescent="0.3">
      <c r="A805" s="1">
        <v>46246</v>
      </c>
      <c r="B805">
        <v>12</v>
      </c>
      <c r="C805" t="s">
        <v>9790</v>
      </c>
      <c r="D805" t="s">
        <v>10</v>
      </c>
      <c r="E805" t="s">
        <v>164</v>
      </c>
      <c r="F805" t="s">
        <v>165</v>
      </c>
      <c r="G805" s="16">
        <v>140.30000000000001</v>
      </c>
      <c r="H805" t="s">
        <v>8</v>
      </c>
      <c r="I805" s="16">
        <v>122</v>
      </c>
    </row>
    <row r="806" spans="1:9" x14ac:dyDescent="0.3">
      <c r="A806" s="1">
        <v>46246</v>
      </c>
      <c r="B806">
        <v>12</v>
      </c>
      <c r="C806" t="s">
        <v>9906</v>
      </c>
      <c r="D806" t="s">
        <v>10</v>
      </c>
      <c r="E806" t="s">
        <v>2359</v>
      </c>
      <c r="F806" t="s">
        <v>2360</v>
      </c>
      <c r="G806" s="16">
        <v>25.875</v>
      </c>
      <c r="H806" t="s">
        <v>8</v>
      </c>
      <c r="I806" s="16">
        <v>22.5</v>
      </c>
    </row>
    <row r="807" spans="1:9" x14ac:dyDescent="0.3">
      <c r="A807" s="1">
        <v>46246</v>
      </c>
      <c r="B807">
        <v>12</v>
      </c>
      <c r="C807" t="s">
        <v>9862</v>
      </c>
      <c r="D807" t="s">
        <v>10</v>
      </c>
      <c r="E807" t="s">
        <v>1472</v>
      </c>
      <c r="F807" t="s">
        <v>1473</v>
      </c>
      <c r="G807" s="16">
        <v>993.62260000000003</v>
      </c>
      <c r="H807" t="s">
        <v>8</v>
      </c>
      <c r="I807" s="16">
        <v>864.01964999999996</v>
      </c>
    </row>
    <row r="808" spans="1:9" x14ac:dyDescent="0.3">
      <c r="A808" s="1">
        <v>46246</v>
      </c>
      <c r="B808">
        <v>12</v>
      </c>
      <c r="C808" t="s">
        <v>9919</v>
      </c>
      <c r="D808" t="s">
        <v>2460</v>
      </c>
      <c r="E808" t="s">
        <v>3686</v>
      </c>
      <c r="F808" t="s">
        <v>3687</v>
      </c>
      <c r="G808" s="16">
        <v>482.49997000000002</v>
      </c>
      <c r="H808" t="s">
        <v>8</v>
      </c>
      <c r="I808" s="16">
        <v>419.5652</v>
      </c>
    </row>
    <row r="809" spans="1:9" x14ac:dyDescent="0.3">
      <c r="A809" s="1">
        <v>46246</v>
      </c>
      <c r="B809">
        <v>12</v>
      </c>
      <c r="C809" t="s">
        <v>9918</v>
      </c>
      <c r="D809" t="s">
        <v>2460</v>
      </c>
      <c r="E809" t="s">
        <v>6375</v>
      </c>
      <c r="F809" t="s">
        <v>6376</v>
      </c>
      <c r="G809" s="16">
        <v>159926.29999999999</v>
      </c>
      <c r="H809" t="s">
        <v>8</v>
      </c>
      <c r="I809" s="16">
        <v>139066.34</v>
      </c>
    </row>
    <row r="810" spans="1:9" x14ac:dyDescent="0.3">
      <c r="A810" s="1">
        <v>46246</v>
      </c>
      <c r="B810">
        <v>12</v>
      </c>
      <c r="C810" t="s">
        <v>11291</v>
      </c>
      <c r="D810" t="s">
        <v>2467</v>
      </c>
      <c r="E810" t="s">
        <v>65</v>
      </c>
      <c r="F810" t="s">
        <v>66</v>
      </c>
      <c r="G810" s="16">
        <v>211.70349999999999</v>
      </c>
      <c r="H810" t="s">
        <v>8</v>
      </c>
      <c r="I810" s="16">
        <v>184.09</v>
      </c>
    </row>
    <row r="811" spans="1:9" x14ac:dyDescent="0.3">
      <c r="A811" s="1">
        <v>46246</v>
      </c>
      <c r="B811">
        <v>12</v>
      </c>
      <c r="C811" t="s">
        <v>9471</v>
      </c>
      <c r="D811" t="s">
        <v>10</v>
      </c>
      <c r="E811" t="s">
        <v>5437</v>
      </c>
      <c r="F811" t="s">
        <v>5438</v>
      </c>
      <c r="G811" s="16">
        <v>233.79554999999999</v>
      </c>
      <c r="H811" t="s">
        <v>8</v>
      </c>
      <c r="I811" s="16">
        <v>203.30047999999999</v>
      </c>
    </row>
    <row r="812" spans="1:9" x14ac:dyDescent="0.3">
      <c r="A812" s="1">
        <v>46246</v>
      </c>
      <c r="B812">
        <v>12</v>
      </c>
      <c r="C812" t="s">
        <v>9807</v>
      </c>
      <c r="D812" t="s">
        <v>10</v>
      </c>
      <c r="E812" t="s">
        <v>41</v>
      </c>
      <c r="F812" t="s">
        <v>42</v>
      </c>
      <c r="G812" s="16">
        <v>315.16991999999999</v>
      </c>
      <c r="H812" t="s">
        <v>8</v>
      </c>
      <c r="I812" s="16">
        <v>274.06079999999997</v>
      </c>
    </row>
    <row r="813" spans="1:9" x14ac:dyDescent="0.3">
      <c r="A813" s="1">
        <v>46246</v>
      </c>
      <c r="B813">
        <v>12</v>
      </c>
      <c r="C813" t="s">
        <v>9905</v>
      </c>
      <c r="D813" t="s">
        <v>10</v>
      </c>
      <c r="E813" t="s">
        <v>1725</v>
      </c>
      <c r="F813" t="s">
        <v>1726</v>
      </c>
      <c r="G813" s="16">
        <v>190.07315</v>
      </c>
      <c r="H813" t="s">
        <v>8</v>
      </c>
      <c r="I813" s="16">
        <v>165.28100000000001</v>
      </c>
    </row>
    <row r="814" spans="1:9" x14ac:dyDescent="0.3">
      <c r="A814" s="1">
        <v>46246</v>
      </c>
      <c r="B814">
        <v>12</v>
      </c>
      <c r="C814" t="s">
        <v>9781</v>
      </c>
      <c r="D814" t="s">
        <v>10</v>
      </c>
      <c r="E814" t="s">
        <v>199</v>
      </c>
      <c r="F814" t="s">
        <v>200</v>
      </c>
      <c r="G814" s="16">
        <v>680.22500000000002</v>
      </c>
      <c r="H814" t="s">
        <v>8</v>
      </c>
      <c r="I814" s="16">
        <v>591.5</v>
      </c>
    </row>
    <row r="815" spans="1:9" x14ac:dyDescent="0.3">
      <c r="A815" s="1">
        <v>46246</v>
      </c>
      <c r="B815">
        <v>12</v>
      </c>
      <c r="C815" t="s">
        <v>9917</v>
      </c>
      <c r="D815" t="s">
        <v>2460</v>
      </c>
      <c r="E815" t="s">
        <v>6375</v>
      </c>
      <c r="F815" t="s">
        <v>6376</v>
      </c>
      <c r="G815" s="16">
        <v>24983.52</v>
      </c>
      <c r="H815" t="s">
        <v>8</v>
      </c>
      <c r="I815" s="16">
        <v>21724.799999999999</v>
      </c>
    </row>
    <row r="816" spans="1:9" x14ac:dyDescent="0.3">
      <c r="A816" s="1">
        <v>46246</v>
      </c>
      <c r="B816">
        <v>12</v>
      </c>
      <c r="C816" t="s">
        <v>9779</v>
      </c>
      <c r="D816" t="s">
        <v>10</v>
      </c>
      <c r="E816" t="s">
        <v>2955</v>
      </c>
      <c r="F816" t="s">
        <v>2956</v>
      </c>
      <c r="G816" s="16">
        <v>13.455</v>
      </c>
      <c r="H816" t="s">
        <v>8</v>
      </c>
      <c r="I816" s="16">
        <v>11.7</v>
      </c>
    </row>
    <row r="817" spans="1:9" x14ac:dyDescent="0.3">
      <c r="A817" s="1">
        <v>46246</v>
      </c>
      <c r="B817">
        <v>12</v>
      </c>
      <c r="C817" t="s">
        <v>9350</v>
      </c>
      <c r="D817" t="s">
        <v>169</v>
      </c>
      <c r="E817" t="s">
        <v>4370</v>
      </c>
      <c r="F817" t="s">
        <v>4146</v>
      </c>
      <c r="G817" s="16">
        <v>29.324999999999999</v>
      </c>
      <c r="H817" t="s">
        <v>8</v>
      </c>
      <c r="I817" s="16">
        <v>25.5</v>
      </c>
    </row>
    <row r="818" spans="1:9" x14ac:dyDescent="0.3">
      <c r="A818" s="1">
        <v>46246</v>
      </c>
      <c r="B818">
        <v>12</v>
      </c>
      <c r="C818" t="s">
        <v>9142</v>
      </c>
      <c r="D818" t="s">
        <v>10</v>
      </c>
      <c r="E818" t="s">
        <v>154</v>
      </c>
      <c r="F818" t="s">
        <v>155</v>
      </c>
      <c r="G818" s="16">
        <v>1727.3577</v>
      </c>
      <c r="H818" t="s">
        <v>8</v>
      </c>
      <c r="I818" s="16">
        <v>1502.0501999999999</v>
      </c>
    </row>
    <row r="819" spans="1:9" x14ac:dyDescent="0.3">
      <c r="A819" s="1">
        <v>46246</v>
      </c>
      <c r="B819">
        <v>12</v>
      </c>
      <c r="C819" t="s">
        <v>9895</v>
      </c>
      <c r="D819" t="s">
        <v>10</v>
      </c>
      <c r="E819" t="s">
        <v>2508</v>
      </c>
      <c r="F819" t="s">
        <v>2509</v>
      </c>
      <c r="G819" s="16">
        <v>7.7164999999999999</v>
      </c>
      <c r="H819" t="s">
        <v>8</v>
      </c>
      <c r="I819" s="16">
        <v>6.71</v>
      </c>
    </row>
    <row r="820" spans="1:9" x14ac:dyDescent="0.3">
      <c r="A820" s="1">
        <v>46246</v>
      </c>
      <c r="B820">
        <v>12</v>
      </c>
      <c r="C820" t="s">
        <v>9914</v>
      </c>
      <c r="D820" t="s">
        <v>2460</v>
      </c>
      <c r="E820" t="s">
        <v>73</v>
      </c>
      <c r="F820" t="s">
        <v>74</v>
      </c>
      <c r="G820" s="16">
        <v>40.25</v>
      </c>
      <c r="H820" t="s">
        <v>8</v>
      </c>
      <c r="I820" s="16">
        <v>35</v>
      </c>
    </row>
    <row r="821" spans="1:9" x14ac:dyDescent="0.3">
      <c r="A821" s="1">
        <v>46246</v>
      </c>
      <c r="B821">
        <v>12</v>
      </c>
      <c r="C821" t="s">
        <v>8753</v>
      </c>
      <c r="D821" t="s">
        <v>38</v>
      </c>
      <c r="E821" t="s">
        <v>154</v>
      </c>
      <c r="F821" t="s">
        <v>155</v>
      </c>
      <c r="G821" s="16">
        <v>4801.2280000000001</v>
      </c>
      <c r="H821" t="s">
        <v>8</v>
      </c>
      <c r="I821" s="16">
        <v>4174.9809999999998</v>
      </c>
    </row>
    <row r="822" spans="1:9" x14ac:dyDescent="0.3">
      <c r="A822" s="1">
        <v>46246</v>
      </c>
      <c r="B822">
        <v>12</v>
      </c>
      <c r="C822" t="s">
        <v>9817</v>
      </c>
      <c r="D822" t="s">
        <v>10</v>
      </c>
      <c r="E822" t="s">
        <v>951</v>
      </c>
      <c r="F822" t="s">
        <v>952</v>
      </c>
      <c r="G822" s="16">
        <v>3.0546899999999999</v>
      </c>
      <c r="H822" t="s">
        <v>8</v>
      </c>
      <c r="I822" s="16">
        <v>2.65625</v>
      </c>
    </row>
    <row r="823" spans="1:9" x14ac:dyDescent="0.3">
      <c r="A823" s="1">
        <v>46246</v>
      </c>
      <c r="B823">
        <v>12</v>
      </c>
      <c r="C823" t="s">
        <v>9921</v>
      </c>
      <c r="D823" t="s">
        <v>10</v>
      </c>
      <c r="E823" t="s">
        <v>2290</v>
      </c>
      <c r="F823" t="s">
        <v>2291</v>
      </c>
      <c r="G823" s="16">
        <v>32.200000000000003</v>
      </c>
      <c r="H823" t="s">
        <v>8</v>
      </c>
      <c r="I823" s="16">
        <v>28</v>
      </c>
    </row>
    <row r="824" spans="1:9" x14ac:dyDescent="0.3">
      <c r="A824" s="1">
        <v>46246</v>
      </c>
      <c r="B824">
        <v>12</v>
      </c>
      <c r="C824" t="s">
        <v>9794</v>
      </c>
      <c r="D824" t="s">
        <v>38</v>
      </c>
      <c r="E824" t="s">
        <v>886</v>
      </c>
      <c r="F824" t="s">
        <v>887</v>
      </c>
      <c r="G824" s="16">
        <v>7500.2655999999997</v>
      </c>
      <c r="H824" t="s">
        <v>8</v>
      </c>
      <c r="I824" s="16">
        <v>6521.97</v>
      </c>
    </row>
    <row r="825" spans="1:9" x14ac:dyDescent="0.3">
      <c r="A825" s="1">
        <v>46246</v>
      </c>
      <c r="B825">
        <v>12</v>
      </c>
      <c r="C825" t="s">
        <v>9839</v>
      </c>
      <c r="D825" t="s">
        <v>10</v>
      </c>
      <c r="E825" t="s">
        <v>160</v>
      </c>
      <c r="F825" t="s">
        <v>161</v>
      </c>
      <c r="G825" s="16">
        <v>91.608999999999995</v>
      </c>
      <c r="H825" t="s">
        <v>8</v>
      </c>
      <c r="I825" s="16">
        <v>79.66</v>
      </c>
    </row>
    <row r="826" spans="1:9" x14ac:dyDescent="0.3">
      <c r="A826" s="1">
        <v>46246</v>
      </c>
      <c r="B826">
        <v>12</v>
      </c>
      <c r="C826" t="s">
        <v>9782</v>
      </c>
      <c r="D826" t="s">
        <v>10</v>
      </c>
      <c r="E826" t="s">
        <v>39</v>
      </c>
      <c r="F826" t="s">
        <v>40</v>
      </c>
      <c r="G826" s="16">
        <v>3677.7685999999999</v>
      </c>
      <c r="H826" t="s">
        <v>8</v>
      </c>
      <c r="I826" s="16">
        <v>3198.0596</v>
      </c>
    </row>
    <row r="827" spans="1:9" x14ac:dyDescent="0.3">
      <c r="A827" s="1">
        <v>46246</v>
      </c>
      <c r="B827">
        <v>12</v>
      </c>
      <c r="C827" t="s">
        <v>8675</v>
      </c>
      <c r="D827" t="s">
        <v>10</v>
      </c>
      <c r="E827" t="s">
        <v>154</v>
      </c>
      <c r="F827" t="s">
        <v>155</v>
      </c>
      <c r="G827" s="16">
        <v>1689.6416999999999</v>
      </c>
      <c r="H827" t="s">
        <v>8</v>
      </c>
      <c r="I827" s="16">
        <v>1469.2537</v>
      </c>
    </row>
    <row r="828" spans="1:9" x14ac:dyDescent="0.3">
      <c r="A828" s="1">
        <v>46246</v>
      </c>
      <c r="B828">
        <v>12</v>
      </c>
      <c r="C828" t="s">
        <v>9915</v>
      </c>
      <c r="D828" t="s">
        <v>2460</v>
      </c>
      <c r="E828" t="s">
        <v>6375</v>
      </c>
      <c r="F828" t="s">
        <v>6376</v>
      </c>
      <c r="G828" s="16">
        <v>37285.875</v>
      </c>
      <c r="H828" t="s">
        <v>8</v>
      </c>
      <c r="I828" s="16">
        <v>32422.5</v>
      </c>
    </row>
    <row r="829" spans="1:9" x14ac:dyDescent="0.3">
      <c r="A829" s="1">
        <v>46246</v>
      </c>
      <c r="B829">
        <v>12</v>
      </c>
      <c r="C829" t="s">
        <v>9827</v>
      </c>
      <c r="D829" t="s">
        <v>2460</v>
      </c>
      <c r="E829" t="s">
        <v>8640</v>
      </c>
      <c r="F829" t="s">
        <v>8781</v>
      </c>
      <c r="G829" s="16">
        <v>4361.2114000000001</v>
      </c>
      <c r="H829" t="s">
        <v>8</v>
      </c>
      <c r="I829" s="16">
        <v>4361.2114000000001</v>
      </c>
    </row>
    <row r="830" spans="1:9" x14ac:dyDescent="0.3">
      <c r="A830" s="1">
        <v>46246</v>
      </c>
      <c r="B830">
        <v>12</v>
      </c>
      <c r="C830" t="s">
        <v>9792</v>
      </c>
      <c r="D830" t="s">
        <v>10</v>
      </c>
      <c r="E830" t="s">
        <v>3773</v>
      </c>
      <c r="F830" t="s">
        <v>3774</v>
      </c>
      <c r="G830" s="16">
        <v>1744.8720000000001</v>
      </c>
      <c r="H830" t="s">
        <v>8</v>
      </c>
      <c r="I830" s="16">
        <v>1517.28</v>
      </c>
    </row>
    <row r="831" spans="1:9" x14ac:dyDescent="0.3">
      <c r="A831" s="1">
        <v>46246</v>
      </c>
      <c r="B831">
        <v>12</v>
      </c>
      <c r="C831" t="s">
        <v>9826</v>
      </c>
      <c r="D831" t="s">
        <v>10</v>
      </c>
      <c r="E831" t="s">
        <v>596</v>
      </c>
      <c r="F831" t="s">
        <v>597</v>
      </c>
      <c r="G831" s="16">
        <v>132.98025999999999</v>
      </c>
      <c r="H831" t="s">
        <v>8</v>
      </c>
      <c r="I831" s="16">
        <v>115.63500000000001</v>
      </c>
    </row>
    <row r="832" spans="1:9" x14ac:dyDescent="0.3">
      <c r="A832" s="1">
        <v>46246</v>
      </c>
      <c r="B832">
        <v>12</v>
      </c>
      <c r="C832" t="s">
        <v>9891</v>
      </c>
      <c r="D832" t="s">
        <v>10</v>
      </c>
      <c r="E832" t="s">
        <v>613</v>
      </c>
      <c r="F832" t="s">
        <v>614</v>
      </c>
      <c r="G832" s="16">
        <v>158.47</v>
      </c>
      <c r="H832" t="s">
        <v>8</v>
      </c>
      <c r="I832" s="16">
        <v>137.80000000000001</v>
      </c>
    </row>
    <row r="833" spans="1:9" x14ac:dyDescent="0.3">
      <c r="A833" s="1">
        <v>46246</v>
      </c>
      <c r="B833">
        <v>12</v>
      </c>
      <c r="C833" t="s">
        <v>9812</v>
      </c>
      <c r="D833" t="s">
        <v>10</v>
      </c>
      <c r="E833" t="s">
        <v>154</v>
      </c>
      <c r="F833" t="s">
        <v>155</v>
      </c>
      <c r="G833" s="16">
        <v>1791.4698000000001</v>
      </c>
      <c r="H833" t="s">
        <v>8</v>
      </c>
      <c r="I833" s="16">
        <v>1557.7999</v>
      </c>
    </row>
    <row r="834" spans="1:9" x14ac:dyDescent="0.3">
      <c r="A834" s="1">
        <v>46246</v>
      </c>
      <c r="B834">
        <v>12</v>
      </c>
      <c r="C834" t="s">
        <v>9889</v>
      </c>
      <c r="D834" t="s">
        <v>10</v>
      </c>
      <c r="E834" t="s">
        <v>60</v>
      </c>
      <c r="F834" t="s">
        <v>61</v>
      </c>
      <c r="G834" s="16">
        <v>52.44</v>
      </c>
      <c r="H834" t="s">
        <v>8</v>
      </c>
      <c r="I834" s="16">
        <v>45.6</v>
      </c>
    </row>
    <row r="835" spans="1:9" x14ac:dyDescent="0.3">
      <c r="A835" s="1">
        <v>46246</v>
      </c>
      <c r="B835">
        <v>12</v>
      </c>
      <c r="C835" t="s">
        <v>9828</v>
      </c>
      <c r="D835" t="s">
        <v>2460</v>
      </c>
      <c r="E835" t="s">
        <v>9764</v>
      </c>
      <c r="F835" t="s">
        <v>9765</v>
      </c>
      <c r="G835" s="16">
        <v>980.94979999999998</v>
      </c>
      <c r="H835" t="s">
        <v>8</v>
      </c>
      <c r="I835" s="16">
        <v>852.99980000000005</v>
      </c>
    </row>
    <row r="836" spans="1:9" x14ac:dyDescent="0.3">
      <c r="A836" s="1">
        <v>46246</v>
      </c>
      <c r="B836">
        <v>12</v>
      </c>
      <c r="C836" t="s">
        <v>9885</v>
      </c>
      <c r="D836" t="s">
        <v>10</v>
      </c>
      <c r="E836" t="s">
        <v>884</v>
      </c>
      <c r="F836" t="s">
        <v>885</v>
      </c>
      <c r="G836" s="16">
        <v>91.7286</v>
      </c>
      <c r="H836" t="s">
        <v>8</v>
      </c>
      <c r="I836" s="16">
        <v>79.763999999999996</v>
      </c>
    </row>
    <row r="837" spans="1:9" x14ac:dyDescent="0.3">
      <c r="A837" s="1">
        <v>46246</v>
      </c>
      <c r="B837">
        <v>12</v>
      </c>
      <c r="C837" t="s">
        <v>9778</v>
      </c>
      <c r="D837" t="s">
        <v>10</v>
      </c>
      <c r="E837" t="s">
        <v>7118</v>
      </c>
      <c r="F837" t="s">
        <v>7119</v>
      </c>
      <c r="G837" s="16">
        <v>14.7545</v>
      </c>
      <c r="H837" t="s">
        <v>8</v>
      </c>
      <c r="I837" s="16">
        <v>12.83</v>
      </c>
    </row>
    <row r="838" spans="1:9" x14ac:dyDescent="0.3">
      <c r="A838" s="1">
        <v>46246</v>
      </c>
      <c r="B838">
        <v>12</v>
      </c>
      <c r="C838" t="s">
        <v>9920</v>
      </c>
      <c r="D838" t="s">
        <v>2460</v>
      </c>
      <c r="E838" t="s">
        <v>3686</v>
      </c>
      <c r="F838" t="s">
        <v>3687</v>
      </c>
      <c r="G838" s="16">
        <v>1253.6990000000001</v>
      </c>
      <c r="H838" t="s">
        <v>8</v>
      </c>
      <c r="I838" s="16">
        <v>1090.173</v>
      </c>
    </row>
    <row r="839" spans="1:9" x14ac:dyDescent="0.3">
      <c r="A839" s="1">
        <v>46246</v>
      </c>
      <c r="B839">
        <v>12</v>
      </c>
      <c r="C839" t="s">
        <v>9789</v>
      </c>
      <c r="D839" t="s">
        <v>10</v>
      </c>
      <c r="E839" t="s">
        <v>39</v>
      </c>
      <c r="F839" t="s">
        <v>40</v>
      </c>
      <c r="G839" s="16">
        <v>1067.097</v>
      </c>
      <c r="H839" t="s">
        <v>8</v>
      </c>
      <c r="I839" s="16">
        <v>927.91045999999994</v>
      </c>
    </row>
    <row r="840" spans="1:9" x14ac:dyDescent="0.3">
      <c r="A840" s="1">
        <v>46246</v>
      </c>
      <c r="B840">
        <v>12</v>
      </c>
      <c r="C840" t="s">
        <v>7059</v>
      </c>
      <c r="D840" t="s">
        <v>10</v>
      </c>
      <c r="E840" t="s">
        <v>877</v>
      </c>
      <c r="F840" t="s">
        <v>2343</v>
      </c>
      <c r="G840" s="16">
        <v>11.04</v>
      </c>
      <c r="H840" t="s">
        <v>8</v>
      </c>
      <c r="I840" s="16">
        <v>9.6</v>
      </c>
    </row>
    <row r="841" spans="1:9" x14ac:dyDescent="0.3">
      <c r="A841" s="1">
        <v>46246</v>
      </c>
      <c r="B841">
        <v>12</v>
      </c>
      <c r="C841" t="s">
        <v>9853</v>
      </c>
      <c r="D841" t="s">
        <v>10</v>
      </c>
      <c r="E841" t="s">
        <v>858</v>
      </c>
      <c r="F841" t="s">
        <v>2336</v>
      </c>
      <c r="G841" s="16">
        <v>104.1049</v>
      </c>
      <c r="H841" t="s">
        <v>8</v>
      </c>
      <c r="I841" s="16">
        <v>90.525999999999996</v>
      </c>
    </row>
    <row r="842" spans="1:9" x14ac:dyDescent="0.3">
      <c r="A842" s="1">
        <v>46246</v>
      </c>
      <c r="B842">
        <v>12</v>
      </c>
      <c r="C842" t="s">
        <v>9801</v>
      </c>
      <c r="D842" t="s">
        <v>10</v>
      </c>
      <c r="E842" t="s">
        <v>3773</v>
      </c>
      <c r="F842" t="s">
        <v>3774</v>
      </c>
      <c r="G842" s="16">
        <v>4264.8</v>
      </c>
      <c r="H842" t="s">
        <v>8</v>
      </c>
      <c r="I842" s="16">
        <v>3708.5216999999998</v>
      </c>
    </row>
    <row r="843" spans="1:9" x14ac:dyDescent="0.3">
      <c r="A843" s="1">
        <v>46246</v>
      </c>
      <c r="B843">
        <v>12</v>
      </c>
      <c r="C843" t="s">
        <v>9508</v>
      </c>
      <c r="D843" t="s">
        <v>10</v>
      </c>
      <c r="E843" t="s">
        <v>154</v>
      </c>
      <c r="F843" t="s">
        <v>155</v>
      </c>
      <c r="G843" s="16">
        <v>2715.8881999999999</v>
      </c>
      <c r="H843" t="s">
        <v>8</v>
      </c>
      <c r="I843" s="16">
        <v>2361.6417999999999</v>
      </c>
    </row>
    <row r="844" spans="1:9" x14ac:dyDescent="0.3">
      <c r="A844" s="1">
        <v>46246</v>
      </c>
      <c r="B844">
        <v>12</v>
      </c>
      <c r="C844" t="s">
        <v>9806</v>
      </c>
      <c r="D844" t="s">
        <v>10</v>
      </c>
      <c r="E844" t="s">
        <v>2478</v>
      </c>
      <c r="F844" t="s">
        <v>2479</v>
      </c>
      <c r="G844" s="16">
        <v>54</v>
      </c>
      <c r="H844" t="s">
        <v>8</v>
      </c>
      <c r="I844" s="16">
        <v>54</v>
      </c>
    </row>
    <row r="845" spans="1:9" x14ac:dyDescent="0.3">
      <c r="A845" s="1">
        <v>46246</v>
      </c>
      <c r="B845">
        <v>12</v>
      </c>
      <c r="C845" t="s">
        <v>9857</v>
      </c>
      <c r="D845" t="s">
        <v>10</v>
      </c>
      <c r="E845" t="s">
        <v>7645</v>
      </c>
      <c r="F845" t="s">
        <v>7646</v>
      </c>
      <c r="G845" s="16">
        <v>1225.4458</v>
      </c>
      <c r="H845" t="s">
        <v>8</v>
      </c>
      <c r="I845" s="16">
        <v>1065.605</v>
      </c>
    </row>
    <row r="846" spans="1:9" x14ac:dyDescent="0.3">
      <c r="A846" s="1">
        <v>46246</v>
      </c>
      <c r="B846">
        <v>12</v>
      </c>
      <c r="C846" t="s">
        <v>9867</v>
      </c>
      <c r="D846" t="s">
        <v>10</v>
      </c>
      <c r="E846" t="s">
        <v>882</v>
      </c>
      <c r="F846" t="s">
        <v>883</v>
      </c>
      <c r="G846" s="16">
        <v>1311</v>
      </c>
      <c r="H846" t="s">
        <v>8</v>
      </c>
      <c r="I846" s="16">
        <v>1140</v>
      </c>
    </row>
    <row r="847" spans="1:9" x14ac:dyDescent="0.3">
      <c r="A847" s="1">
        <v>46247</v>
      </c>
      <c r="B847">
        <v>11</v>
      </c>
      <c r="C847" t="s">
        <v>9975</v>
      </c>
      <c r="D847" t="s">
        <v>10</v>
      </c>
      <c r="E847" t="s">
        <v>571</v>
      </c>
      <c r="F847" t="s">
        <v>572</v>
      </c>
      <c r="G847" s="16">
        <v>14.375</v>
      </c>
      <c r="H847" t="s">
        <v>8</v>
      </c>
      <c r="I847" s="16">
        <v>12.5</v>
      </c>
    </row>
    <row r="848" spans="1:9" x14ac:dyDescent="0.3">
      <c r="A848" s="1">
        <v>46247</v>
      </c>
      <c r="B848">
        <v>11</v>
      </c>
      <c r="C848" t="s">
        <v>9986</v>
      </c>
      <c r="D848" t="s">
        <v>10</v>
      </c>
      <c r="E848" t="s">
        <v>632</v>
      </c>
      <c r="F848" t="s">
        <v>682</v>
      </c>
      <c r="G848" s="16">
        <v>449.65</v>
      </c>
      <c r="H848" t="s">
        <v>8</v>
      </c>
      <c r="I848" s="16">
        <v>391</v>
      </c>
    </row>
    <row r="849" spans="1:9" x14ac:dyDescent="0.3">
      <c r="A849" s="1">
        <v>46247</v>
      </c>
      <c r="B849">
        <v>11</v>
      </c>
      <c r="C849" t="s">
        <v>10027</v>
      </c>
      <c r="D849" t="s">
        <v>10</v>
      </c>
      <c r="E849" t="s">
        <v>534</v>
      </c>
      <c r="F849" t="s">
        <v>535</v>
      </c>
      <c r="G849" s="16">
        <v>18.52075</v>
      </c>
      <c r="H849" t="s">
        <v>8</v>
      </c>
      <c r="I849" s="16">
        <v>16.105</v>
      </c>
    </row>
    <row r="850" spans="1:9" x14ac:dyDescent="0.3">
      <c r="A850" s="1">
        <v>46247</v>
      </c>
      <c r="B850">
        <v>11</v>
      </c>
      <c r="C850" t="s">
        <v>9946</v>
      </c>
      <c r="D850" t="s">
        <v>10</v>
      </c>
      <c r="E850" t="s">
        <v>562</v>
      </c>
      <c r="F850" t="s">
        <v>563</v>
      </c>
      <c r="G850" s="16">
        <v>3455.8535000000002</v>
      </c>
      <c r="H850" t="s">
        <v>8</v>
      </c>
      <c r="I850" s="16">
        <v>3005.0898000000002</v>
      </c>
    </row>
    <row r="851" spans="1:9" x14ac:dyDescent="0.3">
      <c r="A851" s="1">
        <v>46247</v>
      </c>
      <c r="B851">
        <v>11</v>
      </c>
      <c r="C851" t="s">
        <v>9987</v>
      </c>
      <c r="D851" t="s">
        <v>10</v>
      </c>
      <c r="E851" t="s">
        <v>2302</v>
      </c>
      <c r="F851" t="s">
        <v>2303</v>
      </c>
      <c r="G851" s="16">
        <v>32.292000000000002</v>
      </c>
      <c r="H851" t="s">
        <v>8</v>
      </c>
      <c r="I851" s="16">
        <v>28.08</v>
      </c>
    </row>
    <row r="852" spans="1:9" x14ac:dyDescent="0.3">
      <c r="A852" s="1">
        <v>46247</v>
      </c>
      <c r="B852">
        <v>11</v>
      </c>
      <c r="C852" t="s">
        <v>10041</v>
      </c>
      <c r="D852" t="s">
        <v>10</v>
      </c>
      <c r="E852" t="s">
        <v>2269</v>
      </c>
      <c r="F852" t="s">
        <v>2270</v>
      </c>
      <c r="G852" s="16">
        <v>781.26909999999998</v>
      </c>
      <c r="H852" t="s">
        <v>8</v>
      </c>
      <c r="I852" s="16">
        <v>679.36443999999995</v>
      </c>
    </row>
    <row r="853" spans="1:9" x14ac:dyDescent="0.3">
      <c r="A853" s="1">
        <v>46247</v>
      </c>
      <c r="B853">
        <v>11</v>
      </c>
      <c r="C853" t="s">
        <v>10029</v>
      </c>
      <c r="D853" t="s">
        <v>10</v>
      </c>
      <c r="E853" t="s">
        <v>34</v>
      </c>
      <c r="F853" t="s">
        <v>35</v>
      </c>
      <c r="G853" s="16">
        <v>4113.9966000000004</v>
      </c>
      <c r="H853" t="s">
        <v>8</v>
      </c>
      <c r="I853" s="16">
        <v>3577.3883999999998</v>
      </c>
    </row>
    <row r="854" spans="1:9" x14ac:dyDescent="0.3">
      <c r="A854" s="1">
        <v>46247</v>
      </c>
      <c r="B854">
        <v>11</v>
      </c>
      <c r="C854" t="s">
        <v>10049</v>
      </c>
      <c r="D854" t="s">
        <v>10</v>
      </c>
      <c r="E854" t="s">
        <v>53</v>
      </c>
      <c r="F854" t="s">
        <v>54</v>
      </c>
      <c r="G854" s="16">
        <v>233.45</v>
      </c>
      <c r="H854" t="s">
        <v>8</v>
      </c>
      <c r="I854" s="16">
        <v>203</v>
      </c>
    </row>
    <row r="855" spans="1:9" x14ac:dyDescent="0.3">
      <c r="A855" s="1">
        <v>46247</v>
      </c>
      <c r="B855">
        <v>11</v>
      </c>
      <c r="C855" t="s">
        <v>9996</v>
      </c>
      <c r="D855" t="s">
        <v>10</v>
      </c>
      <c r="E855" t="s">
        <v>8372</v>
      </c>
      <c r="F855" t="s">
        <v>8373</v>
      </c>
      <c r="G855" s="16">
        <v>71.3</v>
      </c>
      <c r="H855" t="s">
        <v>8</v>
      </c>
      <c r="I855" s="16">
        <v>62</v>
      </c>
    </row>
    <row r="856" spans="1:9" x14ac:dyDescent="0.3">
      <c r="A856" s="1">
        <v>46247</v>
      </c>
      <c r="B856">
        <v>11</v>
      </c>
      <c r="C856" t="s">
        <v>9850</v>
      </c>
      <c r="D856" t="s">
        <v>10</v>
      </c>
      <c r="E856" t="s">
        <v>5437</v>
      </c>
      <c r="F856" t="s">
        <v>5438</v>
      </c>
      <c r="G856" s="16">
        <v>21.25085</v>
      </c>
      <c r="H856" t="s">
        <v>8</v>
      </c>
      <c r="I856" s="16">
        <v>18.478999999999999</v>
      </c>
    </row>
    <row r="857" spans="1:9" x14ac:dyDescent="0.3">
      <c r="A857" s="1">
        <v>46247</v>
      </c>
      <c r="B857">
        <v>11</v>
      </c>
      <c r="C857" t="s">
        <v>9965</v>
      </c>
      <c r="D857" t="s">
        <v>2460</v>
      </c>
      <c r="E857" t="s">
        <v>2289</v>
      </c>
      <c r="F857" t="s">
        <v>5554</v>
      </c>
      <c r="G857" s="16">
        <v>2503.1819999999998</v>
      </c>
      <c r="H857" t="s">
        <v>8</v>
      </c>
      <c r="I857" s="16">
        <v>2176.6799999999998</v>
      </c>
    </row>
    <row r="858" spans="1:9" x14ac:dyDescent="0.3">
      <c r="A858" s="1">
        <v>46247</v>
      </c>
      <c r="B858">
        <v>11</v>
      </c>
      <c r="C858" t="s">
        <v>9995</v>
      </c>
      <c r="D858" t="s">
        <v>10</v>
      </c>
      <c r="E858" t="s">
        <v>67</v>
      </c>
      <c r="F858" t="s">
        <v>68</v>
      </c>
      <c r="G858" s="16">
        <v>240.34997999999999</v>
      </c>
      <c r="H858" t="s">
        <v>8</v>
      </c>
      <c r="I858" s="16">
        <v>208.99996999999999</v>
      </c>
    </row>
    <row r="859" spans="1:9" x14ac:dyDescent="0.3">
      <c r="A859" s="1">
        <v>46247</v>
      </c>
      <c r="B859">
        <v>11</v>
      </c>
      <c r="C859" t="s">
        <v>9969</v>
      </c>
      <c r="D859" t="s">
        <v>2460</v>
      </c>
      <c r="E859" t="s">
        <v>7645</v>
      </c>
      <c r="F859" t="s">
        <v>7646</v>
      </c>
      <c r="G859" s="16">
        <v>14847.075000000001</v>
      </c>
      <c r="H859" t="s">
        <v>8</v>
      </c>
      <c r="I859" s="16">
        <v>12910.5</v>
      </c>
    </row>
    <row r="860" spans="1:9" x14ac:dyDescent="0.3">
      <c r="A860" s="1">
        <v>46247</v>
      </c>
      <c r="B860">
        <v>11</v>
      </c>
      <c r="C860" t="s">
        <v>11292</v>
      </c>
      <c r="D860" t="s">
        <v>10</v>
      </c>
      <c r="E860" t="s">
        <v>84</v>
      </c>
      <c r="F860" t="s">
        <v>85</v>
      </c>
      <c r="G860" s="16">
        <v>843.67179999999996</v>
      </c>
      <c r="H860" t="s">
        <v>8</v>
      </c>
      <c r="I860" s="16">
        <v>733.6277</v>
      </c>
    </row>
    <row r="861" spans="1:9" x14ac:dyDescent="0.3">
      <c r="A861" s="1">
        <v>46247</v>
      </c>
      <c r="B861">
        <v>11</v>
      </c>
      <c r="C861" t="s">
        <v>9978</v>
      </c>
      <c r="D861" t="s">
        <v>10</v>
      </c>
      <c r="E861" t="s">
        <v>84</v>
      </c>
      <c r="F861" t="s">
        <v>85</v>
      </c>
      <c r="G861" s="16">
        <v>843.67179999999996</v>
      </c>
      <c r="H861" t="s">
        <v>8</v>
      </c>
      <c r="I861" s="16">
        <v>733.6277</v>
      </c>
    </row>
    <row r="862" spans="1:9" x14ac:dyDescent="0.3">
      <c r="A862" s="1">
        <v>46247</v>
      </c>
      <c r="B862">
        <v>11</v>
      </c>
      <c r="C862" t="s">
        <v>10039</v>
      </c>
      <c r="D862" t="s">
        <v>10</v>
      </c>
      <c r="E862" t="s">
        <v>2315</v>
      </c>
      <c r="F862" t="s">
        <v>2316</v>
      </c>
      <c r="G862" s="16">
        <v>198.83500000000001</v>
      </c>
      <c r="H862" t="s">
        <v>8</v>
      </c>
      <c r="I862" s="16">
        <v>172.9</v>
      </c>
    </row>
    <row r="863" spans="1:9" x14ac:dyDescent="0.3">
      <c r="A863" s="1">
        <v>46247</v>
      </c>
      <c r="B863">
        <v>11</v>
      </c>
      <c r="C863" t="s">
        <v>10030</v>
      </c>
      <c r="D863" t="s">
        <v>10</v>
      </c>
      <c r="E863" t="s">
        <v>665</v>
      </c>
      <c r="F863" t="s">
        <v>666</v>
      </c>
      <c r="G863" s="16">
        <v>46.134869999999999</v>
      </c>
      <c r="H863" t="s">
        <v>8</v>
      </c>
      <c r="I863" s="16">
        <v>40.117280000000001</v>
      </c>
    </row>
    <row r="864" spans="1:9" x14ac:dyDescent="0.3">
      <c r="A864" s="1">
        <v>46247</v>
      </c>
      <c r="B864">
        <v>11</v>
      </c>
      <c r="C864" t="s">
        <v>9989</v>
      </c>
      <c r="D864" t="s">
        <v>10</v>
      </c>
      <c r="E864" t="s">
        <v>111</v>
      </c>
      <c r="F864" t="s">
        <v>112</v>
      </c>
      <c r="G864" s="16">
        <v>91.041659999999993</v>
      </c>
      <c r="H864" t="s">
        <v>8</v>
      </c>
      <c r="I864" s="16">
        <v>79.166659999999993</v>
      </c>
    </row>
    <row r="865" spans="1:9" x14ac:dyDescent="0.3">
      <c r="A865" s="1">
        <v>46247</v>
      </c>
      <c r="B865">
        <v>11</v>
      </c>
      <c r="C865" t="s">
        <v>8097</v>
      </c>
      <c r="D865" t="s">
        <v>10</v>
      </c>
      <c r="E865" t="s">
        <v>2269</v>
      </c>
      <c r="F865" t="s">
        <v>2270</v>
      </c>
      <c r="G865" s="16">
        <v>180.26231000000001</v>
      </c>
      <c r="H865" t="s">
        <v>8</v>
      </c>
      <c r="I865" s="16">
        <v>156.74985000000001</v>
      </c>
    </row>
    <row r="866" spans="1:9" x14ac:dyDescent="0.3">
      <c r="A866" s="1">
        <v>46247</v>
      </c>
      <c r="B866">
        <v>11</v>
      </c>
      <c r="C866" t="s">
        <v>10028</v>
      </c>
      <c r="D866" t="s">
        <v>10</v>
      </c>
      <c r="E866" t="s">
        <v>7245</v>
      </c>
      <c r="F866" t="s">
        <v>7246</v>
      </c>
      <c r="G866" s="16">
        <v>1472.23</v>
      </c>
      <c r="H866" t="s">
        <v>8</v>
      </c>
      <c r="I866" s="16">
        <v>1280.2</v>
      </c>
    </row>
    <row r="867" spans="1:9" x14ac:dyDescent="0.3">
      <c r="A867" s="1">
        <v>46247</v>
      </c>
      <c r="B867">
        <v>11</v>
      </c>
      <c r="C867" t="s">
        <v>10020</v>
      </c>
      <c r="D867" t="s">
        <v>10</v>
      </c>
      <c r="E867" t="s">
        <v>49</v>
      </c>
      <c r="F867" t="s">
        <v>50</v>
      </c>
      <c r="G867" s="16">
        <v>1158.4179999999999</v>
      </c>
      <c r="H867" t="s">
        <v>8</v>
      </c>
      <c r="I867" s="16">
        <v>1007.32</v>
      </c>
    </row>
    <row r="868" spans="1:9" x14ac:dyDescent="0.3">
      <c r="A868" s="1">
        <v>46247</v>
      </c>
      <c r="B868">
        <v>11</v>
      </c>
      <c r="C868" t="s">
        <v>10010</v>
      </c>
      <c r="D868" t="s">
        <v>10</v>
      </c>
      <c r="E868" t="s">
        <v>5437</v>
      </c>
      <c r="F868" t="s">
        <v>5438</v>
      </c>
      <c r="G868" s="16">
        <v>222.71635000000001</v>
      </c>
      <c r="H868" t="s">
        <v>8</v>
      </c>
      <c r="I868" s="16">
        <v>193.66640000000001</v>
      </c>
    </row>
    <row r="869" spans="1:9" x14ac:dyDescent="0.3">
      <c r="A869" s="1">
        <v>46247</v>
      </c>
      <c r="B869">
        <v>11</v>
      </c>
      <c r="C869" t="s">
        <v>10005</v>
      </c>
      <c r="D869" t="s">
        <v>38</v>
      </c>
      <c r="E869" t="s">
        <v>621</v>
      </c>
      <c r="F869" t="s">
        <v>622</v>
      </c>
      <c r="G869" s="16">
        <v>43.262999999999998</v>
      </c>
      <c r="H869" t="s">
        <v>8</v>
      </c>
      <c r="I869" s="16">
        <v>37.619999999999997</v>
      </c>
    </row>
    <row r="870" spans="1:9" x14ac:dyDescent="0.3">
      <c r="A870" s="1">
        <v>46247</v>
      </c>
      <c r="B870">
        <v>11</v>
      </c>
      <c r="C870" t="s">
        <v>9980</v>
      </c>
      <c r="D870" t="s">
        <v>10</v>
      </c>
      <c r="E870" t="s">
        <v>494</v>
      </c>
      <c r="F870" t="s">
        <v>495</v>
      </c>
      <c r="G870" s="16">
        <v>514.947</v>
      </c>
      <c r="H870" t="s">
        <v>8</v>
      </c>
      <c r="I870" s="16">
        <v>447.78</v>
      </c>
    </row>
    <row r="871" spans="1:9" x14ac:dyDescent="0.3">
      <c r="A871" s="1">
        <v>46247</v>
      </c>
      <c r="B871">
        <v>11</v>
      </c>
      <c r="C871" t="s">
        <v>9498</v>
      </c>
      <c r="D871" t="s">
        <v>10</v>
      </c>
      <c r="E871" t="s">
        <v>2269</v>
      </c>
      <c r="F871" t="s">
        <v>2270</v>
      </c>
      <c r="G871" s="16">
        <v>510.52260000000001</v>
      </c>
      <c r="H871" t="s">
        <v>8</v>
      </c>
      <c r="I871" s="16">
        <v>443.93270000000001</v>
      </c>
    </row>
    <row r="872" spans="1:9" x14ac:dyDescent="0.3">
      <c r="A872" s="1">
        <v>46247</v>
      </c>
      <c r="B872">
        <v>11</v>
      </c>
      <c r="C872" t="s">
        <v>10067</v>
      </c>
      <c r="D872" t="s">
        <v>2460</v>
      </c>
      <c r="E872" t="s">
        <v>9829</v>
      </c>
      <c r="F872" t="s">
        <v>9973</v>
      </c>
      <c r="G872" s="16">
        <v>317.39999999999998</v>
      </c>
      <c r="H872" t="s">
        <v>8</v>
      </c>
      <c r="I872" s="16">
        <v>276</v>
      </c>
    </row>
    <row r="873" spans="1:9" x14ac:dyDescent="0.3">
      <c r="A873" s="1">
        <v>46247</v>
      </c>
      <c r="B873">
        <v>11</v>
      </c>
      <c r="C873" t="s">
        <v>9289</v>
      </c>
      <c r="D873" t="s">
        <v>10</v>
      </c>
      <c r="E873" t="s">
        <v>1768</v>
      </c>
      <c r="F873" t="s">
        <v>1769</v>
      </c>
      <c r="G873" s="16">
        <v>72.897220000000004</v>
      </c>
      <c r="H873" t="s">
        <v>8</v>
      </c>
      <c r="I873" s="16">
        <v>63.388890000000004</v>
      </c>
    </row>
    <row r="874" spans="1:9" x14ac:dyDescent="0.3">
      <c r="A874" s="1">
        <v>46247</v>
      </c>
      <c r="B874">
        <v>11</v>
      </c>
      <c r="C874" t="s">
        <v>9988</v>
      </c>
      <c r="D874" t="s">
        <v>10</v>
      </c>
      <c r="E874" t="s">
        <v>4877</v>
      </c>
      <c r="F874" t="s">
        <v>5340</v>
      </c>
      <c r="G874" s="16">
        <v>339.1028</v>
      </c>
      <c r="H874" t="s">
        <v>8</v>
      </c>
      <c r="I874" s="16">
        <v>294.87200000000001</v>
      </c>
    </row>
    <row r="875" spans="1:9" x14ac:dyDescent="0.3">
      <c r="A875" s="1">
        <v>46247</v>
      </c>
      <c r="B875">
        <v>11</v>
      </c>
      <c r="C875" t="s">
        <v>10069</v>
      </c>
      <c r="D875" t="s">
        <v>2460</v>
      </c>
      <c r="E875" t="s">
        <v>2260</v>
      </c>
      <c r="F875" t="s">
        <v>2261</v>
      </c>
      <c r="G875" s="16">
        <v>1128.4375</v>
      </c>
      <c r="H875" t="s">
        <v>8</v>
      </c>
      <c r="I875" s="16">
        <v>981.25</v>
      </c>
    </row>
    <row r="876" spans="1:9" x14ac:dyDescent="0.3">
      <c r="A876" s="1">
        <v>46247</v>
      </c>
      <c r="B876">
        <v>11</v>
      </c>
      <c r="C876" t="s">
        <v>11293</v>
      </c>
      <c r="D876" t="s">
        <v>10</v>
      </c>
      <c r="E876" t="s">
        <v>69</v>
      </c>
      <c r="F876" t="s">
        <v>70</v>
      </c>
      <c r="G876" s="16">
        <v>61.777999999999999</v>
      </c>
      <c r="H876" t="s">
        <v>8</v>
      </c>
      <c r="I876" s="16">
        <v>53.72</v>
      </c>
    </row>
    <row r="877" spans="1:9" x14ac:dyDescent="0.3">
      <c r="A877" s="1">
        <v>46247</v>
      </c>
      <c r="B877">
        <v>11</v>
      </c>
      <c r="C877" t="s">
        <v>9979</v>
      </c>
      <c r="D877" t="s">
        <v>10</v>
      </c>
      <c r="E877" t="s">
        <v>2963</v>
      </c>
      <c r="F877" t="s">
        <v>2964</v>
      </c>
      <c r="G877" s="16">
        <v>147.94749999999999</v>
      </c>
      <c r="H877" t="s">
        <v>8</v>
      </c>
      <c r="I877" s="16">
        <v>128.65</v>
      </c>
    </row>
    <row r="878" spans="1:9" x14ac:dyDescent="0.3">
      <c r="A878" s="1">
        <v>46247</v>
      </c>
      <c r="B878">
        <v>11</v>
      </c>
      <c r="C878" t="s">
        <v>9966</v>
      </c>
      <c r="D878" t="s">
        <v>2460</v>
      </c>
      <c r="E878" t="s">
        <v>2367</v>
      </c>
      <c r="F878" t="s">
        <v>2368</v>
      </c>
      <c r="G878" s="16">
        <v>2699.9839999999999</v>
      </c>
      <c r="H878" t="s">
        <v>8</v>
      </c>
      <c r="I878" s="16">
        <v>2347.8119999999999</v>
      </c>
    </row>
    <row r="879" spans="1:9" x14ac:dyDescent="0.3">
      <c r="A879" s="1">
        <v>46247</v>
      </c>
      <c r="B879">
        <v>11</v>
      </c>
      <c r="C879" t="s">
        <v>9651</v>
      </c>
      <c r="D879" t="s">
        <v>10</v>
      </c>
      <c r="E879" t="s">
        <v>633</v>
      </c>
      <c r="F879" t="s">
        <v>690</v>
      </c>
      <c r="G879" s="16">
        <v>621.27200000000005</v>
      </c>
      <c r="H879" t="s">
        <v>8</v>
      </c>
      <c r="I879" s="16">
        <v>540.23649999999998</v>
      </c>
    </row>
    <row r="880" spans="1:9" x14ac:dyDescent="0.3">
      <c r="A880" s="1">
        <v>46247</v>
      </c>
      <c r="B880">
        <v>11</v>
      </c>
      <c r="C880" t="s">
        <v>9823</v>
      </c>
      <c r="D880" t="s">
        <v>10</v>
      </c>
      <c r="E880" t="s">
        <v>1768</v>
      </c>
      <c r="F880" t="s">
        <v>1769</v>
      </c>
      <c r="G880" s="16">
        <v>67.386809999999997</v>
      </c>
      <c r="H880" t="s">
        <v>8</v>
      </c>
      <c r="I880" s="16">
        <v>58.597230000000003</v>
      </c>
    </row>
    <row r="881" spans="1:9" x14ac:dyDescent="0.3">
      <c r="A881" s="1">
        <v>46247</v>
      </c>
      <c r="B881">
        <v>11</v>
      </c>
      <c r="C881" t="s">
        <v>10017</v>
      </c>
      <c r="D881" t="s">
        <v>10</v>
      </c>
      <c r="E881" t="s">
        <v>2943</v>
      </c>
      <c r="F881" t="s">
        <v>2944</v>
      </c>
      <c r="G881" s="16">
        <v>683.96249999999998</v>
      </c>
      <c r="H881" t="s">
        <v>8</v>
      </c>
      <c r="I881" s="16">
        <v>594.75</v>
      </c>
    </row>
    <row r="882" spans="1:9" x14ac:dyDescent="0.3">
      <c r="A882" s="1">
        <v>46247</v>
      </c>
      <c r="B882">
        <v>11</v>
      </c>
      <c r="C882" t="s">
        <v>10014</v>
      </c>
      <c r="D882" t="s">
        <v>10</v>
      </c>
      <c r="E882" t="s">
        <v>3056</v>
      </c>
      <c r="F882" t="s">
        <v>3057</v>
      </c>
      <c r="G882" s="16">
        <v>44.85</v>
      </c>
      <c r="H882" t="s">
        <v>8</v>
      </c>
      <c r="I882" s="16">
        <v>39</v>
      </c>
    </row>
    <row r="883" spans="1:9" x14ac:dyDescent="0.3">
      <c r="A883" s="1">
        <v>46247</v>
      </c>
      <c r="B883">
        <v>11</v>
      </c>
      <c r="C883" t="s">
        <v>10004</v>
      </c>
      <c r="D883" t="s">
        <v>10</v>
      </c>
      <c r="E883" t="s">
        <v>1722</v>
      </c>
      <c r="F883" t="s">
        <v>1723</v>
      </c>
      <c r="G883" s="16">
        <v>139.15</v>
      </c>
      <c r="H883" t="s">
        <v>8</v>
      </c>
      <c r="I883" s="16">
        <v>121</v>
      </c>
    </row>
    <row r="884" spans="1:9" x14ac:dyDescent="0.3">
      <c r="A884" s="1">
        <v>46247</v>
      </c>
      <c r="B884">
        <v>11</v>
      </c>
      <c r="C884" t="s">
        <v>10066</v>
      </c>
      <c r="D884" t="s">
        <v>2460</v>
      </c>
      <c r="E884" t="s">
        <v>9766</v>
      </c>
      <c r="F884" t="s">
        <v>9767</v>
      </c>
      <c r="G884" s="16">
        <v>5719.8829999999998</v>
      </c>
      <c r="H884" t="s">
        <v>8</v>
      </c>
      <c r="I884" s="16">
        <v>4973.8109999999997</v>
      </c>
    </row>
    <row r="885" spans="1:9" x14ac:dyDescent="0.3">
      <c r="A885" s="1">
        <v>46247</v>
      </c>
      <c r="B885">
        <v>11</v>
      </c>
      <c r="C885" t="s">
        <v>11294</v>
      </c>
      <c r="D885" t="s">
        <v>10</v>
      </c>
      <c r="E885" t="s">
        <v>1743</v>
      </c>
      <c r="F885" t="s">
        <v>1744</v>
      </c>
      <c r="G885" s="16">
        <v>103.5</v>
      </c>
      <c r="H885" t="s">
        <v>8</v>
      </c>
      <c r="I885" s="16">
        <v>90</v>
      </c>
    </row>
    <row r="886" spans="1:9" x14ac:dyDescent="0.3">
      <c r="A886" s="1">
        <v>46247</v>
      </c>
      <c r="B886">
        <v>11</v>
      </c>
      <c r="C886" t="s">
        <v>9967</v>
      </c>
      <c r="D886" t="s">
        <v>2460</v>
      </c>
      <c r="E886" t="s">
        <v>2478</v>
      </c>
      <c r="F886" t="s">
        <v>2479</v>
      </c>
      <c r="G886" s="16">
        <v>1116.8</v>
      </c>
      <c r="H886" t="s">
        <v>8</v>
      </c>
      <c r="I886" s="16">
        <v>1116.8</v>
      </c>
    </row>
    <row r="887" spans="1:9" x14ac:dyDescent="0.3">
      <c r="A887" s="1">
        <v>46247</v>
      </c>
      <c r="B887">
        <v>11</v>
      </c>
      <c r="C887" t="s">
        <v>10073</v>
      </c>
      <c r="D887" t="s">
        <v>2460</v>
      </c>
      <c r="E887" t="s">
        <v>148</v>
      </c>
      <c r="F887" t="s">
        <v>149</v>
      </c>
      <c r="G887" s="16">
        <v>101.20001999999999</v>
      </c>
      <c r="H887" t="s">
        <v>8</v>
      </c>
      <c r="I887" s="16">
        <v>88.000020000000006</v>
      </c>
    </row>
    <row r="888" spans="1:9" x14ac:dyDescent="0.3">
      <c r="A888" s="1">
        <v>46247</v>
      </c>
      <c r="B888">
        <v>11</v>
      </c>
      <c r="C888" t="s">
        <v>9954</v>
      </c>
      <c r="D888" t="s">
        <v>10</v>
      </c>
      <c r="E888" t="s">
        <v>69</v>
      </c>
      <c r="F888" t="s">
        <v>70</v>
      </c>
      <c r="G888" s="16">
        <v>5298.3374000000003</v>
      </c>
      <c r="H888" t="s">
        <v>8</v>
      </c>
      <c r="I888" s="16">
        <v>4607.25</v>
      </c>
    </row>
    <row r="889" spans="1:9" x14ac:dyDescent="0.3">
      <c r="A889" s="1">
        <v>46247</v>
      </c>
      <c r="B889">
        <v>11</v>
      </c>
      <c r="C889" t="s">
        <v>10046</v>
      </c>
      <c r="D889" t="s">
        <v>10</v>
      </c>
      <c r="E889" t="s">
        <v>102</v>
      </c>
      <c r="F889" t="s">
        <v>103</v>
      </c>
      <c r="G889" s="16">
        <v>250.41249999999999</v>
      </c>
      <c r="H889" t="s">
        <v>8</v>
      </c>
      <c r="I889" s="16">
        <v>217.75</v>
      </c>
    </row>
    <row r="890" spans="1:9" x14ac:dyDescent="0.3">
      <c r="A890" s="1">
        <v>46247</v>
      </c>
      <c r="B890">
        <v>11</v>
      </c>
      <c r="C890" t="s">
        <v>11295</v>
      </c>
      <c r="D890" t="s">
        <v>10</v>
      </c>
      <c r="E890" t="s">
        <v>57</v>
      </c>
      <c r="F890" t="s">
        <v>58</v>
      </c>
      <c r="G890" s="16">
        <v>1415.075</v>
      </c>
      <c r="H890" t="s">
        <v>8</v>
      </c>
      <c r="I890" s="16">
        <v>1230.5</v>
      </c>
    </row>
    <row r="891" spans="1:9" x14ac:dyDescent="0.3">
      <c r="A891" s="1">
        <v>46247</v>
      </c>
      <c r="B891">
        <v>11</v>
      </c>
      <c r="C891" t="s">
        <v>10031</v>
      </c>
      <c r="D891" t="s">
        <v>10</v>
      </c>
      <c r="E891" t="s">
        <v>632</v>
      </c>
      <c r="F891" t="s">
        <v>682</v>
      </c>
      <c r="G891" s="16">
        <v>90.275000000000006</v>
      </c>
      <c r="H891" t="s">
        <v>8</v>
      </c>
      <c r="I891" s="16">
        <v>78.5</v>
      </c>
    </row>
    <row r="892" spans="1:9" x14ac:dyDescent="0.3">
      <c r="A892" s="1">
        <v>46247</v>
      </c>
      <c r="B892">
        <v>11</v>
      </c>
      <c r="C892" t="s">
        <v>10072</v>
      </c>
      <c r="D892" t="s">
        <v>2460</v>
      </c>
      <c r="E892" t="s">
        <v>156</v>
      </c>
      <c r="F892" t="s">
        <v>157</v>
      </c>
      <c r="G892" s="16">
        <v>3141.6</v>
      </c>
      <c r="H892" t="s">
        <v>8</v>
      </c>
      <c r="I892" s="16">
        <v>2731.8262</v>
      </c>
    </row>
    <row r="893" spans="1:9" x14ac:dyDescent="0.3">
      <c r="A893" s="1">
        <v>46247</v>
      </c>
      <c r="B893">
        <v>11</v>
      </c>
      <c r="C893" t="s">
        <v>10051</v>
      </c>
      <c r="D893" t="s">
        <v>10</v>
      </c>
      <c r="E893" t="s">
        <v>1424</v>
      </c>
      <c r="F893" t="s">
        <v>1425</v>
      </c>
      <c r="G893" s="16">
        <v>483</v>
      </c>
      <c r="H893" t="s">
        <v>8</v>
      </c>
      <c r="I893" s="16">
        <v>420</v>
      </c>
    </row>
    <row r="894" spans="1:9" x14ac:dyDescent="0.3">
      <c r="A894" s="1">
        <v>46247</v>
      </c>
      <c r="B894">
        <v>11</v>
      </c>
      <c r="C894" t="s">
        <v>8701</v>
      </c>
      <c r="D894" t="s">
        <v>10</v>
      </c>
      <c r="E894" t="s">
        <v>2269</v>
      </c>
      <c r="F894" t="s">
        <v>2270</v>
      </c>
      <c r="G894" s="16">
        <v>73.322270000000003</v>
      </c>
      <c r="H894" t="s">
        <v>8</v>
      </c>
      <c r="I894" s="16">
        <v>63.758499999999998</v>
      </c>
    </row>
    <row r="895" spans="1:9" x14ac:dyDescent="0.3">
      <c r="A895" s="1">
        <v>46247</v>
      </c>
      <c r="B895">
        <v>11</v>
      </c>
      <c r="C895" t="s">
        <v>10050</v>
      </c>
      <c r="D895" t="s">
        <v>10</v>
      </c>
      <c r="E895" t="s">
        <v>43</v>
      </c>
      <c r="F895" t="s">
        <v>44</v>
      </c>
      <c r="G895" s="16">
        <v>491.42950000000002</v>
      </c>
      <c r="H895" t="s">
        <v>8</v>
      </c>
      <c r="I895" s="16">
        <v>427.33</v>
      </c>
    </row>
    <row r="896" spans="1:9" x14ac:dyDescent="0.3">
      <c r="A896" s="1">
        <v>46247</v>
      </c>
      <c r="B896">
        <v>11</v>
      </c>
      <c r="C896" t="s">
        <v>9962</v>
      </c>
      <c r="D896" t="s">
        <v>10</v>
      </c>
      <c r="E896" t="s">
        <v>36</v>
      </c>
      <c r="F896" t="s">
        <v>37</v>
      </c>
      <c r="G896" s="16">
        <v>5718.3980000000001</v>
      </c>
      <c r="H896" t="s">
        <v>8</v>
      </c>
      <c r="I896" s="16">
        <v>4972.5200000000004</v>
      </c>
    </row>
    <row r="897" spans="1:9" x14ac:dyDescent="0.3">
      <c r="A897" s="1">
        <v>46247</v>
      </c>
      <c r="B897">
        <v>11</v>
      </c>
      <c r="C897" t="s">
        <v>9354</v>
      </c>
      <c r="D897" t="s">
        <v>169</v>
      </c>
      <c r="E897" t="s">
        <v>2505</v>
      </c>
      <c r="F897" t="s">
        <v>2758</v>
      </c>
      <c r="G897" s="16">
        <v>474.95</v>
      </c>
      <c r="H897" t="s">
        <v>8</v>
      </c>
      <c r="I897" s="16">
        <v>413</v>
      </c>
    </row>
    <row r="898" spans="1:9" x14ac:dyDescent="0.3">
      <c r="A898" s="1">
        <v>46247</v>
      </c>
      <c r="B898">
        <v>11</v>
      </c>
      <c r="C898" t="s">
        <v>10071</v>
      </c>
      <c r="D898" t="s">
        <v>2460</v>
      </c>
      <c r="E898" t="s">
        <v>2319</v>
      </c>
      <c r="F898" t="s">
        <v>2320</v>
      </c>
      <c r="G898" s="16">
        <v>2032.2686000000001</v>
      </c>
      <c r="H898" t="s">
        <v>8</v>
      </c>
      <c r="I898" s="16">
        <v>1767.19</v>
      </c>
    </row>
    <row r="899" spans="1:9" x14ac:dyDescent="0.3">
      <c r="A899" s="1">
        <v>46247</v>
      </c>
      <c r="B899">
        <v>11</v>
      </c>
      <c r="C899" t="s">
        <v>9720</v>
      </c>
      <c r="D899" t="s">
        <v>169</v>
      </c>
      <c r="E899" t="s">
        <v>6373</v>
      </c>
      <c r="F899" t="s">
        <v>6374</v>
      </c>
      <c r="G899" s="16">
        <v>573.16</v>
      </c>
      <c r="H899" t="s">
        <v>8</v>
      </c>
      <c r="I899" s="16">
        <v>498.4</v>
      </c>
    </row>
    <row r="900" spans="1:9" x14ac:dyDescent="0.3">
      <c r="A900" s="1">
        <v>46247</v>
      </c>
      <c r="B900">
        <v>11</v>
      </c>
      <c r="C900" t="s">
        <v>10034</v>
      </c>
      <c r="D900" t="s">
        <v>10</v>
      </c>
      <c r="E900" t="s">
        <v>358</v>
      </c>
      <c r="F900" t="s">
        <v>359</v>
      </c>
      <c r="G900" s="16">
        <v>129.94999999999999</v>
      </c>
      <c r="H900" t="s">
        <v>8</v>
      </c>
      <c r="I900" s="16">
        <v>113</v>
      </c>
    </row>
    <row r="901" spans="1:9" x14ac:dyDescent="0.3">
      <c r="A901" s="1">
        <v>46247</v>
      </c>
      <c r="B901">
        <v>11</v>
      </c>
      <c r="C901" t="s">
        <v>10037</v>
      </c>
      <c r="D901" t="s">
        <v>10</v>
      </c>
      <c r="E901" t="s">
        <v>151</v>
      </c>
      <c r="F901" t="s">
        <v>152</v>
      </c>
      <c r="G901" s="16">
        <v>2569.261</v>
      </c>
      <c r="H901" t="s">
        <v>8</v>
      </c>
      <c r="I901" s="16">
        <v>2234.14</v>
      </c>
    </row>
    <row r="902" spans="1:9" x14ac:dyDescent="0.3">
      <c r="A902" s="1">
        <v>46247</v>
      </c>
      <c r="B902">
        <v>11</v>
      </c>
      <c r="C902" t="s">
        <v>9968</v>
      </c>
      <c r="D902" t="s">
        <v>2460</v>
      </c>
      <c r="E902" t="s">
        <v>2348</v>
      </c>
      <c r="F902" t="s">
        <v>9260</v>
      </c>
      <c r="G902" s="16">
        <v>102.8</v>
      </c>
      <c r="H902" t="s">
        <v>8</v>
      </c>
      <c r="I902" s="16">
        <v>102.8</v>
      </c>
    </row>
    <row r="903" spans="1:9" x14ac:dyDescent="0.3">
      <c r="A903" s="1">
        <v>46247</v>
      </c>
      <c r="B903">
        <v>11</v>
      </c>
      <c r="C903" t="s">
        <v>9993</v>
      </c>
      <c r="D903" t="s">
        <v>10</v>
      </c>
      <c r="E903" t="s">
        <v>295</v>
      </c>
      <c r="F903" t="s">
        <v>345</v>
      </c>
      <c r="G903" s="16">
        <v>25.3</v>
      </c>
      <c r="H903" t="s">
        <v>8</v>
      </c>
      <c r="I903" s="16">
        <v>22</v>
      </c>
    </row>
    <row r="904" spans="1:9" x14ac:dyDescent="0.3">
      <c r="A904" s="1">
        <v>46247</v>
      </c>
      <c r="B904">
        <v>11</v>
      </c>
      <c r="C904" t="s">
        <v>9957</v>
      </c>
      <c r="D904" t="s">
        <v>10</v>
      </c>
      <c r="E904" t="s">
        <v>69</v>
      </c>
      <c r="F904" t="s">
        <v>70</v>
      </c>
      <c r="G904" s="16">
        <v>6391.1019999999999</v>
      </c>
      <c r="H904" t="s">
        <v>8</v>
      </c>
      <c r="I904" s="16">
        <v>5557.48</v>
      </c>
    </row>
    <row r="905" spans="1:9" x14ac:dyDescent="0.3">
      <c r="A905" s="1">
        <v>46247</v>
      </c>
      <c r="B905">
        <v>11</v>
      </c>
      <c r="C905" t="s">
        <v>11296</v>
      </c>
      <c r="D905" t="s">
        <v>2467</v>
      </c>
      <c r="E905" t="s">
        <v>861</v>
      </c>
      <c r="F905" t="s">
        <v>862</v>
      </c>
      <c r="G905" s="16">
        <v>64.974999999999994</v>
      </c>
      <c r="H905" t="s">
        <v>8</v>
      </c>
      <c r="I905" s="16">
        <v>56.5</v>
      </c>
    </row>
    <row r="906" spans="1:9" x14ac:dyDescent="0.3">
      <c r="A906" s="1">
        <v>46247</v>
      </c>
      <c r="B906">
        <v>11</v>
      </c>
      <c r="C906" t="s">
        <v>10009</v>
      </c>
      <c r="D906" t="s">
        <v>10</v>
      </c>
      <c r="E906" t="s">
        <v>318</v>
      </c>
      <c r="F906" t="s">
        <v>319</v>
      </c>
      <c r="G906" s="16">
        <v>1401.0250000000001</v>
      </c>
      <c r="H906" t="s">
        <v>8</v>
      </c>
      <c r="I906" s="16">
        <v>1218.2826</v>
      </c>
    </row>
    <row r="907" spans="1:9" x14ac:dyDescent="0.3">
      <c r="A907" s="1">
        <v>46247</v>
      </c>
      <c r="B907">
        <v>11</v>
      </c>
      <c r="C907" t="s">
        <v>9336</v>
      </c>
      <c r="D907" t="s">
        <v>169</v>
      </c>
      <c r="E907" t="s">
        <v>6373</v>
      </c>
      <c r="F907" t="s">
        <v>6374</v>
      </c>
      <c r="G907" s="16">
        <v>122.3485</v>
      </c>
      <c r="H907" t="s">
        <v>8</v>
      </c>
      <c r="I907" s="16">
        <v>106.39</v>
      </c>
    </row>
    <row r="908" spans="1:9" x14ac:dyDescent="0.3">
      <c r="A908" s="1">
        <v>46247</v>
      </c>
      <c r="B908">
        <v>11</v>
      </c>
      <c r="C908" t="s">
        <v>10018</v>
      </c>
      <c r="D908" t="s">
        <v>10</v>
      </c>
      <c r="E908" t="s">
        <v>104</v>
      </c>
      <c r="F908" t="s">
        <v>105</v>
      </c>
      <c r="G908" s="16">
        <v>313.7276</v>
      </c>
      <c r="H908" t="s">
        <v>8</v>
      </c>
      <c r="I908" s="16">
        <v>272.8066</v>
      </c>
    </row>
    <row r="909" spans="1:9" x14ac:dyDescent="0.3">
      <c r="A909" s="1">
        <v>46247</v>
      </c>
      <c r="B909">
        <v>11</v>
      </c>
      <c r="C909" t="s">
        <v>10025</v>
      </c>
      <c r="D909" t="s">
        <v>10</v>
      </c>
      <c r="E909" t="s">
        <v>580</v>
      </c>
      <c r="F909" t="s">
        <v>581</v>
      </c>
      <c r="G909" s="16">
        <v>724.5</v>
      </c>
      <c r="H909" t="s">
        <v>8</v>
      </c>
      <c r="I909" s="16">
        <v>630</v>
      </c>
    </row>
    <row r="910" spans="1:9" x14ac:dyDescent="0.3">
      <c r="A910" s="1">
        <v>46247</v>
      </c>
      <c r="B910">
        <v>11</v>
      </c>
      <c r="C910" t="s">
        <v>10068</v>
      </c>
      <c r="D910" t="s">
        <v>2460</v>
      </c>
      <c r="E910" t="s">
        <v>9829</v>
      </c>
      <c r="F910" t="s">
        <v>9973</v>
      </c>
      <c r="G910" s="16">
        <v>607.20000000000005</v>
      </c>
      <c r="H910" t="s">
        <v>8</v>
      </c>
      <c r="I910" s="16">
        <v>528</v>
      </c>
    </row>
    <row r="911" spans="1:9" x14ac:dyDescent="0.3">
      <c r="A911" s="1">
        <v>46247</v>
      </c>
      <c r="B911">
        <v>11</v>
      </c>
      <c r="C911" t="s">
        <v>10070</v>
      </c>
      <c r="D911" t="s">
        <v>2460</v>
      </c>
      <c r="E911" t="s">
        <v>5416</v>
      </c>
      <c r="F911" t="s">
        <v>5417</v>
      </c>
      <c r="G911" s="16">
        <v>77</v>
      </c>
      <c r="H911" t="s">
        <v>8</v>
      </c>
      <c r="I911" s="16">
        <v>66.956519999999998</v>
      </c>
    </row>
    <row r="912" spans="1:9" x14ac:dyDescent="0.3">
      <c r="A912" s="1">
        <v>46247</v>
      </c>
      <c r="B912">
        <v>11</v>
      </c>
      <c r="C912" t="s">
        <v>9152</v>
      </c>
      <c r="D912" t="s">
        <v>10</v>
      </c>
      <c r="E912" t="s">
        <v>2269</v>
      </c>
      <c r="F912" t="s">
        <v>2270</v>
      </c>
      <c r="G912" s="16">
        <v>35.544199999999996</v>
      </c>
      <c r="H912" t="s">
        <v>8</v>
      </c>
      <c r="I912" s="16">
        <v>30.908000000000001</v>
      </c>
    </row>
    <row r="913" spans="1:9" x14ac:dyDescent="0.3">
      <c r="A913" s="1">
        <v>46248</v>
      </c>
      <c r="B913">
        <v>10</v>
      </c>
      <c r="C913" t="s">
        <v>10058</v>
      </c>
      <c r="D913" t="s">
        <v>10</v>
      </c>
      <c r="E913" t="s">
        <v>3773</v>
      </c>
      <c r="F913" t="s">
        <v>3774</v>
      </c>
      <c r="G913" s="16">
        <v>1807.8</v>
      </c>
      <c r="H913" t="s">
        <v>8</v>
      </c>
      <c r="I913" s="16">
        <v>1572</v>
      </c>
    </row>
    <row r="914" spans="1:9" x14ac:dyDescent="0.3">
      <c r="A914" s="1">
        <v>46248</v>
      </c>
      <c r="B914">
        <v>10</v>
      </c>
      <c r="C914" t="s">
        <v>10060</v>
      </c>
      <c r="D914" t="s">
        <v>10</v>
      </c>
      <c r="E914" t="s">
        <v>173</v>
      </c>
      <c r="F914" t="s">
        <v>174</v>
      </c>
      <c r="G914" s="16">
        <v>3250.337</v>
      </c>
      <c r="H914" t="s">
        <v>8</v>
      </c>
      <c r="I914" s="16">
        <v>2826.38</v>
      </c>
    </row>
    <row r="915" spans="1:9" x14ac:dyDescent="0.3">
      <c r="A915" s="1">
        <v>46248</v>
      </c>
      <c r="B915">
        <v>10</v>
      </c>
      <c r="C915" t="s">
        <v>10061</v>
      </c>
      <c r="D915" t="s">
        <v>10</v>
      </c>
      <c r="E915" t="s">
        <v>39</v>
      </c>
      <c r="F915" t="s">
        <v>40</v>
      </c>
      <c r="G915" s="16">
        <v>3715.3386</v>
      </c>
      <c r="H915" t="s">
        <v>8</v>
      </c>
      <c r="I915" s="16">
        <v>3230.7292000000002</v>
      </c>
    </row>
    <row r="916" spans="1:9" x14ac:dyDescent="0.3">
      <c r="A916" s="1">
        <v>46248</v>
      </c>
      <c r="B916">
        <v>10</v>
      </c>
      <c r="C916" t="s">
        <v>10059</v>
      </c>
      <c r="D916" t="s">
        <v>10</v>
      </c>
      <c r="E916" t="s">
        <v>177</v>
      </c>
      <c r="F916" t="s">
        <v>178</v>
      </c>
      <c r="G916" s="16">
        <v>3436.7175000000002</v>
      </c>
      <c r="H916" t="s">
        <v>8</v>
      </c>
      <c r="I916" s="16">
        <v>2988.45</v>
      </c>
    </row>
    <row r="917" spans="1:9" x14ac:dyDescent="0.3">
      <c r="A917" s="1">
        <v>46248</v>
      </c>
      <c r="B917">
        <v>10</v>
      </c>
      <c r="C917" t="s">
        <v>10062</v>
      </c>
      <c r="D917" t="s">
        <v>10</v>
      </c>
      <c r="E917" t="s">
        <v>69</v>
      </c>
      <c r="F917" t="s">
        <v>70</v>
      </c>
      <c r="G917" s="16">
        <v>4312.5460000000003</v>
      </c>
      <c r="H917" t="s">
        <v>8</v>
      </c>
      <c r="I917" s="16">
        <v>3750.04</v>
      </c>
    </row>
    <row r="918" spans="1:9" x14ac:dyDescent="0.3">
      <c r="A918" s="1">
        <v>46249</v>
      </c>
      <c r="B918">
        <v>9</v>
      </c>
      <c r="C918" t="s">
        <v>10125</v>
      </c>
      <c r="D918" t="s">
        <v>38</v>
      </c>
      <c r="E918" t="s">
        <v>329</v>
      </c>
      <c r="F918" t="s">
        <v>320</v>
      </c>
      <c r="G918" s="16">
        <v>1603.675</v>
      </c>
      <c r="H918" t="s">
        <v>8</v>
      </c>
      <c r="I918" s="16">
        <v>1394.5</v>
      </c>
    </row>
    <row r="919" spans="1:9" x14ac:dyDescent="0.3">
      <c r="A919" s="1">
        <v>46249</v>
      </c>
      <c r="B919">
        <v>9</v>
      </c>
      <c r="C919" t="s">
        <v>10116</v>
      </c>
      <c r="D919" t="s">
        <v>38</v>
      </c>
      <c r="E919" t="s">
        <v>10114</v>
      </c>
      <c r="F919" t="s">
        <v>10115</v>
      </c>
      <c r="G919" s="16">
        <v>67.89</v>
      </c>
      <c r="H919" t="s">
        <v>8</v>
      </c>
      <c r="I919" s="16">
        <v>59.034779999999998</v>
      </c>
    </row>
    <row r="920" spans="1:9" x14ac:dyDescent="0.3">
      <c r="A920" s="1">
        <v>46249</v>
      </c>
      <c r="B920">
        <v>9</v>
      </c>
      <c r="C920" t="s">
        <v>10079</v>
      </c>
      <c r="D920" t="s">
        <v>38</v>
      </c>
      <c r="E920" t="s">
        <v>126</v>
      </c>
      <c r="F920" t="s">
        <v>127</v>
      </c>
      <c r="G920" s="16">
        <v>417.35525999999999</v>
      </c>
      <c r="H920" t="s">
        <v>8</v>
      </c>
      <c r="I920" s="16">
        <v>362.91759999999999</v>
      </c>
    </row>
    <row r="921" spans="1:9" x14ac:dyDescent="0.3">
      <c r="A921" s="1">
        <v>46249</v>
      </c>
      <c r="B921">
        <v>9</v>
      </c>
      <c r="C921" t="s">
        <v>10318</v>
      </c>
      <c r="D921" t="s">
        <v>2467</v>
      </c>
      <c r="E921" t="s">
        <v>75</v>
      </c>
      <c r="F921" t="s">
        <v>76</v>
      </c>
      <c r="G921" s="16">
        <v>3789.2501999999999</v>
      </c>
      <c r="H921" t="s">
        <v>8</v>
      </c>
      <c r="I921" s="16">
        <v>3295</v>
      </c>
    </row>
    <row r="922" spans="1:9" x14ac:dyDescent="0.3">
      <c r="A922" s="1">
        <v>46249</v>
      </c>
      <c r="B922">
        <v>9</v>
      </c>
      <c r="C922" t="s">
        <v>10126</v>
      </c>
      <c r="D922" t="s">
        <v>38</v>
      </c>
      <c r="E922" t="s">
        <v>444</v>
      </c>
      <c r="F922" t="s">
        <v>445</v>
      </c>
      <c r="G922" s="16">
        <v>2173.96</v>
      </c>
      <c r="H922" t="s">
        <v>8</v>
      </c>
      <c r="I922" s="16">
        <v>1890.4</v>
      </c>
    </row>
    <row r="923" spans="1:9" x14ac:dyDescent="0.3">
      <c r="A923" s="1">
        <v>46249</v>
      </c>
      <c r="B923">
        <v>9</v>
      </c>
      <c r="C923" t="s">
        <v>10085</v>
      </c>
      <c r="D923" t="s">
        <v>10</v>
      </c>
      <c r="E923" t="s">
        <v>69</v>
      </c>
      <c r="F923" t="s">
        <v>70</v>
      </c>
      <c r="G923" s="16">
        <v>5480.1293999999998</v>
      </c>
      <c r="H923" t="s">
        <v>8</v>
      </c>
      <c r="I923" s="16">
        <v>4765.33</v>
      </c>
    </row>
    <row r="924" spans="1:9" x14ac:dyDescent="0.3">
      <c r="A924" s="1">
        <v>46249</v>
      </c>
      <c r="B924">
        <v>9</v>
      </c>
      <c r="C924" t="s">
        <v>10108</v>
      </c>
      <c r="D924" t="s">
        <v>38</v>
      </c>
      <c r="E924" t="s">
        <v>253</v>
      </c>
      <c r="F924" t="s">
        <v>254</v>
      </c>
      <c r="G924" s="16">
        <v>357.53500000000003</v>
      </c>
      <c r="H924" t="s">
        <v>8</v>
      </c>
      <c r="I924" s="16">
        <v>310.89999999999998</v>
      </c>
    </row>
    <row r="925" spans="1:9" x14ac:dyDescent="0.3">
      <c r="A925" s="1">
        <v>46249</v>
      </c>
      <c r="B925">
        <v>9</v>
      </c>
      <c r="C925" t="s">
        <v>10096</v>
      </c>
      <c r="D925" t="s">
        <v>38</v>
      </c>
      <c r="E925" t="s">
        <v>832</v>
      </c>
      <c r="F925" t="s">
        <v>833</v>
      </c>
      <c r="G925" s="16">
        <v>2291.7199999999998</v>
      </c>
      <c r="H925" t="s">
        <v>8</v>
      </c>
      <c r="I925" s="16">
        <v>1992.8</v>
      </c>
    </row>
    <row r="926" spans="1:9" x14ac:dyDescent="0.3">
      <c r="A926" s="1">
        <v>46249</v>
      </c>
      <c r="B926">
        <v>9</v>
      </c>
      <c r="C926" t="s">
        <v>10088</v>
      </c>
      <c r="D926" t="s">
        <v>38</v>
      </c>
      <c r="E926" t="s">
        <v>88</v>
      </c>
      <c r="F926" t="s">
        <v>89</v>
      </c>
      <c r="G926" s="16">
        <v>4900.38</v>
      </c>
      <c r="H926" t="s">
        <v>8</v>
      </c>
      <c r="I926" s="16">
        <v>4261.2</v>
      </c>
    </row>
    <row r="927" spans="1:9" x14ac:dyDescent="0.3">
      <c r="A927" s="1">
        <v>46249</v>
      </c>
      <c r="B927">
        <v>9</v>
      </c>
      <c r="C927" t="s">
        <v>10130</v>
      </c>
      <c r="D927" t="s">
        <v>38</v>
      </c>
      <c r="E927" t="s">
        <v>875</v>
      </c>
      <c r="F927" t="s">
        <v>876</v>
      </c>
      <c r="G927" s="16">
        <v>956.7885</v>
      </c>
      <c r="H927" t="s">
        <v>8</v>
      </c>
      <c r="I927" s="16">
        <v>831.99</v>
      </c>
    </row>
    <row r="928" spans="1:9" x14ac:dyDescent="0.3">
      <c r="A928" s="1">
        <v>46249</v>
      </c>
      <c r="B928">
        <v>9</v>
      </c>
      <c r="C928" t="s">
        <v>10077</v>
      </c>
      <c r="D928" t="s">
        <v>38</v>
      </c>
      <c r="E928" t="s">
        <v>86</v>
      </c>
      <c r="F928" t="s">
        <v>87</v>
      </c>
      <c r="G928" s="16">
        <v>138.59800000000001</v>
      </c>
      <c r="H928" t="s">
        <v>8</v>
      </c>
      <c r="I928" s="16">
        <v>120.52</v>
      </c>
    </row>
    <row r="929" spans="1:9" x14ac:dyDescent="0.3">
      <c r="A929" s="1">
        <v>46249</v>
      </c>
      <c r="B929">
        <v>9</v>
      </c>
      <c r="C929" t="s">
        <v>2459</v>
      </c>
      <c r="D929" t="s">
        <v>2460</v>
      </c>
      <c r="E929" t="s">
        <v>2461</v>
      </c>
      <c r="F929" t="s">
        <v>2462</v>
      </c>
      <c r="G929" s="16">
        <v>42.55</v>
      </c>
      <c r="H929" t="s">
        <v>8</v>
      </c>
      <c r="I929" s="16">
        <v>37</v>
      </c>
    </row>
    <row r="930" spans="1:9" x14ac:dyDescent="0.3">
      <c r="A930" s="1">
        <v>46249</v>
      </c>
      <c r="B930">
        <v>9</v>
      </c>
      <c r="C930" t="s">
        <v>10321</v>
      </c>
      <c r="D930" t="s">
        <v>2460</v>
      </c>
      <c r="E930" t="s">
        <v>2461</v>
      </c>
      <c r="F930" t="s">
        <v>2462</v>
      </c>
      <c r="G930" s="16">
        <v>231.15</v>
      </c>
      <c r="H930" t="s">
        <v>8</v>
      </c>
      <c r="I930" s="16">
        <v>201</v>
      </c>
    </row>
    <row r="931" spans="1:9" x14ac:dyDescent="0.3">
      <c r="A931" s="1">
        <v>46249</v>
      </c>
      <c r="B931">
        <v>9</v>
      </c>
      <c r="C931" t="s">
        <v>10106</v>
      </c>
      <c r="D931" t="s">
        <v>38</v>
      </c>
      <c r="E931" t="s">
        <v>401</v>
      </c>
      <c r="F931" t="s">
        <v>402</v>
      </c>
      <c r="G931" s="16">
        <v>166.46250000000001</v>
      </c>
      <c r="H931" t="s">
        <v>8</v>
      </c>
      <c r="I931" s="16">
        <v>144.75</v>
      </c>
    </row>
    <row r="932" spans="1:9" x14ac:dyDescent="0.3">
      <c r="A932" s="1">
        <v>46249</v>
      </c>
      <c r="B932">
        <v>9</v>
      </c>
      <c r="C932" t="s">
        <v>10322</v>
      </c>
      <c r="D932" t="s">
        <v>2460</v>
      </c>
      <c r="E932" t="s">
        <v>2461</v>
      </c>
      <c r="F932" t="s">
        <v>2462</v>
      </c>
      <c r="G932" s="16">
        <v>40.25</v>
      </c>
      <c r="H932" t="s">
        <v>8</v>
      </c>
      <c r="I932" s="16">
        <v>35</v>
      </c>
    </row>
    <row r="933" spans="1:9" x14ac:dyDescent="0.3">
      <c r="A933" s="1">
        <v>46249</v>
      </c>
      <c r="B933">
        <v>9</v>
      </c>
      <c r="C933" t="s">
        <v>10325</v>
      </c>
      <c r="D933" t="s">
        <v>2460</v>
      </c>
      <c r="E933" t="s">
        <v>160</v>
      </c>
      <c r="F933" t="s">
        <v>161</v>
      </c>
      <c r="G933" s="16">
        <v>876.99</v>
      </c>
      <c r="H933" t="s">
        <v>8</v>
      </c>
      <c r="I933" s="16">
        <v>762.6</v>
      </c>
    </row>
    <row r="934" spans="1:9" x14ac:dyDescent="0.3">
      <c r="A934" s="1">
        <v>46249</v>
      </c>
      <c r="B934">
        <v>9</v>
      </c>
      <c r="C934" t="s">
        <v>9704</v>
      </c>
      <c r="D934" t="s">
        <v>10</v>
      </c>
      <c r="E934" t="s">
        <v>39</v>
      </c>
      <c r="F934" t="s">
        <v>40</v>
      </c>
      <c r="G934" s="16">
        <v>2900.3</v>
      </c>
      <c r="H934" t="s">
        <v>8</v>
      </c>
      <c r="I934" s="16">
        <v>2522</v>
      </c>
    </row>
    <row r="935" spans="1:9" x14ac:dyDescent="0.3">
      <c r="A935" s="1">
        <v>46249</v>
      </c>
      <c r="B935">
        <v>9</v>
      </c>
      <c r="C935" t="s">
        <v>10147</v>
      </c>
      <c r="D935" t="s">
        <v>38</v>
      </c>
      <c r="E935" t="s">
        <v>349</v>
      </c>
      <c r="F935" t="s">
        <v>350</v>
      </c>
      <c r="G935" s="16">
        <v>48.7485</v>
      </c>
      <c r="H935" t="s">
        <v>8</v>
      </c>
      <c r="I935" s="16">
        <v>42.39</v>
      </c>
    </row>
    <row r="936" spans="1:9" x14ac:dyDescent="0.3">
      <c r="A936" s="1">
        <v>46249</v>
      </c>
      <c r="B936">
        <v>9</v>
      </c>
      <c r="C936" t="s">
        <v>10090</v>
      </c>
      <c r="D936" t="s">
        <v>10</v>
      </c>
      <c r="E936" t="s">
        <v>39</v>
      </c>
      <c r="F936" t="s">
        <v>40</v>
      </c>
      <c r="G936" s="16">
        <v>4034.3670000000002</v>
      </c>
      <c r="H936" t="s">
        <v>8</v>
      </c>
      <c r="I936" s="16">
        <v>3508.145</v>
      </c>
    </row>
    <row r="937" spans="1:9" x14ac:dyDescent="0.3">
      <c r="A937" s="1">
        <v>46249</v>
      </c>
      <c r="B937">
        <v>9</v>
      </c>
      <c r="C937" t="s">
        <v>10128</v>
      </c>
      <c r="D937" t="s">
        <v>38</v>
      </c>
      <c r="E937" t="s">
        <v>813</v>
      </c>
      <c r="F937" t="s">
        <v>814</v>
      </c>
      <c r="G937" s="16">
        <v>18.100999999999999</v>
      </c>
      <c r="H937" t="s">
        <v>8</v>
      </c>
      <c r="I937" s="16">
        <v>15.74</v>
      </c>
    </row>
    <row r="938" spans="1:9" x14ac:dyDescent="0.3">
      <c r="A938" s="1">
        <v>46249</v>
      </c>
      <c r="B938">
        <v>9</v>
      </c>
      <c r="C938" t="s">
        <v>10100</v>
      </c>
      <c r="D938" t="s">
        <v>10</v>
      </c>
      <c r="E938" t="s">
        <v>177</v>
      </c>
      <c r="F938" t="s">
        <v>178</v>
      </c>
      <c r="G938" s="16">
        <v>4424.28</v>
      </c>
      <c r="H938" t="s">
        <v>8</v>
      </c>
      <c r="I938" s="16">
        <v>3847.2</v>
      </c>
    </row>
    <row r="939" spans="1:9" x14ac:dyDescent="0.3">
      <c r="A939" s="1">
        <v>46249</v>
      </c>
      <c r="B939">
        <v>9</v>
      </c>
      <c r="C939" t="s">
        <v>10324</v>
      </c>
      <c r="D939" t="s">
        <v>2460</v>
      </c>
      <c r="E939" t="s">
        <v>148</v>
      </c>
      <c r="F939" t="s">
        <v>149</v>
      </c>
      <c r="G939" s="16">
        <v>202.40004999999999</v>
      </c>
      <c r="H939" t="s">
        <v>8</v>
      </c>
      <c r="I939" s="16">
        <v>176.00004999999999</v>
      </c>
    </row>
    <row r="940" spans="1:9" x14ac:dyDescent="0.3">
      <c r="A940" s="1">
        <v>46249</v>
      </c>
      <c r="B940">
        <v>9</v>
      </c>
      <c r="C940" t="s">
        <v>10086</v>
      </c>
      <c r="D940" t="s">
        <v>38</v>
      </c>
      <c r="E940" t="s">
        <v>4119</v>
      </c>
      <c r="F940" t="s">
        <v>4120</v>
      </c>
      <c r="G940" s="16">
        <v>11.5</v>
      </c>
      <c r="H940" t="s">
        <v>8</v>
      </c>
      <c r="I940" s="16">
        <v>10</v>
      </c>
    </row>
    <row r="941" spans="1:9" x14ac:dyDescent="0.3">
      <c r="A941" s="1">
        <v>46249</v>
      </c>
      <c r="B941">
        <v>9</v>
      </c>
      <c r="C941" t="s">
        <v>10127</v>
      </c>
      <c r="D941" t="s">
        <v>169</v>
      </c>
      <c r="E941" t="s">
        <v>49</v>
      </c>
      <c r="F941" t="s">
        <v>50</v>
      </c>
      <c r="G941" s="16">
        <v>124.752</v>
      </c>
      <c r="H941" t="s">
        <v>8</v>
      </c>
      <c r="I941" s="16">
        <v>108.48</v>
      </c>
    </row>
    <row r="942" spans="1:9" x14ac:dyDescent="0.3">
      <c r="A942" s="1">
        <v>46249</v>
      </c>
      <c r="B942">
        <v>9</v>
      </c>
      <c r="C942" t="s">
        <v>10142</v>
      </c>
      <c r="D942" t="s">
        <v>38</v>
      </c>
      <c r="E942" t="s">
        <v>773</v>
      </c>
      <c r="F942" t="s">
        <v>774</v>
      </c>
      <c r="G942" s="16">
        <v>10.79</v>
      </c>
      <c r="H942" t="s">
        <v>8</v>
      </c>
      <c r="I942" s="16">
        <v>9.3826099999999997</v>
      </c>
    </row>
    <row r="943" spans="1:9" x14ac:dyDescent="0.3">
      <c r="A943" s="1">
        <v>46249</v>
      </c>
      <c r="B943">
        <v>9</v>
      </c>
      <c r="C943" t="s">
        <v>10110</v>
      </c>
      <c r="D943" t="s">
        <v>10</v>
      </c>
      <c r="E943" t="s">
        <v>177</v>
      </c>
      <c r="F943" t="s">
        <v>178</v>
      </c>
      <c r="G943" s="16">
        <v>1832.9159999999999</v>
      </c>
      <c r="H943" t="s">
        <v>8</v>
      </c>
      <c r="I943" s="16">
        <v>1593.84</v>
      </c>
    </row>
    <row r="944" spans="1:9" x14ac:dyDescent="0.3">
      <c r="A944" s="1">
        <v>46249</v>
      </c>
      <c r="B944">
        <v>9</v>
      </c>
      <c r="C944" t="s">
        <v>10081</v>
      </c>
      <c r="D944" t="s">
        <v>169</v>
      </c>
      <c r="E944" t="s">
        <v>773</v>
      </c>
      <c r="F944" t="s">
        <v>774</v>
      </c>
      <c r="G944" s="16">
        <v>729.74994000000004</v>
      </c>
      <c r="H944" t="s">
        <v>8</v>
      </c>
      <c r="I944" s="16">
        <v>634.56510000000003</v>
      </c>
    </row>
    <row r="945" spans="1:9" x14ac:dyDescent="0.3">
      <c r="A945" s="1">
        <v>46249</v>
      </c>
      <c r="B945">
        <v>9</v>
      </c>
      <c r="C945" t="s">
        <v>10123</v>
      </c>
      <c r="D945" t="s">
        <v>169</v>
      </c>
      <c r="E945" t="s">
        <v>201</v>
      </c>
      <c r="F945" t="s">
        <v>202</v>
      </c>
      <c r="G945" s="16">
        <v>156.285</v>
      </c>
      <c r="H945" t="s">
        <v>8</v>
      </c>
      <c r="I945" s="16">
        <v>135.9</v>
      </c>
    </row>
    <row r="946" spans="1:9" x14ac:dyDescent="0.3">
      <c r="A946" s="1">
        <v>46249</v>
      </c>
      <c r="B946">
        <v>9</v>
      </c>
      <c r="C946" t="s">
        <v>10320</v>
      </c>
      <c r="D946" t="s">
        <v>2467</v>
      </c>
      <c r="E946" t="s">
        <v>9971</v>
      </c>
      <c r="F946" t="s">
        <v>9972</v>
      </c>
      <c r="G946" s="16">
        <v>365.976</v>
      </c>
      <c r="H946" t="s">
        <v>8</v>
      </c>
      <c r="I946" s="16">
        <v>318.24</v>
      </c>
    </row>
    <row r="947" spans="1:9" x14ac:dyDescent="0.3">
      <c r="A947" s="1">
        <v>46249</v>
      </c>
      <c r="B947">
        <v>9</v>
      </c>
      <c r="C947" t="s">
        <v>10093</v>
      </c>
      <c r="D947" t="s">
        <v>38</v>
      </c>
      <c r="E947" t="s">
        <v>2383</v>
      </c>
      <c r="F947" t="s">
        <v>2384</v>
      </c>
      <c r="G947" s="16">
        <v>71.3</v>
      </c>
      <c r="H947" t="s">
        <v>8</v>
      </c>
      <c r="I947" s="16">
        <v>62</v>
      </c>
    </row>
    <row r="948" spans="1:9" x14ac:dyDescent="0.3">
      <c r="A948" s="1">
        <v>46249</v>
      </c>
      <c r="B948">
        <v>9</v>
      </c>
      <c r="C948" t="s">
        <v>10122</v>
      </c>
      <c r="D948" t="s">
        <v>38</v>
      </c>
      <c r="E948" t="s">
        <v>2346</v>
      </c>
      <c r="F948" t="s">
        <v>2347</v>
      </c>
      <c r="G948" s="16">
        <v>165.91050000000001</v>
      </c>
      <c r="H948" t="s">
        <v>8</v>
      </c>
      <c r="I948" s="16">
        <v>144.27000000000001</v>
      </c>
    </row>
    <row r="949" spans="1:9" x14ac:dyDescent="0.3">
      <c r="A949" s="1">
        <v>46249</v>
      </c>
      <c r="B949">
        <v>9</v>
      </c>
      <c r="C949" t="s">
        <v>11297</v>
      </c>
      <c r="D949" t="s">
        <v>2467</v>
      </c>
      <c r="E949" t="s">
        <v>84</v>
      </c>
      <c r="F949" t="s">
        <v>85</v>
      </c>
      <c r="G949" s="16">
        <v>49.852499999999999</v>
      </c>
      <c r="H949" t="s">
        <v>8</v>
      </c>
      <c r="I949" s="16">
        <v>43.35</v>
      </c>
    </row>
    <row r="950" spans="1:9" x14ac:dyDescent="0.3">
      <c r="A950" s="1">
        <v>46249</v>
      </c>
      <c r="B950">
        <v>9</v>
      </c>
      <c r="C950" t="s">
        <v>10133</v>
      </c>
      <c r="D950" t="s">
        <v>38</v>
      </c>
      <c r="E950" t="s">
        <v>810</v>
      </c>
      <c r="F950" t="s">
        <v>811</v>
      </c>
      <c r="G950" s="16">
        <v>147.48750000000001</v>
      </c>
      <c r="H950" t="s">
        <v>8</v>
      </c>
      <c r="I950" s="16">
        <v>128.25</v>
      </c>
    </row>
    <row r="951" spans="1:9" x14ac:dyDescent="0.3">
      <c r="A951" s="1">
        <v>46249</v>
      </c>
      <c r="B951">
        <v>9</v>
      </c>
      <c r="C951" t="s">
        <v>10120</v>
      </c>
      <c r="D951" t="s">
        <v>10</v>
      </c>
      <c r="E951" t="s">
        <v>3773</v>
      </c>
      <c r="F951" t="s">
        <v>3774</v>
      </c>
      <c r="G951" s="16">
        <v>1201.152</v>
      </c>
      <c r="H951" t="s">
        <v>8</v>
      </c>
      <c r="I951" s="16">
        <v>1044.48</v>
      </c>
    </row>
    <row r="952" spans="1:9" x14ac:dyDescent="0.3">
      <c r="A952" s="1">
        <v>46249</v>
      </c>
      <c r="B952">
        <v>9</v>
      </c>
      <c r="C952" t="s">
        <v>10136</v>
      </c>
      <c r="D952" t="s">
        <v>38</v>
      </c>
      <c r="E952" t="s">
        <v>47</v>
      </c>
      <c r="F952" t="s">
        <v>48</v>
      </c>
      <c r="G952" s="16">
        <v>389.26350000000002</v>
      </c>
      <c r="H952" t="s">
        <v>8</v>
      </c>
      <c r="I952" s="16">
        <v>338.49</v>
      </c>
    </row>
    <row r="953" spans="1:9" x14ac:dyDescent="0.3">
      <c r="A953" s="1">
        <v>46249</v>
      </c>
      <c r="B953">
        <v>9</v>
      </c>
      <c r="C953" t="s">
        <v>10117</v>
      </c>
      <c r="D953" t="s">
        <v>38</v>
      </c>
      <c r="E953" t="s">
        <v>154</v>
      </c>
      <c r="F953" t="s">
        <v>155</v>
      </c>
      <c r="G953" s="16">
        <v>7481.5990000000002</v>
      </c>
      <c r="H953" t="s">
        <v>8</v>
      </c>
      <c r="I953" s="16">
        <v>6505.7383</v>
      </c>
    </row>
    <row r="954" spans="1:9" x14ac:dyDescent="0.3">
      <c r="A954" s="1">
        <v>46249</v>
      </c>
      <c r="B954">
        <v>9</v>
      </c>
      <c r="C954" t="s">
        <v>11298</v>
      </c>
      <c r="D954" t="s">
        <v>2460</v>
      </c>
      <c r="E954" t="s">
        <v>869</v>
      </c>
      <c r="F954" t="s">
        <v>870</v>
      </c>
      <c r="G954" s="16">
        <v>281.75</v>
      </c>
      <c r="H954" t="s">
        <v>8</v>
      </c>
      <c r="I954" s="16">
        <v>245</v>
      </c>
    </row>
    <row r="955" spans="1:9" x14ac:dyDescent="0.3">
      <c r="A955" s="1">
        <v>46249</v>
      </c>
      <c r="B955">
        <v>9</v>
      </c>
      <c r="C955" t="s">
        <v>10323</v>
      </c>
      <c r="D955" t="s">
        <v>2460</v>
      </c>
      <c r="E955" t="s">
        <v>6375</v>
      </c>
      <c r="F955" t="s">
        <v>6376</v>
      </c>
      <c r="G955" s="16">
        <v>1338.876</v>
      </c>
      <c r="H955" t="s">
        <v>8</v>
      </c>
      <c r="I955" s="16">
        <v>1164.24</v>
      </c>
    </row>
    <row r="956" spans="1:9" x14ac:dyDescent="0.3">
      <c r="A956" s="1">
        <v>46249</v>
      </c>
      <c r="B956">
        <v>9</v>
      </c>
      <c r="C956" t="s">
        <v>10317</v>
      </c>
      <c r="D956" t="s">
        <v>2460</v>
      </c>
      <c r="E956" t="s">
        <v>148</v>
      </c>
      <c r="F956" t="s">
        <v>149</v>
      </c>
      <c r="G956" s="16">
        <v>607.20012999999994</v>
      </c>
      <c r="H956" t="s">
        <v>8</v>
      </c>
      <c r="I956" s="16">
        <v>528.00009999999997</v>
      </c>
    </row>
    <row r="957" spans="1:9" x14ac:dyDescent="0.3">
      <c r="A957" s="1">
        <v>46249</v>
      </c>
      <c r="B957">
        <v>9</v>
      </c>
      <c r="C957" t="s">
        <v>11299</v>
      </c>
      <c r="D957" t="s">
        <v>2467</v>
      </c>
      <c r="E957" t="s">
        <v>422</v>
      </c>
      <c r="F957" t="s">
        <v>490</v>
      </c>
      <c r="G957" s="16">
        <v>49.194879999999998</v>
      </c>
      <c r="H957" t="s">
        <v>8</v>
      </c>
      <c r="I957" s="16">
        <v>42.778149999999997</v>
      </c>
    </row>
    <row r="958" spans="1:9" x14ac:dyDescent="0.3">
      <c r="A958" s="1">
        <v>46249</v>
      </c>
      <c r="B958">
        <v>9</v>
      </c>
      <c r="C958" t="s">
        <v>10140</v>
      </c>
      <c r="D958" t="s">
        <v>38</v>
      </c>
      <c r="E958" t="s">
        <v>435</v>
      </c>
      <c r="F958" t="s">
        <v>436</v>
      </c>
      <c r="G958" s="16">
        <v>23.207000000000001</v>
      </c>
      <c r="H958" t="s">
        <v>8</v>
      </c>
      <c r="I958" s="16">
        <v>20.18</v>
      </c>
    </row>
    <row r="959" spans="1:9" x14ac:dyDescent="0.3">
      <c r="A959" s="1">
        <v>46249</v>
      </c>
      <c r="B959">
        <v>9</v>
      </c>
      <c r="C959" t="s">
        <v>10144</v>
      </c>
      <c r="D959" t="s">
        <v>38</v>
      </c>
      <c r="E959" t="s">
        <v>305</v>
      </c>
      <c r="F959" t="s">
        <v>306</v>
      </c>
      <c r="G959" s="16">
        <v>458.28649999999999</v>
      </c>
      <c r="H959" t="s">
        <v>8</v>
      </c>
      <c r="I959" s="16">
        <v>398.51</v>
      </c>
    </row>
    <row r="960" spans="1:9" x14ac:dyDescent="0.3">
      <c r="A960" s="1">
        <v>46249</v>
      </c>
      <c r="B960">
        <v>9</v>
      </c>
      <c r="C960" t="s">
        <v>10080</v>
      </c>
      <c r="D960" t="s">
        <v>38</v>
      </c>
      <c r="E960" t="s">
        <v>448</v>
      </c>
      <c r="F960" t="s">
        <v>449</v>
      </c>
      <c r="G960" s="16">
        <v>163.875</v>
      </c>
      <c r="H960" t="s">
        <v>8</v>
      </c>
      <c r="I960" s="16">
        <v>142.5</v>
      </c>
    </row>
    <row r="961" spans="1:9" x14ac:dyDescent="0.3">
      <c r="A961" s="1">
        <v>46249</v>
      </c>
      <c r="B961">
        <v>9</v>
      </c>
      <c r="C961" t="s">
        <v>10319</v>
      </c>
      <c r="D961" t="s">
        <v>2467</v>
      </c>
      <c r="E961" t="s">
        <v>75</v>
      </c>
      <c r="F961" t="s">
        <v>76</v>
      </c>
      <c r="G961" s="16">
        <v>24964.2</v>
      </c>
      <c r="H961" t="s">
        <v>8</v>
      </c>
      <c r="I961" s="16">
        <v>21708</v>
      </c>
    </row>
    <row r="962" spans="1:9" x14ac:dyDescent="0.3">
      <c r="A962" s="1">
        <v>46249</v>
      </c>
      <c r="B962">
        <v>9</v>
      </c>
      <c r="C962" t="s">
        <v>10153</v>
      </c>
      <c r="D962" t="s">
        <v>38</v>
      </c>
      <c r="E962" t="s">
        <v>10151</v>
      </c>
      <c r="F962" t="s">
        <v>10152</v>
      </c>
      <c r="G962" s="16">
        <v>392.65600000000001</v>
      </c>
      <c r="H962" t="s">
        <v>8</v>
      </c>
      <c r="I962" s="16">
        <v>341.44</v>
      </c>
    </row>
    <row r="963" spans="1:9" x14ac:dyDescent="0.3">
      <c r="A963" s="1">
        <v>46249</v>
      </c>
      <c r="B963">
        <v>9</v>
      </c>
      <c r="C963" t="s">
        <v>10078</v>
      </c>
      <c r="D963" t="s">
        <v>38</v>
      </c>
      <c r="E963" t="s">
        <v>598</v>
      </c>
      <c r="F963" t="s">
        <v>9088</v>
      </c>
      <c r="G963" s="16">
        <v>8955.6929999999993</v>
      </c>
      <c r="H963" t="s">
        <v>8</v>
      </c>
      <c r="I963" s="16">
        <v>7787.5590000000002</v>
      </c>
    </row>
    <row r="964" spans="1:9" x14ac:dyDescent="0.3">
      <c r="A964" s="1">
        <v>46249</v>
      </c>
      <c r="B964">
        <v>9</v>
      </c>
      <c r="C964" t="s">
        <v>10134</v>
      </c>
      <c r="D964" t="s">
        <v>38</v>
      </c>
      <c r="E964" t="s">
        <v>60</v>
      </c>
      <c r="F964" t="s">
        <v>61</v>
      </c>
      <c r="G964" s="16">
        <v>3103.1370000000002</v>
      </c>
      <c r="H964" t="s">
        <v>8</v>
      </c>
      <c r="I964" s="16">
        <v>2698.38</v>
      </c>
    </row>
    <row r="965" spans="1:9" x14ac:dyDescent="0.3">
      <c r="A965" s="1">
        <v>46249</v>
      </c>
      <c r="B965">
        <v>9</v>
      </c>
      <c r="C965" t="s">
        <v>10131</v>
      </c>
      <c r="D965" t="s">
        <v>38</v>
      </c>
      <c r="E965" t="s">
        <v>1536</v>
      </c>
      <c r="F965" t="s">
        <v>1537</v>
      </c>
      <c r="G965" s="16">
        <v>14.375</v>
      </c>
      <c r="H965" t="s">
        <v>8</v>
      </c>
      <c r="I965" s="16">
        <v>12.5</v>
      </c>
    </row>
    <row r="966" spans="1:9" x14ac:dyDescent="0.3">
      <c r="A966" s="1">
        <v>46249</v>
      </c>
      <c r="B966">
        <v>9</v>
      </c>
      <c r="C966" t="s">
        <v>10316</v>
      </c>
      <c r="D966" t="s">
        <v>2460</v>
      </c>
      <c r="E966" t="s">
        <v>73</v>
      </c>
      <c r="F966" t="s">
        <v>74</v>
      </c>
      <c r="G966" s="16">
        <v>2777.25</v>
      </c>
      <c r="H966" t="s">
        <v>8</v>
      </c>
      <c r="I966" s="16">
        <v>2415</v>
      </c>
    </row>
    <row r="967" spans="1:9" x14ac:dyDescent="0.3">
      <c r="A967" s="1">
        <v>46249</v>
      </c>
      <c r="B967">
        <v>9</v>
      </c>
      <c r="C967" t="s">
        <v>11300</v>
      </c>
      <c r="D967" t="s">
        <v>2467</v>
      </c>
      <c r="E967" t="s">
        <v>422</v>
      </c>
      <c r="F967" t="s">
        <v>490</v>
      </c>
      <c r="G967" s="16">
        <v>121.80549999999999</v>
      </c>
      <c r="H967" t="s">
        <v>8</v>
      </c>
      <c r="I967" s="16">
        <v>105.91782000000001</v>
      </c>
    </row>
    <row r="968" spans="1:9" x14ac:dyDescent="0.3">
      <c r="A968" s="1">
        <v>46250</v>
      </c>
      <c r="B968">
        <v>8</v>
      </c>
      <c r="C968" t="s">
        <v>10242</v>
      </c>
      <c r="D968" t="s">
        <v>10</v>
      </c>
      <c r="E968" t="s">
        <v>325</v>
      </c>
      <c r="F968" t="s">
        <v>326</v>
      </c>
      <c r="G968" s="16">
        <v>64.974999999999994</v>
      </c>
      <c r="H968" t="s">
        <v>8</v>
      </c>
      <c r="I968" s="16">
        <v>56.5</v>
      </c>
    </row>
    <row r="969" spans="1:9" x14ac:dyDescent="0.3">
      <c r="A969" s="1">
        <v>46250</v>
      </c>
      <c r="B969">
        <v>8</v>
      </c>
      <c r="C969" t="s">
        <v>6713</v>
      </c>
      <c r="D969" t="s">
        <v>10</v>
      </c>
      <c r="E969" t="s">
        <v>704</v>
      </c>
      <c r="F969" t="s">
        <v>705</v>
      </c>
      <c r="G969" s="16">
        <v>1013.3225</v>
      </c>
      <c r="H969" t="s">
        <v>8</v>
      </c>
      <c r="I969" s="16">
        <v>881.15</v>
      </c>
    </row>
    <row r="970" spans="1:9" x14ac:dyDescent="0.3">
      <c r="A970" s="1">
        <v>46250</v>
      </c>
      <c r="B970">
        <v>8</v>
      </c>
      <c r="C970" t="s">
        <v>10225</v>
      </c>
      <c r="D970" t="s">
        <v>10</v>
      </c>
      <c r="E970" t="s">
        <v>8372</v>
      </c>
      <c r="F970" t="s">
        <v>8373</v>
      </c>
      <c r="G970" s="16">
        <v>445.625</v>
      </c>
      <c r="H970" t="s">
        <v>8</v>
      </c>
      <c r="I970" s="16">
        <v>387.5</v>
      </c>
    </row>
    <row r="971" spans="1:9" x14ac:dyDescent="0.3">
      <c r="A971" s="1">
        <v>46250</v>
      </c>
      <c r="B971">
        <v>8</v>
      </c>
      <c r="C971" t="s">
        <v>10214</v>
      </c>
      <c r="D971" t="s">
        <v>10</v>
      </c>
      <c r="E971" t="s">
        <v>512</v>
      </c>
      <c r="F971" t="s">
        <v>513</v>
      </c>
      <c r="G971" s="16">
        <v>38.156999999999996</v>
      </c>
      <c r="H971" t="s">
        <v>8</v>
      </c>
      <c r="I971" s="16">
        <v>33.18</v>
      </c>
    </row>
    <row r="972" spans="1:9" x14ac:dyDescent="0.3">
      <c r="A972" s="1">
        <v>46250</v>
      </c>
      <c r="B972">
        <v>8</v>
      </c>
      <c r="C972" t="s">
        <v>10289</v>
      </c>
      <c r="D972" t="s">
        <v>38</v>
      </c>
      <c r="E972" t="s">
        <v>621</v>
      </c>
      <c r="F972" t="s">
        <v>622</v>
      </c>
      <c r="G972" s="16">
        <v>56.798499999999997</v>
      </c>
      <c r="H972" t="s">
        <v>8</v>
      </c>
      <c r="I972" s="16">
        <v>49.39</v>
      </c>
    </row>
    <row r="973" spans="1:9" x14ac:dyDescent="0.3">
      <c r="A973" s="1">
        <v>46250</v>
      </c>
      <c r="B973">
        <v>8</v>
      </c>
      <c r="C973" t="s">
        <v>10326</v>
      </c>
      <c r="D973" t="s">
        <v>2460</v>
      </c>
      <c r="E973" t="s">
        <v>10075</v>
      </c>
      <c r="F973" t="s">
        <v>10076</v>
      </c>
      <c r="G973" s="16">
        <v>1186.8</v>
      </c>
      <c r="H973" t="s">
        <v>8</v>
      </c>
      <c r="I973" s="16">
        <v>1032</v>
      </c>
    </row>
    <row r="974" spans="1:9" x14ac:dyDescent="0.3">
      <c r="A974" s="1">
        <v>46250</v>
      </c>
      <c r="B974">
        <v>8</v>
      </c>
      <c r="C974" t="s">
        <v>10175</v>
      </c>
      <c r="D974" t="s">
        <v>10</v>
      </c>
      <c r="E974" t="s">
        <v>22</v>
      </c>
      <c r="F974" t="s">
        <v>23</v>
      </c>
      <c r="G974" s="16">
        <v>5190.6170000000002</v>
      </c>
      <c r="H974" t="s">
        <v>8</v>
      </c>
      <c r="I974" s="16">
        <v>4513.58</v>
      </c>
    </row>
    <row r="975" spans="1:9" x14ac:dyDescent="0.3">
      <c r="A975" s="1">
        <v>46250</v>
      </c>
      <c r="B975">
        <v>8</v>
      </c>
      <c r="C975" t="s">
        <v>10232</v>
      </c>
      <c r="D975" t="s">
        <v>10</v>
      </c>
      <c r="E975" t="s">
        <v>122</v>
      </c>
      <c r="F975" t="s">
        <v>123</v>
      </c>
      <c r="G975" s="16">
        <v>272.83749999999998</v>
      </c>
      <c r="H975" t="s">
        <v>8</v>
      </c>
      <c r="I975" s="16">
        <v>237.25</v>
      </c>
    </row>
    <row r="976" spans="1:9" x14ac:dyDescent="0.3">
      <c r="A976" s="1">
        <v>46250</v>
      </c>
      <c r="B976">
        <v>8</v>
      </c>
      <c r="C976" t="s">
        <v>10266</v>
      </c>
      <c r="D976" t="s">
        <v>10</v>
      </c>
      <c r="E976" t="s">
        <v>133</v>
      </c>
      <c r="F976" t="s">
        <v>134</v>
      </c>
      <c r="G976" s="16">
        <v>435.31754000000001</v>
      </c>
      <c r="H976" t="s">
        <v>8</v>
      </c>
      <c r="I976" s="16">
        <v>378.53699999999998</v>
      </c>
    </row>
    <row r="977" spans="1:9" x14ac:dyDescent="0.3">
      <c r="A977" s="1">
        <v>46250</v>
      </c>
      <c r="B977">
        <v>8</v>
      </c>
      <c r="C977" t="s">
        <v>10191</v>
      </c>
      <c r="D977" t="s">
        <v>10</v>
      </c>
      <c r="E977" t="s">
        <v>25</v>
      </c>
      <c r="F977" t="s">
        <v>26</v>
      </c>
      <c r="G977" s="16">
        <v>468.10750000000002</v>
      </c>
      <c r="H977" t="s">
        <v>8</v>
      </c>
      <c r="I977" s="16">
        <v>407.05</v>
      </c>
    </row>
    <row r="978" spans="1:9" x14ac:dyDescent="0.3">
      <c r="A978" s="1">
        <v>46250</v>
      </c>
      <c r="B978">
        <v>8</v>
      </c>
      <c r="C978" t="s">
        <v>7569</v>
      </c>
      <c r="D978" t="s">
        <v>10</v>
      </c>
      <c r="E978" t="s">
        <v>704</v>
      </c>
      <c r="F978" t="s">
        <v>705</v>
      </c>
      <c r="G978" s="16">
        <v>177.06549999999999</v>
      </c>
      <c r="H978" t="s">
        <v>8</v>
      </c>
      <c r="I978" s="16">
        <v>153.97</v>
      </c>
    </row>
    <row r="979" spans="1:9" x14ac:dyDescent="0.3">
      <c r="A979" s="1">
        <v>46250</v>
      </c>
      <c r="B979">
        <v>8</v>
      </c>
      <c r="C979" t="s">
        <v>10328</v>
      </c>
      <c r="D979" t="s">
        <v>2460</v>
      </c>
      <c r="E979" t="s">
        <v>73</v>
      </c>
      <c r="F979" t="s">
        <v>74</v>
      </c>
      <c r="G979" s="16">
        <v>44.85</v>
      </c>
      <c r="H979" t="s">
        <v>8</v>
      </c>
      <c r="I979" s="16">
        <v>39</v>
      </c>
    </row>
    <row r="980" spans="1:9" x14ac:dyDescent="0.3">
      <c r="A980" s="1">
        <v>46250</v>
      </c>
      <c r="B980">
        <v>8</v>
      </c>
      <c r="C980" t="s">
        <v>10260</v>
      </c>
      <c r="D980" t="s">
        <v>10</v>
      </c>
      <c r="E980" t="s">
        <v>4877</v>
      </c>
      <c r="F980" t="s">
        <v>5340</v>
      </c>
      <c r="G980" s="16">
        <v>1.38</v>
      </c>
      <c r="H980" t="s">
        <v>8</v>
      </c>
      <c r="I980" s="16">
        <v>1.2</v>
      </c>
    </row>
    <row r="981" spans="1:9" x14ac:dyDescent="0.3">
      <c r="A981" s="1">
        <v>46250</v>
      </c>
      <c r="B981">
        <v>8</v>
      </c>
      <c r="C981" t="s">
        <v>10192</v>
      </c>
      <c r="D981" t="s">
        <v>38</v>
      </c>
      <c r="E981" t="s">
        <v>60</v>
      </c>
      <c r="F981" t="s">
        <v>61</v>
      </c>
      <c r="G981" s="16">
        <v>123.878</v>
      </c>
      <c r="H981" t="s">
        <v>8</v>
      </c>
      <c r="I981" s="16">
        <v>107.72</v>
      </c>
    </row>
    <row r="982" spans="1:9" x14ac:dyDescent="0.3">
      <c r="A982" s="1">
        <v>46250</v>
      </c>
      <c r="B982">
        <v>8</v>
      </c>
      <c r="C982" t="s">
        <v>8273</v>
      </c>
      <c r="D982" t="s">
        <v>10</v>
      </c>
      <c r="E982" t="s">
        <v>704</v>
      </c>
      <c r="F982" t="s">
        <v>705</v>
      </c>
      <c r="G982" s="16">
        <v>766.02650000000006</v>
      </c>
      <c r="H982" t="s">
        <v>8</v>
      </c>
      <c r="I982" s="16">
        <v>666.11</v>
      </c>
    </row>
    <row r="983" spans="1:9" x14ac:dyDescent="0.3">
      <c r="A983" s="1">
        <v>46250</v>
      </c>
      <c r="B983">
        <v>8</v>
      </c>
      <c r="C983" t="s">
        <v>9990</v>
      </c>
      <c r="D983" t="s">
        <v>10</v>
      </c>
      <c r="E983" t="s">
        <v>137</v>
      </c>
      <c r="F983" t="s">
        <v>138</v>
      </c>
      <c r="G983" s="16">
        <v>7624.04</v>
      </c>
      <c r="H983" t="s">
        <v>8</v>
      </c>
      <c r="I983" s="16">
        <v>6629.6</v>
      </c>
    </row>
    <row r="984" spans="1:9" x14ac:dyDescent="0.3">
      <c r="A984" s="1">
        <v>46250</v>
      </c>
      <c r="B984">
        <v>8</v>
      </c>
      <c r="C984" t="s">
        <v>10245</v>
      </c>
      <c r="D984" t="s">
        <v>38</v>
      </c>
      <c r="E984" t="s">
        <v>651</v>
      </c>
      <c r="F984" t="s">
        <v>652</v>
      </c>
      <c r="G984" s="16">
        <v>18.399999999999999</v>
      </c>
      <c r="H984" t="s">
        <v>8</v>
      </c>
      <c r="I984" s="16">
        <v>16</v>
      </c>
    </row>
    <row r="985" spans="1:9" x14ac:dyDescent="0.3">
      <c r="A985" s="1">
        <v>46250</v>
      </c>
      <c r="B985">
        <v>8</v>
      </c>
      <c r="C985" t="s">
        <v>10263</v>
      </c>
      <c r="D985" t="s">
        <v>10</v>
      </c>
      <c r="E985" t="s">
        <v>181</v>
      </c>
      <c r="F985" t="s">
        <v>182</v>
      </c>
      <c r="G985" s="16">
        <v>69.191699999999997</v>
      </c>
      <c r="H985" t="s">
        <v>8</v>
      </c>
      <c r="I985" s="16">
        <v>60.166699999999999</v>
      </c>
    </row>
    <row r="986" spans="1:9" x14ac:dyDescent="0.3">
      <c r="A986" s="1">
        <v>46250</v>
      </c>
      <c r="B986">
        <v>8</v>
      </c>
      <c r="C986" t="s">
        <v>10211</v>
      </c>
      <c r="D986" t="s">
        <v>10</v>
      </c>
      <c r="E986" t="s">
        <v>5416</v>
      </c>
      <c r="F986" t="s">
        <v>5417</v>
      </c>
      <c r="G986" s="16">
        <v>47.6</v>
      </c>
      <c r="H986" t="s">
        <v>8</v>
      </c>
      <c r="I986" s="16">
        <v>41.391300000000001</v>
      </c>
    </row>
    <row r="987" spans="1:9" x14ac:dyDescent="0.3">
      <c r="A987" s="1">
        <v>46250</v>
      </c>
      <c r="B987">
        <v>8</v>
      </c>
      <c r="C987" t="s">
        <v>10040</v>
      </c>
      <c r="D987" t="s">
        <v>10</v>
      </c>
      <c r="E987" t="s">
        <v>2647</v>
      </c>
      <c r="F987" t="s">
        <v>2648</v>
      </c>
      <c r="G987" s="16">
        <v>40.503</v>
      </c>
      <c r="H987" t="s">
        <v>8</v>
      </c>
      <c r="I987" s="16">
        <v>35.22</v>
      </c>
    </row>
    <row r="988" spans="1:9" x14ac:dyDescent="0.3">
      <c r="A988" s="1">
        <v>46250</v>
      </c>
      <c r="B988">
        <v>8</v>
      </c>
      <c r="C988" t="s">
        <v>10275</v>
      </c>
      <c r="D988" t="s">
        <v>10</v>
      </c>
      <c r="E988" t="s">
        <v>197</v>
      </c>
      <c r="F988" t="s">
        <v>198</v>
      </c>
      <c r="G988" s="16">
        <v>79.027910000000006</v>
      </c>
      <c r="H988" t="s">
        <v>8</v>
      </c>
      <c r="I988" s="16">
        <v>68.719920000000002</v>
      </c>
    </row>
    <row r="989" spans="1:9" x14ac:dyDescent="0.3">
      <c r="A989" s="1">
        <v>46250</v>
      </c>
      <c r="B989">
        <v>8</v>
      </c>
      <c r="C989" t="s">
        <v>10218</v>
      </c>
      <c r="D989" t="s">
        <v>10</v>
      </c>
      <c r="E989" t="s">
        <v>633</v>
      </c>
      <c r="F989" t="s">
        <v>690</v>
      </c>
      <c r="G989" s="16">
        <v>113.18300000000001</v>
      </c>
      <c r="H989" t="s">
        <v>8</v>
      </c>
      <c r="I989" s="16">
        <v>98.42</v>
      </c>
    </row>
    <row r="990" spans="1:9" x14ac:dyDescent="0.3">
      <c r="A990" s="1">
        <v>46250</v>
      </c>
      <c r="B990">
        <v>8</v>
      </c>
      <c r="C990" t="s">
        <v>10256</v>
      </c>
      <c r="D990" t="s">
        <v>10</v>
      </c>
      <c r="E990" t="s">
        <v>156</v>
      </c>
      <c r="F990" t="s">
        <v>157</v>
      </c>
      <c r="G990" s="16">
        <v>894.66740000000004</v>
      </c>
      <c r="H990" t="s">
        <v>8</v>
      </c>
      <c r="I990" s="16">
        <v>777.97159999999997</v>
      </c>
    </row>
    <row r="991" spans="1:9" x14ac:dyDescent="0.3">
      <c r="A991" s="1">
        <v>46250</v>
      </c>
      <c r="B991">
        <v>8</v>
      </c>
      <c r="C991" t="s">
        <v>10217</v>
      </c>
      <c r="D991" t="s">
        <v>10</v>
      </c>
      <c r="E991" t="s">
        <v>899</v>
      </c>
      <c r="F991" t="s">
        <v>900</v>
      </c>
      <c r="G991" s="16">
        <v>184</v>
      </c>
      <c r="H991" t="s">
        <v>8</v>
      </c>
      <c r="I991" s="16">
        <v>160</v>
      </c>
    </row>
    <row r="992" spans="1:9" x14ac:dyDescent="0.3">
      <c r="A992" s="1">
        <v>46250</v>
      </c>
      <c r="B992">
        <v>8</v>
      </c>
      <c r="C992" t="s">
        <v>10285</v>
      </c>
      <c r="D992" t="s">
        <v>10</v>
      </c>
      <c r="E992" t="s">
        <v>9878</v>
      </c>
      <c r="F992" t="s">
        <v>9879</v>
      </c>
      <c r="G992" s="16">
        <v>24.62555</v>
      </c>
      <c r="H992" t="s">
        <v>8</v>
      </c>
      <c r="I992" s="16">
        <v>21.413519999999998</v>
      </c>
    </row>
    <row r="993" spans="1:9" x14ac:dyDescent="0.3">
      <c r="A993" s="1">
        <v>46250</v>
      </c>
      <c r="B993">
        <v>8</v>
      </c>
      <c r="C993" t="s">
        <v>11301</v>
      </c>
      <c r="D993" t="s">
        <v>2467</v>
      </c>
      <c r="E993" t="s">
        <v>63</v>
      </c>
      <c r="F993" t="s">
        <v>64</v>
      </c>
      <c r="G993" s="16">
        <v>146.15998999999999</v>
      </c>
      <c r="H993" t="s">
        <v>8</v>
      </c>
      <c r="I993" s="16">
        <v>127.09564</v>
      </c>
    </row>
    <row r="994" spans="1:9" x14ac:dyDescent="0.3">
      <c r="A994" s="1">
        <v>46250</v>
      </c>
      <c r="B994">
        <v>8</v>
      </c>
      <c r="C994" t="s">
        <v>10198</v>
      </c>
      <c r="D994" t="s">
        <v>10</v>
      </c>
      <c r="E994" t="s">
        <v>69</v>
      </c>
      <c r="F994" t="s">
        <v>70</v>
      </c>
      <c r="G994" s="16">
        <v>6789.3584000000001</v>
      </c>
      <c r="H994" t="s">
        <v>8</v>
      </c>
      <c r="I994" s="16">
        <v>5903.79</v>
      </c>
    </row>
    <row r="995" spans="1:9" x14ac:dyDescent="0.3">
      <c r="A995" s="1">
        <v>46250</v>
      </c>
      <c r="B995">
        <v>8</v>
      </c>
      <c r="C995" t="s">
        <v>10206</v>
      </c>
      <c r="D995" t="s">
        <v>10</v>
      </c>
      <c r="E995" t="s">
        <v>531</v>
      </c>
      <c r="F995" t="s">
        <v>532</v>
      </c>
      <c r="G995" s="16">
        <v>92</v>
      </c>
      <c r="H995" t="s">
        <v>8</v>
      </c>
      <c r="I995" s="16">
        <v>80</v>
      </c>
    </row>
    <row r="996" spans="1:9" x14ac:dyDescent="0.3">
      <c r="A996" s="1">
        <v>46250</v>
      </c>
      <c r="B996">
        <v>8</v>
      </c>
      <c r="C996" t="s">
        <v>10212</v>
      </c>
      <c r="D996" t="s">
        <v>10</v>
      </c>
      <c r="E996" t="s">
        <v>804</v>
      </c>
      <c r="F996" t="s">
        <v>805</v>
      </c>
      <c r="G996" s="16">
        <v>77.716999999999999</v>
      </c>
      <c r="H996" t="s">
        <v>8</v>
      </c>
      <c r="I996" s="16">
        <v>67.58</v>
      </c>
    </row>
    <row r="997" spans="1:9" x14ac:dyDescent="0.3">
      <c r="A997" s="1">
        <v>46250</v>
      </c>
      <c r="B997">
        <v>8</v>
      </c>
      <c r="C997" t="s">
        <v>10273</v>
      </c>
      <c r="D997" t="s">
        <v>38</v>
      </c>
      <c r="E997" t="s">
        <v>4364</v>
      </c>
      <c r="F997" t="s">
        <v>4542</v>
      </c>
      <c r="G997" s="16">
        <v>1607.6079999999999</v>
      </c>
      <c r="H997" t="s">
        <v>8</v>
      </c>
      <c r="I997" s="16">
        <v>1397.92</v>
      </c>
    </row>
    <row r="998" spans="1:9" x14ac:dyDescent="0.3">
      <c r="A998" s="1">
        <v>46250</v>
      </c>
      <c r="B998">
        <v>8</v>
      </c>
      <c r="C998" t="s">
        <v>10224</v>
      </c>
      <c r="D998" t="s">
        <v>38</v>
      </c>
      <c r="E998" t="s">
        <v>643</v>
      </c>
      <c r="F998" t="s">
        <v>644</v>
      </c>
      <c r="G998" s="16">
        <v>14.95</v>
      </c>
      <c r="H998" t="s">
        <v>8</v>
      </c>
      <c r="I998" s="16">
        <v>13</v>
      </c>
    </row>
    <row r="999" spans="1:9" x14ac:dyDescent="0.3">
      <c r="A999" s="1">
        <v>46250</v>
      </c>
      <c r="B999">
        <v>8</v>
      </c>
      <c r="C999" t="s">
        <v>10182</v>
      </c>
      <c r="D999" t="s">
        <v>10</v>
      </c>
      <c r="E999" t="s">
        <v>2166</v>
      </c>
      <c r="F999" t="s">
        <v>2167</v>
      </c>
      <c r="G999" s="16">
        <v>1416.846</v>
      </c>
      <c r="H999" t="s">
        <v>8</v>
      </c>
      <c r="I999" s="16">
        <v>1232.04</v>
      </c>
    </row>
    <row r="1000" spans="1:9" x14ac:dyDescent="0.3">
      <c r="A1000" s="1">
        <v>46250</v>
      </c>
      <c r="B1000">
        <v>8</v>
      </c>
      <c r="C1000" t="s">
        <v>11302</v>
      </c>
      <c r="D1000" t="s">
        <v>2467</v>
      </c>
      <c r="E1000" t="s">
        <v>9200</v>
      </c>
      <c r="F1000" t="s">
        <v>9201</v>
      </c>
      <c r="G1000" s="16">
        <v>1499.1746000000001</v>
      </c>
      <c r="H1000" t="s">
        <v>8</v>
      </c>
      <c r="I1000" s="16">
        <v>1303.6300000000001</v>
      </c>
    </row>
    <row r="1001" spans="1:9" x14ac:dyDescent="0.3">
      <c r="A1001" s="1">
        <v>46250</v>
      </c>
      <c r="B1001">
        <v>8</v>
      </c>
      <c r="C1001" t="s">
        <v>10195</v>
      </c>
      <c r="D1001" t="s">
        <v>38</v>
      </c>
      <c r="E1001" t="s">
        <v>4119</v>
      </c>
      <c r="F1001" t="s">
        <v>4120</v>
      </c>
      <c r="G1001" s="16">
        <v>17.25</v>
      </c>
      <c r="H1001" t="s">
        <v>8</v>
      </c>
      <c r="I1001" s="16">
        <v>15</v>
      </c>
    </row>
    <row r="1002" spans="1:9" x14ac:dyDescent="0.3">
      <c r="A1002" s="1">
        <v>46250</v>
      </c>
      <c r="B1002">
        <v>8</v>
      </c>
      <c r="C1002" t="s">
        <v>10258</v>
      </c>
      <c r="D1002" t="s">
        <v>38</v>
      </c>
      <c r="E1002" t="s">
        <v>1424</v>
      </c>
      <c r="F1002" t="s">
        <v>1425</v>
      </c>
      <c r="G1002" s="16">
        <v>80.5</v>
      </c>
      <c r="H1002" t="s">
        <v>8</v>
      </c>
      <c r="I1002" s="16">
        <v>70</v>
      </c>
    </row>
    <row r="1003" spans="1:9" x14ac:dyDescent="0.3">
      <c r="A1003" s="1">
        <v>46250</v>
      </c>
      <c r="B1003">
        <v>8</v>
      </c>
      <c r="C1003" t="s">
        <v>10249</v>
      </c>
      <c r="D1003" t="s">
        <v>38</v>
      </c>
      <c r="E1003" t="s">
        <v>808</v>
      </c>
      <c r="F1003" t="s">
        <v>904</v>
      </c>
      <c r="G1003" s="16">
        <v>3272.1768000000002</v>
      </c>
      <c r="H1003" t="s">
        <v>8</v>
      </c>
      <c r="I1003" s="16">
        <v>2845.3710000000001</v>
      </c>
    </row>
    <row r="1004" spans="1:9" x14ac:dyDescent="0.3">
      <c r="A1004" s="1">
        <v>46250</v>
      </c>
      <c r="B1004">
        <v>8</v>
      </c>
      <c r="C1004" t="s">
        <v>8445</v>
      </c>
      <c r="D1004" t="s">
        <v>10</v>
      </c>
      <c r="E1004" t="s">
        <v>2647</v>
      </c>
      <c r="F1004" t="s">
        <v>2648</v>
      </c>
      <c r="G1004" s="16">
        <v>20.2515</v>
      </c>
      <c r="H1004" t="s">
        <v>8</v>
      </c>
      <c r="I1004" s="16">
        <v>17.61</v>
      </c>
    </row>
    <row r="1005" spans="1:9" x14ac:dyDescent="0.3">
      <c r="A1005" s="1">
        <v>46250</v>
      </c>
      <c r="B1005">
        <v>8</v>
      </c>
      <c r="C1005" t="s">
        <v>8187</v>
      </c>
      <c r="D1005" t="s">
        <v>10</v>
      </c>
      <c r="E1005" t="s">
        <v>2647</v>
      </c>
      <c r="F1005" t="s">
        <v>2648</v>
      </c>
      <c r="G1005" s="16">
        <v>40.503</v>
      </c>
      <c r="H1005" t="s">
        <v>8</v>
      </c>
      <c r="I1005" s="16">
        <v>35.22</v>
      </c>
    </row>
    <row r="1006" spans="1:9" x14ac:dyDescent="0.3">
      <c r="A1006" s="1">
        <v>46250</v>
      </c>
      <c r="B1006">
        <v>8</v>
      </c>
      <c r="C1006" t="s">
        <v>10178</v>
      </c>
      <c r="D1006" t="s">
        <v>38</v>
      </c>
      <c r="E1006" t="s">
        <v>598</v>
      </c>
      <c r="F1006" t="s">
        <v>9088</v>
      </c>
      <c r="G1006" s="16">
        <v>1757.047</v>
      </c>
      <c r="H1006" t="s">
        <v>8</v>
      </c>
      <c r="I1006" s="16">
        <v>1527.867</v>
      </c>
    </row>
    <row r="1007" spans="1:9" x14ac:dyDescent="0.3">
      <c r="A1007" s="1">
        <v>46250</v>
      </c>
      <c r="B1007">
        <v>8</v>
      </c>
      <c r="C1007" t="s">
        <v>8961</v>
      </c>
      <c r="D1007" t="s">
        <v>10</v>
      </c>
      <c r="E1007" t="s">
        <v>704</v>
      </c>
      <c r="F1007" t="s">
        <v>705</v>
      </c>
      <c r="G1007" s="16">
        <v>1596.4760000000001</v>
      </c>
      <c r="H1007" t="s">
        <v>8</v>
      </c>
      <c r="I1007" s="16">
        <v>1388.24</v>
      </c>
    </row>
    <row r="1008" spans="1:9" x14ac:dyDescent="0.3">
      <c r="A1008" s="1">
        <v>46250</v>
      </c>
      <c r="B1008">
        <v>8</v>
      </c>
      <c r="C1008" t="s">
        <v>7110</v>
      </c>
      <c r="D1008" t="s">
        <v>10</v>
      </c>
      <c r="E1008" t="s">
        <v>704</v>
      </c>
      <c r="F1008" t="s">
        <v>705</v>
      </c>
      <c r="G1008" s="16">
        <v>1727.6105</v>
      </c>
      <c r="H1008" t="s">
        <v>8</v>
      </c>
      <c r="I1008" s="16">
        <v>1502.27</v>
      </c>
    </row>
    <row r="1009" spans="1:9" x14ac:dyDescent="0.3">
      <c r="A1009" s="1">
        <v>46250</v>
      </c>
      <c r="B1009">
        <v>8</v>
      </c>
      <c r="C1009" t="s">
        <v>10262</v>
      </c>
      <c r="D1009" t="s">
        <v>38</v>
      </c>
      <c r="E1009" t="s">
        <v>154</v>
      </c>
      <c r="F1009" t="s">
        <v>155</v>
      </c>
      <c r="G1009" s="16">
        <v>583.14995999999996</v>
      </c>
      <c r="H1009" t="s">
        <v>8</v>
      </c>
      <c r="I1009" s="16">
        <v>507.08690000000001</v>
      </c>
    </row>
    <row r="1010" spans="1:9" x14ac:dyDescent="0.3">
      <c r="A1010" s="1">
        <v>46250</v>
      </c>
      <c r="B1010">
        <v>8</v>
      </c>
      <c r="C1010" t="s">
        <v>9893</v>
      </c>
      <c r="D1010" t="s">
        <v>10</v>
      </c>
      <c r="E1010" t="s">
        <v>704</v>
      </c>
      <c r="F1010" t="s">
        <v>705</v>
      </c>
      <c r="G1010" s="16">
        <v>5263.2856000000002</v>
      </c>
      <c r="H1010" t="s">
        <v>8</v>
      </c>
      <c r="I1010" s="16">
        <v>4576.7700000000004</v>
      </c>
    </row>
    <row r="1011" spans="1:9" x14ac:dyDescent="0.3">
      <c r="A1011" s="1">
        <v>46250</v>
      </c>
      <c r="B1011">
        <v>8</v>
      </c>
      <c r="C1011" t="s">
        <v>10196</v>
      </c>
      <c r="D1011" t="s">
        <v>10</v>
      </c>
      <c r="E1011" t="s">
        <v>111</v>
      </c>
      <c r="F1011" t="s">
        <v>112</v>
      </c>
      <c r="G1011" s="16">
        <v>128.33043000000001</v>
      </c>
      <c r="H1011" t="s">
        <v>8</v>
      </c>
      <c r="I1011" s="16">
        <v>111.59168</v>
      </c>
    </row>
    <row r="1012" spans="1:9" x14ac:dyDescent="0.3">
      <c r="A1012" s="1">
        <v>46250</v>
      </c>
      <c r="B1012">
        <v>8</v>
      </c>
      <c r="C1012" t="s">
        <v>10234</v>
      </c>
      <c r="D1012" t="s">
        <v>10</v>
      </c>
      <c r="E1012" t="s">
        <v>373</v>
      </c>
      <c r="F1012" t="s">
        <v>374</v>
      </c>
      <c r="G1012" s="16">
        <v>654.971</v>
      </c>
      <c r="H1012" t="s">
        <v>8</v>
      </c>
      <c r="I1012" s="16">
        <v>569.54</v>
      </c>
    </row>
    <row r="1013" spans="1:9" x14ac:dyDescent="0.3">
      <c r="A1013" s="1">
        <v>46250</v>
      </c>
      <c r="B1013">
        <v>8</v>
      </c>
      <c r="C1013" t="s">
        <v>10255</v>
      </c>
      <c r="D1013" t="s">
        <v>10</v>
      </c>
      <c r="E1013" t="s">
        <v>65</v>
      </c>
      <c r="F1013" t="s">
        <v>66</v>
      </c>
      <c r="G1013" s="16">
        <v>914.60059999999999</v>
      </c>
      <c r="H1013" t="s">
        <v>8</v>
      </c>
      <c r="I1013" s="16">
        <v>795.3048</v>
      </c>
    </row>
    <row r="1014" spans="1:9" x14ac:dyDescent="0.3">
      <c r="A1014" s="1">
        <v>46250</v>
      </c>
      <c r="B1014">
        <v>8</v>
      </c>
      <c r="C1014" t="s">
        <v>8983</v>
      </c>
      <c r="D1014" t="s">
        <v>10</v>
      </c>
      <c r="E1014" t="s">
        <v>2647</v>
      </c>
      <c r="F1014" t="s">
        <v>2648</v>
      </c>
      <c r="G1014" s="16">
        <v>81.006</v>
      </c>
      <c r="H1014" t="s">
        <v>8</v>
      </c>
      <c r="I1014" s="16">
        <v>70.44</v>
      </c>
    </row>
    <row r="1015" spans="1:9" x14ac:dyDescent="0.3">
      <c r="A1015" s="1">
        <v>46250</v>
      </c>
      <c r="B1015">
        <v>8</v>
      </c>
      <c r="C1015" t="s">
        <v>6456</v>
      </c>
      <c r="D1015" t="s">
        <v>10</v>
      </c>
      <c r="E1015" t="s">
        <v>704</v>
      </c>
      <c r="F1015" t="s">
        <v>705</v>
      </c>
      <c r="G1015" s="16">
        <v>1942.2370000000001</v>
      </c>
      <c r="H1015" t="s">
        <v>8</v>
      </c>
      <c r="I1015" s="16">
        <v>1688.9016999999999</v>
      </c>
    </row>
    <row r="1016" spans="1:9" x14ac:dyDescent="0.3">
      <c r="A1016" s="1">
        <v>46250</v>
      </c>
      <c r="B1016">
        <v>8</v>
      </c>
      <c r="C1016" t="s">
        <v>10161</v>
      </c>
      <c r="D1016" t="s">
        <v>10</v>
      </c>
      <c r="E1016" t="s">
        <v>7001</v>
      </c>
      <c r="F1016" t="s">
        <v>7002</v>
      </c>
      <c r="G1016" s="16">
        <v>27.6</v>
      </c>
      <c r="H1016" t="s">
        <v>8</v>
      </c>
      <c r="I1016" s="16">
        <v>24</v>
      </c>
    </row>
    <row r="1017" spans="1:9" x14ac:dyDescent="0.3">
      <c r="A1017" s="1">
        <v>46250</v>
      </c>
      <c r="B1017">
        <v>8</v>
      </c>
      <c r="C1017" t="s">
        <v>10241</v>
      </c>
      <c r="D1017" t="s">
        <v>38</v>
      </c>
      <c r="E1017" t="s">
        <v>810</v>
      </c>
      <c r="F1017" t="s">
        <v>811</v>
      </c>
      <c r="G1017" s="16">
        <v>4.5999999999999996</v>
      </c>
      <c r="H1017" t="s">
        <v>8</v>
      </c>
      <c r="I1017" s="16">
        <v>4</v>
      </c>
    </row>
    <row r="1018" spans="1:9" x14ac:dyDescent="0.3">
      <c r="A1018" s="1">
        <v>46250</v>
      </c>
      <c r="B1018">
        <v>8</v>
      </c>
      <c r="C1018" t="s">
        <v>9194</v>
      </c>
      <c r="D1018" t="s">
        <v>10</v>
      </c>
      <c r="E1018" t="s">
        <v>704</v>
      </c>
      <c r="F1018" t="s">
        <v>705</v>
      </c>
      <c r="G1018" s="16">
        <v>409.90600000000001</v>
      </c>
      <c r="H1018" t="s">
        <v>8</v>
      </c>
      <c r="I1018" s="16">
        <v>356.44</v>
      </c>
    </row>
    <row r="1019" spans="1:9" x14ac:dyDescent="0.3">
      <c r="A1019" s="1">
        <v>46250</v>
      </c>
      <c r="B1019">
        <v>8</v>
      </c>
      <c r="C1019" t="s">
        <v>10265</v>
      </c>
      <c r="D1019" t="s">
        <v>38</v>
      </c>
      <c r="E1019" t="s">
        <v>88</v>
      </c>
      <c r="F1019" t="s">
        <v>89</v>
      </c>
      <c r="G1019" s="16">
        <v>505.9425</v>
      </c>
      <c r="H1019" t="s">
        <v>8</v>
      </c>
      <c r="I1019" s="16">
        <v>439.95</v>
      </c>
    </row>
    <row r="1020" spans="1:9" x14ac:dyDescent="0.3">
      <c r="A1020" s="1">
        <v>46250</v>
      </c>
      <c r="B1020">
        <v>8</v>
      </c>
      <c r="C1020" t="s">
        <v>10243</v>
      </c>
      <c r="D1020" t="s">
        <v>38</v>
      </c>
      <c r="E1020" t="s">
        <v>69</v>
      </c>
      <c r="F1020" t="s">
        <v>70</v>
      </c>
      <c r="G1020" s="16">
        <v>48.196390000000001</v>
      </c>
      <c r="H1020" t="s">
        <v>8</v>
      </c>
      <c r="I1020" s="16">
        <v>41.9099</v>
      </c>
    </row>
    <row r="1021" spans="1:9" x14ac:dyDescent="0.3">
      <c r="A1021" s="1">
        <v>46250</v>
      </c>
      <c r="B1021">
        <v>8</v>
      </c>
      <c r="C1021" t="s">
        <v>11303</v>
      </c>
      <c r="D1021" t="s">
        <v>2467</v>
      </c>
      <c r="E1021" t="s">
        <v>158</v>
      </c>
      <c r="F1021" t="s">
        <v>159</v>
      </c>
      <c r="G1021" s="16">
        <v>80.643749999999997</v>
      </c>
      <c r="H1021" t="s">
        <v>8</v>
      </c>
      <c r="I1021" s="16">
        <v>70.125</v>
      </c>
    </row>
    <row r="1022" spans="1:9" x14ac:dyDescent="0.3">
      <c r="A1022" s="1">
        <v>46250</v>
      </c>
      <c r="B1022">
        <v>8</v>
      </c>
      <c r="C1022" t="s">
        <v>10216</v>
      </c>
      <c r="D1022" t="s">
        <v>38</v>
      </c>
      <c r="E1022" t="s">
        <v>5007</v>
      </c>
      <c r="F1022" t="s">
        <v>5008</v>
      </c>
      <c r="G1022" s="16">
        <v>270.39030000000002</v>
      </c>
      <c r="H1022" t="s">
        <v>8</v>
      </c>
      <c r="I1022" s="16">
        <v>235.12200000000001</v>
      </c>
    </row>
    <row r="1023" spans="1:9" x14ac:dyDescent="0.3">
      <c r="A1023" s="1">
        <v>46250</v>
      </c>
      <c r="B1023">
        <v>8</v>
      </c>
      <c r="C1023" t="s">
        <v>10227</v>
      </c>
      <c r="D1023" t="s">
        <v>10</v>
      </c>
      <c r="E1023" t="s">
        <v>34</v>
      </c>
      <c r="F1023" t="s">
        <v>35</v>
      </c>
      <c r="G1023" s="16">
        <v>164.39250000000001</v>
      </c>
      <c r="H1023" t="s">
        <v>8</v>
      </c>
      <c r="I1023" s="16">
        <v>142.94999999999999</v>
      </c>
    </row>
    <row r="1024" spans="1:9" x14ac:dyDescent="0.3">
      <c r="A1024" s="1">
        <v>46250</v>
      </c>
      <c r="B1024">
        <v>8</v>
      </c>
      <c r="C1024" t="s">
        <v>10238</v>
      </c>
      <c r="D1024" t="s">
        <v>38</v>
      </c>
      <c r="E1024" t="s">
        <v>508</v>
      </c>
      <c r="F1024" t="s">
        <v>509</v>
      </c>
      <c r="G1024" s="16">
        <v>32.786499999999997</v>
      </c>
      <c r="H1024" t="s">
        <v>8</v>
      </c>
      <c r="I1024" s="16">
        <v>28.51</v>
      </c>
    </row>
    <row r="1025" spans="1:9" x14ac:dyDescent="0.3">
      <c r="A1025" s="1">
        <v>46250</v>
      </c>
      <c r="B1025">
        <v>8</v>
      </c>
      <c r="C1025" t="s">
        <v>10295</v>
      </c>
      <c r="D1025" t="s">
        <v>10</v>
      </c>
      <c r="E1025" t="s">
        <v>843</v>
      </c>
      <c r="F1025" t="s">
        <v>844</v>
      </c>
      <c r="G1025" s="16">
        <v>113.85</v>
      </c>
      <c r="H1025" t="s">
        <v>8</v>
      </c>
      <c r="I1025" s="16">
        <v>99</v>
      </c>
    </row>
    <row r="1026" spans="1:9" x14ac:dyDescent="0.3">
      <c r="A1026" s="1">
        <v>46250</v>
      </c>
      <c r="B1026">
        <v>8</v>
      </c>
      <c r="C1026" t="s">
        <v>10180</v>
      </c>
      <c r="D1026" t="s">
        <v>10</v>
      </c>
      <c r="E1026" t="s">
        <v>188</v>
      </c>
      <c r="F1026" t="s">
        <v>189</v>
      </c>
      <c r="G1026" s="16">
        <v>181.125</v>
      </c>
      <c r="H1026" t="s">
        <v>8</v>
      </c>
      <c r="I1026" s="16">
        <v>157.5</v>
      </c>
    </row>
    <row r="1027" spans="1:9" x14ac:dyDescent="0.3">
      <c r="A1027" s="1">
        <v>46250</v>
      </c>
      <c r="B1027">
        <v>8</v>
      </c>
      <c r="C1027" t="s">
        <v>10174</v>
      </c>
      <c r="D1027" t="s">
        <v>10</v>
      </c>
      <c r="E1027" t="s">
        <v>710</v>
      </c>
      <c r="F1027" t="s">
        <v>711</v>
      </c>
      <c r="G1027" s="16">
        <v>399.51575000000003</v>
      </c>
      <c r="H1027" t="s">
        <v>8</v>
      </c>
      <c r="I1027" s="16">
        <v>347.40499999999997</v>
      </c>
    </row>
    <row r="1028" spans="1:9" x14ac:dyDescent="0.3">
      <c r="A1028" s="1">
        <v>46250</v>
      </c>
      <c r="B1028">
        <v>8</v>
      </c>
      <c r="C1028" t="s">
        <v>10293</v>
      </c>
      <c r="D1028" t="s">
        <v>38</v>
      </c>
      <c r="E1028" t="s">
        <v>812</v>
      </c>
      <c r="F1028" t="s">
        <v>2394</v>
      </c>
      <c r="G1028" s="16">
        <v>504.85</v>
      </c>
      <c r="H1028" t="s">
        <v>8</v>
      </c>
      <c r="I1028" s="16">
        <v>439</v>
      </c>
    </row>
    <row r="1029" spans="1:9" x14ac:dyDescent="0.3">
      <c r="A1029" s="1">
        <v>46250</v>
      </c>
      <c r="B1029">
        <v>8</v>
      </c>
      <c r="C1029" t="s">
        <v>10233</v>
      </c>
      <c r="D1029" t="s">
        <v>10</v>
      </c>
      <c r="E1029" t="s">
        <v>7001</v>
      </c>
      <c r="F1029" t="s">
        <v>7002</v>
      </c>
      <c r="G1029" s="16">
        <v>90.275000000000006</v>
      </c>
      <c r="H1029" t="s">
        <v>8</v>
      </c>
      <c r="I1029" s="16">
        <v>78.5</v>
      </c>
    </row>
    <row r="1030" spans="1:9" x14ac:dyDescent="0.3">
      <c r="A1030" s="1">
        <v>46250</v>
      </c>
      <c r="B1030">
        <v>8</v>
      </c>
      <c r="C1030" t="s">
        <v>10190</v>
      </c>
      <c r="D1030" t="s">
        <v>10</v>
      </c>
      <c r="E1030" t="s">
        <v>573</v>
      </c>
      <c r="F1030" t="s">
        <v>574</v>
      </c>
      <c r="G1030" s="16">
        <v>187.06819999999999</v>
      </c>
      <c r="H1030" t="s">
        <v>8</v>
      </c>
      <c r="I1030" s="16">
        <v>162.66800000000001</v>
      </c>
    </row>
    <row r="1031" spans="1:9" x14ac:dyDescent="0.3">
      <c r="A1031" s="1">
        <v>46250</v>
      </c>
      <c r="B1031">
        <v>8</v>
      </c>
      <c r="C1031" t="s">
        <v>10236</v>
      </c>
      <c r="D1031" t="s">
        <v>10</v>
      </c>
      <c r="E1031" t="s">
        <v>325</v>
      </c>
      <c r="F1031" t="s">
        <v>326</v>
      </c>
      <c r="G1031" s="16">
        <v>100.05</v>
      </c>
      <c r="H1031" t="s">
        <v>8</v>
      </c>
      <c r="I1031" s="16">
        <v>87</v>
      </c>
    </row>
    <row r="1032" spans="1:9" x14ac:dyDescent="0.3">
      <c r="A1032" s="1">
        <v>46250</v>
      </c>
      <c r="B1032">
        <v>8</v>
      </c>
      <c r="C1032" t="s">
        <v>10272</v>
      </c>
      <c r="D1032" t="s">
        <v>38</v>
      </c>
      <c r="E1032" t="s">
        <v>398</v>
      </c>
      <c r="F1032" t="s">
        <v>399</v>
      </c>
      <c r="G1032" s="16">
        <v>1295.5655999999999</v>
      </c>
      <c r="H1032" t="s">
        <v>8</v>
      </c>
      <c r="I1032" s="16">
        <v>1126.5787</v>
      </c>
    </row>
    <row r="1033" spans="1:9" x14ac:dyDescent="0.3">
      <c r="A1033" s="1">
        <v>46250</v>
      </c>
      <c r="B1033">
        <v>8</v>
      </c>
      <c r="C1033" t="s">
        <v>10194</v>
      </c>
      <c r="D1033" t="s">
        <v>38</v>
      </c>
      <c r="E1033" t="s">
        <v>444</v>
      </c>
      <c r="F1033" t="s">
        <v>445</v>
      </c>
      <c r="G1033" s="16">
        <v>51.06</v>
      </c>
      <c r="H1033" t="s">
        <v>8</v>
      </c>
      <c r="I1033" s="16">
        <v>44.4</v>
      </c>
    </row>
    <row r="1034" spans="1:9" x14ac:dyDescent="0.3">
      <c r="A1034" s="1">
        <v>46250</v>
      </c>
      <c r="B1034">
        <v>8</v>
      </c>
      <c r="C1034" t="s">
        <v>11304</v>
      </c>
      <c r="D1034" t="s">
        <v>2460</v>
      </c>
      <c r="E1034" t="s">
        <v>137</v>
      </c>
      <c r="F1034" t="s">
        <v>138</v>
      </c>
      <c r="G1034" s="16">
        <v>216.77500000000001</v>
      </c>
      <c r="H1034" t="s">
        <v>8</v>
      </c>
      <c r="I1034" s="16">
        <v>188.5</v>
      </c>
    </row>
    <row r="1035" spans="1:9" x14ac:dyDescent="0.3">
      <c r="A1035" s="1">
        <v>46250</v>
      </c>
      <c r="B1035">
        <v>8</v>
      </c>
      <c r="C1035" t="s">
        <v>10222</v>
      </c>
      <c r="D1035" t="s">
        <v>38</v>
      </c>
      <c r="E1035" t="s">
        <v>8713</v>
      </c>
      <c r="F1035" t="s">
        <v>8714</v>
      </c>
      <c r="G1035" s="16">
        <v>509.91</v>
      </c>
      <c r="H1035" t="s">
        <v>8</v>
      </c>
      <c r="I1035" s="16">
        <v>443.4</v>
      </c>
    </row>
    <row r="1036" spans="1:9" x14ac:dyDescent="0.3">
      <c r="A1036" s="1">
        <v>46250</v>
      </c>
      <c r="B1036">
        <v>8</v>
      </c>
      <c r="C1036" t="s">
        <v>10330</v>
      </c>
      <c r="D1036" t="s">
        <v>2460</v>
      </c>
      <c r="E1036" t="s">
        <v>173</v>
      </c>
      <c r="F1036" t="s">
        <v>174</v>
      </c>
      <c r="G1036" s="16">
        <v>172.21250000000001</v>
      </c>
      <c r="H1036" t="s">
        <v>8</v>
      </c>
      <c r="I1036" s="16">
        <v>149.75</v>
      </c>
    </row>
    <row r="1037" spans="1:9" x14ac:dyDescent="0.3">
      <c r="A1037" s="1">
        <v>46250</v>
      </c>
      <c r="B1037">
        <v>8</v>
      </c>
      <c r="C1037" t="s">
        <v>10181</v>
      </c>
      <c r="D1037" t="s">
        <v>10</v>
      </c>
      <c r="E1037" t="s">
        <v>6178</v>
      </c>
      <c r="F1037" t="s">
        <v>6261</v>
      </c>
      <c r="G1037" s="16">
        <v>29.9</v>
      </c>
      <c r="H1037" t="s">
        <v>8</v>
      </c>
      <c r="I1037" s="16">
        <v>26</v>
      </c>
    </row>
    <row r="1038" spans="1:9" x14ac:dyDescent="0.3">
      <c r="A1038" s="1">
        <v>46250</v>
      </c>
      <c r="B1038">
        <v>8</v>
      </c>
      <c r="C1038" t="s">
        <v>10209</v>
      </c>
      <c r="D1038" t="s">
        <v>10</v>
      </c>
      <c r="E1038" t="s">
        <v>295</v>
      </c>
      <c r="F1038" t="s">
        <v>345</v>
      </c>
      <c r="G1038" s="16">
        <v>48.875</v>
      </c>
      <c r="H1038" t="s">
        <v>8</v>
      </c>
      <c r="I1038" s="16">
        <v>42.5</v>
      </c>
    </row>
    <row r="1039" spans="1:9" x14ac:dyDescent="0.3">
      <c r="A1039" s="1">
        <v>46250</v>
      </c>
      <c r="B1039">
        <v>8</v>
      </c>
      <c r="C1039" t="s">
        <v>10257</v>
      </c>
      <c r="D1039" t="s">
        <v>10</v>
      </c>
      <c r="E1039" t="s">
        <v>1020</v>
      </c>
      <c r="F1039" t="s">
        <v>1021</v>
      </c>
      <c r="G1039" s="16">
        <v>110.60008000000001</v>
      </c>
      <c r="H1039" t="s">
        <v>8</v>
      </c>
      <c r="I1039" s="16">
        <v>96.17398</v>
      </c>
    </row>
    <row r="1040" spans="1:9" x14ac:dyDescent="0.3">
      <c r="A1040" s="1">
        <v>46250</v>
      </c>
      <c r="B1040">
        <v>8</v>
      </c>
      <c r="C1040" t="s">
        <v>10298</v>
      </c>
      <c r="D1040" t="s">
        <v>10</v>
      </c>
      <c r="E1040" t="s">
        <v>34</v>
      </c>
      <c r="F1040" t="s">
        <v>35</v>
      </c>
      <c r="G1040" s="16">
        <v>3491.1125000000002</v>
      </c>
      <c r="H1040" t="s">
        <v>8</v>
      </c>
      <c r="I1040" s="16">
        <v>3035.75</v>
      </c>
    </row>
    <row r="1041" spans="1:9" x14ac:dyDescent="0.3">
      <c r="A1041" s="1">
        <v>46250</v>
      </c>
      <c r="B1041">
        <v>8</v>
      </c>
      <c r="C1041" t="s">
        <v>8424</v>
      </c>
      <c r="D1041" t="s">
        <v>10</v>
      </c>
      <c r="E1041" t="s">
        <v>704</v>
      </c>
      <c r="F1041" t="s">
        <v>705</v>
      </c>
      <c r="G1041" s="16">
        <v>564.995</v>
      </c>
      <c r="H1041" t="s">
        <v>8</v>
      </c>
      <c r="I1041" s="16">
        <v>491.3</v>
      </c>
    </row>
    <row r="1042" spans="1:9" x14ac:dyDescent="0.3">
      <c r="A1042" s="1">
        <v>46250</v>
      </c>
      <c r="B1042">
        <v>8</v>
      </c>
      <c r="C1042" t="s">
        <v>11305</v>
      </c>
      <c r="D1042" t="s">
        <v>2460</v>
      </c>
      <c r="E1042" t="s">
        <v>566</v>
      </c>
      <c r="F1042" t="s">
        <v>590</v>
      </c>
      <c r="G1042" s="16">
        <v>265.64999999999998</v>
      </c>
      <c r="H1042" t="s">
        <v>8</v>
      </c>
      <c r="I1042" s="16">
        <v>231</v>
      </c>
    </row>
    <row r="1043" spans="1:9" x14ac:dyDescent="0.3">
      <c r="A1043" s="1">
        <v>46250</v>
      </c>
      <c r="B1043">
        <v>8</v>
      </c>
      <c r="C1043" t="s">
        <v>10193</v>
      </c>
      <c r="D1043" t="s">
        <v>10</v>
      </c>
      <c r="E1043" t="s">
        <v>2298</v>
      </c>
      <c r="F1043" t="s">
        <v>2299</v>
      </c>
      <c r="G1043" s="16">
        <v>23.33353</v>
      </c>
      <c r="H1043" t="s">
        <v>8</v>
      </c>
      <c r="I1043" s="16">
        <v>20.290019999999998</v>
      </c>
    </row>
    <row r="1044" spans="1:9" x14ac:dyDescent="0.3">
      <c r="A1044" s="1">
        <v>46250</v>
      </c>
      <c r="B1044">
        <v>8</v>
      </c>
      <c r="C1044" t="s">
        <v>10199</v>
      </c>
      <c r="D1044" t="s">
        <v>38</v>
      </c>
      <c r="E1044" t="s">
        <v>4387</v>
      </c>
      <c r="F1044" t="s">
        <v>4388</v>
      </c>
      <c r="G1044" s="16">
        <v>754.4</v>
      </c>
      <c r="H1044" t="s">
        <v>8</v>
      </c>
      <c r="I1044" s="16">
        <v>656</v>
      </c>
    </row>
    <row r="1045" spans="1:9" x14ac:dyDescent="0.3">
      <c r="A1045" s="1">
        <v>46250</v>
      </c>
      <c r="B1045">
        <v>8</v>
      </c>
      <c r="C1045" t="s">
        <v>10277</v>
      </c>
      <c r="D1045" t="s">
        <v>10</v>
      </c>
      <c r="E1045" t="s">
        <v>9055</v>
      </c>
      <c r="F1045" t="s">
        <v>9056</v>
      </c>
      <c r="G1045" s="16">
        <v>366.85</v>
      </c>
      <c r="H1045" t="s">
        <v>8</v>
      </c>
      <c r="I1045" s="16">
        <v>319</v>
      </c>
    </row>
    <row r="1046" spans="1:9" x14ac:dyDescent="0.3">
      <c r="A1046" s="1">
        <v>46250</v>
      </c>
      <c r="B1046">
        <v>8</v>
      </c>
      <c r="C1046" t="s">
        <v>10269</v>
      </c>
      <c r="D1046" t="s">
        <v>10</v>
      </c>
      <c r="E1046" t="s">
        <v>73</v>
      </c>
      <c r="F1046" t="s">
        <v>74</v>
      </c>
      <c r="G1046" s="16">
        <v>881.99720000000002</v>
      </c>
      <c r="H1046" t="s">
        <v>8</v>
      </c>
      <c r="I1046" s="16">
        <v>766.95410000000004</v>
      </c>
    </row>
    <row r="1047" spans="1:9" x14ac:dyDescent="0.3">
      <c r="A1047" s="1">
        <v>46250</v>
      </c>
      <c r="B1047">
        <v>8</v>
      </c>
      <c r="C1047" t="s">
        <v>10253</v>
      </c>
      <c r="D1047" t="s">
        <v>10</v>
      </c>
      <c r="E1047" t="s">
        <v>715</v>
      </c>
      <c r="F1047" t="s">
        <v>716</v>
      </c>
      <c r="G1047" s="16">
        <v>50.945</v>
      </c>
      <c r="H1047" t="s">
        <v>8</v>
      </c>
      <c r="I1047" s="16">
        <v>44.3</v>
      </c>
    </row>
    <row r="1048" spans="1:9" x14ac:dyDescent="0.3">
      <c r="A1048" s="1">
        <v>46250</v>
      </c>
      <c r="B1048">
        <v>8</v>
      </c>
      <c r="C1048" t="s">
        <v>10288</v>
      </c>
      <c r="D1048" t="s">
        <v>10</v>
      </c>
      <c r="E1048" t="s">
        <v>966</v>
      </c>
      <c r="F1048" t="s">
        <v>967</v>
      </c>
      <c r="G1048" s="16">
        <v>46.034500000000001</v>
      </c>
      <c r="H1048" t="s">
        <v>8</v>
      </c>
      <c r="I1048" s="16">
        <v>40.03</v>
      </c>
    </row>
    <row r="1049" spans="1:9" x14ac:dyDescent="0.3">
      <c r="A1049" s="1">
        <v>46250</v>
      </c>
      <c r="B1049">
        <v>8</v>
      </c>
      <c r="C1049" t="s">
        <v>10240</v>
      </c>
      <c r="D1049" t="s">
        <v>38</v>
      </c>
      <c r="E1049" t="s">
        <v>941</v>
      </c>
      <c r="F1049" t="s">
        <v>942</v>
      </c>
      <c r="G1049" s="16">
        <v>803.99950000000001</v>
      </c>
      <c r="H1049" t="s">
        <v>8</v>
      </c>
      <c r="I1049" s="16">
        <v>699.13</v>
      </c>
    </row>
    <row r="1050" spans="1:9" x14ac:dyDescent="0.3">
      <c r="A1050" s="1">
        <v>46250</v>
      </c>
      <c r="B1050">
        <v>8</v>
      </c>
      <c r="C1050" t="s">
        <v>9491</v>
      </c>
      <c r="D1050" t="s">
        <v>10</v>
      </c>
      <c r="E1050" t="s">
        <v>137</v>
      </c>
      <c r="F1050" t="s">
        <v>138</v>
      </c>
      <c r="G1050" s="16">
        <v>13869.609</v>
      </c>
      <c r="H1050" t="s">
        <v>8</v>
      </c>
      <c r="I1050" s="16">
        <v>12060.53</v>
      </c>
    </row>
    <row r="1051" spans="1:9" x14ac:dyDescent="0.3">
      <c r="A1051" s="1">
        <v>46250</v>
      </c>
      <c r="B1051">
        <v>8</v>
      </c>
      <c r="C1051" t="s">
        <v>10186</v>
      </c>
      <c r="D1051" t="s">
        <v>38</v>
      </c>
      <c r="E1051" t="s">
        <v>358</v>
      </c>
      <c r="F1051" t="s">
        <v>359</v>
      </c>
      <c r="G1051" s="16">
        <v>38.237499999999997</v>
      </c>
      <c r="H1051" t="s">
        <v>8</v>
      </c>
      <c r="I1051" s="16">
        <v>33.25</v>
      </c>
    </row>
    <row r="1052" spans="1:9" x14ac:dyDescent="0.3">
      <c r="A1052" s="1">
        <v>46250</v>
      </c>
      <c r="B1052">
        <v>8</v>
      </c>
      <c r="C1052" t="s">
        <v>10244</v>
      </c>
      <c r="D1052" t="s">
        <v>38</v>
      </c>
      <c r="E1052" t="s">
        <v>886</v>
      </c>
      <c r="F1052" t="s">
        <v>887</v>
      </c>
      <c r="G1052" s="16">
        <v>4084.7654000000002</v>
      </c>
      <c r="H1052" t="s">
        <v>8</v>
      </c>
      <c r="I1052" s="16">
        <v>3551.97</v>
      </c>
    </row>
    <row r="1053" spans="1:9" x14ac:dyDescent="0.3">
      <c r="A1053" s="1">
        <v>46250</v>
      </c>
      <c r="B1053">
        <v>8</v>
      </c>
      <c r="C1053" t="s">
        <v>10226</v>
      </c>
      <c r="D1053" t="s">
        <v>10</v>
      </c>
      <c r="E1053" t="s">
        <v>573</v>
      </c>
      <c r="F1053" t="s">
        <v>574</v>
      </c>
      <c r="G1053" s="16">
        <v>187.06819999999999</v>
      </c>
      <c r="H1053" t="s">
        <v>8</v>
      </c>
      <c r="I1053" s="16">
        <v>162.66800000000001</v>
      </c>
    </row>
    <row r="1054" spans="1:9" x14ac:dyDescent="0.3">
      <c r="A1054" s="1">
        <v>46250</v>
      </c>
      <c r="B1054">
        <v>8</v>
      </c>
      <c r="C1054" t="s">
        <v>10327</v>
      </c>
      <c r="D1054" t="s">
        <v>2463</v>
      </c>
      <c r="E1054" t="s">
        <v>444</v>
      </c>
      <c r="F1054" t="s">
        <v>445</v>
      </c>
      <c r="G1054" s="16">
        <v>310.77600000000001</v>
      </c>
      <c r="H1054" t="s">
        <v>8</v>
      </c>
      <c r="I1054" s="16">
        <v>270.24</v>
      </c>
    </row>
    <row r="1055" spans="1:9" x14ac:dyDescent="0.3">
      <c r="A1055" s="1">
        <v>46250</v>
      </c>
      <c r="B1055">
        <v>8</v>
      </c>
      <c r="C1055" t="s">
        <v>10200</v>
      </c>
      <c r="D1055" t="s">
        <v>10</v>
      </c>
      <c r="E1055" t="s">
        <v>3773</v>
      </c>
      <c r="F1055" t="s">
        <v>3774</v>
      </c>
      <c r="G1055" s="16">
        <v>2191.4879999999998</v>
      </c>
      <c r="H1055" t="s">
        <v>8</v>
      </c>
      <c r="I1055" s="16">
        <v>1905.6416999999999</v>
      </c>
    </row>
    <row r="1056" spans="1:9" x14ac:dyDescent="0.3">
      <c r="A1056" s="1">
        <v>46250</v>
      </c>
      <c r="B1056">
        <v>8</v>
      </c>
      <c r="C1056" t="s">
        <v>10287</v>
      </c>
      <c r="D1056" t="s">
        <v>38</v>
      </c>
      <c r="E1056" t="s">
        <v>418</v>
      </c>
      <c r="F1056" t="s">
        <v>419</v>
      </c>
      <c r="G1056" s="16">
        <v>41.4</v>
      </c>
      <c r="H1056" t="s">
        <v>8</v>
      </c>
      <c r="I1056" s="16">
        <v>36</v>
      </c>
    </row>
    <row r="1057" spans="1:9" x14ac:dyDescent="0.3">
      <c r="A1057" s="1">
        <v>46250</v>
      </c>
      <c r="B1057">
        <v>8</v>
      </c>
      <c r="C1057" t="s">
        <v>10268</v>
      </c>
      <c r="D1057" t="s">
        <v>10</v>
      </c>
      <c r="E1057" t="s">
        <v>79</v>
      </c>
      <c r="F1057" t="s">
        <v>80</v>
      </c>
      <c r="G1057" s="16">
        <v>2272.6819999999998</v>
      </c>
      <c r="H1057" t="s">
        <v>8</v>
      </c>
      <c r="I1057" s="16">
        <v>1976.2449999999999</v>
      </c>
    </row>
    <row r="1058" spans="1:9" x14ac:dyDescent="0.3">
      <c r="A1058" s="1">
        <v>46250</v>
      </c>
      <c r="B1058">
        <v>8</v>
      </c>
      <c r="C1058" t="s">
        <v>10329</v>
      </c>
      <c r="D1058" t="s">
        <v>2460</v>
      </c>
      <c r="E1058" t="s">
        <v>2461</v>
      </c>
      <c r="F1058" t="s">
        <v>2462</v>
      </c>
      <c r="G1058" s="16">
        <v>82.224999999999994</v>
      </c>
      <c r="H1058" t="s">
        <v>8</v>
      </c>
      <c r="I1058" s="16">
        <v>71.5</v>
      </c>
    </row>
    <row r="1059" spans="1:9" x14ac:dyDescent="0.3">
      <c r="A1059" s="1">
        <v>46250</v>
      </c>
      <c r="B1059">
        <v>8</v>
      </c>
      <c r="C1059" t="s">
        <v>10286</v>
      </c>
      <c r="D1059" t="s">
        <v>10</v>
      </c>
      <c r="E1059" t="s">
        <v>776</v>
      </c>
      <c r="F1059" t="s">
        <v>777</v>
      </c>
      <c r="G1059" s="16">
        <v>233.9675</v>
      </c>
      <c r="H1059" t="s">
        <v>8</v>
      </c>
      <c r="I1059" s="16">
        <v>203.45</v>
      </c>
    </row>
    <row r="1060" spans="1:9" x14ac:dyDescent="0.3">
      <c r="A1060" s="1">
        <v>46250</v>
      </c>
      <c r="B1060">
        <v>8</v>
      </c>
      <c r="C1060" t="s">
        <v>10215</v>
      </c>
      <c r="D1060" t="s">
        <v>10</v>
      </c>
      <c r="E1060" t="s">
        <v>177</v>
      </c>
      <c r="F1060" t="s">
        <v>178</v>
      </c>
      <c r="G1060" s="16">
        <v>828.72450000000003</v>
      </c>
      <c r="H1060" t="s">
        <v>8</v>
      </c>
      <c r="I1060" s="16">
        <v>720.63</v>
      </c>
    </row>
    <row r="1061" spans="1:9" x14ac:dyDescent="0.3">
      <c r="A1061" s="1">
        <v>46250</v>
      </c>
      <c r="B1061">
        <v>8</v>
      </c>
      <c r="C1061" t="s">
        <v>10176</v>
      </c>
      <c r="D1061" t="s">
        <v>10</v>
      </c>
      <c r="E1061" t="s">
        <v>2970</v>
      </c>
      <c r="F1061" t="s">
        <v>2971</v>
      </c>
      <c r="G1061" s="16">
        <v>72.150999999999996</v>
      </c>
      <c r="H1061" t="s">
        <v>8</v>
      </c>
      <c r="I1061" s="16">
        <v>62.74</v>
      </c>
    </row>
    <row r="1062" spans="1:9" x14ac:dyDescent="0.3">
      <c r="A1062" s="1">
        <v>46250</v>
      </c>
      <c r="B1062">
        <v>8</v>
      </c>
      <c r="C1062" t="s">
        <v>9515</v>
      </c>
      <c r="D1062" t="s">
        <v>10</v>
      </c>
      <c r="E1062" t="s">
        <v>704</v>
      </c>
      <c r="F1062" t="s">
        <v>705</v>
      </c>
      <c r="G1062" s="16">
        <v>4146.4170000000004</v>
      </c>
      <c r="H1062" t="s">
        <v>8</v>
      </c>
      <c r="I1062" s="16">
        <v>3605.58</v>
      </c>
    </row>
    <row r="1063" spans="1:9" x14ac:dyDescent="0.3">
      <c r="A1063" s="1">
        <v>46250</v>
      </c>
      <c r="B1063">
        <v>8</v>
      </c>
      <c r="C1063" t="s">
        <v>10177</v>
      </c>
      <c r="D1063" t="s">
        <v>10</v>
      </c>
      <c r="E1063" t="s">
        <v>120</v>
      </c>
      <c r="F1063" t="s">
        <v>121</v>
      </c>
      <c r="G1063" s="16">
        <v>594.54999999999995</v>
      </c>
      <c r="H1063" t="s">
        <v>8</v>
      </c>
      <c r="I1063" s="16">
        <v>517</v>
      </c>
    </row>
    <row r="1064" spans="1:9" x14ac:dyDescent="0.3">
      <c r="A1064" s="1">
        <v>46251</v>
      </c>
      <c r="B1064">
        <v>7</v>
      </c>
      <c r="C1064" t="s">
        <v>11306</v>
      </c>
      <c r="D1064" t="s">
        <v>2460</v>
      </c>
      <c r="E1064" t="s">
        <v>34</v>
      </c>
      <c r="F1064" t="s">
        <v>35</v>
      </c>
      <c r="G1064" s="16">
        <v>230.59800000000001</v>
      </c>
      <c r="H1064" t="s">
        <v>8</v>
      </c>
      <c r="I1064" s="16">
        <v>200.52</v>
      </c>
    </row>
    <row r="1065" spans="1:9" x14ac:dyDescent="0.3">
      <c r="A1065" s="1">
        <v>46251</v>
      </c>
      <c r="B1065">
        <v>7</v>
      </c>
      <c r="C1065" t="s">
        <v>7418</v>
      </c>
      <c r="D1065" t="s">
        <v>38</v>
      </c>
      <c r="E1065" t="s">
        <v>71</v>
      </c>
      <c r="F1065" t="s">
        <v>72</v>
      </c>
      <c r="G1065" s="16">
        <v>1118.72</v>
      </c>
      <c r="H1065" t="s">
        <v>8</v>
      </c>
      <c r="I1065" s="16">
        <v>972.8</v>
      </c>
    </row>
    <row r="1066" spans="1:9" x14ac:dyDescent="0.3">
      <c r="A1066" s="1">
        <v>46251</v>
      </c>
      <c r="B1066">
        <v>7</v>
      </c>
      <c r="C1066" t="s">
        <v>10436</v>
      </c>
      <c r="D1066" t="s">
        <v>2460</v>
      </c>
      <c r="E1066" t="s">
        <v>177</v>
      </c>
      <c r="F1066" t="s">
        <v>178</v>
      </c>
      <c r="G1066" s="16">
        <v>19826.002</v>
      </c>
      <c r="H1066" t="s">
        <v>8</v>
      </c>
      <c r="I1066" s="16">
        <v>17240.002</v>
      </c>
    </row>
    <row r="1067" spans="1:9" x14ac:dyDescent="0.3">
      <c r="A1067" s="1">
        <v>46251</v>
      </c>
      <c r="B1067">
        <v>7</v>
      </c>
      <c r="C1067" t="s">
        <v>6735</v>
      </c>
      <c r="D1067" t="s">
        <v>10</v>
      </c>
      <c r="E1067" t="s">
        <v>156</v>
      </c>
      <c r="F1067" t="s">
        <v>157</v>
      </c>
      <c r="G1067" s="16">
        <v>4115.1049999999996</v>
      </c>
      <c r="H1067" t="s">
        <v>8</v>
      </c>
      <c r="I1067" s="16">
        <v>3578.3519999999999</v>
      </c>
    </row>
    <row r="1068" spans="1:9" x14ac:dyDescent="0.3">
      <c r="A1068" s="1">
        <v>46251</v>
      </c>
      <c r="B1068">
        <v>7</v>
      </c>
      <c r="C1068" t="s">
        <v>10334</v>
      </c>
      <c r="D1068" t="s">
        <v>10</v>
      </c>
      <c r="E1068" t="s">
        <v>173</v>
      </c>
      <c r="F1068" t="s">
        <v>174</v>
      </c>
      <c r="G1068" s="16">
        <v>1428.7139999999999</v>
      </c>
      <c r="H1068" t="s">
        <v>8</v>
      </c>
      <c r="I1068" s="16">
        <v>1242.3599999999999</v>
      </c>
    </row>
    <row r="1069" spans="1:9" x14ac:dyDescent="0.3">
      <c r="A1069" s="1">
        <v>46251</v>
      </c>
      <c r="B1069">
        <v>7</v>
      </c>
      <c r="C1069" t="s">
        <v>7223</v>
      </c>
      <c r="D1069" t="s">
        <v>10</v>
      </c>
      <c r="E1069" t="s">
        <v>156</v>
      </c>
      <c r="F1069" t="s">
        <v>157</v>
      </c>
      <c r="G1069" s="16">
        <v>2528.1975000000002</v>
      </c>
      <c r="H1069" t="s">
        <v>8</v>
      </c>
      <c r="I1069" s="16">
        <v>2198.4326000000001</v>
      </c>
    </row>
    <row r="1070" spans="1:9" x14ac:dyDescent="0.3">
      <c r="A1070" s="1">
        <v>46251</v>
      </c>
      <c r="B1070">
        <v>7</v>
      </c>
      <c r="C1070" t="s">
        <v>10382</v>
      </c>
      <c r="D1070" t="s">
        <v>38</v>
      </c>
      <c r="E1070" t="s">
        <v>598</v>
      </c>
      <c r="F1070" t="s">
        <v>9088</v>
      </c>
      <c r="G1070" s="16">
        <v>1130.5282</v>
      </c>
      <c r="H1070" t="s">
        <v>8</v>
      </c>
      <c r="I1070" s="16">
        <v>983.06799999999998</v>
      </c>
    </row>
    <row r="1071" spans="1:9" x14ac:dyDescent="0.3">
      <c r="A1071" s="1">
        <v>46251</v>
      </c>
      <c r="B1071">
        <v>7</v>
      </c>
      <c r="C1071" t="s">
        <v>11307</v>
      </c>
      <c r="D1071" t="s">
        <v>2460</v>
      </c>
      <c r="E1071" t="s">
        <v>2292</v>
      </c>
      <c r="F1071" t="s">
        <v>2293</v>
      </c>
      <c r="G1071" s="16">
        <v>147.19999999999999</v>
      </c>
      <c r="H1071" t="s">
        <v>8</v>
      </c>
      <c r="I1071" s="16">
        <v>128</v>
      </c>
    </row>
    <row r="1072" spans="1:9" x14ac:dyDescent="0.3">
      <c r="A1072" s="1">
        <v>46251</v>
      </c>
      <c r="B1072">
        <v>7</v>
      </c>
      <c r="C1072" t="s">
        <v>10434</v>
      </c>
      <c r="D1072" t="s">
        <v>2463</v>
      </c>
      <c r="E1072" t="s">
        <v>448</v>
      </c>
      <c r="F1072" t="s">
        <v>449</v>
      </c>
      <c r="G1072" s="16">
        <v>2262.9843999999998</v>
      </c>
      <c r="H1072" t="s">
        <v>8</v>
      </c>
      <c r="I1072" s="16">
        <v>1967.8125</v>
      </c>
    </row>
    <row r="1073" spans="1:9" x14ac:dyDescent="0.3">
      <c r="A1073" s="1">
        <v>46251</v>
      </c>
      <c r="B1073">
        <v>7</v>
      </c>
      <c r="C1073" t="s">
        <v>10438</v>
      </c>
      <c r="D1073" t="s">
        <v>2460</v>
      </c>
      <c r="E1073" t="s">
        <v>10172</v>
      </c>
      <c r="F1073" t="s">
        <v>10173</v>
      </c>
      <c r="G1073" s="16">
        <v>46</v>
      </c>
      <c r="H1073" t="s">
        <v>8</v>
      </c>
      <c r="I1073" s="16">
        <v>40</v>
      </c>
    </row>
    <row r="1074" spans="1:9" x14ac:dyDescent="0.3">
      <c r="A1074" s="1">
        <v>46251</v>
      </c>
      <c r="B1074">
        <v>7</v>
      </c>
      <c r="C1074" t="s">
        <v>9512</v>
      </c>
      <c r="D1074" t="s">
        <v>10</v>
      </c>
      <c r="E1074" t="s">
        <v>536</v>
      </c>
      <c r="F1074" t="s">
        <v>537</v>
      </c>
      <c r="G1074" s="16">
        <v>564.82680000000005</v>
      </c>
      <c r="H1074" t="s">
        <v>8</v>
      </c>
      <c r="I1074" s="16">
        <v>491.15372000000002</v>
      </c>
    </row>
    <row r="1075" spans="1:9" x14ac:dyDescent="0.3">
      <c r="A1075" s="1">
        <v>46251</v>
      </c>
      <c r="B1075">
        <v>7</v>
      </c>
      <c r="C1075" t="s">
        <v>6531</v>
      </c>
      <c r="D1075" t="s">
        <v>38</v>
      </c>
      <c r="E1075" t="s">
        <v>598</v>
      </c>
      <c r="F1075" t="s">
        <v>599</v>
      </c>
      <c r="G1075" s="16">
        <v>2604.0083</v>
      </c>
      <c r="H1075" t="s">
        <v>8</v>
      </c>
      <c r="I1075" s="16">
        <v>2264.355</v>
      </c>
    </row>
    <row r="1076" spans="1:9" x14ac:dyDescent="0.3">
      <c r="A1076" s="1">
        <v>46251</v>
      </c>
      <c r="B1076">
        <v>7</v>
      </c>
      <c r="C1076" t="s">
        <v>8435</v>
      </c>
      <c r="D1076" t="s">
        <v>10</v>
      </c>
      <c r="E1076" t="s">
        <v>156</v>
      </c>
      <c r="F1076" t="s">
        <v>157</v>
      </c>
      <c r="G1076" s="16">
        <v>1802.425</v>
      </c>
      <c r="H1076" t="s">
        <v>8</v>
      </c>
      <c r="I1076" s="16">
        <v>1567.326</v>
      </c>
    </row>
    <row r="1077" spans="1:9" x14ac:dyDescent="0.3">
      <c r="A1077" s="1">
        <v>46251</v>
      </c>
      <c r="B1077">
        <v>7</v>
      </c>
      <c r="C1077" t="s">
        <v>9435</v>
      </c>
      <c r="D1077" t="s">
        <v>10</v>
      </c>
      <c r="E1077" t="s">
        <v>2319</v>
      </c>
      <c r="F1077" t="s">
        <v>2320</v>
      </c>
      <c r="G1077" s="16">
        <v>448.3965</v>
      </c>
      <c r="H1077" t="s">
        <v>8</v>
      </c>
      <c r="I1077" s="16">
        <v>389.91</v>
      </c>
    </row>
    <row r="1078" spans="1:9" x14ac:dyDescent="0.3">
      <c r="A1078" s="1">
        <v>46251</v>
      </c>
      <c r="B1078">
        <v>7</v>
      </c>
      <c r="C1078" t="s">
        <v>10435</v>
      </c>
      <c r="D1078" t="s">
        <v>2460</v>
      </c>
      <c r="E1078" t="s">
        <v>7118</v>
      </c>
      <c r="F1078" t="s">
        <v>7119</v>
      </c>
      <c r="G1078" s="16">
        <v>57.5</v>
      </c>
      <c r="H1078" t="s">
        <v>8</v>
      </c>
      <c r="I1078" s="16">
        <v>50</v>
      </c>
    </row>
    <row r="1079" spans="1:9" x14ac:dyDescent="0.3">
      <c r="A1079" s="1">
        <v>46251</v>
      </c>
      <c r="B1079">
        <v>7</v>
      </c>
      <c r="C1079" t="s">
        <v>8336</v>
      </c>
      <c r="D1079" t="s">
        <v>38</v>
      </c>
      <c r="E1079" t="s">
        <v>598</v>
      </c>
      <c r="F1079" t="s">
        <v>599</v>
      </c>
      <c r="G1079" s="16">
        <v>1608.5753</v>
      </c>
      <c r="H1079" t="s">
        <v>8</v>
      </c>
      <c r="I1079" s="16">
        <v>1398.7610999999999</v>
      </c>
    </row>
    <row r="1080" spans="1:9" x14ac:dyDescent="0.3">
      <c r="A1080" s="1">
        <v>46251</v>
      </c>
      <c r="B1080">
        <v>7</v>
      </c>
      <c r="C1080" t="s">
        <v>10408</v>
      </c>
      <c r="D1080" t="s">
        <v>10</v>
      </c>
      <c r="E1080" t="s">
        <v>69</v>
      </c>
      <c r="F1080" t="s">
        <v>70</v>
      </c>
      <c r="G1080" s="16">
        <v>4338.7659999999996</v>
      </c>
      <c r="H1080" t="s">
        <v>8</v>
      </c>
      <c r="I1080" s="16">
        <v>3772.84</v>
      </c>
    </row>
    <row r="1081" spans="1:9" x14ac:dyDescent="0.3">
      <c r="A1081" s="1">
        <v>46251</v>
      </c>
      <c r="B1081">
        <v>7</v>
      </c>
      <c r="C1081" t="s">
        <v>8196</v>
      </c>
      <c r="D1081" t="s">
        <v>10</v>
      </c>
      <c r="E1081" t="s">
        <v>2319</v>
      </c>
      <c r="F1081" t="s">
        <v>2320</v>
      </c>
      <c r="G1081" s="16">
        <v>67.988</v>
      </c>
      <c r="H1081" t="s">
        <v>8</v>
      </c>
      <c r="I1081" s="16">
        <v>59.12</v>
      </c>
    </row>
    <row r="1082" spans="1:9" x14ac:dyDescent="0.3">
      <c r="A1082" s="1">
        <v>46251</v>
      </c>
      <c r="B1082">
        <v>7</v>
      </c>
      <c r="C1082" t="s">
        <v>10270</v>
      </c>
      <c r="D1082" t="s">
        <v>10</v>
      </c>
      <c r="E1082" t="s">
        <v>9689</v>
      </c>
      <c r="F1082" t="s">
        <v>9690</v>
      </c>
      <c r="G1082" s="16">
        <v>445.41800000000001</v>
      </c>
      <c r="H1082" t="s">
        <v>8</v>
      </c>
      <c r="I1082" s="16">
        <v>387.32</v>
      </c>
    </row>
    <row r="1083" spans="1:9" x14ac:dyDescent="0.3">
      <c r="A1083" s="1">
        <v>46251</v>
      </c>
      <c r="B1083">
        <v>7</v>
      </c>
      <c r="C1083" t="s">
        <v>9638</v>
      </c>
      <c r="D1083" t="s">
        <v>10</v>
      </c>
      <c r="E1083" t="s">
        <v>634</v>
      </c>
      <c r="F1083" t="s">
        <v>659</v>
      </c>
      <c r="G1083" s="16">
        <v>245.709</v>
      </c>
      <c r="H1083" t="s">
        <v>8</v>
      </c>
      <c r="I1083" s="16">
        <v>213.66</v>
      </c>
    </row>
    <row r="1084" spans="1:9" x14ac:dyDescent="0.3">
      <c r="A1084" s="1">
        <v>46251</v>
      </c>
      <c r="B1084">
        <v>7</v>
      </c>
      <c r="C1084" t="s">
        <v>10032</v>
      </c>
      <c r="D1084" t="s">
        <v>10</v>
      </c>
      <c r="E1084" t="s">
        <v>128</v>
      </c>
      <c r="F1084" t="s">
        <v>129</v>
      </c>
      <c r="G1084" s="16">
        <v>918.35550000000001</v>
      </c>
      <c r="H1084" t="s">
        <v>8</v>
      </c>
      <c r="I1084" s="16">
        <v>798.57</v>
      </c>
    </row>
    <row r="1085" spans="1:9" x14ac:dyDescent="0.3">
      <c r="A1085" s="1">
        <v>46251</v>
      </c>
      <c r="B1085">
        <v>7</v>
      </c>
      <c r="C1085" t="s">
        <v>9735</v>
      </c>
      <c r="D1085" t="s">
        <v>10</v>
      </c>
      <c r="E1085" t="s">
        <v>156</v>
      </c>
      <c r="F1085" t="s">
        <v>157</v>
      </c>
      <c r="G1085" s="16">
        <v>2786.13</v>
      </c>
      <c r="H1085" t="s">
        <v>8</v>
      </c>
      <c r="I1085" s="16">
        <v>2422.7213999999999</v>
      </c>
    </row>
    <row r="1086" spans="1:9" x14ac:dyDescent="0.3">
      <c r="A1086" s="1">
        <v>46251</v>
      </c>
      <c r="B1086">
        <v>7</v>
      </c>
      <c r="C1086" t="s">
        <v>11308</v>
      </c>
      <c r="D1086" t="s">
        <v>2463</v>
      </c>
      <c r="E1086" t="s">
        <v>43</v>
      </c>
      <c r="F1086" t="s">
        <v>44</v>
      </c>
      <c r="G1086" s="16">
        <v>3208.3964999999998</v>
      </c>
      <c r="H1086" t="s">
        <v>8</v>
      </c>
      <c r="I1086" s="16">
        <v>2789.91</v>
      </c>
    </row>
    <row r="1087" spans="1:9" x14ac:dyDescent="0.3">
      <c r="A1087" s="1">
        <v>46251</v>
      </c>
      <c r="B1087">
        <v>7</v>
      </c>
      <c r="C1087" t="s">
        <v>7325</v>
      </c>
      <c r="D1087" t="s">
        <v>10</v>
      </c>
      <c r="E1087" t="s">
        <v>156</v>
      </c>
      <c r="F1087" t="s">
        <v>157</v>
      </c>
      <c r="G1087" s="16">
        <v>721.60749999999996</v>
      </c>
      <c r="H1087" t="s">
        <v>8</v>
      </c>
      <c r="I1087" s="16">
        <v>627.48479999999995</v>
      </c>
    </row>
    <row r="1088" spans="1:9" x14ac:dyDescent="0.3">
      <c r="A1088" s="1">
        <v>46251</v>
      </c>
      <c r="B1088">
        <v>7</v>
      </c>
      <c r="C1088" t="s">
        <v>8057</v>
      </c>
      <c r="D1088" t="s">
        <v>10</v>
      </c>
      <c r="E1088" t="s">
        <v>156</v>
      </c>
      <c r="F1088" t="s">
        <v>157</v>
      </c>
      <c r="G1088" s="16">
        <v>770.51670000000001</v>
      </c>
      <c r="H1088" t="s">
        <v>8</v>
      </c>
      <c r="I1088" s="16">
        <v>670.0145</v>
      </c>
    </row>
    <row r="1089" spans="1:9" x14ac:dyDescent="0.3">
      <c r="A1089" s="1">
        <v>46251</v>
      </c>
      <c r="B1089">
        <v>7</v>
      </c>
      <c r="C1089" t="s">
        <v>11309</v>
      </c>
      <c r="D1089" t="s">
        <v>10</v>
      </c>
      <c r="E1089" t="s">
        <v>128</v>
      </c>
      <c r="F1089" t="s">
        <v>129</v>
      </c>
      <c r="G1089" s="16">
        <v>4219.8789999999999</v>
      </c>
      <c r="H1089" t="s">
        <v>8</v>
      </c>
      <c r="I1089" s="16">
        <v>3669.46</v>
      </c>
    </row>
    <row r="1090" spans="1:9" x14ac:dyDescent="0.3">
      <c r="A1090" s="1">
        <v>46251</v>
      </c>
      <c r="B1090">
        <v>7</v>
      </c>
      <c r="C1090" t="s">
        <v>4845</v>
      </c>
      <c r="D1090" t="s">
        <v>2460</v>
      </c>
      <c r="E1090" t="s">
        <v>1989</v>
      </c>
      <c r="F1090" t="s">
        <v>2477</v>
      </c>
      <c r="G1090" s="16">
        <v>150382.10999999999</v>
      </c>
      <c r="H1090" t="s">
        <v>8</v>
      </c>
      <c r="I1090" s="16">
        <v>130767.05499999999</v>
      </c>
    </row>
    <row r="1091" spans="1:9" x14ac:dyDescent="0.3">
      <c r="A1091" s="1">
        <v>46251</v>
      </c>
      <c r="B1091">
        <v>7</v>
      </c>
      <c r="C1091" t="s">
        <v>7897</v>
      </c>
      <c r="D1091" t="s">
        <v>38</v>
      </c>
      <c r="E1091" t="s">
        <v>598</v>
      </c>
      <c r="F1091" t="s">
        <v>599</v>
      </c>
      <c r="G1091" s="16">
        <v>2715.9277000000002</v>
      </c>
      <c r="H1091" t="s">
        <v>8</v>
      </c>
      <c r="I1091" s="16">
        <v>2361.6763000000001</v>
      </c>
    </row>
    <row r="1092" spans="1:9" x14ac:dyDescent="0.3">
      <c r="A1092" s="1">
        <v>46251</v>
      </c>
      <c r="B1092">
        <v>7</v>
      </c>
      <c r="C1092" t="s">
        <v>8251</v>
      </c>
      <c r="D1092" t="s">
        <v>10</v>
      </c>
      <c r="E1092" t="s">
        <v>128</v>
      </c>
      <c r="F1092" t="s">
        <v>129</v>
      </c>
      <c r="G1092" s="16">
        <v>482.0455</v>
      </c>
      <c r="H1092" t="s">
        <v>8</v>
      </c>
      <c r="I1092" s="16">
        <v>419.17</v>
      </c>
    </row>
    <row r="1093" spans="1:9" x14ac:dyDescent="0.3">
      <c r="A1093" s="1">
        <v>46251</v>
      </c>
      <c r="B1093">
        <v>7</v>
      </c>
      <c r="C1093" t="s">
        <v>10437</v>
      </c>
      <c r="D1093" t="s">
        <v>2460</v>
      </c>
      <c r="E1093" t="s">
        <v>2612</v>
      </c>
      <c r="F1093" t="s">
        <v>2613</v>
      </c>
      <c r="G1093" s="16">
        <v>10918.1</v>
      </c>
      <c r="H1093" t="s">
        <v>8</v>
      </c>
      <c r="I1093" s="16">
        <v>9493.9989999999998</v>
      </c>
    </row>
    <row r="1094" spans="1:9" x14ac:dyDescent="0.3">
      <c r="A1094" s="1">
        <v>46251</v>
      </c>
      <c r="B1094">
        <v>7</v>
      </c>
      <c r="C1094" t="s">
        <v>11310</v>
      </c>
      <c r="D1094" t="s">
        <v>2460</v>
      </c>
      <c r="E1094" t="s">
        <v>34</v>
      </c>
      <c r="F1094" t="s">
        <v>35</v>
      </c>
      <c r="G1094" s="16">
        <v>670.49599999999998</v>
      </c>
      <c r="H1094" t="s">
        <v>8</v>
      </c>
      <c r="I1094" s="16">
        <v>583.04</v>
      </c>
    </row>
    <row r="1095" spans="1:9" x14ac:dyDescent="0.3">
      <c r="A1095" s="1">
        <v>46251</v>
      </c>
      <c r="B1095">
        <v>7</v>
      </c>
      <c r="C1095" t="s">
        <v>7434</v>
      </c>
      <c r="D1095" t="s">
        <v>38</v>
      </c>
      <c r="E1095" t="s">
        <v>598</v>
      </c>
      <c r="F1095" t="s">
        <v>599</v>
      </c>
      <c r="G1095" s="16">
        <v>3996.2685999999999</v>
      </c>
      <c r="H1095" t="s">
        <v>8</v>
      </c>
      <c r="I1095" s="16">
        <v>3475.0160000000001</v>
      </c>
    </row>
    <row r="1096" spans="1:9" x14ac:dyDescent="0.3">
      <c r="A1096" s="1">
        <v>46251</v>
      </c>
      <c r="B1096">
        <v>7</v>
      </c>
      <c r="C1096" t="s">
        <v>9803</v>
      </c>
      <c r="D1096" t="s">
        <v>10</v>
      </c>
      <c r="E1096" t="s">
        <v>95</v>
      </c>
      <c r="F1096" t="s">
        <v>96</v>
      </c>
      <c r="G1096" s="16">
        <v>1082.8921</v>
      </c>
      <c r="H1096" t="s">
        <v>8</v>
      </c>
      <c r="I1096" s="16">
        <v>941.64526000000001</v>
      </c>
    </row>
    <row r="1097" spans="1:9" x14ac:dyDescent="0.3">
      <c r="A1097" s="1">
        <v>46251</v>
      </c>
      <c r="B1097">
        <v>7</v>
      </c>
      <c r="C1097" t="s">
        <v>10007</v>
      </c>
      <c r="D1097" t="s">
        <v>10</v>
      </c>
      <c r="E1097" t="s">
        <v>931</v>
      </c>
      <c r="F1097" t="s">
        <v>1767</v>
      </c>
      <c r="G1097" s="16">
        <v>2184.1835999999998</v>
      </c>
      <c r="H1097" t="s">
        <v>8</v>
      </c>
      <c r="I1097" s="16">
        <v>1899.29</v>
      </c>
    </row>
    <row r="1098" spans="1:9" x14ac:dyDescent="0.3">
      <c r="A1098" s="1">
        <v>46251</v>
      </c>
      <c r="B1098">
        <v>7</v>
      </c>
      <c r="C1098" t="s">
        <v>10393</v>
      </c>
      <c r="D1098" t="s">
        <v>38</v>
      </c>
      <c r="E1098" t="s">
        <v>329</v>
      </c>
      <c r="F1098" t="s">
        <v>320</v>
      </c>
      <c r="G1098" s="16">
        <v>169.05</v>
      </c>
      <c r="H1098" t="s">
        <v>8</v>
      </c>
      <c r="I1098" s="16">
        <v>147</v>
      </c>
    </row>
    <row r="1099" spans="1:9" x14ac:dyDescent="0.3">
      <c r="A1099" s="1">
        <v>46251</v>
      </c>
      <c r="B1099">
        <v>7</v>
      </c>
      <c r="C1099" t="s">
        <v>10440</v>
      </c>
      <c r="D1099" t="s">
        <v>2460</v>
      </c>
      <c r="E1099" t="s">
        <v>173</v>
      </c>
      <c r="F1099" t="s">
        <v>174</v>
      </c>
      <c r="G1099" s="16">
        <v>1804.856</v>
      </c>
      <c r="H1099" t="s">
        <v>8</v>
      </c>
      <c r="I1099" s="16">
        <v>1569.44</v>
      </c>
    </row>
    <row r="1100" spans="1:9" x14ac:dyDescent="0.3">
      <c r="A1100" s="1">
        <v>46251</v>
      </c>
      <c r="B1100">
        <v>7</v>
      </c>
      <c r="C1100" t="s">
        <v>9724</v>
      </c>
      <c r="D1100" t="s">
        <v>38</v>
      </c>
      <c r="E1100" t="s">
        <v>562</v>
      </c>
      <c r="F1100" t="s">
        <v>563</v>
      </c>
      <c r="G1100" s="16">
        <v>7562.7494999999999</v>
      </c>
      <c r="H1100" t="s">
        <v>8</v>
      </c>
      <c r="I1100" s="16">
        <v>6576.3037000000004</v>
      </c>
    </row>
    <row r="1101" spans="1:9" x14ac:dyDescent="0.3">
      <c r="A1101" s="1">
        <v>46251</v>
      </c>
      <c r="B1101">
        <v>7</v>
      </c>
      <c r="C1101" t="s">
        <v>10442</v>
      </c>
      <c r="D1101" t="s">
        <v>2460</v>
      </c>
      <c r="E1101" t="s">
        <v>2319</v>
      </c>
      <c r="F1101" t="s">
        <v>2320</v>
      </c>
      <c r="G1101" s="16">
        <v>28.048500000000001</v>
      </c>
      <c r="H1101" t="s">
        <v>8</v>
      </c>
      <c r="I1101" s="16">
        <v>24.39</v>
      </c>
    </row>
    <row r="1102" spans="1:9" x14ac:dyDescent="0.3">
      <c r="A1102" s="1">
        <v>46251</v>
      </c>
      <c r="B1102">
        <v>7</v>
      </c>
      <c r="C1102" t="s">
        <v>10433</v>
      </c>
      <c r="D1102" t="s">
        <v>2460</v>
      </c>
      <c r="E1102" t="s">
        <v>9050</v>
      </c>
      <c r="F1102" t="s">
        <v>9258</v>
      </c>
      <c r="G1102" s="16">
        <v>134737.38</v>
      </c>
      <c r="H1102" t="s">
        <v>8</v>
      </c>
      <c r="I1102" s="16">
        <v>117162.94</v>
      </c>
    </row>
    <row r="1103" spans="1:9" x14ac:dyDescent="0.3">
      <c r="A1103" s="1">
        <v>46251</v>
      </c>
      <c r="B1103">
        <v>7</v>
      </c>
      <c r="C1103" t="s">
        <v>8813</v>
      </c>
      <c r="D1103" t="s">
        <v>10</v>
      </c>
      <c r="E1103" t="s">
        <v>156</v>
      </c>
      <c r="F1103" t="s">
        <v>157</v>
      </c>
      <c r="G1103" s="16">
        <v>1652.8928000000001</v>
      </c>
      <c r="H1103" t="s">
        <v>8</v>
      </c>
      <c r="I1103" s="16">
        <v>1437.2981</v>
      </c>
    </row>
    <row r="1104" spans="1:9" x14ac:dyDescent="0.3">
      <c r="A1104" s="1">
        <v>46251</v>
      </c>
      <c r="B1104">
        <v>7</v>
      </c>
      <c r="C1104" t="s">
        <v>6126</v>
      </c>
      <c r="D1104" t="s">
        <v>10</v>
      </c>
      <c r="E1104" t="s">
        <v>128</v>
      </c>
      <c r="F1104" t="s">
        <v>129</v>
      </c>
      <c r="G1104" s="16">
        <v>689.24676999999997</v>
      </c>
      <c r="H1104" t="s">
        <v>8</v>
      </c>
      <c r="I1104" s="16">
        <v>599.34500000000003</v>
      </c>
    </row>
    <row r="1105" spans="1:9" x14ac:dyDescent="0.3">
      <c r="A1105" s="1">
        <v>46251</v>
      </c>
      <c r="B1105">
        <v>7</v>
      </c>
      <c r="C1105" t="s">
        <v>9410</v>
      </c>
      <c r="D1105" t="s">
        <v>10</v>
      </c>
      <c r="E1105" t="s">
        <v>95</v>
      </c>
      <c r="F1105" t="s">
        <v>96</v>
      </c>
      <c r="G1105" s="16">
        <v>2176.5056</v>
      </c>
      <c r="H1105" t="s">
        <v>8</v>
      </c>
      <c r="I1105" s="16">
        <v>1892.6134999999999</v>
      </c>
    </row>
    <row r="1106" spans="1:9" x14ac:dyDescent="0.3">
      <c r="A1106" s="1">
        <v>46251</v>
      </c>
      <c r="B1106">
        <v>7</v>
      </c>
      <c r="C1106" t="s">
        <v>7748</v>
      </c>
      <c r="D1106" t="s">
        <v>10</v>
      </c>
      <c r="E1106" t="s">
        <v>156</v>
      </c>
      <c r="F1106" t="s">
        <v>157</v>
      </c>
      <c r="G1106" s="16">
        <v>1596.7166999999999</v>
      </c>
      <c r="H1106" t="s">
        <v>8</v>
      </c>
      <c r="I1106" s="16">
        <v>1388.4492</v>
      </c>
    </row>
    <row r="1107" spans="1:9" x14ac:dyDescent="0.3">
      <c r="A1107" s="1">
        <v>46251</v>
      </c>
      <c r="B1107">
        <v>7</v>
      </c>
      <c r="C1107" t="s">
        <v>10360</v>
      </c>
      <c r="D1107" t="s">
        <v>38</v>
      </c>
      <c r="E1107" t="s">
        <v>444</v>
      </c>
      <c r="F1107" t="s">
        <v>445</v>
      </c>
      <c r="G1107" s="16">
        <v>51.06</v>
      </c>
      <c r="H1107" t="s">
        <v>8</v>
      </c>
      <c r="I1107" s="16">
        <v>44.4</v>
      </c>
    </row>
    <row r="1108" spans="1:9" x14ac:dyDescent="0.3">
      <c r="A1108" s="1">
        <v>46251</v>
      </c>
      <c r="B1108">
        <v>7</v>
      </c>
      <c r="C1108" t="s">
        <v>11311</v>
      </c>
      <c r="D1108" t="s">
        <v>2460</v>
      </c>
      <c r="E1108" t="s">
        <v>95</v>
      </c>
      <c r="F1108" t="s">
        <v>96</v>
      </c>
      <c r="G1108" s="16">
        <v>241.5</v>
      </c>
      <c r="H1108" t="s">
        <v>8</v>
      </c>
      <c r="I1108" s="16">
        <v>210</v>
      </c>
    </row>
    <row r="1109" spans="1:9" x14ac:dyDescent="0.3">
      <c r="A1109" s="1">
        <v>46251</v>
      </c>
      <c r="B1109">
        <v>7</v>
      </c>
      <c r="C1109" t="s">
        <v>10035</v>
      </c>
      <c r="D1109" t="s">
        <v>10</v>
      </c>
      <c r="E1109" t="s">
        <v>598</v>
      </c>
      <c r="F1109" t="s">
        <v>9088</v>
      </c>
      <c r="G1109" s="16">
        <v>527.10709999999995</v>
      </c>
      <c r="H1109" t="s">
        <v>8</v>
      </c>
      <c r="I1109" s="16">
        <v>458.35399999999998</v>
      </c>
    </row>
    <row r="1110" spans="1:9" x14ac:dyDescent="0.3">
      <c r="A1110" s="1">
        <v>46251</v>
      </c>
      <c r="B1110">
        <v>7</v>
      </c>
      <c r="C1110" t="s">
        <v>10305</v>
      </c>
      <c r="D1110" t="s">
        <v>10</v>
      </c>
      <c r="E1110" t="s">
        <v>39</v>
      </c>
      <c r="F1110" t="s">
        <v>40</v>
      </c>
      <c r="G1110" s="16">
        <v>3365.2487999999998</v>
      </c>
      <c r="H1110" t="s">
        <v>8</v>
      </c>
      <c r="I1110" s="16">
        <v>2926.3031999999998</v>
      </c>
    </row>
    <row r="1111" spans="1:9" x14ac:dyDescent="0.3">
      <c r="A1111" s="1">
        <v>46251</v>
      </c>
      <c r="B1111">
        <v>7</v>
      </c>
      <c r="C1111" t="s">
        <v>7786</v>
      </c>
      <c r="D1111" t="s">
        <v>10</v>
      </c>
      <c r="E1111" t="s">
        <v>598</v>
      </c>
      <c r="F1111" t="s">
        <v>599</v>
      </c>
      <c r="G1111" s="16">
        <v>1376.2141999999999</v>
      </c>
      <c r="H1111" t="s">
        <v>8</v>
      </c>
      <c r="I1111" s="16">
        <v>1196.7080000000001</v>
      </c>
    </row>
    <row r="1112" spans="1:9" x14ac:dyDescent="0.3">
      <c r="A1112" s="1">
        <v>46251</v>
      </c>
      <c r="B1112">
        <v>7</v>
      </c>
      <c r="C1112" t="s">
        <v>10023</v>
      </c>
      <c r="D1112" t="s">
        <v>38</v>
      </c>
      <c r="E1112" t="s">
        <v>9053</v>
      </c>
      <c r="F1112" t="s">
        <v>9054</v>
      </c>
      <c r="G1112" s="16">
        <v>77.071020000000004</v>
      </c>
      <c r="H1112" t="s">
        <v>8</v>
      </c>
      <c r="I1112" s="16">
        <v>67.018270000000001</v>
      </c>
    </row>
    <row r="1113" spans="1:9" x14ac:dyDescent="0.3">
      <c r="A1113" s="1">
        <v>46251</v>
      </c>
      <c r="B1113">
        <v>7</v>
      </c>
      <c r="C1113" t="s">
        <v>10012</v>
      </c>
      <c r="D1113" t="s">
        <v>10</v>
      </c>
      <c r="E1113" t="s">
        <v>2319</v>
      </c>
      <c r="F1113" t="s">
        <v>2320</v>
      </c>
      <c r="G1113" s="16">
        <v>263.68349999999998</v>
      </c>
      <c r="H1113" t="s">
        <v>8</v>
      </c>
      <c r="I1113" s="16">
        <v>229.29</v>
      </c>
    </row>
    <row r="1114" spans="1:9" x14ac:dyDescent="0.3">
      <c r="A1114" s="1">
        <v>46251</v>
      </c>
      <c r="B1114">
        <v>7</v>
      </c>
      <c r="C1114" t="s">
        <v>10402</v>
      </c>
      <c r="D1114" t="s">
        <v>10</v>
      </c>
      <c r="E1114" t="s">
        <v>173</v>
      </c>
      <c r="F1114" t="s">
        <v>174</v>
      </c>
      <c r="G1114" s="16">
        <v>3325.777</v>
      </c>
      <c r="H1114" t="s">
        <v>8</v>
      </c>
      <c r="I1114" s="16">
        <v>2891.98</v>
      </c>
    </row>
    <row r="1115" spans="1:9" x14ac:dyDescent="0.3">
      <c r="A1115" s="1">
        <v>46251</v>
      </c>
      <c r="B1115">
        <v>7</v>
      </c>
      <c r="C1115" t="s">
        <v>8995</v>
      </c>
      <c r="D1115" t="s">
        <v>10</v>
      </c>
      <c r="E1115" t="s">
        <v>156</v>
      </c>
      <c r="F1115" t="s">
        <v>157</v>
      </c>
      <c r="G1115" s="16">
        <v>137.69999999999999</v>
      </c>
      <c r="H1115" t="s">
        <v>8</v>
      </c>
      <c r="I1115" s="16">
        <v>119.73912</v>
      </c>
    </row>
    <row r="1116" spans="1:9" x14ac:dyDescent="0.3">
      <c r="A1116" s="1">
        <v>46251</v>
      </c>
      <c r="B1116">
        <v>7</v>
      </c>
      <c r="C1116" t="s">
        <v>10432</v>
      </c>
      <c r="D1116" t="s">
        <v>2460</v>
      </c>
      <c r="E1116" t="s">
        <v>73</v>
      </c>
      <c r="F1116" t="s">
        <v>74</v>
      </c>
      <c r="G1116" s="16">
        <v>2135.5500000000002</v>
      </c>
      <c r="H1116" t="s">
        <v>8</v>
      </c>
      <c r="I1116" s="16">
        <v>1857</v>
      </c>
    </row>
    <row r="1117" spans="1:9" x14ac:dyDescent="0.3">
      <c r="A1117" s="1">
        <v>46251</v>
      </c>
      <c r="B1117">
        <v>7</v>
      </c>
      <c r="C1117" t="s">
        <v>9617</v>
      </c>
      <c r="D1117" t="s">
        <v>10</v>
      </c>
      <c r="E1117" t="s">
        <v>9596</v>
      </c>
      <c r="F1117" t="s">
        <v>9616</v>
      </c>
      <c r="G1117" s="16">
        <v>57.5</v>
      </c>
      <c r="H1117" t="s">
        <v>8</v>
      </c>
      <c r="I1117" s="16">
        <v>50</v>
      </c>
    </row>
    <row r="1118" spans="1:9" x14ac:dyDescent="0.3">
      <c r="A1118" s="1">
        <v>46251</v>
      </c>
      <c r="B1118">
        <v>7</v>
      </c>
      <c r="C1118" t="s">
        <v>9531</v>
      </c>
      <c r="D1118" t="s">
        <v>10</v>
      </c>
      <c r="E1118" t="s">
        <v>634</v>
      </c>
      <c r="F1118" t="s">
        <v>659</v>
      </c>
      <c r="G1118" s="16">
        <v>34.281500000000001</v>
      </c>
      <c r="H1118" t="s">
        <v>8</v>
      </c>
      <c r="I1118" s="16">
        <v>29.81</v>
      </c>
    </row>
    <row r="1119" spans="1:9" x14ac:dyDescent="0.3">
      <c r="A1119" s="1">
        <v>46251</v>
      </c>
      <c r="B1119">
        <v>7</v>
      </c>
      <c r="C1119" t="s">
        <v>11312</v>
      </c>
      <c r="D1119" t="s">
        <v>10</v>
      </c>
      <c r="E1119" t="s">
        <v>5484</v>
      </c>
      <c r="F1119" t="s">
        <v>5485</v>
      </c>
      <c r="G1119" s="16">
        <v>5478.6</v>
      </c>
      <c r="H1119" t="s">
        <v>8</v>
      </c>
      <c r="I1119" s="16">
        <v>4764</v>
      </c>
    </row>
    <row r="1120" spans="1:9" x14ac:dyDescent="0.3">
      <c r="A1120" s="1">
        <v>46251</v>
      </c>
      <c r="B1120">
        <v>7</v>
      </c>
      <c r="C1120" t="s">
        <v>10333</v>
      </c>
      <c r="D1120" t="s">
        <v>10</v>
      </c>
      <c r="E1120" t="s">
        <v>173</v>
      </c>
      <c r="F1120" t="s">
        <v>174</v>
      </c>
      <c r="G1120" s="16">
        <v>1691.5809999999999</v>
      </c>
      <c r="H1120" t="s">
        <v>8</v>
      </c>
      <c r="I1120" s="16">
        <v>1470.94</v>
      </c>
    </row>
    <row r="1121" spans="1:9" x14ac:dyDescent="0.3">
      <c r="A1121" s="1">
        <v>46251</v>
      </c>
      <c r="B1121">
        <v>7</v>
      </c>
      <c r="C1121" t="s">
        <v>10441</v>
      </c>
      <c r="D1121" t="s">
        <v>2460</v>
      </c>
      <c r="E1121" t="s">
        <v>9483</v>
      </c>
      <c r="F1121" t="s">
        <v>9484</v>
      </c>
      <c r="G1121" s="16">
        <v>7216.5513000000001</v>
      </c>
      <c r="H1121" t="s">
        <v>8</v>
      </c>
      <c r="I1121" s="16">
        <v>6275.2617</v>
      </c>
    </row>
    <row r="1122" spans="1:9" x14ac:dyDescent="0.3">
      <c r="A1122" s="1">
        <v>46251</v>
      </c>
      <c r="B1122">
        <v>7</v>
      </c>
      <c r="C1122" t="s">
        <v>10443</v>
      </c>
      <c r="D1122" t="s">
        <v>2463</v>
      </c>
      <c r="E1122" t="s">
        <v>9053</v>
      </c>
      <c r="F1122" t="s">
        <v>9054</v>
      </c>
      <c r="G1122" s="16">
        <v>141.28896</v>
      </c>
      <c r="H1122" t="s">
        <v>8</v>
      </c>
      <c r="I1122" s="16">
        <v>122.85996</v>
      </c>
    </row>
    <row r="1123" spans="1:9" x14ac:dyDescent="0.3">
      <c r="A1123" s="1">
        <v>46251</v>
      </c>
      <c r="B1123">
        <v>7</v>
      </c>
      <c r="C1123" t="s">
        <v>10202</v>
      </c>
      <c r="D1123" t="s">
        <v>10</v>
      </c>
      <c r="E1123" t="s">
        <v>9689</v>
      </c>
      <c r="F1123" t="s">
        <v>9690</v>
      </c>
      <c r="G1123" s="16">
        <v>1377.7</v>
      </c>
      <c r="H1123" t="s">
        <v>8</v>
      </c>
      <c r="I1123" s="16">
        <v>1198</v>
      </c>
    </row>
    <row r="1124" spans="1:9" x14ac:dyDescent="0.3">
      <c r="A1124" s="1">
        <v>46251</v>
      </c>
      <c r="B1124">
        <v>7</v>
      </c>
      <c r="C1124" t="s">
        <v>7332</v>
      </c>
      <c r="D1124" t="s">
        <v>10</v>
      </c>
      <c r="E1124" t="s">
        <v>128</v>
      </c>
      <c r="F1124" t="s">
        <v>129</v>
      </c>
      <c r="G1124" s="16">
        <v>200.43924999999999</v>
      </c>
      <c r="H1124" t="s">
        <v>8</v>
      </c>
      <c r="I1124" s="16">
        <v>174.29499999999999</v>
      </c>
    </row>
    <row r="1125" spans="1:9" x14ac:dyDescent="0.3">
      <c r="A1125" s="1">
        <v>46251</v>
      </c>
      <c r="B1125">
        <v>7</v>
      </c>
      <c r="C1125" t="s">
        <v>5781</v>
      </c>
      <c r="D1125" t="s">
        <v>10</v>
      </c>
      <c r="E1125" t="s">
        <v>128</v>
      </c>
      <c r="F1125" t="s">
        <v>129</v>
      </c>
      <c r="G1125" s="16">
        <v>829.56399999999996</v>
      </c>
      <c r="H1125" t="s">
        <v>8</v>
      </c>
      <c r="I1125" s="16">
        <v>721.36</v>
      </c>
    </row>
    <row r="1126" spans="1:9" x14ac:dyDescent="0.3">
      <c r="A1126" s="1">
        <v>46251</v>
      </c>
      <c r="B1126">
        <v>7</v>
      </c>
      <c r="C1126" t="s">
        <v>8944</v>
      </c>
      <c r="D1126" t="s">
        <v>10</v>
      </c>
      <c r="E1126" t="s">
        <v>128</v>
      </c>
      <c r="F1126" t="s">
        <v>129</v>
      </c>
      <c r="G1126" s="16">
        <v>964.91899999999998</v>
      </c>
      <c r="H1126" t="s">
        <v>8</v>
      </c>
      <c r="I1126" s="16">
        <v>839.06</v>
      </c>
    </row>
    <row r="1127" spans="1:9" x14ac:dyDescent="0.3">
      <c r="A1127" s="1">
        <v>46251</v>
      </c>
      <c r="B1127">
        <v>7</v>
      </c>
      <c r="C1127" t="s">
        <v>10439</v>
      </c>
      <c r="D1127" t="s">
        <v>2463</v>
      </c>
      <c r="E1127" t="s">
        <v>9483</v>
      </c>
      <c r="F1127" t="s">
        <v>9484</v>
      </c>
      <c r="G1127" s="16">
        <v>1042.8777</v>
      </c>
      <c r="H1127" t="s">
        <v>8</v>
      </c>
      <c r="I1127" s="16">
        <v>906.8501</v>
      </c>
    </row>
    <row r="1128" spans="1:9" x14ac:dyDescent="0.3">
      <c r="A1128" s="1">
        <v>46251</v>
      </c>
      <c r="B1128">
        <v>7</v>
      </c>
      <c r="C1128" t="s">
        <v>10352</v>
      </c>
      <c r="D1128" t="s">
        <v>38</v>
      </c>
      <c r="E1128" t="s">
        <v>60</v>
      </c>
      <c r="F1128" t="s">
        <v>61</v>
      </c>
      <c r="G1128" s="16">
        <v>420.30200000000002</v>
      </c>
      <c r="H1128" t="s">
        <v>8</v>
      </c>
      <c r="I1128" s="16">
        <v>365.48</v>
      </c>
    </row>
    <row r="1129" spans="1:9" x14ac:dyDescent="0.3">
      <c r="A1129" s="1">
        <v>46251</v>
      </c>
      <c r="B1129">
        <v>7</v>
      </c>
      <c r="C1129" t="s">
        <v>10343</v>
      </c>
      <c r="D1129" t="s">
        <v>38</v>
      </c>
      <c r="E1129" t="s">
        <v>154</v>
      </c>
      <c r="F1129" t="s">
        <v>155</v>
      </c>
      <c r="G1129" s="16">
        <v>625.04989999999998</v>
      </c>
      <c r="H1129" t="s">
        <v>8</v>
      </c>
      <c r="I1129" s="16">
        <v>543.52166999999997</v>
      </c>
    </row>
    <row r="1130" spans="1:9" x14ac:dyDescent="0.3">
      <c r="A1130" s="1">
        <v>46251</v>
      </c>
      <c r="B1130">
        <v>7</v>
      </c>
      <c r="C1130" t="s">
        <v>10369</v>
      </c>
      <c r="D1130" t="s">
        <v>10</v>
      </c>
      <c r="E1130" t="s">
        <v>6178</v>
      </c>
      <c r="F1130" t="s">
        <v>6261</v>
      </c>
      <c r="G1130" s="16">
        <v>27.024999999999999</v>
      </c>
      <c r="H1130" t="s">
        <v>8</v>
      </c>
      <c r="I1130" s="16">
        <v>23.5</v>
      </c>
    </row>
    <row r="1131" spans="1:9" x14ac:dyDescent="0.3">
      <c r="A1131" s="1">
        <v>46251</v>
      </c>
      <c r="B1131">
        <v>7</v>
      </c>
      <c r="C1131" t="s">
        <v>10383</v>
      </c>
      <c r="D1131" t="s">
        <v>10</v>
      </c>
      <c r="E1131" t="s">
        <v>562</v>
      </c>
      <c r="F1131" t="s">
        <v>563</v>
      </c>
      <c r="G1131" s="16">
        <v>3572.9870000000001</v>
      </c>
      <c r="H1131" t="s">
        <v>8</v>
      </c>
      <c r="I1131" s="16">
        <v>3106.9450000000002</v>
      </c>
    </row>
    <row r="1132" spans="1:9" x14ac:dyDescent="0.3">
      <c r="A1132" s="1">
        <v>46251</v>
      </c>
      <c r="B1132">
        <v>7</v>
      </c>
      <c r="C1132" t="s">
        <v>6951</v>
      </c>
      <c r="D1132" t="s">
        <v>38</v>
      </c>
      <c r="E1132" t="s">
        <v>598</v>
      </c>
      <c r="F1132" t="s">
        <v>599</v>
      </c>
      <c r="G1132" s="16">
        <v>1706.5954999999999</v>
      </c>
      <c r="H1132" t="s">
        <v>8</v>
      </c>
      <c r="I1132" s="16">
        <v>1483.9960000000001</v>
      </c>
    </row>
    <row r="1133" spans="1:9" x14ac:dyDescent="0.3">
      <c r="A1133" s="1">
        <v>46251</v>
      </c>
      <c r="B1133">
        <v>7</v>
      </c>
      <c r="C1133" t="s">
        <v>10364</v>
      </c>
      <c r="D1133" t="s">
        <v>38</v>
      </c>
      <c r="E1133" t="s">
        <v>448</v>
      </c>
      <c r="F1133" t="s">
        <v>449</v>
      </c>
      <c r="G1133" s="16">
        <v>46</v>
      </c>
      <c r="H1133" t="s">
        <v>8</v>
      </c>
      <c r="I1133" s="16">
        <v>40</v>
      </c>
    </row>
    <row r="1134" spans="1:9" x14ac:dyDescent="0.3">
      <c r="A1134" s="1">
        <v>46251</v>
      </c>
      <c r="B1134">
        <v>7</v>
      </c>
      <c r="C1134" t="s">
        <v>9688</v>
      </c>
      <c r="D1134" t="s">
        <v>10</v>
      </c>
      <c r="E1134" t="s">
        <v>9689</v>
      </c>
      <c r="F1134" t="s">
        <v>9690</v>
      </c>
      <c r="G1134" s="16">
        <v>27150.684000000001</v>
      </c>
      <c r="H1134" t="s">
        <v>8</v>
      </c>
      <c r="I1134" s="16">
        <v>23609.29</v>
      </c>
    </row>
    <row r="1135" spans="1:9" x14ac:dyDescent="0.3">
      <c r="A1135" s="1">
        <v>46251</v>
      </c>
      <c r="B1135">
        <v>7</v>
      </c>
      <c r="C1135" t="s">
        <v>10415</v>
      </c>
      <c r="D1135" t="s">
        <v>10</v>
      </c>
      <c r="E1135" t="s">
        <v>3773</v>
      </c>
      <c r="F1135" t="s">
        <v>3774</v>
      </c>
      <c r="G1135" s="16">
        <v>11538.744000000001</v>
      </c>
      <c r="H1135" t="s">
        <v>8</v>
      </c>
      <c r="I1135" s="16">
        <v>10033.69</v>
      </c>
    </row>
    <row r="1136" spans="1:9" x14ac:dyDescent="0.3">
      <c r="A1136" s="1">
        <v>46251</v>
      </c>
      <c r="B1136">
        <v>7</v>
      </c>
      <c r="C1136" t="s">
        <v>10444</v>
      </c>
      <c r="D1136" t="s">
        <v>2460</v>
      </c>
      <c r="E1136" t="s">
        <v>9483</v>
      </c>
      <c r="F1136" t="s">
        <v>9484</v>
      </c>
      <c r="G1136" s="16">
        <v>943.0009</v>
      </c>
      <c r="H1136" t="s">
        <v>8</v>
      </c>
      <c r="I1136" s="16">
        <v>820.00080000000003</v>
      </c>
    </row>
    <row r="1137" spans="1:9" x14ac:dyDescent="0.3">
      <c r="A1137" s="1">
        <v>46251</v>
      </c>
      <c r="B1137">
        <v>7</v>
      </c>
      <c r="C1137" t="s">
        <v>10370</v>
      </c>
      <c r="D1137" t="s">
        <v>38</v>
      </c>
      <c r="E1137" t="s">
        <v>88</v>
      </c>
      <c r="F1137" t="s">
        <v>89</v>
      </c>
      <c r="G1137" s="16">
        <v>435.5625</v>
      </c>
      <c r="H1137" t="s">
        <v>8</v>
      </c>
      <c r="I1137" s="16">
        <v>378.75</v>
      </c>
    </row>
    <row r="1138" spans="1:9" x14ac:dyDescent="0.3">
      <c r="A1138" s="1">
        <v>46252</v>
      </c>
      <c r="B1138">
        <v>6</v>
      </c>
      <c r="C1138" t="s">
        <v>10529</v>
      </c>
      <c r="D1138" t="s">
        <v>10</v>
      </c>
      <c r="E1138" t="s">
        <v>7245</v>
      </c>
      <c r="F1138" t="s">
        <v>7246</v>
      </c>
      <c r="G1138" s="16">
        <v>2236.1979999999999</v>
      </c>
      <c r="H1138" t="s">
        <v>8</v>
      </c>
      <c r="I1138" s="16">
        <v>1944.52</v>
      </c>
    </row>
    <row r="1139" spans="1:9" x14ac:dyDescent="0.3">
      <c r="A1139" s="1">
        <v>46252</v>
      </c>
      <c r="B1139">
        <v>6</v>
      </c>
      <c r="C1139" t="s">
        <v>10554</v>
      </c>
      <c r="D1139" t="s">
        <v>10</v>
      </c>
      <c r="E1139" t="s">
        <v>57</v>
      </c>
      <c r="F1139" t="s">
        <v>58</v>
      </c>
      <c r="G1139" s="16">
        <v>1172.425</v>
      </c>
      <c r="H1139" t="s">
        <v>8</v>
      </c>
      <c r="I1139" s="16">
        <v>1019.5</v>
      </c>
    </row>
    <row r="1140" spans="1:9" x14ac:dyDescent="0.3">
      <c r="A1140" s="1">
        <v>46252</v>
      </c>
      <c r="B1140">
        <v>6</v>
      </c>
      <c r="C1140" t="s">
        <v>10543</v>
      </c>
      <c r="D1140" t="s">
        <v>10</v>
      </c>
      <c r="E1140" t="s">
        <v>154</v>
      </c>
      <c r="F1140" t="s">
        <v>155</v>
      </c>
      <c r="G1140" s="16">
        <v>3349.2507000000001</v>
      </c>
      <c r="H1140" t="s">
        <v>8</v>
      </c>
      <c r="I1140" s="16">
        <v>2912.3917999999999</v>
      </c>
    </row>
    <row r="1141" spans="1:9" x14ac:dyDescent="0.3">
      <c r="A1141" s="1">
        <v>46252</v>
      </c>
      <c r="B1141">
        <v>6</v>
      </c>
      <c r="C1141" t="s">
        <v>11313</v>
      </c>
      <c r="D1141" t="s">
        <v>10</v>
      </c>
      <c r="E1141" t="s">
        <v>1424</v>
      </c>
      <c r="F1141" t="s">
        <v>1425</v>
      </c>
      <c r="G1141" s="16">
        <v>289.8</v>
      </c>
      <c r="H1141" t="s">
        <v>8</v>
      </c>
      <c r="I1141" s="16">
        <v>252</v>
      </c>
    </row>
    <row r="1142" spans="1:9" x14ac:dyDescent="0.3">
      <c r="A1142" s="1">
        <v>46252</v>
      </c>
      <c r="B1142">
        <v>6</v>
      </c>
      <c r="C1142" t="s">
        <v>10524</v>
      </c>
      <c r="D1142" t="s">
        <v>10</v>
      </c>
      <c r="E1142" t="s">
        <v>109</v>
      </c>
      <c r="F1142" t="s">
        <v>110</v>
      </c>
      <c r="G1142" s="16">
        <v>47.978000000000002</v>
      </c>
      <c r="H1142" t="s">
        <v>8</v>
      </c>
      <c r="I1142" s="16">
        <v>41.72</v>
      </c>
    </row>
    <row r="1143" spans="1:9" x14ac:dyDescent="0.3">
      <c r="A1143" s="1">
        <v>46252</v>
      </c>
      <c r="B1143">
        <v>6</v>
      </c>
      <c r="C1143" t="s">
        <v>10485</v>
      </c>
      <c r="D1143" t="s">
        <v>38</v>
      </c>
      <c r="E1143" t="s">
        <v>43</v>
      </c>
      <c r="F1143" t="s">
        <v>44</v>
      </c>
      <c r="G1143" s="16">
        <v>2416.2649999999999</v>
      </c>
      <c r="H1143" t="s">
        <v>8</v>
      </c>
      <c r="I1143" s="16">
        <v>2101.1</v>
      </c>
    </row>
    <row r="1144" spans="1:9" x14ac:dyDescent="0.3">
      <c r="A1144" s="1">
        <v>46252</v>
      </c>
      <c r="B1144">
        <v>6</v>
      </c>
      <c r="C1144" t="s">
        <v>10534</v>
      </c>
      <c r="D1144" t="s">
        <v>10</v>
      </c>
      <c r="E1144" t="s">
        <v>358</v>
      </c>
      <c r="F1144" t="s">
        <v>359</v>
      </c>
      <c r="G1144" s="16">
        <v>11.845000000000001</v>
      </c>
      <c r="H1144" t="s">
        <v>8</v>
      </c>
      <c r="I1144" s="16">
        <v>10.3</v>
      </c>
    </row>
    <row r="1145" spans="1:9" x14ac:dyDescent="0.3">
      <c r="A1145" s="1">
        <v>46252</v>
      </c>
      <c r="B1145">
        <v>6</v>
      </c>
      <c r="C1145" t="s">
        <v>10521</v>
      </c>
      <c r="D1145" t="s">
        <v>10</v>
      </c>
      <c r="E1145" t="s">
        <v>318</v>
      </c>
      <c r="F1145" t="s">
        <v>319</v>
      </c>
      <c r="G1145" s="16">
        <v>1237.5075999999999</v>
      </c>
      <c r="H1145" t="s">
        <v>8</v>
      </c>
      <c r="I1145" s="16">
        <v>1076.0934999999999</v>
      </c>
    </row>
    <row r="1146" spans="1:9" x14ac:dyDescent="0.3">
      <c r="A1146" s="1">
        <v>46252</v>
      </c>
      <c r="B1146">
        <v>6</v>
      </c>
      <c r="C1146" t="s">
        <v>10509</v>
      </c>
      <c r="D1146" t="s">
        <v>2460</v>
      </c>
      <c r="E1146" t="s">
        <v>5159</v>
      </c>
      <c r="F1146" t="s">
        <v>5160</v>
      </c>
      <c r="G1146" s="16">
        <v>159.62280000000001</v>
      </c>
      <c r="H1146" t="s">
        <v>8</v>
      </c>
      <c r="I1146" s="16">
        <v>138.80243999999999</v>
      </c>
    </row>
    <row r="1147" spans="1:9" x14ac:dyDescent="0.3">
      <c r="A1147" s="1">
        <v>46252</v>
      </c>
      <c r="B1147">
        <v>6</v>
      </c>
      <c r="C1147" t="s">
        <v>10552</v>
      </c>
      <c r="D1147" t="s">
        <v>10</v>
      </c>
      <c r="E1147" t="s">
        <v>69</v>
      </c>
      <c r="F1147" t="s">
        <v>70</v>
      </c>
      <c r="G1147" s="16">
        <v>5198.9315999999999</v>
      </c>
      <c r="H1147" t="s">
        <v>8</v>
      </c>
      <c r="I1147" s="16">
        <v>4520.8100000000004</v>
      </c>
    </row>
    <row r="1148" spans="1:9" x14ac:dyDescent="0.3">
      <c r="A1148" s="1">
        <v>46252</v>
      </c>
      <c r="B1148">
        <v>6</v>
      </c>
      <c r="C1148" t="s">
        <v>10508</v>
      </c>
      <c r="D1148" t="s">
        <v>2460</v>
      </c>
      <c r="E1148" t="s">
        <v>130</v>
      </c>
      <c r="F1148" t="s">
        <v>131</v>
      </c>
      <c r="G1148" s="16">
        <v>1798.6</v>
      </c>
      <c r="H1148" t="s">
        <v>8</v>
      </c>
      <c r="I1148" s="16">
        <v>1564</v>
      </c>
    </row>
    <row r="1149" spans="1:9" x14ac:dyDescent="0.3">
      <c r="A1149" s="1">
        <v>46252</v>
      </c>
      <c r="B1149">
        <v>6</v>
      </c>
      <c r="C1149" t="s">
        <v>10546</v>
      </c>
      <c r="D1149" t="s">
        <v>10</v>
      </c>
      <c r="E1149" t="s">
        <v>865</v>
      </c>
      <c r="F1149" t="s">
        <v>866</v>
      </c>
      <c r="G1149" s="16">
        <v>97.75</v>
      </c>
      <c r="H1149" t="s">
        <v>8</v>
      </c>
      <c r="I1149" s="16">
        <v>85</v>
      </c>
    </row>
    <row r="1150" spans="1:9" x14ac:dyDescent="0.3">
      <c r="A1150" s="1">
        <v>46252</v>
      </c>
      <c r="B1150">
        <v>6</v>
      </c>
      <c r="C1150" t="s">
        <v>10511</v>
      </c>
      <c r="D1150" t="s">
        <v>2460</v>
      </c>
      <c r="E1150" t="s">
        <v>9483</v>
      </c>
      <c r="F1150" t="s">
        <v>9484</v>
      </c>
      <c r="G1150" s="16">
        <v>11695.04</v>
      </c>
      <c r="H1150" t="s">
        <v>8</v>
      </c>
      <c r="I1150" s="16">
        <v>10169.6</v>
      </c>
    </row>
    <row r="1151" spans="1:9" x14ac:dyDescent="0.3">
      <c r="A1151" s="1">
        <v>46252</v>
      </c>
      <c r="B1151">
        <v>6</v>
      </c>
      <c r="C1151" t="s">
        <v>10499</v>
      </c>
      <c r="D1151" t="s">
        <v>2460</v>
      </c>
      <c r="E1151" t="s">
        <v>9695</v>
      </c>
      <c r="F1151" t="s">
        <v>9696</v>
      </c>
      <c r="G1151" s="16">
        <v>1477.4625000000001</v>
      </c>
      <c r="H1151" t="s">
        <v>8</v>
      </c>
      <c r="I1151" s="16">
        <v>1284.75</v>
      </c>
    </row>
    <row r="1152" spans="1:9" x14ac:dyDescent="0.3">
      <c r="A1152" s="1">
        <v>46252</v>
      </c>
      <c r="B1152">
        <v>6</v>
      </c>
      <c r="C1152" t="s">
        <v>10507</v>
      </c>
      <c r="D1152" t="s">
        <v>2460</v>
      </c>
      <c r="E1152" t="s">
        <v>2497</v>
      </c>
      <c r="F1152" t="s">
        <v>2498</v>
      </c>
      <c r="G1152" s="16">
        <v>1117.8</v>
      </c>
      <c r="H1152" t="s">
        <v>8</v>
      </c>
      <c r="I1152" s="16">
        <v>972</v>
      </c>
    </row>
    <row r="1153" spans="1:9" x14ac:dyDescent="0.3">
      <c r="A1153" s="1">
        <v>46252</v>
      </c>
      <c r="B1153">
        <v>6</v>
      </c>
      <c r="C1153" t="s">
        <v>10550</v>
      </c>
      <c r="D1153" t="s">
        <v>10</v>
      </c>
      <c r="E1153" t="s">
        <v>5437</v>
      </c>
      <c r="F1153" t="s">
        <v>5438</v>
      </c>
      <c r="G1153" s="16">
        <v>57.502299999999998</v>
      </c>
      <c r="H1153" t="s">
        <v>8</v>
      </c>
      <c r="I1153" s="16">
        <v>50.002000000000002</v>
      </c>
    </row>
    <row r="1154" spans="1:9" x14ac:dyDescent="0.3">
      <c r="A1154" s="1">
        <v>46252</v>
      </c>
      <c r="B1154">
        <v>6</v>
      </c>
      <c r="C1154" t="s">
        <v>10501</v>
      </c>
      <c r="D1154" t="s">
        <v>2460</v>
      </c>
      <c r="E1154" t="s">
        <v>109</v>
      </c>
      <c r="F1154" t="s">
        <v>110</v>
      </c>
      <c r="G1154" s="16">
        <v>360.18</v>
      </c>
      <c r="H1154" t="s">
        <v>8</v>
      </c>
      <c r="I1154" s="16">
        <v>313.2</v>
      </c>
    </row>
    <row r="1155" spans="1:9" x14ac:dyDescent="0.3">
      <c r="A1155" s="1">
        <v>46252</v>
      </c>
      <c r="B1155">
        <v>6</v>
      </c>
      <c r="C1155" t="s">
        <v>10514</v>
      </c>
      <c r="D1155" t="s">
        <v>10</v>
      </c>
      <c r="E1155" t="s">
        <v>164</v>
      </c>
      <c r="F1155" t="s">
        <v>165</v>
      </c>
      <c r="G1155" s="16">
        <v>27.6</v>
      </c>
      <c r="H1155" t="s">
        <v>8</v>
      </c>
      <c r="I1155" s="16">
        <v>24</v>
      </c>
    </row>
    <row r="1156" spans="1:9" x14ac:dyDescent="0.3">
      <c r="A1156" s="1">
        <v>46252</v>
      </c>
      <c r="B1156">
        <v>6</v>
      </c>
      <c r="C1156" t="s">
        <v>10537</v>
      </c>
      <c r="D1156" t="s">
        <v>10</v>
      </c>
      <c r="E1156" t="s">
        <v>41</v>
      </c>
      <c r="F1156" t="s">
        <v>42</v>
      </c>
      <c r="G1156" s="16">
        <v>45.96228</v>
      </c>
      <c r="H1156" t="s">
        <v>8</v>
      </c>
      <c r="I1156" s="16">
        <v>39.967199999999998</v>
      </c>
    </row>
    <row r="1157" spans="1:9" x14ac:dyDescent="0.3">
      <c r="A1157" s="1">
        <v>46252</v>
      </c>
      <c r="B1157">
        <v>6</v>
      </c>
      <c r="C1157" t="s">
        <v>11314</v>
      </c>
      <c r="D1157" t="s">
        <v>2460</v>
      </c>
      <c r="E1157" t="s">
        <v>81</v>
      </c>
      <c r="F1157" t="s">
        <v>82</v>
      </c>
      <c r="G1157" s="16">
        <v>26.45</v>
      </c>
      <c r="H1157" t="s">
        <v>8</v>
      </c>
      <c r="I1157" s="16">
        <v>23</v>
      </c>
    </row>
    <row r="1158" spans="1:9" x14ac:dyDescent="0.3">
      <c r="A1158" s="1">
        <v>46252</v>
      </c>
      <c r="B1158">
        <v>6</v>
      </c>
      <c r="C1158" t="s">
        <v>10520</v>
      </c>
      <c r="D1158" t="s">
        <v>10</v>
      </c>
      <c r="E1158" t="s">
        <v>987</v>
      </c>
      <c r="F1158" t="s">
        <v>988</v>
      </c>
      <c r="G1158" s="16">
        <v>41.4</v>
      </c>
      <c r="H1158" t="s">
        <v>8</v>
      </c>
      <c r="I1158" s="16">
        <v>36</v>
      </c>
    </row>
    <row r="1159" spans="1:9" x14ac:dyDescent="0.3">
      <c r="A1159" s="1">
        <v>46252</v>
      </c>
      <c r="B1159">
        <v>6</v>
      </c>
      <c r="C1159" t="s">
        <v>10541</v>
      </c>
      <c r="D1159" t="s">
        <v>10</v>
      </c>
      <c r="E1159" t="s">
        <v>633</v>
      </c>
      <c r="F1159" t="s">
        <v>690</v>
      </c>
      <c r="G1159" s="16">
        <v>906.88430000000005</v>
      </c>
      <c r="H1159" t="s">
        <v>8</v>
      </c>
      <c r="I1159" s="16">
        <v>788.59500000000003</v>
      </c>
    </row>
    <row r="1160" spans="1:9" x14ac:dyDescent="0.3">
      <c r="A1160" s="1">
        <v>46252</v>
      </c>
      <c r="B1160">
        <v>6</v>
      </c>
      <c r="C1160" t="s">
        <v>10498</v>
      </c>
      <c r="D1160" t="s">
        <v>2460</v>
      </c>
      <c r="E1160" t="s">
        <v>81</v>
      </c>
      <c r="F1160" t="s">
        <v>82</v>
      </c>
      <c r="G1160" s="16">
        <v>34516.1</v>
      </c>
      <c r="H1160" t="s">
        <v>8</v>
      </c>
      <c r="I1160" s="16">
        <v>30014</v>
      </c>
    </row>
    <row r="1161" spans="1:9" x14ac:dyDescent="0.3">
      <c r="A1161" s="1">
        <v>46252</v>
      </c>
      <c r="B1161">
        <v>6</v>
      </c>
      <c r="C1161" t="s">
        <v>10519</v>
      </c>
      <c r="D1161" t="s">
        <v>10</v>
      </c>
      <c r="E1161" t="s">
        <v>548</v>
      </c>
      <c r="F1161" t="s">
        <v>549</v>
      </c>
      <c r="G1161" s="16">
        <v>1555.7429999999999</v>
      </c>
      <c r="H1161" t="s">
        <v>8</v>
      </c>
      <c r="I1161" s="16">
        <v>1352.82</v>
      </c>
    </row>
    <row r="1162" spans="1:9" x14ac:dyDescent="0.3">
      <c r="A1162" s="1">
        <v>46252</v>
      </c>
      <c r="B1162">
        <v>6</v>
      </c>
      <c r="C1162" t="s">
        <v>10503</v>
      </c>
      <c r="D1162" t="s">
        <v>2460</v>
      </c>
      <c r="E1162" t="s">
        <v>81</v>
      </c>
      <c r="F1162" t="s">
        <v>82</v>
      </c>
      <c r="G1162" s="16">
        <v>294.71050000000002</v>
      </c>
      <c r="H1162" t="s">
        <v>8</v>
      </c>
      <c r="I1162" s="16">
        <v>256.27</v>
      </c>
    </row>
    <row r="1163" spans="1:9" x14ac:dyDescent="0.3">
      <c r="A1163" s="1">
        <v>46252</v>
      </c>
      <c r="B1163">
        <v>6</v>
      </c>
      <c r="C1163" t="s">
        <v>10497</v>
      </c>
      <c r="D1163" t="s">
        <v>2460</v>
      </c>
      <c r="E1163" t="s">
        <v>81</v>
      </c>
      <c r="F1163" t="s">
        <v>82</v>
      </c>
      <c r="G1163" s="16">
        <v>942.88499999999999</v>
      </c>
      <c r="H1163" t="s">
        <v>8</v>
      </c>
      <c r="I1163" s="16">
        <v>819.9</v>
      </c>
    </row>
    <row r="1164" spans="1:9" x14ac:dyDescent="0.3">
      <c r="A1164" s="1">
        <v>46252</v>
      </c>
      <c r="B1164">
        <v>6</v>
      </c>
      <c r="C1164" t="s">
        <v>10491</v>
      </c>
      <c r="D1164" t="s">
        <v>169</v>
      </c>
      <c r="E1164" t="s">
        <v>75</v>
      </c>
      <c r="F1164" t="s">
        <v>76</v>
      </c>
      <c r="G1164" s="16">
        <v>333.06876</v>
      </c>
      <c r="H1164" t="s">
        <v>8</v>
      </c>
      <c r="I1164" s="16">
        <v>289.625</v>
      </c>
    </row>
    <row r="1165" spans="1:9" x14ac:dyDescent="0.3">
      <c r="A1165" s="1">
        <v>46252</v>
      </c>
      <c r="B1165">
        <v>6</v>
      </c>
      <c r="C1165" t="s">
        <v>10506</v>
      </c>
      <c r="D1165" t="s">
        <v>2460</v>
      </c>
      <c r="E1165" t="s">
        <v>77</v>
      </c>
      <c r="F1165" t="s">
        <v>78</v>
      </c>
      <c r="G1165" s="16">
        <v>2156.25</v>
      </c>
      <c r="H1165" t="s">
        <v>8</v>
      </c>
      <c r="I1165" s="16">
        <v>1875</v>
      </c>
    </row>
    <row r="1166" spans="1:9" x14ac:dyDescent="0.3">
      <c r="A1166" s="1">
        <v>46252</v>
      </c>
      <c r="B1166">
        <v>6</v>
      </c>
      <c r="C1166" t="s">
        <v>10536</v>
      </c>
      <c r="D1166" t="s">
        <v>10</v>
      </c>
      <c r="E1166" t="s">
        <v>51</v>
      </c>
      <c r="F1166" t="s">
        <v>52</v>
      </c>
      <c r="G1166" s="16">
        <v>1697.9175</v>
      </c>
      <c r="H1166" t="s">
        <v>8</v>
      </c>
      <c r="I1166" s="16">
        <v>1476.45</v>
      </c>
    </row>
    <row r="1167" spans="1:9" x14ac:dyDescent="0.3">
      <c r="A1167" s="1">
        <v>46252</v>
      </c>
      <c r="B1167">
        <v>6</v>
      </c>
      <c r="C1167" t="s">
        <v>10518</v>
      </c>
      <c r="D1167" t="s">
        <v>10</v>
      </c>
      <c r="E1167" t="s">
        <v>494</v>
      </c>
      <c r="F1167" t="s">
        <v>495</v>
      </c>
      <c r="G1167" s="16">
        <v>90.412999999999997</v>
      </c>
      <c r="H1167" t="s">
        <v>8</v>
      </c>
      <c r="I1167" s="16">
        <v>78.62</v>
      </c>
    </row>
    <row r="1168" spans="1:9" x14ac:dyDescent="0.3">
      <c r="A1168" s="1">
        <v>46252</v>
      </c>
      <c r="B1168">
        <v>6</v>
      </c>
      <c r="C1168" t="s">
        <v>10505</v>
      </c>
      <c r="D1168" t="s">
        <v>2460</v>
      </c>
      <c r="E1168" t="s">
        <v>863</v>
      </c>
      <c r="F1168" t="s">
        <v>864</v>
      </c>
      <c r="G1168" s="16">
        <v>7099.3984</v>
      </c>
      <c r="H1168" t="s">
        <v>8</v>
      </c>
      <c r="I1168" s="16">
        <v>6397.2160000000003</v>
      </c>
    </row>
    <row r="1169" spans="1:9" x14ac:dyDescent="0.3">
      <c r="A1169" s="1">
        <v>46252</v>
      </c>
      <c r="B1169">
        <v>6</v>
      </c>
      <c r="C1169" t="s">
        <v>10528</v>
      </c>
      <c r="D1169" t="s">
        <v>10</v>
      </c>
      <c r="E1169" t="s">
        <v>191</v>
      </c>
      <c r="F1169" t="s">
        <v>192</v>
      </c>
      <c r="G1169" s="16">
        <v>51.830500000000001</v>
      </c>
      <c r="H1169" t="s">
        <v>8</v>
      </c>
      <c r="I1169" s="16">
        <v>45.07</v>
      </c>
    </row>
    <row r="1170" spans="1:9" x14ac:dyDescent="0.3">
      <c r="A1170" s="1">
        <v>46252</v>
      </c>
      <c r="B1170">
        <v>6</v>
      </c>
      <c r="C1170" t="s">
        <v>11315</v>
      </c>
      <c r="D1170" t="s">
        <v>10</v>
      </c>
      <c r="E1170" t="s">
        <v>104</v>
      </c>
      <c r="F1170" t="s">
        <v>105</v>
      </c>
      <c r="G1170" s="16">
        <v>77.434330000000003</v>
      </c>
      <c r="H1170" t="s">
        <v>8</v>
      </c>
      <c r="I1170" s="16">
        <v>67.334199999999996</v>
      </c>
    </row>
    <row r="1171" spans="1:9" x14ac:dyDescent="0.3">
      <c r="A1171" s="1">
        <v>46252</v>
      </c>
      <c r="B1171">
        <v>6</v>
      </c>
      <c r="C1171" t="s">
        <v>10445</v>
      </c>
      <c r="D1171" t="s">
        <v>10</v>
      </c>
      <c r="E1171" t="s">
        <v>3773</v>
      </c>
      <c r="F1171" t="s">
        <v>3774</v>
      </c>
      <c r="G1171" s="16">
        <v>12877.343999999999</v>
      </c>
      <c r="H1171" t="s">
        <v>8</v>
      </c>
      <c r="I1171" s="16">
        <v>11197.69</v>
      </c>
    </row>
    <row r="1172" spans="1:9" x14ac:dyDescent="0.3">
      <c r="A1172" s="1">
        <v>46252</v>
      </c>
      <c r="B1172">
        <v>6</v>
      </c>
      <c r="C1172" t="s">
        <v>10515</v>
      </c>
      <c r="D1172" t="s">
        <v>10</v>
      </c>
      <c r="E1172" t="s">
        <v>8841</v>
      </c>
      <c r="F1172" t="s">
        <v>8842</v>
      </c>
      <c r="G1172" s="16">
        <v>83.403999999999996</v>
      </c>
      <c r="H1172" t="s">
        <v>8</v>
      </c>
      <c r="I1172" s="16">
        <v>72.525220000000004</v>
      </c>
    </row>
    <row r="1173" spans="1:9" x14ac:dyDescent="0.3">
      <c r="A1173" s="1">
        <v>46252</v>
      </c>
      <c r="B1173">
        <v>6</v>
      </c>
      <c r="C1173" t="s">
        <v>10579</v>
      </c>
      <c r="D1173" t="s">
        <v>2460</v>
      </c>
      <c r="E1173" t="s">
        <v>297</v>
      </c>
      <c r="F1173" t="s">
        <v>298</v>
      </c>
      <c r="G1173" s="16">
        <v>4955.8559999999998</v>
      </c>
      <c r="H1173" t="s">
        <v>8</v>
      </c>
      <c r="I1173" s="16">
        <v>4309.4399999999996</v>
      </c>
    </row>
    <row r="1174" spans="1:9" x14ac:dyDescent="0.3">
      <c r="A1174" s="1">
        <v>46252</v>
      </c>
      <c r="B1174">
        <v>6</v>
      </c>
      <c r="C1174" t="s">
        <v>10453</v>
      </c>
      <c r="D1174" t="s">
        <v>169</v>
      </c>
      <c r="E1174" t="s">
        <v>65</v>
      </c>
      <c r="F1174" t="s">
        <v>66</v>
      </c>
      <c r="G1174" s="16">
        <v>463.59949999999998</v>
      </c>
      <c r="H1174" t="s">
        <v>8</v>
      </c>
      <c r="I1174" s="16">
        <v>403.13</v>
      </c>
    </row>
    <row r="1175" spans="1:9" x14ac:dyDescent="0.3">
      <c r="A1175" s="1">
        <v>46252</v>
      </c>
      <c r="B1175">
        <v>6</v>
      </c>
      <c r="C1175" t="s">
        <v>10545</v>
      </c>
      <c r="D1175" t="s">
        <v>10</v>
      </c>
      <c r="E1175" t="s">
        <v>937</v>
      </c>
      <c r="F1175" t="s">
        <v>938</v>
      </c>
      <c r="G1175" s="16">
        <v>2181.3227999999999</v>
      </c>
      <c r="H1175" t="s">
        <v>8</v>
      </c>
      <c r="I1175" s="16">
        <v>1896.8022000000001</v>
      </c>
    </row>
    <row r="1176" spans="1:9" x14ac:dyDescent="0.3">
      <c r="A1176" s="1">
        <v>46252</v>
      </c>
      <c r="B1176">
        <v>6</v>
      </c>
      <c r="C1176" t="s">
        <v>10551</v>
      </c>
      <c r="D1176" t="s">
        <v>10</v>
      </c>
      <c r="E1176" t="s">
        <v>863</v>
      </c>
      <c r="F1176" t="s">
        <v>864</v>
      </c>
      <c r="G1176" s="16">
        <v>33378.5</v>
      </c>
      <c r="H1176" t="s">
        <v>8</v>
      </c>
      <c r="I1176" s="16">
        <v>29024.782999999999</v>
      </c>
    </row>
    <row r="1177" spans="1:9" x14ac:dyDescent="0.3">
      <c r="A1177" s="1">
        <v>46252</v>
      </c>
      <c r="B1177">
        <v>6</v>
      </c>
      <c r="C1177" t="s">
        <v>10533</v>
      </c>
      <c r="D1177" t="s">
        <v>10</v>
      </c>
      <c r="E1177" t="s">
        <v>151</v>
      </c>
      <c r="F1177" t="s">
        <v>152</v>
      </c>
      <c r="G1177" s="16">
        <v>1402.5889</v>
      </c>
      <c r="H1177" t="s">
        <v>8</v>
      </c>
      <c r="I1177" s="16">
        <v>1219.6424999999999</v>
      </c>
    </row>
    <row r="1178" spans="1:9" x14ac:dyDescent="0.3">
      <c r="A1178" s="1">
        <v>46252</v>
      </c>
      <c r="B1178">
        <v>6</v>
      </c>
      <c r="C1178" t="s">
        <v>10477</v>
      </c>
      <c r="D1178" t="s">
        <v>169</v>
      </c>
      <c r="E1178" t="s">
        <v>773</v>
      </c>
      <c r="F1178" t="s">
        <v>774</v>
      </c>
      <c r="G1178" s="16">
        <v>485.99993999999998</v>
      </c>
      <c r="H1178" t="s">
        <v>8</v>
      </c>
      <c r="I1178" s="16">
        <v>422.60863999999998</v>
      </c>
    </row>
    <row r="1179" spans="1:9" x14ac:dyDescent="0.3">
      <c r="A1179" s="1">
        <v>46252</v>
      </c>
      <c r="B1179">
        <v>6</v>
      </c>
      <c r="C1179" t="s">
        <v>10531</v>
      </c>
      <c r="D1179" t="s">
        <v>10</v>
      </c>
      <c r="E1179" t="s">
        <v>704</v>
      </c>
      <c r="F1179" t="s">
        <v>705</v>
      </c>
      <c r="G1179" s="16">
        <v>3367.5104999999999</v>
      </c>
      <c r="H1179" t="s">
        <v>8</v>
      </c>
      <c r="I1179" s="16">
        <v>2928.27</v>
      </c>
    </row>
    <row r="1180" spans="1:9" x14ac:dyDescent="0.3">
      <c r="A1180" s="1">
        <v>46252</v>
      </c>
      <c r="B1180">
        <v>6</v>
      </c>
      <c r="C1180" t="s">
        <v>10517</v>
      </c>
      <c r="D1180" t="s">
        <v>10</v>
      </c>
      <c r="E1180" t="s">
        <v>95</v>
      </c>
      <c r="F1180" t="s">
        <v>96</v>
      </c>
      <c r="G1180" s="16">
        <v>1329.0700999999999</v>
      </c>
      <c r="H1180" t="s">
        <v>8</v>
      </c>
      <c r="I1180" s="16">
        <v>1155.7130999999999</v>
      </c>
    </row>
    <row r="1181" spans="1:9" x14ac:dyDescent="0.3">
      <c r="A1181" s="1">
        <v>46252</v>
      </c>
      <c r="B1181">
        <v>6</v>
      </c>
      <c r="C1181" t="s">
        <v>10504</v>
      </c>
      <c r="D1181" t="s">
        <v>2460</v>
      </c>
      <c r="E1181" t="s">
        <v>362</v>
      </c>
      <c r="F1181" t="s">
        <v>363</v>
      </c>
      <c r="G1181" s="16">
        <v>665.85</v>
      </c>
      <c r="H1181" t="s">
        <v>8</v>
      </c>
      <c r="I1181" s="16">
        <v>579</v>
      </c>
    </row>
    <row r="1182" spans="1:9" x14ac:dyDescent="0.3">
      <c r="A1182" s="1">
        <v>46252</v>
      </c>
      <c r="B1182">
        <v>6</v>
      </c>
      <c r="C1182" t="s">
        <v>10523</v>
      </c>
      <c r="D1182" t="s">
        <v>10</v>
      </c>
      <c r="E1182" t="s">
        <v>5484</v>
      </c>
      <c r="F1182" t="s">
        <v>5485</v>
      </c>
      <c r="G1182" s="16">
        <v>128.80000000000001</v>
      </c>
      <c r="H1182" t="s">
        <v>8</v>
      </c>
      <c r="I1182" s="16">
        <v>112</v>
      </c>
    </row>
    <row r="1183" spans="1:9" x14ac:dyDescent="0.3">
      <c r="A1183" s="1">
        <v>46252</v>
      </c>
      <c r="B1183">
        <v>6</v>
      </c>
      <c r="C1183" t="s">
        <v>10535</v>
      </c>
      <c r="D1183" t="s">
        <v>10</v>
      </c>
      <c r="E1183" t="s">
        <v>173</v>
      </c>
      <c r="F1183" t="s">
        <v>174</v>
      </c>
      <c r="G1183" s="16">
        <v>1855.1455000000001</v>
      </c>
      <c r="H1183" t="s">
        <v>8</v>
      </c>
      <c r="I1183" s="16">
        <v>1613.17</v>
      </c>
    </row>
    <row r="1184" spans="1:9" x14ac:dyDescent="0.3">
      <c r="A1184" s="1">
        <v>46252</v>
      </c>
      <c r="B1184">
        <v>6</v>
      </c>
      <c r="C1184" t="s">
        <v>10549</v>
      </c>
      <c r="D1184" t="s">
        <v>10</v>
      </c>
      <c r="E1184" t="s">
        <v>304</v>
      </c>
      <c r="F1184" t="s">
        <v>307</v>
      </c>
      <c r="G1184" s="16">
        <v>1987.67</v>
      </c>
      <c r="H1184" t="s">
        <v>8</v>
      </c>
      <c r="I1184" s="16">
        <v>1728.4087999999999</v>
      </c>
    </row>
    <row r="1185" spans="1:9" x14ac:dyDescent="0.3">
      <c r="A1185" s="1">
        <v>46252</v>
      </c>
      <c r="B1185">
        <v>6</v>
      </c>
      <c r="C1185" t="s">
        <v>10456</v>
      </c>
      <c r="D1185" t="s">
        <v>38</v>
      </c>
      <c r="E1185" t="s">
        <v>63</v>
      </c>
      <c r="F1185" t="s">
        <v>64</v>
      </c>
      <c r="G1185" s="16">
        <v>15500.673000000001</v>
      </c>
      <c r="H1185" t="s">
        <v>8</v>
      </c>
      <c r="I1185" s="16">
        <v>13478.846</v>
      </c>
    </row>
    <row r="1186" spans="1:9" x14ac:dyDescent="0.3">
      <c r="A1186" s="1">
        <v>46252</v>
      </c>
      <c r="B1186">
        <v>6</v>
      </c>
      <c r="C1186" t="s">
        <v>10502</v>
      </c>
      <c r="D1186" t="s">
        <v>2460</v>
      </c>
      <c r="E1186" t="s">
        <v>25</v>
      </c>
      <c r="F1186" t="s">
        <v>26</v>
      </c>
      <c r="G1186" s="16">
        <v>3367.2</v>
      </c>
      <c r="H1186" t="s">
        <v>8</v>
      </c>
      <c r="I1186" s="16">
        <v>2928</v>
      </c>
    </row>
    <row r="1187" spans="1:9" x14ac:dyDescent="0.3">
      <c r="A1187" s="1">
        <v>46252</v>
      </c>
      <c r="B1187">
        <v>6</v>
      </c>
      <c r="C1187" t="s">
        <v>10500</v>
      </c>
      <c r="D1187" t="s">
        <v>2460</v>
      </c>
      <c r="E1187" t="s">
        <v>769</v>
      </c>
      <c r="F1187" t="s">
        <v>770</v>
      </c>
      <c r="G1187" s="16">
        <v>4159.32</v>
      </c>
      <c r="H1187" t="s">
        <v>8</v>
      </c>
      <c r="I1187" s="16">
        <v>3616.8</v>
      </c>
    </row>
    <row r="1188" spans="1:9" x14ac:dyDescent="0.3">
      <c r="A1188" s="1">
        <v>46252</v>
      </c>
      <c r="B1188">
        <v>6</v>
      </c>
      <c r="C1188" t="s">
        <v>10542</v>
      </c>
      <c r="D1188" t="s">
        <v>10</v>
      </c>
      <c r="E1188" t="s">
        <v>199</v>
      </c>
      <c r="F1188" t="s">
        <v>200</v>
      </c>
      <c r="G1188" s="16">
        <v>435.85</v>
      </c>
      <c r="H1188" t="s">
        <v>8</v>
      </c>
      <c r="I1188" s="16">
        <v>379</v>
      </c>
    </row>
    <row r="1189" spans="1:9" x14ac:dyDescent="0.3">
      <c r="A1189" s="1">
        <v>46252</v>
      </c>
      <c r="B1189">
        <v>6</v>
      </c>
      <c r="C1189" t="s">
        <v>11316</v>
      </c>
      <c r="D1189" t="s">
        <v>2463</v>
      </c>
      <c r="E1189" t="s">
        <v>5007</v>
      </c>
      <c r="F1189" t="s">
        <v>5008</v>
      </c>
      <c r="G1189" s="16">
        <v>239.40700000000001</v>
      </c>
      <c r="H1189" t="s">
        <v>8</v>
      </c>
      <c r="I1189" s="16">
        <v>208.18</v>
      </c>
    </row>
    <row r="1190" spans="1:9" x14ac:dyDescent="0.3">
      <c r="A1190" s="1">
        <v>46252</v>
      </c>
      <c r="B1190">
        <v>6</v>
      </c>
      <c r="C1190" t="s">
        <v>10530</v>
      </c>
      <c r="D1190" t="s">
        <v>10</v>
      </c>
      <c r="E1190" t="s">
        <v>2319</v>
      </c>
      <c r="F1190" t="s">
        <v>2320</v>
      </c>
      <c r="G1190" s="16">
        <v>188.8185</v>
      </c>
      <c r="H1190" t="s">
        <v>8</v>
      </c>
      <c r="I1190" s="16">
        <v>164.19</v>
      </c>
    </row>
    <row r="1191" spans="1:9" x14ac:dyDescent="0.3">
      <c r="A1191" s="1">
        <v>46252</v>
      </c>
      <c r="B1191">
        <v>6</v>
      </c>
      <c r="C1191" t="s">
        <v>10512</v>
      </c>
      <c r="D1191" t="s">
        <v>2460</v>
      </c>
      <c r="E1191" t="s">
        <v>10335</v>
      </c>
      <c r="F1191" t="s">
        <v>10336</v>
      </c>
      <c r="G1191" s="16">
        <v>1321.12</v>
      </c>
      <c r="H1191" t="s">
        <v>8</v>
      </c>
      <c r="I1191" s="16">
        <v>1148.8</v>
      </c>
    </row>
    <row r="1192" spans="1:9" x14ac:dyDescent="0.3">
      <c r="A1192" s="1">
        <v>46252</v>
      </c>
      <c r="B1192">
        <v>6</v>
      </c>
      <c r="C1192" t="s">
        <v>10510</v>
      </c>
      <c r="D1192" t="s">
        <v>2460</v>
      </c>
      <c r="E1192" t="s">
        <v>2334</v>
      </c>
      <c r="F1192" t="s">
        <v>2335</v>
      </c>
      <c r="G1192" s="16">
        <v>614.79</v>
      </c>
      <c r="H1192" t="s">
        <v>8</v>
      </c>
      <c r="I1192" s="16">
        <v>534.6</v>
      </c>
    </row>
    <row r="1193" spans="1:9" x14ac:dyDescent="0.3">
      <c r="A1193" s="1">
        <v>46252</v>
      </c>
      <c r="B1193">
        <v>6</v>
      </c>
      <c r="C1193" t="s">
        <v>10538</v>
      </c>
      <c r="D1193" t="s">
        <v>10</v>
      </c>
      <c r="E1193" t="s">
        <v>361</v>
      </c>
      <c r="F1193" t="s">
        <v>7334</v>
      </c>
      <c r="G1193" s="16">
        <v>27.3125</v>
      </c>
      <c r="H1193" t="s">
        <v>8</v>
      </c>
      <c r="I1193" s="16">
        <v>23.75</v>
      </c>
    </row>
    <row r="1194" spans="1:9" x14ac:dyDescent="0.3">
      <c r="A1194" s="1">
        <v>46253</v>
      </c>
      <c r="B1194">
        <v>5</v>
      </c>
      <c r="C1194" t="s">
        <v>8864</v>
      </c>
      <c r="D1194" t="s">
        <v>38</v>
      </c>
      <c r="E1194" t="s">
        <v>2326</v>
      </c>
      <c r="F1194" t="s">
        <v>2327</v>
      </c>
      <c r="G1194" s="16">
        <v>853.3</v>
      </c>
      <c r="H1194" t="s">
        <v>8</v>
      </c>
      <c r="I1194" s="16">
        <v>742</v>
      </c>
    </row>
    <row r="1195" spans="1:9" x14ac:dyDescent="0.3">
      <c r="A1195" s="1">
        <v>46253</v>
      </c>
      <c r="B1195">
        <v>5</v>
      </c>
      <c r="C1195" t="s">
        <v>10603</v>
      </c>
      <c r="D1195" t="s">
        <v>10</v>
      </c>
      <c r="E1195" t="s">
        <v>8372</v>
      </c>
      <c r="F1195" t="s">
        <v>8373</v>
      </c>
      <c r="G1195" s="16">
        <v>713</v>
      </c>
      <c r="H1195" t="s">
        <v>8</v>
      </c>
      <c r="I1195" s="16">
        <v>620</v>
      </c>
    </row>
    <row r="1196" spans="1:9" x14ac:dyDescent="0.3">
      <c r="A1196" s="1">
        <v>46253</v>
      </c>
      <c r="B1196">
        <v>5</v>
      </c>
      <c r="C1196" t="s">
        <v>10695</v>
      </c>
      <c r="D1196" t="s">
        <v>10</v>
      </c>
      <c r="E1196" t="s">
        <v>3773</v>
      </c>
      <c r="F1196" t="s">
        <v>3774</v>
      </c>
      <c r="G1196" s="16">
        <v>7614.8879999999999</v>
      </c>
      <c r="H1196" t="s">
        <v>8</v>
      </c>
      <c r="I1196" s="16">
        <v>6621.6415999999999</v>
      </c>
    </row>
    <row r="1197" spans="1:9" x14ac:dyDescent="0.3">
      <c r="A1197" s="1">
        <v>46253</v>
      </c>
      <c r="B1197">
        <v>5</v>
      </c>
      <c r="C1197" t="s">
        <v>10607</v>
      </c>
      <c r="D1197" t="s">
        <v>10</v>
      </c>
      <c r="E1197" t="s">
        <v>812</v>
      </c>
      <c r="F1197" t="s">
        <v>2394</v>
      </c>
      <c r="G1197" s="16">
        <v>27.6</v>
      </c>
      <c r="H1197" t="s">
        <v>8</v>
      </c>
      <c r="I1197" s="16">
        <v>24</v>
      </c>
    </row>
    <row r="1198" spans="1:9" x14ac:dyDescent="0.3">
      <c r="A1198" s="1">
        <v>46253</v>
      </c>
      <c r="B1198">
        <v>5</v>
      </c>
      <c r="C1198" t="s">
        <v>9884</v>
      </c>
      <c r="D1198" t="s">
        <v>38</v>
      </c>
      <c r="E1198" t="s">
        <v>808</v>
      </c>
      <c r="F1198" t="s">
        <v>904</v>
      </c>
      <c r="G1198" s="16">
        <v>2677.25</v>
      </c>
      <c r="H1198" t="s">
        <v>8</v>
      </c>
      <c r="I1198" s="16">
        <v>2328.0435000000002</v>
      </c>
    </row>
    <row r="1199" spans="1:9" x14ac:dyDescent="0.3">
      <c r="A1199" s="1">
        <v>46253</v>
      </c>
      <c r="B1199">
        <v>5</v>
      </c>
      <c r="C1199" t="s">
        <v>10681</v>
      </c>
      <c r="D1199" t="s">
        <v>38</v>
      </c>
      <c r="E1199" t="s">
        <v>377</v>
      </c>
      <c r="F1199" t="s">
        <v>378</v>
      </c>
      <c r="G1199" s="16">
        <v>491.9701</v>
      </c>
      <c r="H1199" t="s">
        <v>8</v>
      </c>
      <c r="I1199" s="16">
        <v>427.80007999999998</v>
      </c>
    </row>
    <row r="1200" spans="1:9" x14ac:dyDescent="0.3">
      <c r="A1200" s="1">
        <v>46253</v>
      </c>
      <c r="B1200">
        <v>5</v>
      </c>
      <c r="C1200" t="s">
        <v>6268</v>
      </c>
      <c r="D1200" t="s">
        <v>10</v>
      </c>
      <c r="E1200" t="s">
        <v>77</v>
      </c>
      <c r="F1200" t="s">
        <v>78</v>
      </c>
      <c r="G1200" s="16">
        <v>4102.1576999999997</v>
      </c>
      <c r="H1200" t="s">
        <v>8</v>
      </c>
      <c r="I1200" s="16">
        <v>3567.0934999999999</v>
      </c>
    </row>
    <row r="1201" spans="1:9" x14ac:dyDescent="0.3">
      <c r="A1201" s="1">
        <v>46253</v>
      </c>
      <c r="B1201">
        <v>5</v>
      </c>
      <c r="C1201" t="s">
        <v>9573</v>
      </c>
      <c r="D1201" t="s">
        <v>10</v>
      </c>
      <c r="E1201" t="s">
        <v>2976</v>
      </c>
      <c r="F1201" t="s">
        <v>2977</v>
      </c>
      <c r="G1201" s="16">
        <v>94.3</v>
      </c>
      <c r="H1201" t="s">
        <v>8</v>
      </c>
      <c r="I1201" s="16">
        <v>82</v>
      </c>
    </row>
    <row r="1202" spans="1:9" x14ac:dyDescent="0.3">
      <c r="A1202" s="1">
        <v>46253</v>
      </c>
      <c r="B1202">
        <v>5</v>
      </c>
      <c r="C1202" t="s">
        <v>10741</v>
      </c>
      <c r="D1202" t="s">
        <v>2467</v>
      </c>
      <c r="E1202" t="s">
        <v>135</v>
      </c>
      <c r="F1202" t="s">
        <v>136</v>
      </c>
      <c r="G1202" s="16">
        <v>30705</v>
      </c>
      <c r="H1202" t="s">
        <v>8</v>
      </c>
      <c r="I1202" s="16">
        <v>26700</v>
      </c>
    </row>
    <row r="1203" spans="1:9" x14ac:dyDescent="0.3">
      <c r="A1203" s="1">
        <v>46253</v>
      </c>
      <c r="B1203">
        <v>5</v>
      </c>
      <c r="C1203" t="s">
        <v>10221</v>
      </c>
      <c r="D1203" t="s">
        <v>38</v>
      </c>
      <c r="E1203" t="s">
        <v>116</v>
      </c>
      <c r="F1203" t="s">
        <v>117</v>
      </c>
      <c r="G1203" s="16">
        <v>403.75925000000001</v>
      </c>
      <c r="H1203" t="s">
        <v>8</v>
      </c>
      <c r="I1203" s="16">
        <v>351.09500000000003</v>
      </c>
    </row>
    <row r="1204" spans="1:9" x14ac:dyDescent="0.3">
      <c r="A1204" s="1">
        <v>46253</v>
      </c>
      <c r="B1204">
        <v>5</v>
      </c>
      <c r="C1204" t="s">
        <v>9102</v>
      </c>
      <c r="D1204" t="s">
        <v>10</v>
      </c>
      <c r="E1204" t="s">
        <v>77</v>
      </c>
      <c r="F1204" t="s">
        <v>78</v>
      </c>
      <c r="G1204" s="16">
        <v>285.98200000000003</v>
      </c>
      <c r="H1204" t="s">
        <v>8</v>
      </c>
      <c r="I1204" s="16">
        <v>248.68</v>
      </c>
    </row>
    <row r="1205" spans="1:9" x14ac:dyDescent="0.3">
      <c r="A1205" s="1">
        <v>46253</v>
      </c>
      <c r="B1205">
        <v>5</v>
      </c>
      <c r="C1205" t="s">
        <v>10727</v>
      </c>
      <c r="D1205" t="s">
        <v>2460</v>
      </c>
      <c r="E1205" t="s">
        <v>3803</v>
      </c>
      <c r="F1205" t="s">
        <v>3804</v>
      </c>
      <c r="G1205" s="16">
        <v>278.392</v>
      </c>
      <c r="H1205" t="s">
        <v>8</v>
      </c>
      <c r="I1205" s="16">
        <v>242.08</v>
      </c>
    </row>
    <row r="1206" spans="1:9" x14ac:dyDescent="0.3">
      <c r="A1206" s="1">
        <v>46253</v>
      </c>
      <c r="B1206">
        <v>5</v>
      </c>
      <c r="C1206" t="s">
        <v>8270</v>
      </c>
      <c r="D1206" t="s">
        <v>10</v>
      </c>
      <c r="E1206" t="s">
        <v>109</v>
      </c>
      <c r="F1206" t="s">
        <v>110</v>
      </c>
      <c r="G1206" s="16">
        <v>12.65</v>
      </c>
      <c r="H1206" t="s">
        <v>8</v>
      </c>
      <c r="I1206" s="16">
        <v>11</v>
      </c>
    </row>
    <row r="1207" spans="1:9" x14ac:dyDescent="0.3">
      <c r="A1207" s="1">
        <v>46253</v>
      </c>
      <c r="B1207">
        <v>5</v>
      </c>
      <c r="C1207" t="s">
        <v>9574</v>
      </c>
      <c r="D1207" t="s">
        <v>10</v>
      </c>
      <c r="E1207" t="s">
        <v>77</v>
      </c>
      <c r="F1207" t="s">
        <v>78</v>
      </c>
      <c r="G1207" s="16">
        <v>164.94450000000001</v>
      </c>
      <c r="H1207" t="s">
        <v>8</v>
      </c>
      <c r="I1207" s="16">
        <v>143.43</v>
      </c>
    </row>
    <row r="1208" spans="1:9" x14ac:dyDescent="0.3">
      <c r="A1208" s="1">
        <v>46253</v>
      </c>
      <c r="B1208">
        <v>5</v>
      </c>
      <c r="C1208" t="s">
        <v>10654</v>
      </c>
      <c r="D1208" t="s">
        <v>10</v>
      </c>
      <c r="E1208" t="s">
        <v>2976</v>
      </c>
      <c r="F1208" t="s">
        <v>2977</v>
      </c>
      <c r="G1208" s="16">
        <v>47.15</v>
      </c>
      <c r="H1208" t="s">
        <v>8</v>
      </c>
      <c r="I1208" s="16">
        <v>41</v>
      </c>
    </row>
    <row r="1209" spans="1:9" x14ac:dyDescent="0.3">
      <c r="A1209" s="1">
        <v>46253</v>
      </c>
      <c r="B1209">
        <v>5</v>
      </c>
      <c r="C1209" t="s">
        <v>10091</v>
      </c>
      <c r="D1209" t="s">
        <v>38</v>
      </c>
      <c r="E1209" t="s">
        <v>116</v>
      </c>
      <c r="F1209" t="s">
        <v>117</v>
      </c>
      <c r="G1209" s="16">
        <v>4194.25</v>
      </c>
      <c r="H1209" t="s">
        <v>8</v>
      </c>
      <c r="I1209" s="16">
        <v>3647.174</v>
      </c>
    </row>
    <row r="1210" spans="1:9" x14ac:dyDescent="0.3">
      <c r="A1210" s="1">
        <v>46253</v>
      </c>
      <c r="B1210">
        <v>5</v>
      </c>
      <c r="C1210" t="s">
        <v>10649</v>
      </c>
      <c r="D1210" t="s">
        <v>10</v>
      </c>
      <c r="E1210" t="s">
        <v>966</v>
      </c>
      <c r="F1210" t="s">
        <v>967</v>
      </c>
      <c r="G1210" s="16">
        <v>12.351000000000001</v>
      </c>
      <c r="H1210" t="s">
        <v>8</v>
      </c>
      <c r="I1210" s="16">
        <v>10.74</v>
      </c>
    </row>
    <row r="1211" spans="1:9" x14ac:dyDescent="0.3">
      <c r="A1211" s="1">
        <v>46253</v>
      </c>
      <c r="B1211">
        <v>5</v>
      </c>
      <c r="C1211" t="s">
        <v>8678</v>
      </c>
      <c r="D1211" t="s">
        <v>10</v>
      </c>
      <c r="E1211" t="s">
        <v>7713</v>
      </c>
      <c r="F1211" t="s">
        <v>7714</v>
      </c>
      <c r="G1211" s="16">
        <v>635.3152</v>
      </c>
      <c r="H1211" t="s">
        <v>8</v>
      </c>
      <c r="I1211" s="16">
        <v>552.44799999999998</v>
      </c>
    </row>
    <row r="1212" spans="1:9" x14ac:dyDescent="0.3">
      <c r="A1212" s="1">
        <v>46253</v>
      </c>
      <c r="B1212">
        <v>5</v>
      </c>
      <c r="C1212" t="s">
        <v>10594</v>
      </c>
      <c r="D1212" t="s">
        <v>10</v>
      </c>
      <c r="E1212" t="s">
        <v>65</v>
      </c>
      <c r="F1212" t="s">
        <v>66</v>
      </c>
      <c r="G1212" s="16">
        <v>82.709590000000006</v>
      </c>
      <c r="H1212" t="s">
        <v>8</v>
      </c>
      <c r="I1212" s="16">
        <v>71.921379999999999</v>
      </c>
    </row>
    <row r="1213" spans="1:9" x14ac:dyDescent="0.3">
      <c r="A1213" s="1">
        <v>46253</v>
      </c>
      <c r="B1213">
        <v>5</v>
      </c>
      <c r="C1213" t="s">
        <v>10692</v>
      </c>
      <c r="D1213" t="s">
        <v>10</v>
      </c>
      <c r="E1213" t="s">
        <v>839</v>
      </c>
      <c r="F1213" t="s">
        <v>840</v>
      </c>
      <c r="G1213" s="16">
        <v>270.10626000000002</v>
      </c>
      <c r="H1213" t="s">
        <v>8</v>
      </c>
      <c r="I1213" s="16">
        <v>234.875</v>
      </c>
    </row>
    <row r="1214" spans="1:9" x14ac:dyDescent="0.3">
      <c r="A1214" s="1">
        <v>46253</v>
      </c>
      <c r="B1214">
        <v>5</v>
      </c>
      <c r="C1214" t="s">
        <v>10724</v>
      </c>
      <c r="D1214" t="s">
        <v>2460</v>
      </c>
      <c r="E1214" t="s">
        <v>10446</v>
      </c>
      <c r="F1214" t="s">
        <v>10447</v>
      </c>
      <c r="G1214" s="16">
        <v>4333.6405999999997</v>
      </c>
      <c r="H1214" t="s">
        <v>8</v>
      </c>
      <c r="I1214" s="16">
        <v>3768.3829999999998</v>
      </c>
    </row>
    <row r="1215" spans="1:9" x14ac:dyDescent="0.3">
      <c r="A1215" s="1">
        <v>46253</v>
      </c>
      <c r="B1215">
        <v>5</v>
      </c>
      <c r="C1215" t="s">
        <v>10697</v>
      </c>
      <c r="D1215" t="s">
        <v>10</v>
      </c>
      <c r="E1215" t="s">
        <v>73</v>
      </c>
      <c r="F1215" t="s">
        <v>74</v>
      </c>
      <c r="G1215" s="16">
        <v>525.91</v>
      </c>
      <c r="H1215" t="s">
        <v>8</v>
      </c>
      <c r="I1215" s="16">
        <v>457.31299999999999</v>
      </c>
    </row>
    <row r="1216" spans="1:9" x14ac:dyDescent="0.3">
      <c r="A1216" s="1">
        <v>46253</v>
      </c>
      <c r="B1216">
        <v>5</v>
      </c>
      <c r="C1216" t="s">
        <v>10349</v>
      </c>
      <c r="D1216" t="s">
        <v>38</v>
      </c>
      <c r="E1216" t="s">
        <v>116</v>
      </c>
      <c r="F1216" t="s">
        <v>117</v>
      </c>
      <c r="G1216" s="16">
        <v>599.06949999999995</v>
      </c>
      <c r="H1216" t="s">
        <v>8</v>
      </c>
      <c r="I1216" s="16">
        <v>520.92999999999995</v>
      </c>
    </row>
    <row r="1217" spans="1:9" x14ac:dyDescent="0.3">
      <c r="A1217" s="1">
        <v>46253</v>
      </c>
      <c r="B1217">
        <v>5</v>
      </c>
      <c r="C1217" t="s">
        <v>10647</v>
      </c>
      <c r="D1217" t="s">
        <v>10</v>
      </c>
      <c r="E1217" t="s">
        <v>5437</v>
      </c>
      <c r="F1217" t="s">
        <v>5438</v>
      </c>
      <c r="G1217" s="16">
        <v>151.38051999999999</v>
      </c>
      <c r="H1217" t="s">
        <v>8</v>
      </c>
      <c r="I1217" s="16">
        <v>131.63524000000001</v>
      </c>
    </row>
    <row r="1218" spans="1:9" x14ac:dyDescent="0.3">
      <c r="A1218" s="1">
        <v>46253</v>
      </c>
      <c r="B1218">
        <v>5</v>
      </c>
      <c r="C1218" t="s">
        <v>11317</v>
      </c>
      <c r="D1218" t="s">
        <v>10</v>
      </c>
      <c r="E1218" t="s">
        <v>929</v>
      </c>
      <c r="F1218" t="s">
        <v>930</v>
      </c>
      <c r="G1218" s="16">
        <v>164.78026</v>
      </c>
      <c r="H1218" t="s">
        <v>8</v>
      </c>
      <c r="I1218" s="16">
        <v>143.28719000000001</v>
      </c>
    </row>
    <row r="1219" spans="1:9" x14ac:dyDescent="0.3">
      <c r="A1219" s="1">
        <v>46253</v>
      </c>
      <c r="B1219">
        <v>5</v>
      </c>
      <c r="C1219" t="s">
        <v>9506</v>
      </c>
      <c r="D1219" t="s">
        <v>10</v>
      </c>
      <c r="E1219" t="s">
        <v>2448</v>
      </c>
      <c r="F1219" t="s">
        <v>2449</v>
      </c>
      <c r="G1219" s="16">
        <v>24.15</v>
      </c>
      <c r="H1219" t="s">
        <v>8</v>
      </c>
      <c r="I1219" s="16">
        <v>21</v>
      </c>
    </row>
    <row r="1220" spans="1:9" x14ac:dyDescent="0.3">
      <c r="A1220" s="1">
        <v>46253</v>
      </c>
      <c r="B1220">
        <v>5</v>
      </c>
      <c r="C1220" t="s">
        <v>10629</v>
      </c>
      <c r="D1220" t="s">
        <v>10</v>
      </c>
      <c r="E1220" t="s">
        <v>931</v>
      </c>
      <c r="F1220" t="s">
        <v>1767</v>
      </c>
      <c r="G1220" s="16">
        <v>2233.4724000000001</v>
      </c>
      <c r="H1220" t="s">
        <v>8</v>
      </c>
      <c r="I1220" s="16">
        <v>1942.15</v>
      </c>
    </row>
    <row r="1221" spans="1:9" x14ac:dyDescent="0.3">
      <c r="A1221" s="1">
        <v>46253</v>
      </c>
      <c r="B1221">
        <v>5</v>
      </c>
      <c r="C1221" t="s">
        <v>10602</v>
      </c>
      <c r="D1221" t="s">
        <v>10</v>
      </c>
      <c r="E1221" t="s">
        <v>632</v>
      </c>
      <c r="F1221" t="s">
        <v>682</v>
      </c>
      <c r="G1221" s="16">
        <v>6.3250000000000002</v>
      </c>
      <c r="H1221" t="s">
        <v>8</v>
      </c>
      <c r="I1221" s="16">
        <v>5.5</v>
      </c>
    </row>
    <row r="1222" spans="1:9" x14ac:dyDescent="0.3">
      <c r="A1222" s="1">
        <v>46253</v>
      </c>
      <c r="B1222">
        <v>5</v>
      </c>
      <c r="C1222" t="s">
        <v>10220</v>
      </c>
      <c r="D1222" t="s">
        <v>10</v>
      </c>
      <c r="E1222" t="s">
        <v>3946</v>
      </c>
      <c r="F1222" t="s">
        <v>4628</v>
      </c>
      <c r="G1222" s="16">
        <v>12</v>
      </c>
      <c r="H1222" t="s">
        <v>8</v>
      </c>
      <c r="I1222" s="16">
        <v>10.43478</v>
      </c>
    </row>
    <row r="1223" spans="1:9" x14ac:dyDescent="0.3">
      <c r="A1223" s="1">
        <v>46253</v>
      </c>
      <c r="B1223">
        <v>5</v>
      </c>
      <c r="C1223" t="s">
        <v>10655</v>
      </c>
      <c r="D1223" t="s">
        <v>10</v>
      </c>
      <c r="E1223" t="s">
        <v>49</v>
      </c>
      <c r="F1223" t="s">
        <v>50</v>
      </c>
      <c r="G1223" s="16">
        <v>3029.3760000000002</v>
      </c>
      <c r="H1223" t="s">
        <v>8</v>
      </c>
      <c r="I1223" s="16">
        <v>2634.24</v>
      </c>
    </row>
    <row r="1224" spans="1:9" x14ac:dyDescent="0.3">
      <c r="A1224" s="1">
        <v>46253</v>
      </c>
      <c r="B1224">
        <v>5</v>
      </c>
      <c r="C1224" t="s">
        <v>10748</v>
      </c>
      <c r="D1224" t="s">
        <v>10</v>
      </c>
      <c r="E1224" t="s">
        <v>173</v>
      </c>
      <c r="F1224" t="s">
        <v>174</v>
      </c>
      <c r="G1224" s="16">
        <v>2564.0169999999998</v>
      </c>
      <c r="H1224" t="s">
        <v>8</v>
      </c>
      <c r="I1224" s="16">
        <v>2229.58</v>
      </c>
    </row>
    <row r="1225" spans="1:9" x14ac:dyDescent="0.3">
      <c r="A1225" s="1">
        <v>46253</v>
      </c>
      <c r="B1225">
        <v>5</v>
      </c>
      <c r="C1225" t="s">
        <v>10678</v>
      </c>
      <c r="D1225" t="s">
        <v>10</v>
      </c>
      <c r="E1225" t="s">
        <v>84</v>
      </c>
      <c r="F1225" t="s">
        <v>85</v>
      </c>
      <c r="G1225" s="16">
        <v>167.38758999999999</v>
      </c>
      <c r="H1225" t="s">
        <v>8</v>
      </c>
      <c r="I1225" s="16">
        <v>145.55443</v>
      </c>
    </row>
    <row r="1226" spans="1:9" x14ac:dyDescent="0.3">
      <c r="A1226" s="1">
        <v>46253</v>
      </c>
      <c r="B1226">
        <v>5</v>
      </c>
      <c r="C1226" t="s">
        <v>9468</v>
      </c>
      <c r="D1226" t="s">
        <v>10</v>
      </c>
      <c r="E1226" t="s">
        <v>2976</v>
      </c>
      <c r="F1226" t="s">
        <v>2977</v>
      </c>
      <c r="G1226" s="16">
        <v>471.5</v>
      </c>
      <c r="H1226" t="s">
        <v>8</v>
      </c>
      <c r="I1226" s="16">
        <v>410</v>
      </c>
    </row>
    <row r="1227" spans="1:9" x14ac:dyDescent="0.3">
      <c r="A1227" s="1">
        <v>46253</v>
      </c>
      <c r="B1227">
        <v>5</v>
      </c>
      <c r="C1227" t="s">
        <v>10686</v>
      </c>
      <c r="D1227" t="s">
        <v>10</v>
      </c>
      <c r="E1227" t="s">
        <v>173</v>
      </c>
      <c r="F1227" t="s">
        <v>174</v>
      </c>
      <c r="G1227" s="16">
        <v>2494.0165999999999</v>
      </c>
      <c r="H1227" t="s">
        <v>8</v>
      </c>
      <c r="I1227" s="16">
        <v>2168.71</v>
      </c>
    </row>
    <row r="1228" spans="1:9" x14ac:dyDescent="0.3">
      <c r="A1228" s="1">
        <v>46253</v>
      </c>
      <c r="B1228">
        <v>5</v>
      </c>
      <c r="C1228" t="s">
        <v>10331</v>
      </c>
      <c r="D1228" t="s">
        <v>169</v>
      </c>
      <c r="E1228" t="s">
        <v>75</v>
      </c>
      <c r="F1228" t="s">
        <v>76</v>
      </c>
      <c r="G1228" s="16">
        <v>522.67499999999995</v>
      </c>
      <c r="H1228" t="s">
        <v>8</v>
      </c>
      <c r="I1228" s="16">
        <v>454.5</v>
      </c>
    </row>
    <row r="1229" spans="1:9" x14ac:dyDescent="0.3">
      <c r="A1229" s="1">
        <v>46253</v>
      </c>
      <c r="B1229">
        <v>5</v>
      </c>
      <c r="C1229" t="s">
        <v>10673</v>
      </c>
      <c r="D1229" t="s">
        <v>10</v>
      </c>
      <c r="E1229" t="s">
        <v>882</v>
      </c>
      <c r="F1229" t="s">
        <v>883</v>
      </c>
      <c r="G1229" s="16">
        <v>878.19275000000005</v>
      </c>
      <c r="H1229" t="s">
        <v>8</v>
      </c>
      <c r="I1229" s="16">
        <v>763.64589999999998</v>
      </c>
    </row>
    <row r="1230" spans="1:9" x14ac:dyDescent="0.3">
      <c r="A1230" s="1">
        <v>46253</v>
      </c>
      <c r="B1230">
        <v>5</v>
      </c>
      <c r="C1230" t="s">
        <v>10734</v>
      </c>
      <c r="D1230" t="s">
        <v>2460</v>
      </c>
      <c r="E1230" t="s">
        <v>464</v>
      </c>
      <c r="F1230" t="s">
        <v>465</v>
      </c>
      <c r="G1230" s="16">
        <v>1304.1344999999999</v>
      </c>
      <c r="H1230" t="s">
        <v>8</v>
      </c>
      <c r="I1230" s="16">
        <v>1134.03</v>
      </c>
    </row>
    <row r="1231" spans="1:9" x14ac:dyDescent="0.3">
      <c r="A1231" s="1">
        <v>46253</v>
      </c>
      <c r="B1231">
        <v>5</v>
      </c>
      <c r="C1231" t="s">
        <v>10621</v>
      </c>
      <c r="D1231" t="s">
        <v>10</v>
      </c>
      <c r="E1231" t="s">
        <v>1725</v>
      </c>
      <c r="F1231" t="s">
        <v>1726</v>
      </c>
      <c r="G1231" s="16">
        <v>227.1687</v>
      </c>
      <c r="H1231" t="s">
        <v>8</v>
      </c>
      <c r="I1231" s="16">
        <v>197.53800000000001</v>
      </c>
    </row>
    <row r="1232" spans="1:9" x14ac:dyDescent="0.3">
      <c r="A1232" s="1">
        <v>46253</v>
      </c>
      <c r="B1232">
        <v>5</v>
      </c>
      <c r="C1232" t="s">
        <v>10660</v>
      </c>
      <c r="D1232" t="s">
        <v>10</v>
      </c>
      <c r="E1232" t="s">
        <v>154</v>
      </c>
      <c r="F1232" t="s">
        <v>155</v>
      </c>
      <c r="G1232" s="16">
        <v>686.56</v>
      </c>
      <c r="H1232" t="s">
        <v>8</v>
      </c>
      <c r="I1232" s="16">
        <v>597.00867000000005</v>
      </c>
    </row>
    <row r="1233" spans="1:9" x14ac:dyDescent="0.3">
      <c r="A1233" s="1">
        <v>46253</v>
      </c>
      <c r="B1233">
        <v>5</v>
      </c>
      <c r="C1233" t="s">
        <v>9982</v>
      </c>
      <c r="D1233" t="s">
        <v>38</v>
      </c>
      <c r="E1233" t="s">
        <v>4144</v>
      </c>
      <c r="F1233" t="s">
        <v>4145</v>
      </c>
      <c r="G1233" s="16">
        <v>315.10000000000002</v>
      </c>
      <c r="H1233" t="s">
        <v>8</v>
      </c>
      <c r="I1233" s="16">
        <v>274</v>
      </c>
    </row>
    <row r="1234" spans="1:9" x14ac:dyDescent="0.3">
      <c r="A1234" s="1">
        <v>46253</v>
      </c>
      <c r="B1234">
        <v>5</v>
      </c>
      <c r="C1234" t="s">
        <v>10679</v>
      </c>
      <c r="D1234" t="s">
        <v>10</v>
      </c>
      <c r="E1234" t="s">
        <v>854</v>
      </c>
      <c r="F1234" t="s">
        <v>855</v>
      </c>
      <c r="G1234" s="16">
        <v>173.27923999999999</v>
      </c>
      <c r="H1234" t="s">
        <v>8</v>
      </c>
      <c r="I1234" s="16">
        <v>150.67760000000001</v>
      </c>
    </row>
    <row r="1235" spans="1:9" x14ac:dyDescent="0.3">
      <c r="A1235" s="1">
        <v>46253</v>
      </c>
      <c r="B1235">
        <v>5</v>
      </c>
      <c r="C1235" t="s">
        <v>9370</v>
      </c>
      <c r="D1235" t="s">
        <v>10</v>
      </c>
      <c r="E1235" t="s">
        <v>109</v>
      </c>
      <c r="F1235" t="s">
        <v>110</v>
      </c>
      <c r="G1235" s="16">
        <v>23.989000000000001</v>
      </c>
      <c r="H1235" t="s">
        <v>8</v>
      </c>
      <c r="I1235" s="16">
        <v>20.86</v>
      </c>
    </row>
    <row r="1236" spans="1:9" x14ac:dyDescent="0.3">
      <c r="A1236" s="1">
        <v>46253</v>
      </c>
      <c r="B1236">
        <v>5</v>
      </c>
      <c r="C1236" t="s">
        <v>10733</v>
      </c>
      <c r="D1236" t="s">
        <v>2460</v>
      </c>
      <c r="E1236" t="s">
        <v>2264</v>
      </c>
      <c r="F1236" t="s">
        <v>3072</v>
      </c>
      <c r="G1236" s="16">
        <v>181.999</v>
      </c>
      <c r="H1236" t="s">
        <v>8</v>
      </c>
      <c r="I1236" s="16">
        <v>158.26</v>
      </c>
    </row>
    <row r="1237" spans="1:9" x14ac:dyDescent="0.3">
      <c r="A1237" s="1">
        <v>46253</v>
      </c>
      <c r="B1237">
        <v>5</v>
      </c>
      <c r="C1237" t="s">
        <v>10731</v>
      </c>
      <c r="D1237" t="s">
        <v>2460</v>
      </c>
      <c r="E1237" t="s">
        <v>470</v>
      </c>
      <c r="F1237" t="s">
        <v>471</v>
      </c>
      <c r="G1237" s="16">
        <v>1020.51</v>
      </c>
      <c r="H1237" t="s">
        <v>8</v>
      </c>
      <c r="I1237" s="16">
        <v>887.4</v>
      </c>
    </row>
    <row r="1238" spans="1:9" x14ac:dyDescent="0.3">
      <c r="A1238" s="1">
        <v>46253</v>
      </c>
      <c r="B1238">
        <v>5</v>
      </c>
      <c r="C1238" t="s">
        <v>10722</v>
      </c>
      <c r="D1238" t="s">
        <v>2460</v>
      </c>
      <c r="E1238" t="s">
        <v>39</v>
      </c>
      <c r="F1238" t="s">
        <v>40</v>
      </c>
      <c r="G1238" s="16">
        <v>3795</v>
      </c>
      <c r="H1238" t="s">
        <v>8</v>
      </c>
      <c r="I1238" s="16">
        <v>3300</v>
      </c>
    </row>
    <row r="1239" spans="1:9" x14ac:dyDescent="0.3">
      <c r="A1239" s="1">
        <v>46253</v>
      </c>
      <c r="B1239">
        <v>5</v>
      </c>
      <c r="C1239" t="s">
        <v>10723</v>
      </c>
      <c r="D1239" t="s">
        <v>2467</v>
      </c>
      <c r="E1239" t="s">
        <v>9200</v>
      </c>
      <c r="F1239" t="s">
        <v>9201</v>
      </c>
      <c r="G1239" s="16">
        <v>447.12</v>
      </c>
      <c r="H1239" t="s">
        <v>8</v>
      </c>
      <c r="I1239" s="16">
        <v>388.8</v>
      </c>
    </row>
    <row r="1240" spans="1:9" x14ac:dyDescent="0.3">
      <c r="A1240" s="1">
        <v>46253</v>
      </c>
      <c r="B1240">
        <v>5</v>
      </c>
      <c r="C1240" t="s">
        <v>10631</v>
      </c>
      <c r="D1240" t="s">
        <v>10</v>
      </c>
      <c r="E1240" t="s">
        <v>504</v>
      </c>
      <c r="F1240" t="s">
        <v>505</v>
      </c>
      <c r="G1240" s="16">
        <v>5.75</v>
      </c>
      <c r="H1240" t="s">
        <v>8</v>
      </c>
      <c r="I1240" s="16">
        <v>5</v>
      </c>
    </row>
    <row r="1241" spans="1:9" x14ac:dyDescent="0.3">
      <c r="A1241" s="1">
        <v>46253</v>
      </c>
      <c r="B1241">
        <v>5</v>
      </c>
      <c r="C1241" t="s">
        <v>10606</v>
      </c>
      <c r="D1241" t="s">
        <v>10</v>
      </c>
      <c r="E1241" t="s">
        <v>580</v>
      </c>
      <c r="F1241" t="s">
        <v>581</v>
      </c>
      <c r="G1241" s="16">
        <v>1414.5</v>
      </c>
      <c r="H1241" t="s">
        <v>8</v>
      </c>
      <c r="I1241" s="16">
        <v>1230</v>
      </c>
    </row>
    <row r="1242" spans="1:9" x14ac:dyDescent="0.3">
      <c r="A1242" s="1">
        <v>46253</v>
      </c>
      <c r="B1242">
        <v>5</v>
      </c>
      <c r="C1242" t="s">
        <v>9886</v>
      </c>
      <c r="D1242" t="s">
        <v>38</v>
      </c>
      <c r="E1242" t="s">
        <v>75</v>
      </c>
      <c r="F1242" t="s">
        <v>76</v>
      </c>
      <c r="G1242" s="16">
        <v>2049.8031999999998</v>
      </c>
      <c r="H1242" t="s">
        <v>8</v>
      </c>
      <c r="I1242" s="16">
        <v>1782.4375</v>
      </c>
    </row>
    <row r="1243" spans="1:9" x14ac:dyDescent="0.3">
      <c r="A1243" s="1">
        <v>46253</v>
      </c>
      <c r="B1243">
        <v>5</v>
      </c>
      <c r="C1243" t="s">
        <v>9712</v>
      </c>
      <c r="D1243" t="s">
        <v>38</v>
      </c>
      <c r="E1243" t="s">
        <v>2326</v>
      </c>
      <c r="F1243" t="s">
        <v>2327</v>
      </c>
      <c r="G1243" s="16">
        <v>855.02499999999998</v>
      </c>
      <c r="H1243" t="s">
        <v>8</v>
      </c>
      <c r="I1243" s="16">
        <v>743.5</v>
      </c>
    </row>
    <row r="1244" spans="1:9" x14ac:dyDescent="0.3">
      <c r="A1244" s="1">
        <v>46253</v>
      </c>
      <c r="B1244">
        <v>5</v>
      </c>
      <c r="C1244" t="s">
        <v>10740</v>
      </c>
      <c r="D1244" t="s">
        <v>2460</v>
      </c>
      <c r="E1244" t="s">
        <v>464</v>
      </c>
      <c r="F1244" t="s">
        <v>465</v>
      </c>
      <c r="G1244" s="16">
        <v>1335.9090000000001</v>
      </c>
      <c r="H1244" t="s">
        <v>8</v>
      </c>
      <c r="I1244" s="16">
        <v>1161.6600000000001</v>
      </c>
    </row>
    <row r="1245" spans="1:9" x14ac:dyDescent="0.3">
      <c r="A1245" s="1">
        <v>46253</v>
      </c>
      <c r="B1245">
        <v>5</v>
      </c>
      <c r="C1245" t="s">
        <v>10280</v>
      </c>
      <c r="D1245" t="s">
        <v>10</v>
      </c>
      <c r="E1245" t="s">
        <v>634</v>
      </c>
      <c r="F1245" t="s">
        <v>659</v>
      </c>
      <c r="G1245" s="16">
        <v>214.48650000000001</v>
      </c>
      <c r="H1245" t="s">
        <v>8</v>
      </c>
      <c r="I1245" s="16">
        <v>186.51</v>
      </c>
    </row>
    <row r="1246" spans="1:9" x14ac:dyDescent="0.3">
      <c r="A1246" s="1">
        <v>46253</v>
      </c>
      <c r="B1246">
        <v>5</v>
      </c>
      <c r="C1246" t="s">
        <v>10737</v>
      </c>
      <c r="D1246" t="s">
        <v>2460</v>
      </c>
      <c r="E1246" t="s">
        <v>304</v>
      </c>
      <c r="F1246" t="s">
        <v>307</v>
      </c>
      <c r="G1246" s="16">
        <v>6974.75</v>
      </c>
      <c r="H1246" t="s">
        <v>8</v>
      </c>
      <c r="I1246" s="16">
        <v>6065</v>
      </c>
    </row>
    <row r="1247" spans="1:9" x14ac:dyDescent="0.3">
      <c r="A1247" s="1">
        <v>46253</v>
      </c>
      <c r="B1247">
        <v>5</v>
      </c>
      <c r="C1247" t="s">
        <v>10738</v>
      </c>
      <c r="D1247" t="s">
        <v>2460</v>
      </c>
      <c r="E1247" t="s">
        <v>301</v>
      </c>
      <c r="F1247" t="s">
        <v>370</v>
      </c>
      <c r="G1247" s="16">
        <v>117.3</v>
      </c>
      <c r="H1247" t="s">
        <v>8</v>
      </c>
      <c r="I1247" s="16">
        <v>102</v>
      </c>
    </row>
    <row r="1248" spans="1:9" x14ac:dyDescent="0.3">
      <c r="A1248" s="1">
        <v>46253</v>
      </c>
      <c r="B1248">
        <v>5</v>
      </c>
      <c r="C1248" t="s">
        <v>8111</v>
      </c>
      <c r="D1248" t="s">
        <v>10</v>
      </c>
      <c r="E1248" t="s">
        <v>77</v>
      </c>
      <c r="F1248" t="s">
        <v>78</v>
      </c>
      <c r="G1248" s="16">
        <v>177.32955999999999</v>
      </c>
      <c r="H1248" t="s">
        <v>8</v>
      </c>
      <c r="I1248" s="16">
        <v>154.19962000000001</v>
      </c>
    </row>
    <row r="1249" spans="1:9" x14ac:dyDescent="0.3">
      <c r="A1249" s="1">
        <v>46253</v>
      </c>
      <c r="B1249">
        <v>5</v>
      </c>
      <c r="C1249" t="s">
        <v>10736</v>
      </c>
      <c r="D1249" t="s">
        <v>2460</v>
      </c>
      <c r="E1249" t="s">
        <v>464</v>
      </c>
      <c r="F1249" t="s">
        <v>465</v>
      </c>
      <c r="G1249" s="16">
        <v>614.91650000000004</v>
      </c>
      <c r="H1249" t="s">
        <v>8</v>
      </c>
      <c r="I1249" s="16">
        <v>534.71</v>
      </c>
    </row>
    <row r="1250" spans="1:9" x14ac:dyDescent="0.3">
      <c r="A1250" s="1">
        <v>46253</v>
      </c>
      <c r="B1250">
        <v>5</v>
      </c>
      <c r="C1250" t="s">
        <v>10639</v>
      </c>
      <c r="D1250" t="s">
        <v>10</v>
      </c>
      <c r="E1250" t="s">
        <v>919</v>
      </c>
      <c r="F1250" t="s">
        <v>920</v>
      </c>
      <c r="G1250" s="16">
        <v>28.727</v>
      </c>
      <c r="H1250" t="s">
        <v>8</v>
      </c>
      <c r="I1250" s="16">
        <v>24.98</v>
      </c>
    </row>
    <row r="1251" spans="1:9" x14ac:dyDescent="0.3">
      <c r="A1251" s="1">
        <v>46253</v>
      </c>
      <c r="B1251">
        <v>5</v>
      </c>
      <c r="C1251" t="s">
        <v>8902</v>
      </c>
      <c r="D1251" t="s">
        <v>38</v>
      </c>
      <c r="E1251" t="s">
        <v>75</v>
      </c>
      <c r="F1251" t="s">
        <v>76</v>
      </c>
      <c r="G1251" s="16">
        <v>731.87549999999999</v>
      </c>
      <c r="H1251" t="s">
        <v>8</v>
      </c>
      <c r="I1251" s="16">
        <v>636.41345000000001</v>
      </c>
    </row>
    <row r="1252" spans="1:9" x14ac:dyDescent="0.3">
      <c r="A1252" s="1">
        <v>46253</v>
      </c>
      <c r="B1252">
        <v>5</v>
      </c>
      <c r="C1252" t="s">
        <v>9890</v>
      </c>
      <c r="D1252" t="s">
        <v>10</v>
      </c>
      <c r="E1252" t="s">
        <v>381</v>
      </c>
      <c r="F1252" t="s">
        <v>382</v>
      </c>
      <c r="G1252" s="16">
        <v>393.875</v>
      </c>
      <c r="H1252" t="s">
        <v>8</v>
      </c>
      <c r="I1252" s="16">
        <v>342.5</v>
      </c>
    </row>
    <row r="1253" spans="1:9" x14ac:dyDescent="0.3">
      <c r="A1253" s="1">
        <v>46253</v>
      </c>
      <c r="B1253">
        <v>5</v>
      </c>
      <c r="C1253" t="s">
        <v>10689</v>
      </c>
      <c r="D1253" t="s">
        <v>10</v>
      </c>
      <c r="E1253" t="s">
        <v>39</v>
      </c>
      <c r="F1253" t="s">
        <v>40</v>
      </c>
      <c r="G1253" s="16">
        <v>3203.2766000000001</v>
      </c>
      <c r="H1253" t="s">
        <v>8</v>
      </c>
      <c r="I1253" s="16">
        <v>2785.4578000000001</v>
      </c>
    </row>
    <row r="1254" spans="1:9" x14ac:dyDescent="0.3">
      <c r="A1254" s="1">
        <v>46253</v>
      </c>
      <c r="B1254">
        <v>5</v>
      </c>
      <c r="C1254" t="s">
        <v>10728</v>
      </c>
      <c r="D1254" t="s">
        <v>2460</v>
      </c>
      <c r="E1254" t="s">
        <v>173</v>
      </c>
      <c r="F1254" t="s">
        <v>174</v>
      </c>
      <c r="G1254" s="16">
        <v>469.2</v>
      </c>
      <c r="H1254" t="s">
        <v>8</v>
      </c>
      <c r="I1254" s="16">
        <v>408</v>
      </c>
    </row>
    <row r="1255" spans="1:9" x14ac:dyDescent="0.3">
      <c r="A1255" s="1">
        <v>46253</v>
      </c>
      <c r="B1255">
        <v>5</v>
      </c>
      <c r="C1255" t="s">
        <v>8696</v>
      </c>
      <c r="D1255" t="s">
        <v>10</v>
      </c>
      <c r="E1255" t="s">
        <v>77</v>
      </c>
      <c r="F1255" t="s">
        <v>78</v>
      </c>
      <c r="G1255" s="16">
        <v>225.57249999999999</v>
      </c>
      <c r="H1255" t="s">
        <v>8</v>
      </c>
      <c r="I1255" s="16">
        <v>196.15</v>
      </c>
    </row>
    <row r="1256" spans="1:9" x14ac:dyDescent="0.3">
      <c r="A1256" s="1">
        <v>46253</v>
      </c>
      <c r="B1256">
        <v>5</v>
      </c>
      <c r="C1256" t="s">
        <v>10638</v>
      </c>
      <c r="D1256" t="s">
        <v>10</v>
      </c>
      <c r="E1256" t="s">
        <v>1472</v>
      </c>
      <c r="F1256" t="s">
        <v>1473</v>
      </c>
      <c r="G1256" s="16">
        <v>373.37860000000001</v>
      </c>
      <c r="H1256" t="s">
        <v>8</v>
      </c>
      <c r="I1256" s="16">
        <v>324.67703</v>
      </c>
    </row>
    <row r="1257" spans="1:9" x14ac:dyDescent="0.3">
      <c r="A1257" s="1">
        <v>46253</v>
      </c>
      <c r="B1257">
        <v>5</v>
      </c>
      <c r="C1257" t="s">
        <v>7254</v>
      </c>
      <c r="D1257" t="s">
        <v>10</v>
      </c>
      <c r="E1257" t="s">
        <v>77</v>
      </c>
      <c r="F1257" t="s">
        <v>78</v>
      </c>
      <c r="G1257" s="16">
        <v>809.24549999999999</v>
      </c>
      <c r="H1257" t="s">
        <v>8</v>
      </c>
      <c r="I1257" s="16">
        <v>703.69169999999997</v>
      </c>
    </row>
    <row r="1258" spans="1:9" x14ac:dyDescent="0.3">
      <c r="A1258" s="1">
        <v>46253</v>
      </c>
      <c r="B1258">
        <v>5</v>
      </c>
      <c r="C1258" t="s">
        <v>10730</v>
      </c>
      <c r="D1258" t="s">
        <v>2460</v>
      </c>
      <c r="E1258" t="s">
        <v>561</v>
      </c>
      <c r="F1258" t="s">
        <v>593</v>
      </c>
      <c r="G1258" s="16">
        <v>1288</v>
      </c>
      <c r="H1258" t="s">
        <v>8</v>
      </c>
      <c r="I1258" s="16">
        <v>1120</v>
      </c>
    </row>
    <row r="1259" spans="1:9" x14ac:dyDescent="0.3">
      <c r="A1259" s="1">
        <v>46253</v>
      </c>
      <c r="B1259">
        <v>5</v>
      </c>
      <c r="C1259" t="s">
        <v>10729</v>
      </c>
      <c r="D1259" t="s">
        <v>2460</v>
      </c>
      <c r="E1259" t="s">
        <v>10448</v>
      </c>
      <c r="F1259" t="s">
        <v>10449</v>
      </c>
      <c r="G1259" s="16">
        <v>187.53</v>
      </c>
      <c r="H1259" t="s">
        <v>8</v>
      </c>
      <c r="I1259" s="16">
        <v>187.53</v>
      </c>
    </row>
    <row r="1260" spans="1:9" x14ac:dyDescent="0.3">
      <c r="A1260" s="1">
        <v>46253</v>
      </c>
      <c r="B1260">
        <v>5</v>
      </c>
      <c r="C1260" t="s">
        <v>10698</v>
      </c>
      <c r="D1260" t="s">
        <v>10</v>
      </c>
      <c r="E1260" t="s">
        <v>1639</v>
      </c>
      <c r="F1260" t="s">
        <v>1640</v>
      </c>
      <c r="G1260" s="16">
        <v>8.3375000000000004</v>
      </c>
      <c r="H1260" t="s">
        <v>8</v>
      </c>
      <c r="I1260" s="16">
        <v>7.25</v>
      </c>
    </row>
    <row r="1261" spans="1:9" x14ac:dyDescent="0.3">
      <c r="A1261" s="1">
        <v>46253</v>
      </c>
      <c r="B1261">
        <v>5</v>
      </c>
      <c r="C1261" t="s">
        <v>10677</v>
      </c>
      <c r="D1261" t="s">
        <v>10</v>
      </c>
      <c r="E1261" t="s">
        <v>22</v>
      </c>
      <c r="F1261" t="s">
        <v>23</v>
      </c>
      <c r="G1261" s="16">
        <v>1337.979</v>
      </c>
      <c r="H1261" t="s">
        <v>8</v>
      </c>
      <c r="I1261" s="16">
        <v>1163.46</v>
      </c>
    </row>
    <row r="1262" spans="1:9" x14ac:dyDescent="0.3">
      <c r="A1262" s="1">
        <v>46253</v>
      </c>
      <c r="B1262">
        <v>5</v>
      </c>
      <c r="C1262" t="s">
        <v>10701</v>
      </c>
      <c r="D1262" t="s">
        <v>10</v>
      </c>
      <c r="E1262" t="s">
        <v>77</v>
      </c>
      <c r="F1262" t="s">
        <v>78</v>
      </c>
      <c r="G1262" s="16">
        <v>146.648</v>
      </c>
      <c r="H1262" t="s">
        <v>8</v>
      </c>
      <c r="I1262" s="16">
        <v>127.52</v>
      </c>
    </row>
    <row r="1263" spans="1:9" x14ac:dyDescent="0.3">
      <c r="A1263" s="1">
        <v>46253</v>
      </c>
      <c r="B1263">
        <v>5</v>
      </c>
      <c r="C1263" t="s">
        <v>10693</v>
      </c>
      <c r="D1263" t="s">
        <v>38</v>
      </c>
      <c r="E1263" t="s">
        <v>2300</v>
      </c>
      <c r="F1263" t="s">
        <v>2301</v>
      </c>
      <c r="G1263" s="16">
        <v>1482.9135000000001</v>
      </c>
      <c r="H1263" t="s">
        <v>8</v>
      </c>
      <c r="I1263" s="16">
        <v>1289.49</v>
      </c>
    </row>
    <row r="1264" spans="1:9" x14ac:dyDescent="0.3">
      <c r="A1264" s="1">
        <v>46253</v>
      </c>
      <c r="B1264">
        <v>5</v>
      </c>
      <c r="C1264" t="s">
        <v>10189</v>
      </c>
      <c r="D1264" t="s">
        <v>38</v>
      </c>
      <c r="E1264" t="s">
        <v>2326</v>
      </c>
      <c r="F1264" t="s">
        <v>2327</v>
      </c>
      <c r="G1264" s="16">
        <v>201.82499999999999</v>
      </c>
      <c r="H1264" t="s">
        <v>8</v>
      </c>
      <c r="I1264" s="16">
        <v>175.5</v>
      </c>
    </row>
    <row r="1265" spans="1:9" x14ac:dyDescent="0.3">
      <c r="A1265" s="1">
        <v>46253</v>
      </c>
      <c r="B1265">
        <v>5</v>
      </c>
      <c r="C1265" t="s">
        <v>10725</v>
      </c>
      <c r="D1265" t="s">
        <v>2460</v>
      </c>
      <c r="E1265" t="s">
        <v>4762</v>
      </c>
      <c r="F1265" t="s">
        <v>4763</v>
      </c>
      <c r="G1265" s="16">
        <v>1504.2</v>
      </c>
      <c r="H1265" t="s">
        <v>8</v>
      </c>
      <c r="I1265" s="16">
        <v>1308</v>
      </c>
    </row>
    <row r="1266" spans="1:9" x14ac:dyDescent="0.3">
      <c r="A1266" s="1">
        <v>46253</v>
      </c>
      <c r="B1266">
        <v>5</v>
      </c>
      <c r="C1266" t="s">
        <v>10732</v>
      </c>
      <c r="D1266" t="s">
        <v>2460</v>
      </c>
      <c r="E1266" t="s">
        <v>470</v>
      </c>
      <c r="F1266" t="s">
        <v>471</v>
      </c>
      <c r="G1266" s="16">
        <v>9606.8700000000008</v>
      </c>
      <c r="H1266" t="s">
        <v>8</v>
      </c>
      <c r="I1266" s="16">
        <v>8353.7999999999993</v>
      </c>
    </row>
    <row r="1267" spans="1:9" x14ac:dyDescent="0.3">
      <c r="A1267" s="1">
        <v>46253</v>
      </c>
      <c r="B1267">
        <v>5</v>
      </c>
      <c r="C1267" t="s">
        <v>10397</v>
      </c>
      <c r="D1267" t="s">
        <v>38</v>
      </c>
      <c r="E1267" t="s">
        <v>93</v>
      </c>
      <c r="F1267" t="s">
        <v>94</v>
      </c>
      <c r="G1267" s="16">
        <v>209.05045000000001</v>
      </c>
      <c r="H1267" t="s">
        <v>8</v>
      </c>
      <c r="I1267" s="16">
        <v>181.78299999999999</v>
      </c>
    </row>
    <row r="1268" spans="1:9" x14ac:dyDescent="0.3">
      <c r="A1268" s="1">
        <v>46253</v>
      </c>
      <c r="B1268">
        <v>5</v>
      </c>
      <c r="C1268" t="s">
        <v>10124</v>
      </c>
      <c r="D1268" t="s">
        <v>38</v>
      </c>
      <c r="E1268" t="s">
        <v>93</v>
      </c>
      <c r="F1268" t="s">
        <v>94</v>
      </c>
      <c r="G1268" s="16">
        <v>2344.1323000000002</v>
      </c>
      <c r="H1268" t="s">
        <v>8</v>
      </c>
      <c r="I1268" s="16">
        <v>2038.376</v>
      </c>
    </row>
    <row r="1269" spans="1:9" x14ac:dyDescent="0.3">
      <c r="A1269" s="1">
        <v>46253</v>
      </c>
      <c r="B1269">
        <v>5</v>
      </c>
      <c r="C1269" t="s">
        <v>10650</v>
      </c>
      <c r="D1269" t="s">
        <v>10</v>
      </c>
      <c r="E1269" t="s">
        <v>144</v>
      </c>
      <c r="F1269" t="s">
        <v>145</v>
      </c>
      <c r="G1269" s="16">
        <v>75.750500000000002</v>
      </c>
      <c r="H1269" t="s">
        <v>8</v>
      </c>
      <c r="I1269" s="16">
        <v>65.87</v>
      </c>
    </row>
    <row r="1270" spans="1:9" x14ac:dyDescent="0.3">
      <c r="A1270" s="1">
        <v>46253</v>
      </c>
      <c r="B1270">
        <v>5</v>
      </c>
      <c r="C1270" t="s">
        <v>11318</v>
      </c>
      <c r="D1270" t="s">
        <v>2467</v>
      </c>
      <c r="E1270" t="s">
        <v>7133</v>
      </c>
      <c r="F1270" t="s">
        <v>7134</v>
      </c>
      <c r="G1270" s="16">
        <v>1290.9833000000001</v>
      </c>
      <c r="H1270" t="s">
        <v>8</v>
      </c>
      <c r="I1270" s="16">
        <v>1122.5941</v>
      </c>
    </row>
    <row r="1271" spans="1:9" x14ac:dyDescent="0.3">
      <c r="A1271" s="1">
        <v>46253</v>
      </c>
      <c r="B1271">
        <v>5</v>
      </c>
      <c r="C1271" t="s">
        <v>10013</v>
      </c>
      <c r="D1271" t="s">
        <v>10</v>
      </c>
      <c r="E1271" t="s">
        <v>77</v>
      </c>
      <c r="F1271" t="s">
        <v>78</v>
      </c>
      <c r="G1271" s="16">
        <v>110.9175</v>
      </c>
      <c r="H1271" t="s">
        <v>8</v>
      </c>
      <c r="I1271" s="16">
        <v>96.45</v>
      </c>
    </row>
    <row r="1272" spans="1:9" x14ac:dyDescent="0.3">
      <c r="A1272" s="1">
        <v>46253</v>
      </c>
      <c r="B1272">
        <v>5</v>
      </c>
      <c r="C1272" t="s">
        <v>8231</v>
      </c>
      <c r="D1272" t="s">
        <v>10</v>
      </c>
      <c r="E1272" t="s">
        <v>2448</v>
      </c>
      <c r="F1272" t="s">
        <v>2449</v>
      </c>
      <c r="G1272" s="16">
        <v>112.7</v>
      </c>
      <c r="H1272" t="s">
        <v>8</v>
      </c>
      <c r="I1272" s="16">
        <v>98</v>
      </c>
    </row>
    <row r="1273" spans="1:9" x14ac:dyDescent="0.3">
      <c r="A1273" s="1">
        <v>46253</v>
      </c>
      <c r="B1273">
        <v>5</v>
      </c>
      <c r="C1273" t="s">
        <v>10721</v>
      </c>
      <c r="D1273" t="s">
        <v>2460</v>
      </c>
      <c r="E1273" t="s">
        <v>3814</v>
      </c>
      <c r="F1273" t="s">
        <v>3815</v>
      </c>
      <c r="G1273" s="16">
        <v>550.27499999999998</v>
      </c>
      <c r="H1273" t="s">
        <v>8</v>
      </c>
      <c r="I1273" s="16">
        <v>478.5</v>
      </c>
    </row>
    <row r="1274" spans="1:9" x14ac:dyDescent="0.3">
      <c r="A1274" s="1">
        <v>46253</v>
      </c>
      <c r="B1274">
        <v>5</v>
      </c>
      <c r="C1274" t="s">
        <v>10279</v>
      </c>
      <c r="D1274" t="s">
        <v>10</v>
      </c>
      <c r="E1274" t="s">
        <v>2448</v>
      </c>
      <c r="F1274" t="s">
        <v>2449</v>
      </c>
      <c r="G1274" s="16">
        <v>32.200000000000003</v>
      </c>
      <c r="H1274" t="s">
        <v>8</v>
      </c>
      <c r="I1274" s="16">
        <v>28</v>
      </c>
    </row>
    <row r="1275" spans="1:9" x14ac:dyDescent="0.3">
      <c r="A1275" s="1">
        <v>46253</v>
      </c>
      <c r="B1275">
        <v>5</v>
      </c>
      <c r="C1275" t="s">
        <v>9297</v>
      </c>
      <c r="D1275" t="s">
        <v>10</v>
      </c>
      <c r="E1275" t="s">
        <v>109</v>
      </c>
      <c r="F1275" t="s">
        <v>110</v>
      </c>
      <c r="G1275" s="16">
        <v>383.82400000000001</v>
      </c>
      <c r="H1275" t="s">
        <v>8</v>
      </c>
      <c r="I1275" s="16">
        <v>333.76</v>
      </c>
    </row>
    <row r="1276" spans="1:9" x14ac:dyDescent="0.3">
      <c r="A1276" s="1">
        <v>46253</v>
      </c>
      <c r="B1276">
        <v>5</v>
      </c>
      <c r="C1276" t="s">
        <v>10666</v>
      </c>
      <c r="D1276" t="s">
        <v>10</v>
      </c>
      <c r="E1276" t="s">
        <v>69</v>
      </c>
      <c r="F1276" t="s">
        <v>70</v>
      </c>
      <c r="G1276" s="16">
        <v>3358.0115000000001</v>
      </c>
      <c r="H1276" t="s">
        <v>8</v>
      </c>
      <c r="I1276" s="16">
        <v>2920.01</v>
      </c>
    </row>
    <row r="1277" spans="1:9" x14ac:dyDescent="0.3">
      <c r="A1277" s="1">
        <v>46253</v>
      </c>
      <c r="B1277">
        <v>5</v>
      </c>
      <c r="C1277" t="s">
        <v>10702</v>
      </c>
      <c r="D1277" t="s">
        <v>10</v>
      </c>
      <c r="E1277" t="s">
        <v>71</v>
      </c>
      <c r="F1277" t="s">
        <v>72</v>
      </c>
      <c r="G1277" s="16">
        <v>4320.5225</v>
      </c>
      <c r="H1277" t="s">
        <v>8</v>
      </c>
      <c r="I1277" s="16">
        <v>3756.9758000000002</v>
      </c>
    </row>
    <row r="1278" spans="1:9" x14ac:dyDescent="0.3">
      <c r="A1278" s="1">
        <v>46253</v>
      </c>
      <c r="B1278">
        <v>5</v>
      </c>
      <c r="C1278" t="s">
        <v>10659</v>
      </c>
      <c r="D1278" t="s">
        <v>10</v>
      </c>
      <c r="E1278" t="s">
        <v>90</v>
      </c>
      <c r="F1278" t="s">
        <v>91</v>
      </c>
      <c r="G1278" s="16">
        <v>50.255000000000003</v>
      </c>
      <c r="H1278" t="s">
        <v>8</v>
      </c>
      <c r="I1278" s="16">
        <v>43.7</v>
      </c>
    </row>
    <row r="1279" spans="1:9" x14ac:dyDescent="0.3">
      <c r="A1279" s="1">
        <v>46253</v>
      </c>
      <c r="B1279">
        <v>5</v>
      </c>
      <c r="C1279" t="s">
        <v>10749</v>
      </c>
      <c r="D1279" t="s">
        <v>10</v>
      </c>
      <c r="E1279" t="s">
        <v>69</v>
      </c>
      <c r="F1279" t="s">
        <v>70</v>
      </c>
      <c r="G1279" s="16">
        <v>2875.6095999999998</v>
      </c>
      <c r="H1279" t="s">
        <v>8</v>
      </c>
      <c r="I1279" s="16">
        <v>2500.5300000000002</v>
      </c>
    </row>
    <row r="1280" spans="1:9" x14ac:dyDescent="0.3">
      <c r="A1280" s="1">
        <v>46253</v>
      </c>
      <c r="B1280">
        <v>5</v>
      </c>
      <c r="C1280" t="s">
        <v>11319</v>
      </c>
      <c r="D1280" t="s">
        <v>10</v>
      </c>
      <c r="E1280" t="s">
        <v>57</v>
      </c>
      <c r="F1280" t="s">
        <v>58</v>
      </c>
      <c r="G1280" s="16">
        <v>2087.8249999999998</v>
      </c>
      <c r="H1280" t="s">
        <v>8</v>
      </c>
      <c r="I1280" s="16">
        <v>1815.5</v>
      </c>
    </row>
    <row r="1281" spans="1:9" x14ac:dyDescent="0.3">
      <c r="A1281" s="1">
        <v>46253</v>
      </c>
      <c r="B1281">
        <v>5</v>
      </c>
      <c r="C1281" t="s">
        <v>10113</v>
      </c>
      <c r="D1281" t="s">
        <v>169</v>
      </c>
      <c r="E1281" t="s">
        <v>135</v>
      </c>
      <c r="F1281" t="s">
        <v>136</v>
      </c>
      <c r="G1281" s="16">
        <v>29.497499999999999</v>
      </c>
      <c r="H1281" t="s">
        <v>8</v>
      </c>
      <c r="I1281" s="16">
        <v>25.65</v>
      </c>
    </row>
    <row r="1282" spans="1:9" x14ac:dyDescent="0.3">
      <c r="A1282" s="1">
        <v>46253</v>
      </c>
      <c r="B1282">
        <v>5</v>
      </c>
      <c r="C1282" t="s">
        <v>10291</v>
      </c>
      <c r="D1282" t="s">
        <v>38</v>
      </c>
      <c r="E1282" t="s">
        <v>75</v>
      </c>
      <c r="F1282" t="s">
        <v>76</v>
      </c>
      <c r="G1282" s="16">
        <v>267.6146</v>
      </c>
      <c r="H1282" t="s">
        <v>8</v>
      </c>
      <c r="I1282" s="16">
        <v>232.70832999999999</v>
      </c>
    </row>
    <row r="1283" spans="1:9" x14ac:dyDescent="0.3">
      <c r="A1283" s="1">
        <v>46253</v>
      </c>
      <c r="B1283">
        <v>5</v>
      </c>
      <c r="C1283" t="s">
        <v>10033</v>
      </c>
      <c r="D1283" t="s">
        <v>10</v>
      </c>
      <c r="E1283" t="s">
        <v>130</v>
      </c>
      <c r="F1283" t="s">
        <v>131</v>
      </c>
      <c r="G1283" s="16">
        <v>69.057500000000005</v>
      </c>
      <c r="H1283" t="s">
        <v>8</v>
      </c>
      <c r="I1283" s="16">
        <v>60.05</v>
      </c>
    </row>
    <row r="1284" spans="1:9" x14ac:dyDescent="0.3">
      <c r="A1284" s="1">
        <v>46253</v>
      </c>
      <c r="B1284">
        <v>5</v>
      </c>
      <c r="C1284" t="s">
        <v>9798</v>
      </c>
      <c r="D1284" t="s">
        <v>10</v>
      </c>
      <c r="E1284" t="s">
        <v>109</v>
      </c>
      <c r="F1284" t="s">
        <v>110</v>
      </c>
      <c r="G1284" s="16">
        <v>83.961500000000001</v>
      </c>
      <c r="H1284" t="s">
        <v>8</v>
      </c>
      <c r="I1284" s="16">
        <v>73.010000000000005</v>
      </c>
    </row>
    <row r="1285" spans="1:9" x14ac:dyDescent="0.3">
      <c r="A1285" s="1">
        <v>46253</v>
      </c>
      <c r="B1285">
        <v>5</v>
      </c>
      <c r="C1285" t="s">
        <v>10726</v>
      </c>
      <c r="D1285" t="s">
        <v>2467</v>
      </c>
      <c r="E1285" t="s">
        <v>2241</v>
      </c>
      <c r="F1285" t="s">
        <v>2474</v>
      </c>
      <c r="G1285" s="16">
        <v>8168.3813</v>
      </c>
      <c r="H1285" t="s">
        <v>8</v>
      </c>
      <c r="I1285" s="16">
        <v>7102.9404000000004</v>
      </c>
    </row>
    <row r="1286" spans="1:9" x14ac:dyDescent="0.3">
      <c r="A1286" s="1">
        <v>46253</v>
      </c>
      <c r="B1286">
        <v>5</v>
      </c>
      <c r="C1286" t="s">
        <v>10663</v>
      </c>
      <c r="D1286" t="s">
        <v>10</v>
      </c>
      <c r="E1286" t="s">
        <v>1593</v>
      </c>
      <c r="F1286" t="s">
        <v>1594</v>
      </c>
      <c r="G1286" s="16">
        <v>193.48750000000001</v>
      </c>
      <c r="H1286" t="s">
        <v>8</v>
      </c>
      <c r="I1286" s="16">
        <v>168.25</v>
      </c>
    </row>
    <row r="1287" spans="1:9" x14ac:dyDescent="0.3">
      <c r="A1287" s="1">
        <v>46253</v>
      </c>
      <c r="B1287">
        <v>5</v>
      </c>
      <c r="C1287" t="s">
        <v>10627</v>
      </c>
      <c r="D1287" t="s">
        <v>10</v>
      </c>
      <c r="E1287" t="s">
        <v>562</v>
      </c>
      <c r="F1287" t="s">
        <v>563</v>
      </c>
      <c r="G1287" s="16">
        <v>3372.2175000000002</v>
      </c>
      <c r="H1287" t="s">
        <v>8</v>
      </c>
      <c r="I1287" s="16">
        <v>2932.3629999999998</v>
      </c>
    </row>
    <row r="1288" spans="1:9" x14ac:dyDescent="0.3">
      <c r="A1288" s="1">
        <v>46253</v>
      </c>
      <c r="B1288">
        <v>5</v>
      </c>
      <c r="C1288" t="s">
        <v>11320</v>
      </c>
      <c r="D1288" t="s">
        <v>2467</v>
      </c>
      <c r="E1288" t="s">
        <v>75</v>
      </c>
      <c r="F1288" t="s">
        <v>76</v>
      </c>
      <c r="G1288" s="16">
        <v>754.68133999999998</v>
      </c>
      <c r="H1288" t="s">
        <v>8</v>
      </c>
      <c r="I1288" s="16">
        <v>656.24469999999997</v>
      </c>
    </row>
    <row r="1289" spans="1:9" x14ac:dyDescent="0.3">
      <c r="A1289" s="1">
        <v>46253</v>
      </c>
      <c r="B1289">
        <v>5</v>
      </c>
      <c r="C1289" t="s">
        <v>10688</v>
      </c>
      <c r="D1289" t="s">
        <v>10</v>
      </c>
      <c r="E1289" t="s">
        <v>1161</v>
      </c>
      <c r="F1289" t="s">
        <v>1162</v>
      </c>
      <c r="G1289" s="16">
        <v>2796.8</v>
      </c>
      <c r="H1289" t="s">
        <v>8</v>
      </c>
      <c r="I1289" s="16">
        <v>2432</v>
      </c>
    </row>
    <row r="1290" spans="1:9" x14ac:dyDescent="0.3">
      <c r="A1290" s="1">
        <v>46253</v>
      </c>
      <c r="B1290">
        <v>5</v>
      </c>
      <c r="C1290" t="s">
        <v>10617</v>
      </c>
      <c r="D1290" t="s">
        <v>10</v>
      </c>
      <c r="E1290" t="s">
        <v>173</v>
      </c>
      <c r="F1290" t="s">
        <v>174</v>
      </c>
      <c r="G1290" s="16">
        <v>1757.7405000000001</v>
      </c>
      <c r="H1290" t="s">
        <v>8</v>
      </c>
      <c r="I1290" s="16">
        <v>1528.47</v>
      </c>
    </row>
    <row r="1291" spans="1:9" x14ac:dyDescent="0.3">
      <c r="A1291" s="1">
        <v>46253</v>
      </c>
      <c r="B1291">
        <v>5</v>
      </c>
      <c r="C1291" t="s">
        <v>10682</v>
      </c>
      <c r="D1291" t="s">
        <v>10</v>
      </c>
      <c r="E1291" t="s">
        <v>5199</v>
      </c>
      <c r="F1291" t="s">
        <v>5200</v>
      </c>
      <c r="G1291" s="16">
        <v>743.90520000000004</v>
      </c>
      <c r="H1291" t="s">
        <v>8</v>
      </c>
      <c r="I1291" s="16">
        <v>646.8741</v>
      </c>
    </row>
    <row r="1292" spans="1:9" x14ac:dyDescent="0.3">
      <c r="A1292" s="1">
        <v>46253</v>
      </c>
      <c r="B1292">
        <v>5</v>
      </c>
      <c r="C1292" t="s">
        <v>10036</v>
      </c>
      <c r="D1292" t="s">
        <v>10</v>
      </c>
      <c r="E1292" t="s">
        <v>2976</v>
      </c>
      <c r="F1292" t="s">
        <v>2977</v>
      </c>
      <c r="G1292" s="16">
        <v>47.15</v>
      </c>
      <c r="H1292" t="s">
        <v>8</v>
      </c>
      <c r="I1292" s="16">
        <v>41</v>
      </c>
    </row>
    <row r="1293" spans="1:9" x14ac:dyDescent="0.3">
      <c r="A1293" s="1">
        <v>46253</v>
      </c>
      <c r="B1293">
        <v>5</v>
      </c>
      <c r="C1293" t="s">
        <v>10251</v>
      </c>
      <c r="D1293" t="s">
        <v>38</v>
      </c>
      <c r="E1293" t="s">
        <v>93</v>
      </c>
      <c r="F1293" t="s">
        <v>94</v>
      </c>
      <c r="G1293" s="16">
        <v>97.635000000000005</v>
      </c>
      <c r="H1293" t="s">
        <v>8</v>
      </c>
      <c r="I1293" s="16">
        <v>84.9</v>
      </c>
    </row>
    <row r="1294" spans="1:9" x14ac:dyDescent="0.3">
      <c r="A1294" s="1">
        <v>46253</v>
      </c>
      <c r="B1294">
        <v>5</v>
      </c>
      <c r="C1294" t="s">
        <v>10652</v>
      </c>
      <c r="D1294" t="s">
        <v>10</v>
      </c>
      <c r="E1294" t="s">
        <v>2943</v>
      </c>
      <c r="F1294" t="s">
        <v>2944</v>
      </c>
      <c r="G1294" s="16">
        <v>761.58749999999998</v>
      </c>
      <c r="H1294" t="s">
        <v>8</v>
      </c>
      <c r="I1294" s="16">
        <v>662.25</v>
      </c>
    </row>
    <row r="1295" spans="1:9" x14ac:dyDescent="0.3">
      <c r="A1295" s="1">
        <v>46253</v>
      </c>
      <c r="B1295">
        <v>5</v>
      </c>
      <c r="C1295" t="s">
        <v>10680</v>
      </c>
      <c r="D1295" t="s">
        <v>10</v>
      </c>
      <c r="E1295" t="s">
        <v>133</v>
      </c>
      <c r="F1295" t="s">
        <v>134</v>
      </c>
      <c r="G1295" s="16">
        <v>202.02475000000001</v>
      </c>
      <c r="H1295" t="s">
        <v>8</v>
      </c>
      <c r="I1295" s="16">
        <v>175.6737</v>
      </c>
    </row>
    <row r="1296" spans="1:9" x14ac:dyDescent="0.3">
      <c r="A1296" s="1">
        <v>46253</v>
      </c>
      <c r="B1296">
        <v>5</v>
      </c>
      <c r="C1296" t="s">
        <v>10685</v>
      </c>
      <c r="D1296" t="s">
        <v>10</v>
      </c>
      <c r="E1296" t="s">
        <v>929</v>
      </c>
      <c r="F1296" t="s">
        <v>930</v>
      </c>
      <c r="G1296" s="16">
        <v>23.00778</v>
      </c>
      <c r="H1296" t="s">
        <v>8</v>
      </c>
      <c r="I1296" s="16">
        <v>20.00676</v>
      </c>
    </row>
    <row r="1297" spans="1:9" x14ac:dyDescent="0.3">
      <c r="A1297" s="1">
        <v>46253</v>
      </c>
      <c r="B1297">
        <v>5</v>
      </c>
      <c r="C1297" t="s">
        <v>8726</v>
      </c>
      <c r="D1297" t="s">
        <v>38</v>
      </c>
      <c r="E1297" t="s">
        <v>116</v>
      </c>
      <c r="F1297" t="s">
        <v>117</v>
      </c>
      <c r="G1297" s="16">
        <v>2101.0662000000002</v>
      </c>
      <c r="H1297" t="s">
        <v>8</v>
      </c>
      <c r="I1297" s="16">
        <v>1827.0139999999999</v>
      </c>
    </row>
    <row r="1298" spans="1:9" x14ac:dyDescent="0.3">
      <c r="A1298" s="1">
        <v>46254</v>
      </c>
      <c r="B1298">
        <v>4</v>
      </c>
      <c r="C1298" t="s">
        <v>10824</v>
      </c>
      <c r="D1298" t="s">
        <v>10</v>
      </c>
      <c r="E1298" t="s">
        <v>102</v>
      </c>
      <c r="F1298" t="s">
        <v>103</v>
      </c>
      <c r="G1298" s="16">
        <v>154.73249999999999</v>
      </c>
      <c r="H1298" t="s">
        <v>8</v>
      </c>
      <c r="I1298" s="16">
        <v>134.55000000000001</v>
      </c>
    </row>
    <row r="1299" spans="1:9" x14ac:dyDescent="0.3">
      <c r="A1299" s="1">
        <v>46254</v>
      </c>
      <c r="B1299">
        <v>4</v>
      </c>
      <c r="C1299" t="s">
        <v>10790</v>
      </c>
      <c r="D1299" t="s">
        <v>38</v>
      </c>
      <c r="E1299" t="s">
        <v>88</v>
      </c>
      <c r="F1299" t="s">
        <v>89</v>
      </c>
      <c r="G1299" s="16">
        <v>424.52249999999998</v>
      </c>
      <c r="H1299" t="s">
        <v>8</v>
      </c>
      <c r="I1299" s="16">
        <v>369.15</v>
      </c>
    </row>
    <row r="1300" spans="1:9" x14ac:dyDescent="0.3">
      <c r="A1300" s="1">
        <v>46254</v>
      </c>
      <c r="B1300">
        <v>4</v>
      </c>
      <c r="C1300" t="s">
        <v>10718</v>
      </c>
      <c r="D1300" t="s">
        <v>10</v>
      </c>
      <c r="E1300" t="s">
        <v>141</v>
      </c>
      <c r="F1300" t="s">
        <v>142</v>
      </c>
      <c r="G1300" s="16">
        <v>226.87200000000001</v>
      </c>
      <c r="H1300" t="s">
        <v>8</v>
      </c>
      <c r="I1300" s="16">
        <v>197.28</v>
      </c>
    </row>
    <row r="1301" spans="1:9" x14ac:dyDescent="0.3">
      <c r="A1301" s="1">
        <v>46254</v>
      </c>
      <c r="B1301">
        <v>4</v>
      </c>
      <c r="C1301" t="s">
        <v>10793</v>
      </c>
      <c r="D1301" t="s">
        <v>38</v>
      </c>
      <c r="E1301" t="s">
        <v>582</v>
      </c>
      <c r="F1301" t="s">
        <v>583</v>
      </c>
      <c r="G1301" s="16">
        <v>9122.8009999999995</v>
      </c>
      <c r="H1301" t="s">
        <v>8</v>
      </c>
      <c r="I1301" s="16">
        <v>7932.87</v>
      </c>
    </row>
    <row r="1302" spans="1:9" x14ac:dyDescent="0.3">
      <c r="A1302" s="1">
        <v>46254</v>
      </c>
      <c r="B1302">
        <v>4</v>
      </c>
      <c r="C1302" t="s">
        <v>10819</v>
      </c>
      <c r="D1302" t="s">
        <v>10</v>
      </c>
      <c r="E1302" t="s">
        <v>39</v>
      </c>
      <c r="F1302" t="s">
        <v>40</v>
      </c>
      <c r="G1302" s="16">
        <v>2244.0383000000002</v>
      </c>
      <c r="H1302" t="s">
        <v>8</v>
      </c>
      <c r="I1302" s="16">
        <v>1951.3378</v>
      </c>
    </row>
    <row r="1303" spans="1:9" x14ac:dyDescent="0.3">
      <c r="A1303" s="1">
        <v>46254</v>
      </c>
      <c r="B1303">
        <v>4</v>
      </c>
      <c r="C1303" t="s">
        <v>11321</v>
      </c>
      <c r="D1303" t="s">
        <v>2467</v>
      </c>
      <c r="E1303" t="s">
        <v>9361</v>
      </c>
      <c r="F1303" t="s">
        <v>9362</v>
      </c>
      <c r="G1303" s="16">
        <v>226.12200000000001</v>
      </c>
      <c r="H1303" t="s">
        <v>8</v>
      </c>
      <c r="I1303" s="16">
        <v>196.62782000000001</v>
      </c>
    </row>
    <row r="1304" spans="1:9" x14ac:dyDescent="0.3">
      <c r="A1304" s="1">
        <v>46254</v>
      </c>
      <c r="B1304">
        <v>4</v>
      </c>
      <c r="C1304" t="s">
        <v>10756</v>
      </c>
      <c r="D1304" t="s">
        <v>38</v>
      </c>
      <c r="E1304" t="s">
        <v>401</v>
      </c>
      <c r="F1304" t="s">
        <v>402</v>
      </c>
      <c r="G1304" s="16">
        <v>20.125</v>
      </c>
      <c r="H1304" t="s">
        <v>8</v>
      </c>
      <c r="I1304" s="16">
        <v>17.5</v>
      </c>
    </row>
    <row r="1305" spans="1:9" x14ac:dyDescent="0.3">
      <c r="A1305" s="1">
        <v>46254</v>
      </c>
      <c r="B1305">
        <v>4</v>
      </c>
      <c r="C1305" t="s">
        <v>10873</v>
      </c>
      <c r="D1305" t="s">
        <v>2460</v>
      </c>
      <c r="E1305" t="s">
        <v>8397</v>
      </c>
      <c r="F1305" t="s">
        <v>8398</v>
      </c>
      <c r="G1305" s="16">
        <v>2695.6</v>
      </c>
      <c r="H1305" t="s">
        <v>8</v>
      </c>
      <c r="I1305" s="16">
        <v>2344</v>
      </c>
    </row>
    <row r="1306" spans="1:9" x14ac:dyDescent="0.3">
      <c r="A1306" s="1">
        <v>46254</v>
      </c>
      <c r="B1306">
        <v>4</v>
      </c>
      <c r="C1306" t="s">
        <v>10239</v>
      </c>
      <c r="D1306" t="s">
        <v>38</v>
      </c>
      <c r="E1306" t="s">
        <v>8711</v>
      </c>
      <c r="F1306" t="s">
        <v>8712</v>
      </c>
      <c r="G1306" s="16">
        <v>25.3</v>
      </c>
      <c r="H1306" t="s">
        <v>8</v>
      </c>
      <c r="I1306" s="16">
        <v>22</v>
      </c>
    </row>
    <row r="1307" spans="1:9" x14ac:dyDescent="0.3">
      <c r="A1307" s="1">
        <v>46254</v>
      </c>
      <c r="B1307">
        <v>4</v>
      </c>
      <c r="C1307" t="s">
        <v>10820</v>
      </c>
      <c r="D1307" t="s">
        <v>10</v>
      </c>
      <c r="E1307" t="s">
        <v>141</v>
      </c>
      <c r="F1307" t="s">
        <v>142</v>
      </c>
      <c r="G1307" s="16">
        <v>62.157499999999999</v>
      </c>
      <c r="H1307" t="s">
        <v>8</v>
      </c>
      <c r="I1307" s="16">
        <v>54.05</v>
      </c>
    </row>
    <row r="1308" spans="1:9" x14ac:dyDescent="0.3">
      <c r="A1308" s="1">
        <v>46254</v>
      </c>
      <c r="B1308">
        <v>4</v>
      </c>
      <c r="C1308" t="s">
        <v>10751</v>
      </c>
      <c r="D1308" t="s">
        <v>38</v>
      </c>
      <c r="E1308" t="s">
        <v>444</v>
      </c>
      <c r="F1308" t="s">
        <v>445</v>
      </c>
      <c r="G1308" s="16">
        <v>102.85599999999999</v>
      </c>
      <c r="H1308" t="s">
        <v>8</v>
      </c>
      <c r="I1308" s="16">
        <v>89.44</v>
      </c>
    </row>
    <row r="1309" spans="1:9" x14ac:dyDescent="0.3">
      <c r="A1309" s="1">
        <v>46254</v>
      </c>
      <c r="B1309">
        <v>4</v>
      </c>
      <c r="C1309" t="s">
        <v>10887</v>
      </c>
      <c r="D1309" t="s">
        <v>2467</v>
      </c>
      <c r="E1309" t="s">
        <v>9361</v>
      </c>
      <c r="F1309" t="s">
        <v>9362</v>
      </c>
      <c r="G1309" s="16">
        <v>76.601500000000001</v>
      </c>
      <c r="H1309" t="s">
        <v>8</v>
      </c>
      <c r="I1309" s="16">
        <v>66.61</v>
      </c>
    </row>
    <row r="1310" spans="1:9" x14ac:dyDescent="0.3">
      <c r="A1310" s="1">
        <v>46254</v>
      </c>
      <c r="B1310">
        <v>4</v>
      </c>
      <c r="C1310" t="s">
        <v>10807</v>
      </c>
      <c r="D1310" t="s">
        <v>10</v>
      </c>
      <c r="E1310" t="s">
        <v>9689</v>
      </c>
      <c r="F1310" t="s">
        <v>9690</v>
      </c>
      <c r="G1310" s="16">
        <v>283.56700000000001</v>
      </c>
      <c r="H1310" t="s">
        <v>8</v>
      </c>
      <c r="I1310" s="16">
        <v>246.58</v>
      </c>
    </row>
    <row r="1311" spans="1:9" x14ac:dyDescent="0.3">
      <c r="A1311" s="1">
        <v>46254</v>
      </c>
      <c r="B1311">
        <v>4</v>
      </c>
      <c r="C1311" t="s">
        <v>10875</v>
      </c>
      <c r="D1311" t="s">
        <v>2467</v>
      </c>
      <c r="E1311" t="s">
        <v>2326</v>
      </c>
      <c r="F1311" t="s">
        <v>2327</v>
      </c>
      <c r="G1311" s="16">
        <v>4180.25</v>
      </c>
      <c r="H1311" t="s">
        <v>8</v>
      </c>
      <c r="I1311" s="16">
        <v>3635</v>
      </c>
    </row>
    <row r="1312" spans="1:9" x14ac:dyDescent="0.3">
      <c r="A1312" s="1">
        <v>46254</v>
      </c>
      <c r="B1312">
        <v>4</v>
      </c>
      <c r="C1312" t="s">
        <v>10770</v>
      </c>
      <c r="D1312" t="s">
        <v>10</v>
      </c>
      <c r="E1312" t="s">
        <v>173</v>
      </c>
      <c r="F1312" t="s">
        <v>174</v>
      </c>
      <c r="G1312" s="16">
        <v>2058.0859999999998</v>
      </c>
      <c r="H1312" t="s">
        <v>8</v>
      </c>
      <c r="I1312" s="16">
        <v>1789.64</v>
      </c>
    </row>
    <row r="1313" spans="1:9" x14ac:dyDescent="0.3">
      <c r="A1313" s="1">
        <v>46254</v>
      </c>
      <c r="B1313">
        <v>4</v>
      </c>
      <c r="C1313" t="s">
        <v>10757</v>
      </c>
      <c r="D1313" t="s">
        <v>10</v>
      </c>
      <c r="E1313" t="s">
        <v>635</v>
      </c>
      <c r="F1313" t="s">
        <v>636</v>
      </c>
      <c r="G1313" s="16">
        <v>1.7250000000000001</v>
      </c>
      <c r="H1313" t="s">
        <v>8</v>
      </c>
      <c r="I1313" s="16">
        <v>1.5</v>
      </c>
    </row>
    <row r="1314" spans="1:9" x14ac:dyDescent="0.3">
      <c r="A1314" s="1">
        <v>46254</v>
      </c>
      <c r="B1314">
        <v>4</v>
      </c>
      <c r="C1314" t="s">
        <v>10038</v>
      </c>
      <c r="D1314" t="s">
        <v>10</v>
      </c>
      <c r="E1314" t="s">
        <v>116</v>
      </c>
      <c r="F1314" t="s">
        <v>117</v>
      </c>
      <c r="G1314" s="16">
        <v>1281.0597</v>
      </c>
      <c r="H1314" t="s">
        <v>8</v>
      </c>
      <c r="I1314" s="16">
        <v>1113.9649999999999</v>
      </c>
    </row>
    <row r="1315" spans="1:9" x14ac:dyDescent="0.3">
      <c r="A1315" s="1">
        <v>46254</v>
      </c>
      <c r="B1315">
        <v>4</v>
      </c>
      <c r="C1315" t="s">
        <v>10774</v>
      </c>
      <c r="D1315" t="s">
        <v>38</v>
      </c>
      <c r="E1315" t="s">
        <v>329</v>
      </c>
      <c r="F1315" t="s">
        <v>10773</v>
      </c>
      <c r="G1315" s="16">
        <v>175.95</v>
      </c>
      <c r="H1315" t="s">
        <v>8</v>
      </c>
      <c r="I1315" s="16">
        <v>153</v>
      </c>
    </row>
    <row r="1316" spans="1:9" x14ac:dyDescent="0.3">
      <c r="A1316" s="1">
        <v>46254</v>
      </c>
      <c r="B1316">
        <v>4</v>
      </c>
      <c r="C1316" t="s">
        <v>10775</v>
      </c>
      <c r="D1316" t="s">
        <v>10</v>
      </c>
      <c r="E1316" t="s">
        <v>53</v>
      </c>
      <c r="F1316" t="s">
        <v>54</v>
      </c>
      <c r="G1316" s="16">
        <v>134.26249999999999</v>
      </c>
      <c r="H1316" t="s">
        <v>8</v>
      </c>
      <c r="I1316" s="16">
        <v>116.75</v>
      </c>
    </row>
    <row r="1317" spans="1:9" x14ac:dyDescent="0.3">
      <c r="A1317" s="1">
        <v>46254</v>
      </c>
      <c r="B1317">
        <v>4</v>
      </c>
      <c r="C1317" t="s">
        <v>10808</v>
      </c>
      <c r="D1317" t="s">
        <v>10</v>
      </c>
      <c r="E1317" t="s">
        <v>613</v>
      </c>
      <c r="F1317" t="s">
        <v>614</v>
      </c>
      <c r="G1317" s="16">
        <v>238.07300000000001</v>
      </c>
      <c r="H1317" t="s">
        <v>8</v>
      </c>
      <c r="I1317" s="16">
        <v>207.02</v>
      </c>
    </row>
    <row r="1318" spans="1:9" x14ac:dyDescent="0.3">
      <c r="A1318" s="1">
        <v>46254</v>
      </c>
      <c r="B1318">
        <v>4</v>
      </c>
      <c r="C1318" t="s">
        <v>10185</v>
      </c>
      <c r="D1318" t="s">
        <v>38</v>
      </c>
      <c r="E1318" t="s">
        <v>204</v>
      </c>
      <c r="F1318" t="s">
        <v>205</v>
      </c>
      <c r="G1318" s="16">
        <v>365.20850000000002</v>
      </c>
      <c r="H1318" t="s">
        <v>8</v>
      </c>
      <c r="I1318" s="16">
        <v>317.57260000000002</v>
      </c>
    </row>
    <row r="1319" spans="1:9" x14ac:dyDescent="0.3">
      <c r="A1319" s="1">
        <v>46254</v>
      </c>
      <c r="B1319">
        <v>4</v>
      </c>
      <c r="C1319" t="s">
        <v>9119</v>
      </c>
      <c r="D1319" t="s">
        <v>10</v>
      </c>
      <c r="E1319" t="s">
        <v>116</v>
      </c>
      <c r="F1319" t="s">
        <v>117</v>
      </c>
      <c r="G1319" s="16">
        <v>1032.0605</v>
      </c>
      <c r="H1319" t="s">
        <v>8</v>
      </c>
      <c r="I1319" s="16">
        <v>897.44399999999996</v>
      </c>
    </row>
    <row r="1320" spans="1:9" x14ac:dyDescent="0.3">
      <c r="A1320" s="1">
        <v>46254</v>
      </c>
      <c r="B1320">
        <v>4</v>
      </c>
      <c r="C1320" t="s">
        <v>10805</v>
      </c>
      <c r="D1320" t="s">
        <v>38</v>
      </c>
      <c r="E1320" t="s">
        <v>204</v>
      </c>
      <c r="F1320" t="s">
        <v>205</v>
      </c>
      <c r="G1320" s="16">
        <v>756.36400000000003</v>
      </c>
      <c r="H1320" t="s">
        <v>8</v>
      </c>
      <c r="I1320" s="16">
        <v>657.70780000000002</v>
      </c>
    </row>
    <row r="1321" spans="1:9" x14ac:dyDescent="0.3">
      <c r="A1321" s="1">
        <v>46254</v>
      </c>
      <c r="B1321">
        <v>4</v>
      </c>
      <c r="C1321" t="s">
        <v>10881</v>
      </c>
      <c r="D1321" t="s">
        <v>10868</v>
      </c>
      <c r="E1321" t="s">
        <v>10863</v>
      </c>
      <c r="F1321" t="s">
        <v>10864</v>
      </c>
      <c r="G1321" s="16">
        <v>51437.188000000002</v>
      </c>
      <c r="H1321" t="s">
        <v>8</v>
      </c>
      <c r="I1321" s="16">
        <v>51437.188000000002</v>
      </c>
    </row>
    <row r="1322" spans="1:9" x14ac:dyDescent="0.3">
      <c r="A1322" s="1">
        <v>46254</v>
      </c>
      <c r="B1322">
        <v>4</v>
      </c>
      <c r="C1322" t="s">
        <v>10821</v>
      </c>
      <c r="D1322" t="s">
        <v>38</v>
      </c>
      <c r="E1322" t="s">
        <v>832</v>
      </c>
      <c r="F1322" t="s">
        <v>833</v>
      </c>
      <c r="G1322" s="16">
        <v>50.37</v>
      </c>
      <c r="H1322" t="s">
        <v>8</v>
      </c>
      <c r="I1322" s="16">
        <v>43.8</v>
      </c>
    </row>
    <row r="1323" spans="1:9" x14ac:dyDescent="0.3">
      <c r="A1323" s="1">
        <v>46254</v>
      </c>
      <c r="B1323">
        <v>4</v>
      </c>
      <c r="C1323" t="s">
        <v>10871</v>
      </c>
      <c r="D1323" t="s">
        <v>2463</v>
      </c>
      <c r="E1323" t="s">
        <v>75</v>
      </c>
      <c r="F1323" t="s">
        <v>76</v>
      </c>
      <c r="G1323" s="16">
        <v>1066.05</v>
      </c>
      <c r="H1323" t="s">
        <v>8</v>
      </c>
      <c r="I1323" s="16">
        <v>927</v>
      </c>
    </row>
    <row r="1324" spans="1:9" x14ac:dyDescent="0.3">
      <c r="A1324" s="1">
        <v>46254</v>
      </c>
      <c r="B1324">
        <v>4</v>
      </c>
      <c r="C1324" t="s">
        <v>10889</v>
      </c>
      <c r="D1324" t="s">
        <v>2460</v>
      </c>
      <c r="E1324" t="s">
        <v>9050</v>
      </c>
      <c r="F1324" t="s">
        <v>9258</v>
      </c>
      <c r="G1324" s="16">
        <v>4242.1880000000001</v>
      </c>
      <c r="H1324" t="s">
        <v>8</v>
      </c>
      <c r="I1324" s="16">
        <v>3688.8591000000001</v>
      </c>
    </row>
    <row r="1325" spans="1:9" x14ac:dyDescent="0.3">
      <c r="A1325" s="1">
        <v>46254</v>
      </c>
      <c r="B1325">
        <v>4</v>
      </c>
      <c r="C1325" t="s">
        <v>10891</v>
      </c>
      <c r="D1325" t="s">
        <v>2460</v>
      </c>
      <c r="E1325" t="s">
        <v>7912</v>
      </c>
      <c r="F1325" t="s">
        <v>7913</v>
      </c>
      <c r="G1325" s="16">
        <v>724.5</v>
      </c>
      <c r="H1325" t="s">
        <v>8</v>
      </c>
      <c r="I1325" s="16">
        <v>630</v>
      </c>
    </row>
    <row r="1326" spans="1:9" x14ac:dyDescent="0.3">
      <c r="A1326" s="1">
        <v>46254</v>
      </c>
      <c r="B1326">
        <v>4</v>
      </c>
      <c r="C1326" t="s">
        <v>10877</v>
      </c>
      <c r="D1326" t="s">
        <v>2460</v>
      </c>
      <c r="E1326" t="s">
        <v>197</v>
      </c>
      <c r="F1326" t="s">
        <v>198</v>
      </c>
      <c r="G1326" s="16">
        <v>103.5</v>
      </c>
      <c r="H1326" t="s">
        <v>8</v>
      </c>
      <c r="I1326" s="16">
        <v>90</v>
      </c>
    </row>
    <row r="1327" spans="1:9" x14ac:dyDescent="0.3">
      <c r="A1327" s="1">
        <v>46254</v>
      </c>
      <c r="B1327">
        <v>4</v>
      </c>
      <c r="C1327" t="s">
        <v>10884</v>
      </c>
      <c r="D1327" t="s">
        <v>10868</v>
      </c>
      <c r="E1327" t="s">
        <v>10863</v>
      </c>
      <c r="F1327" t="s">
        <v>10864</v>
      </c>
      <c r="G1327" s="16">
        <v>15010.72</v>
      </c>
      <c r="H1327" t="s">
        <v>8</v>
      </c>
      <c r="I1327" s="16">
        <v>15010.72</v>
      </c>
    </row>
    <row r="1328" spans="1:9" x14ac:dyDescent="0.3">
      <c r="A1328" s="1">
        <v>46254</v>
      </c>
      <c r="B1328">
        <v>4</v>
      </c>
      <c r="C1328" t="s">
        <v>8668</v>
      </c>
      <c r="D1328" t="s">
        <v>10</v>
      </c>
      <c r="E1328" t="s">
        <v>116</v>
      </c>
      <c r="F1328" t="s">
        <v>117</v>
      </c>
      <c r="G1328" s="16">
        <v>2630.3926000000001</v>
      </c>
      <c r="H1328" t="s">
        <v>8</v>
      </c>
      <c r="I1328" s="16">
        <v>2287.2979999999998</v>
      </c>
    </row>
    <row r="1329" spans="1:9" x14ac:dyDescent="0.3">
      <c r="A1329" s="1">
        <v>46254</v>
      </c>
      <c r="B1329">
        <v>4</v>
      </c>
      <c r="C1329" t="s">
        <v>10885</v>
      </c>
      <c r="D1329" t="s">
        <v>10868</v>
      </c>
      <c r="E1329" t="s">
        <v>10863</v>
      </c>
      <c r="F1329" t="s">
        <v>10864</v>
      </c>
      <c r="G1329" s="16">
        <v>2621.6752999999999</v>
      </c>
      <c r="H1329" t="s">
        <v>8</v>
      </c>
      <c r="I1329" s="16">
        <v>2621.6752999999999</v>
      </c>
    </row>
    <row r="1330" spans="1:9" x14ac:dyDescent="0.3">
      <c r="A1330" s="1">
        <v>46254</v>
      </c>
      <c r="B1330">
        <v>4</v>
      </c>
      <c r="C1330" t="s">
        <v>10880</v>
      </c>
      <c r="D1330" t="s">
        <v>10868</v>
      </c>
      <c r="E1330" t="s">
        <v>10863</v>
      </c>
      <c r="F1330" t="s">
        <v>10864</v>
      </c>
      <c r="G1330" s="16">
        <v>16993.328000000001</v>
      </c>
      <c r="H1330" t="s">
        <v>8</v>
      </c>
      <c r="I1330" s="16">
        <v>16993.328000000001</v>
      </c>
    </row>
    <row r="1331" spans="1:9" x14ac:dyDescent="0.3">
      <c r="A1331" s="1">
        <v>46254</v>
      </c>
      <c r="B1331">
        <v>4</v>
      </c>
      <c r="C1331" t="s">
        <v>10783</v>
      </c>
      <c r="D1331" t="s">
        <v>10</v>
      </c>
      <c r="E1331" t="s">
        <v>69</v>
      </c>
      <c r="F1331" t="s">
        <v>70</v>
      </c>
      <c r="G1331" s="16">
        <v>3673.0079999999998</v>
      </c>
      <c r="H1331" t="s">
        <v>8</v>
      </c>
      <c r="I1331" s="16">
        <v>3193.92</v>
      </c>
    </row>
    <row r="1332" spans="1:9" x14ac:dyDescent="0.3">
      <c r="A1332" s="1">
        <v>46254</v>
      </c>
      <c r="B1332">
        <v>4</v>
      </c>
      <c r="C1332" t="s">
        <v>10758</v>
      </c>
      <c r="D1332" t="s">
        <v>38</v>
      </c>
      <c r="E1332" t="s">
        <v>886</v>
      </c>
      <c r="F1332" t="s">
        <v>887</v>
      </c>
      <c r="G1332" s="16">
        <v>8093.585</v>
      </c>
      <c r="H1332" t="s">
        <v>8</v>
      </c>
      <c r="I1332" s="16">
        <v>7037.9</v>
      </c>
    </row>
    <row r="1333" spans="1:9" x14ac:dyDescent="0.3">
      <c r="A1333" s="1">
        <v>46254</v>
      </c>
      <c r="B1333">
        <v>4</v>
      </c>
      <c r="C1333" t="s">
        <v>10878</v>
      </c>
      <c r="D1333" t="s">
        <v>10868</v>
      </c>
      <c r="E1333" t="s">
        <v>10863</v>
      </c>
      <c r="F1333" t="s">
        <v>10864</v>
      </c>
      <c r="G1333" s="16">
        <v>5140.8554999999997</v>
      </c>
      <c r="H1333" t="s">
        <v>8</v>
      </c>
      <c r="I1333" s="16">
        <v>5140.8554999999997</v>
      </c>
    </row>
    <row r="1334" spans="1:9" x14ac:dyDescent="0.3">
      <c r="A1334" s="1">
        <v>46254</v>
      </c>
      <c r="B1334">
        <v>4</v>
      </c>
      <c r="C1334" t="s">
        <v>10815</v>
      </c>
      <c r="D1334" t="s">
        <v>38</v>
      </c>
      <c r="E1334" t="s">
        <v>598</v>
      </c>
      <c r="F1334" t="s">
        <v>9088</v>
      </c>
      <c r="G1334" s="16">
        <v>1926.4456</v>
      </c>
      <c r="H1334" t="s">
        <v>8</v>
      </c>
      <c r="I1334" s="16">
        <v>1675.17</v>
      </c>
    </row>
    <row r="1335" spans="1:9" x14ac:dyDescent="0.3">
      <c r="A1335" s="1">
        <v>46254</v>
      </c>
      <c r="B1335">
        <v>4</v>
      </c>
      <c r="C1335" t="s">
        <v>10769</v>
      </c>
      <c r="D1335" t="s">
        <v>10</v>
      </c>
      <c r="E1335" t="s">
        <v>173</v>
      </c>
      <c r="F1335" t="s">
        <v>174</v>
      </c>
      <c r="G1335" s="16">
        <v>1904.2850000000001</v>
      </c>
      <c r="H1335" t="s">
        <v>8</v>
      </c>
      <c r="I1335" s="16">
        <v>1655.9</v>
      </c>
    </row>
    <row r="1336" spans="1:9" x14ac:dyDescent="0.3">
      <c r="A1336" s="1">
        <v>46254</v>
      </c>
      <c r="B1336">
        <v>4</v>
      </c>
      <c r="C1336" t="s">
        <v>8802</v>
      </c>
      <c r="D1336" t="s">
        <v>38</v>
      </c>
      <c r="E1336" t="s">
        <v>8711</v>
      </c>
      <c r="F1336" t="s">
        <v>8712</v>
      </c>
      <c r="G1336" s="16">
        <v>75.900000000000006</v>
      </c>
      <c r="H1336" t="s">
        <v>8</v>
      </c>
      <c r="I1336" s="16">
        <v>66</v>
      </c>
    </row>
    <row r="1337" spans="1:9" x14ac:dyDescent="0.3">
      <c r="A1337" s="1">
        <v>46254</v>
      </c>
      <c r="B1337">
        <v>4</v>
      </c>
      <c r="C1337" t="s">
        <v>10779</v>
      </c>
      <c r="D1337" t="s">
        <v>38</v>
      </c>
      <c r="E1337" t="s">
        <v>60</v>
      </c>
      <c r="F1337" t="s">
        <v>61</v>
      </c>
      <c r="G1337" s="16">
        <v>253.1035</v>
      </c>
      <c r="H1337" t="s">
        <v>8</v>
      </c>
      <c r="I1337" s="16">
        <v>220.09</v>
      </c>
    </row>
    <row r="1338" spans="1:9" x14ac:dyDescent="0.3">
      <c r="A1338" s="1">
        <v>46254</v>
      </c>
      <c r="B1338">
        <v>4</v>
      </c>
      <c r="C1338" t="s">
        <v>10802</v>
      </c>
      <c r="D1338" t="s">
        <v>10</v>
      </c>
      <c r="E1338" t="s">
        <v>7645</v>
      </c>
      <c r="F1338" t="s">
        <v>7646</v>
      </c>
      <c r="G1338" s="16">
        <v>3747.5770000000002</v>
      </c>
      <c r="H1338" t="s">
        <v>8</v>
      </c>
      <c r="I1338" s="16">
        <v>3258.7624999999998</v>
      </c>
    </row>
    <row r="1339" spans="1:9" x14ac:dyDescent="0.3">
      <c r="A1339" s="1">
        <v>46254</v>
      </c>
      <c r="B1339">
        <v>4</v>
      </c>
      <c r="C1339" t="s">
        <v>10548</v>
      </c>
      <c r="D1339" t="s">
        <v>10</v>
      </c>
      <c r="E1339" t="s">
        <v>420</v>
      </c>
      <c r="F1339" t="s">
        <v>421</v>
      </c>
      <c r="G1339" s="16">
        <v>263.32220000000001</v>
      </c>
      <c r="H1339" t="s">
        <v>8</v>
      </c>
      <c r="I1339" s="16">
        <v>228.97583</v>
      </c>
    </row>
    <row r="1340" spans="1:9" x14ac:dyDescent="0.3">
      <c r="A1340" s="1">
        <v>46254</v>
      </c>
      <c r="B1340">
        <v>4</v>
      </c>
      <c r="C1340" t="s">
        <v>10874</v>
      </c>
      <c r="D1340" t="s">
        <v>10868</v>
      </c>
      <c r="E1340" t="s">
        <v>10863</v>
      </c>
      <c r="F1340" t="s">
        <v>10864</v>
      </c>
      <c r="G1340" s="16">
        <v>33020.707000000002</v>
      </c>
      <c r="H1340" t="s">
        <v>8</v>
      </c>
      <c r="I1340" s="16">
        <v>32799.71</v>
      </c>
    </row>
    <row r="1341" spans="1:9" x14ac:dyDescent="0.3">
      <c r="A1341" s="1">
        <v>46254</v>
      </c>
      <c r="B1341">
        <v>4</v>
      </c>
      <c r="C1341" t="s">
        <v>10799</v>
      </c>
      <c r="D1341" t="s">
        <v>10</v>
      </c>
      <c r="E1341" t="s">
        <v>1346</v>
      </c>
      <c r="F1341" t="s">
        <v>1347</v>
      </c>
      <c r="G1341" s="16">
        <v>73.048000000000002</v>
      </c>
      <c r="H1341" t="s">
        <v>8</v>
      </c>
      <c r="I1341" s="16">
        <v>63.52</v>
      </c>
    </row>
    <row r="1342" spans="1:9" x14ac:dyDescent="0.3">
      <c r="A1342" s="1">
        <v>46254</v>
      </c>
      <c r="B1342">
        <v>4</v>
      </c>
      <c r="C1342" t="s">
        <v>9997</v>
      </c>
      <c r="D1342" t="s">
        <v>10</v>
      </c>
      <c r="E1342" t="s">
        <v>943</v>
      </c>
      <c r="F1342" t="s">
        <v>944</v>
      </c>
      <c r="G1342" s="16">
        <v>74.49539</v>
      </c>
      <c r="H1342" t="s">
        <v>8</v>
      </c>
      <c r="I1342" s="16">
        <v>64.778599999999997</v>
      </c>
    </row>
    <row r="1343" spans="1:9" x14ac:dyDescent="0.3">
      <c r="A1343" s="1">
        <v>46254</v>
      </c>
      <c r="B1343">
        <v>4</v>
      </c>
      <c r="C1343" t="s">
        <v>10735</v>
      </c>
      <c r="D1343" t="s">
        <v>2460</v>
      </c>
      <c r="E1343" t="s">
        <v>8641</v>
      </c>
      <c r="F1343" t="s">
        <v>8642</v>
      </c>
      <c r="G1343" s="16">
        <v>34306.938000000002</v>
      </c>
      <c r="H1343" t="s">
        <v>8</v>
      </c>
      <c r="I1343" s="16">
        <v>29832.12</v>
      </c>
    </row>
    <row r="1344" spans="1:9" x14ac:dyDescent="0.3">
      <c r="A1344" s="1">
        <v>46254</v>
      </c>
      <c r="B1344">
        <v>4</v>
      </c>
      <c r="C1344" t="s">
        <v>10792</v>
      </c>
      <c r="D1344" t="s">
        <v>38</v>
      </c>
      <c r="E1344" t="s">
        <v>808</v>
      </c>
      <c r="F1344" t="s">
        <v>904</v>
      </c>
      <c r="G1344" s="16">
        <v>2018.0188000000001</v>
      </c>
      <c r="H1344" t="s">
        <v>8</v>
      </c>
      <c r="I1344" s="16">
        <v>1754.799</v>
      </c>
    </row>
    <row r="1345" spans="1:9" x14ac:dyDescent="0.3">
      <c r="A1345" s="1">
        <v>46254</v>
      </c>
      <c r="B1345">
        <v>4</v>
      </c>
      <c r="C1345" t="s">
        <v>10809</v>
      </c>
      <c r="D1345" t="s">
        <v>38</v>
      </c>
      <c r="E1345" t="s">
        <v>126</v>
      </c>
      <c r="F1345" t="s">
        <v>127</v>
      </c>
      <c r="G1345" s="16">
        <v>116.9205</v>
      </c>
      <c r="H1345" t="s">
        <v>8</v>
      </c>
      <c r="I1345" s="16">
        <v>101.67</v>
      </c>
    </row>
    <row r="1346" spans="1:9" x14ac:dyDescent="0.3">
      <c r="A1346" s="1">
        <v>46254</v>
      </c>
      <c r="B1346">
        <v>4</v>
      </c>
      <c r="C1346" t="s">
        <v>10789</v>
      </c>
      <c r="D1346" t="s">
        <v>38</v>
      </c>
      <c r="E1346" t="s">
        <v>116</v>
      </c>
      <c r="F1346" t="s">
        <v>117</v>
      </c>
      <c r="G1346" s="16">
        <v>721.52149999999995</v>
      </c>
      <c r="H1346" t="s">
        <v>8</v>
      </c>
      <c r="I1346" s="16">
        <v>627.41</v>
      </c>
    </row>
    <row r="1347" spans="1:9" x14ac:dyDescent="0.3">
      <c r="A1347" s="1">
        <v>46254</v>
      </c>
      <c r="B1347">
        <v>4</v>
      </c>
      <c r="C1347" t="s">
        <v>10879</v>
      </c>
      <c r="D1347" t="s">
        <v>10868</v>
      </c>
      <c r="E1347" t="s">
        <v>10863</v>
      </c>
      <c r="F1347" t="s">
        <v>10864</v>
      </c>
      <c r="G1347" s="16">
        <v>12144.035</v>
      </c>
      <c r="H1347" t="s">
        <v>8</v>
      </c>
      <c r="I1347" s="16">
        <v>12144.035</v>
      </c>
    </row>
    <row r="1348" spans="1:9" x14ac:dyDescent="0.3">
      <c r="A1348" s="1">
        <v>46254</v>
      </c>
      <c r="B1348">
        <v>4</v>
      </c>
      <c r="C1348" t="s">
        <v>10522</v>
      </c>
      <c r="D1348" t="s">
        <v>10</v>
      </c>
      <c r="E1348" t="s">
        <v>116</v>
      </c>
      <c r="F1348" t="s">
        <v>117</v>
      </c>
      <c r="G1348" s="16">
        <v>272.02215999999999</v>
      </c>
      <c r="H1348" t="s">
        <v>8</v>
      </c>
      <c r="I1348" s="16">
        <v>236.541</v>
      </c>
    </row>
    <row r="1349" spans="1:9" x14ac:dyDescent="0.3">
      <c r="A1349" s="1">
        <v>46254</v>
      </c>
      <c r="B1349">
        <v>4</v>
      </c>
      <c r="C1349" t="s">
        <v>10766</v>
      </c>
      <c r="D1349" t="s">
        <v>10</v>
      </c>
      <c r="E1349" t="s">
        <v>373</v>
      </c>
      <c r="F1349" t="s">
        <v>374</v>
      </c>
      <c r="G1349" s="16">
        <v>542.75210000000004</v>
      </c>
      <c r="H1349" t="s">
        <v>8</v>
      </c>
      <c r="I1349" s="16">
        <v>471.95834000000002</v>
      </c>
    </row>
    <row r="1350" spans="1:9" x14ac:dyDescent="0.3">
      <c r="A1350" s="1">
        <v>46254</v>
      </c>
      <c r="B1350">
        <v>4</v>
      </c>
      <c r="C1350" t="s">
        <v>10872</v>
      </c>
      <c r="D1350" t="s">
        <v>2460</v>
      </c>
      <c r="E1350" t="s">
        <v>177</v>
      </c>
      <c r="F1350" t="s">
        <v>178</v>
      </c>
      <c r="G1350" s="16">
        <v>2380.5</v>
      </c>
      <c r="H1350" t="s">
        <v>8</v>
      </c>
      <c r="I1350" s="16">
        <v>2070</v>
      </c>
    </row>
    <row r="1351" spans="1:9" x14ac:dyDescent="0.3">
      <c r="A1351" s="1">
        <v>46254</v>
      </c>
      <c r="B1351">
        <v>4</v>
      </c>
      <c r="C1351" t="s">
        <v>10763</v>
      </c>
      <c r="D1351" t="s">
        <v>10</v>
      </c>
      <c r="E1351" t="s">
        <v>69</v>
      </c>
      <c r="F1351" t="s">
        <v>70</v>
      </c>
      <c r="G1351" s="16">
        <v>3662.3935999999999</v>
      </c>
      <c r="H1351" t="s">
        <v>8</v>
      </c>
      <c r="I1351" s="16">
        <v>3184.69</v>
      </c>
    </row>
    <row r="1352" spans="1:9" x14ac:dyDescent="0.3">
      <c r="A1352" s="1">
        <v>46254</v>
      </c>
      <c r="B1352">
        <v>4</v>
      </c>
      <c r="C1352" t="s">
        <v>10148</v>
      </c>
      <c r="D1352" t="s">
        <v>38</v>
      </c>
      <c r="E1352" t="s">
        <v>204</v>
      </c>
      <c r="F1352" t="s">
        <v>205</v>
      </c>
      <c r="G1352" s="16">
        <v>1823.4</v>
      </c>
      <c r="H1352" t="s">
        <v>8</v>
      </c>
      <c r="I1352" s="16">
        <v>1585.5652</v>
      </c>
    </row>
    <row r="1353" spans="1:9" x14ac:dyDescent="0.3">
      <c r="A1353" s="1">
        <v>46254</v>
      </c>
      <c r="B1353">
        <v>4</v>
      </c>
      <c r="C1353" t="s">
        <v>10472</v>
      </c>
      <c r="D1353" t="s">
        <v>38</v>
      </c>
      <c r="E1353" t="s">
        <v>43</v>
      </c>
      <c r="F1353" t="s">
        <v>44</v>
      </c>
      <c r="G1353" s="16">
        <v>5345.4989999999998</v>
      </c>
      <c r="H1353" t="s">
        <v>8</v>
      </c>
      <c r="I1353" s="16">
        <v>4648.26</v>
      </c>
    </row>
    <row r="1354" spans="1:9" x14ac:dyDescent="0.3">
      <c r="A1354" s="1">
        <v>46254</v>
      </c>
      <c r="B1354">
        <v>4</v>
      </c>
      <c r="C1354" t="s">
        <v>10553</v>
      </c>
      <c r="D1354" t="s">
        <v>10</v>
      </c>
      <c r="E1354" t="s">
        <v>935</v>
      </c>
      <c r="F1354" t="s">
        <v>936</v>
      </c>
      <c r="G1354" s="16">
        <v>3375.25</v>
      </c>
      <c r="H1354" t="s">
        <v>8</v>
      </c>
      <c r="I1354" s="16">
        <v>2935</v>
      </c>
    </row>
    <row r="1355" spans="1:9" x14ac:dyDescent="0.3">
      <c r="A1355" s="1">
        <v>46254</v>
      </c>
      <c r="B1355">
        <v>4</v>
      </c>
      <c r="C1355" t="s">
        <v>10810</v>
      </c>
      <c r="D1355" t="s">
        <v>38</v>
      </c>
      <c r="E1355" t="s">
        <v>941</v>
      </c>
      <c r="F1355" t="s">
        <v>942</v>
      </c>
      <c r="G1355" s="16">
        <v>719.19849999999997</v>
      </c>
      <c r="H1355" t="s">
        <v>8</v>
      </c>
      <c r="I1355" s="16">
        <v>625.39</v>
      </c>
    </row>
    <row r="1356" spans="1:9" x14ac:dyDescent="0.3">
      <c r="A1356" s="1">
        <v>46254</v>
      </c>
      <c r="B1356">
        <v>4</v>
      </c>
      <c r="C1356" t="s">
        <v>10755</v>
      </c>
      <c r="D1356" t="s">
        <v>10</v>
      </c>
      <c r="E1356" t="s">
        <v>531</v>
      </c>
      <c r="F1356" t="s">
        <v>532</v>
      </c>
      <c r="G1356" s="16">
        <v>11.5</v>
      </c>
      <c r="H1356" t="s">
        <v>8</v>
      </c>
      <c r="I1356" s="16">
        <v>10</v>
      </c>
    </row>
    <row r="1357" spans="1:9" x14ac:dyDescent="0.3">
      <c r="A1357" s="1">
        <v>46254</v>
      </c>
      <c r="B1357">
        <v>4</v>
      </c>
      <c r="C1357" t="s">
        <v>10795</v>
      </c>
      <c r="D1357" t="s">
        <v>10</v>
      </c>
      <c r="E1357" t="s">
        <v>118</v>
      </c>
      <c r="F1357" t="s">
        <v>119</v>
      </c>
      <c r="G1357" s="16">
        <v>222.755</v>
      </c>
      <c r="H1357" t="s">
        <v>8</v>
      </c>
      <c r="I1357" s="16">
        <v>193.7</v>
      </c>
    </row>
    <row r="1358" spans="1:9" x14ac:dyDescent="0.3">
      <c r="A1358" s="1">
        <v>46254</v>
      </c>
      <c r="B1358">
        <v>4</v>
      </c>
      <c r="C1358" t="s">
        <v>10764</v>
      </c>
      <c r="D1358" t="s">
        <v>10</v>
      </c>
      <c r="E1358" t="s">
        <v>79</v>
      </c>
      <c r="F1358" t="s">
        <v>80</v>
      </c>
      <c r="G1358" s="16">
        <v>1109.4924000000001</v>
      </c>
      <c r="H1358" t="s">
        <v>8</v>
      </c>
      <c r="I1358" s="16">
        <v>964.77606000000003</v>
      </c>
    </row>
    <row r="1359" spans="1:9" x14ac:dyDescent="0.3">
      <c r="A1359" s="1">
        <v>46254</v>
      </c>
      <c r="B1359">
        <v>4</v>
      </c>
      <c r="C1359" t="s">
        <v>10777</v>
      </c>
      <c r="D1359" t="s">
        <v>38</v>
      </c>
      <c r="E1359" t="s">
        <v>63</v>
      </c>
      <c r="F1359" t="s">
        <v>64</v>
      </c>
      <c r="G1359" s="16">
        <v>257.03994999999998</v>
      </c>
      <c r="H1359" t="s">
        <v>8</v>
      </c>
      <c r="I1359" s="16">
        <v>223.51300000000001</v>
      </c>
    </row>
    <row r="1360" spans="1:9" x14ac:dyDescent="0.3">
      <c r="A1360" s="1">
        <v>46254</v>
      </c>
      <c r="B1360">
        <v>4</v>
      </c>
      <c r="C1360" t="s">
        <v>10798</v>
      </c>
      <c r="D1360" t="s">
        <v>10</v>
      </c>
      <c r="E1360" t="s">
        <v>3773</v>
      </c>
      <c r="F1360" t="s">
        <v>3774</v>
      </c>
      <c r="G1360" s="16">
        <v>3387.2640000000001</v>
      </c>
      <c r="H1360" t="s">
        <v>8</v>
      </c>
      <c r="I1360" s="16">
        <v>2945.4470000000001</v>
      </c>
    </row>
    <row r="1361" spans="1:9" x14ac:dyDescent="0.3">
      <c r="A1361" s="1">
        <v>46254</v>
      </c>
      <c r="B1361">
        <v>4</v>
      </c>
      <c r="C1361" t="s">
        <v>10739</v>
      </c>
      <c r="D1361" t="s">
        <v>2460</v>
      </c>
      <c r="E1361" t="s">
        <v>8641</v>
      </c>
      <c r="F1361" t="s">
        <v>8642</v>
      </c>
      <c r="G1361" s="16">
        <v>9613.2639999999992</v>
      </c>
      <c r="H1361" t="s">
        <v>8</v>
      </c>
      <c r="I1361" s="16">
        <v>8359.36</v>
      </c>
    </row>
    <row r="1362" spans="1:9" x14ac:dyDescent="0.3">
      <c r="A1362" s="1">
        <v>46254</v>
      </c>
      <c r="B1362">
        <v>4</v>
      </c>
      <c r="C1362" t="s">
        <v>10760</v>
      </c>
      <c r="D1362" t="s">
        <v>10</v>
      </c>
      <c r="E1362" t="s">
        <v>69</v>
      </c>
      <c r="F1362" t="s">
        <v>70</v>
      </c>
      <c r="G1362" s="16">
        <v>1775.1746000000001</v>
      </c>
      <c r="H1362" t="s">
        <v>8</v>
      </c>
      <c r="I1362" s="16">
        <v>1543.63</v>
      </c>
    </row>
    <row r="1363" spans="1:9" x14ac:dyDescent="0.3">
      <c r="A1363" s="1">
        <v>46254</v>
      </c>
      <c r="B1363">
        <v>4</v>
      </c>
      <c r="C1363" t="s">
        <v>10772</v>
      </c>
      <c r="D1363" t="s">
        <v>38</v>
      </c>
      <c r="E1363" t="s">
        <v>10114</v>
      </c>
      <c r="F1363" t="s">
        <v>10115</v>
      </c>
      <c r="G1363" s="16">
        <v>32.85</v>
      </c>
      <c r="H1363" t="s">
        <v>8</v>
      </c>
      <c r="I1363" s="16">
        <v>28.56522</v>
      </c>
    </row>
    <row r="1364" spans="1:9" x14ac:dyDescent="0.3">
      <c r="A1364" s="1">
        <v>46254</v>
      </c>
      <c r="B1364">
        <v>4</v>
      </c>
      <c r="C1364" t="s">
        <v>10750</v>
      </c>
      <c r="D1364" t="s">
        <v>10</v>
      </c>
      <c r="E1364" t="s">
        <v>69</v>
      </c>
      <c r="F1364" t="s">
        <v>70</v>
      </c>
      <c r="G1364" s="16">
        <v>4933.7183000000005</v>
      </c>
      <c r="H1364" t="s">
        <v>8</v>
      </c>
      <c r="I1364" s="16">
        <v>4290.1899999999996</v>
      </c>
    </row>
    <row r="1365" spans="1:9" x14ac:dyDescent="0.3">
      <c r="A1365" s="1">
        <v>46254</v>
      </c>
      <c r="B1365">
        <v>4</v>
      </c>
      <c r="C1365" t="s">
        <v>10786</v>
      </c>
      <c r="D1365" t="s">
        <v>38</v>
      </c>
      <c r="E1365" t="s">
        <v>873</v>
      </c>
      <c r="F1365" t="s">
        <v>874</v>
      </c>
      <c r="G1365" s="16">
        <v>191.52099999999999</v>
      </c>
      <c r="H1365" t="s">
        <v>8</v>
      </c>
      <c r="I1365" s="16">
        <v>166.54</v>
      </c>
    </row>
    <row r="1366" spans="1:9" x14ac:dyDescent="0.3">
      <c r="A1366" s="1">
        <v>46254</v>
      </c>
      <c r="B1366">
        <v>4</v>
      </c>
      <c r="C1366" t="s">
        <v>10883</v>
      </c>
      <c r="D1366" t="s">
        <v>10868</v>
      </c>
      <c r="E1366" t="s">
        <v>10863</v>
      </c>
      <c r="F1366" t="s">
        <v>10864</v>
      </c>
      <c r="G1366" s="16">
        <v>32590.17</v>
      </c>
      <c r="H1366" t="s">
        <v>8</v>
      </c>
      <c r="I1366" s="16">
        <v>32590.17</v>
      </c>
    </row>
    <row r="1367" spans="1:9" x14ac:dyDescent="0.3">
      <c r="A1367" s="1">
        <v>46254</v>
      </c>
      <c r="B1367">
        <v>4</v>
      </c>
      <c r="C1367" t="s">
        <v>10784</v>
      </c>
      <c r="D1367" t="s">
        <v>38</v>
      </c>
      <c r="E1367" t="s">
        <v>93</v>
      </c>
      <c r="F1367" t="s">
        <v>94</v>
      </c>
      <c r="G1367" s="16">
        <v>317.33100000000002</v>
      </c>
      <c r="H1367" t="s">
        <v>8</v>
      </c>
      <c r="I1367" s="16">
        <v>275.94</v>
      </c>
    </row>
    <row r="1368" spans="1:9" x14ac:dyDescent="0.3">
      <c r="A1368" s="1">
        <v>46254</v>
      </c>
      <c r="B1368">
        <v>4</v>
      </c>
      <c r="C1368" t="s">
        <v>11322</v>
      </c>
      <c r="D1368" t="s">
        <v>2467</v>
      </c>
      <c r="E1368" t="s">
        <v>135</v>
      </c>
      <c r="F1368" t="s">
        <v>136</v>
      </c>
      <c r="G1368" s="16">
        <v>635.97299999999996</v>
      </c>
      <c r="H1368" t="s">
        <v>8</v>
      </c>
      <c r="I1368" s="16">
        <v>553.02</v>
      </c>
    </row>
    <row r="1369" spans="1:9" x14ac:dyDescent="0.3">
      <c r="A1369" s="1">
        <v>46254</v>
      </c>
      <c r="B1369">
        <v>4</v>
      </c>
      <c r="C1369" t="s">
        <v>9503</v>
      </c>
      <c r="D1369" t="s">
        <v>10</v>
      </c>
      <c r="E1369" t="s">
        <v>116</v>
      </c>
      <c r="F1369" t="s">
        <v>117</v>
      </c>
      <c r="G1369" s="16">
        <v>2546.6565000000001</v>
      </c>
      <c r="H1369" t="s">
        <v>8</v>
      </c>
      <c r="I1369" s="16">
        <v>2214.4839999999999</v>
      </c>
    </row>
    <row r="1370" spans="1:9" x14ac:dyDescent="0.3">
      <c r="A1370" s="1">
        <v>46254</v>
      </c>
      <c r="B1370">
        <v>4</v>
      </c>
      <c r="C1370" t="s">
        <v>10776</v>
      </c>
      <c r="D1370" t="s">
        <v>10</v>
      </c>
      <c r="E1370" t="s">
        <v>156</v>
      </c>
      <c r="F1370" t="s">
        <v>157</v>
      </c>
      <c r="G1370" s="16">
        <v>994.68677000000002</v>
      </c>
      <c r="H1370" t="s">
        <v>8</v>
      </c>
      <c r="I1370" s="16">
        <v>864.94500000000005</v>
      </c>
    </row>
    <row r="1371" spans="1:9" x14ac:dyDescent="0.3">
      <c r="A1371" s="1">
        <v>46254</v>
      </c>
      <c r="B1371">
        <v>4</v>
      </c>
      <c r="C1371" t="s">
        <v>10771</v>
      </c>
      <c r="D1371" t="s">
        <v>10</v>
      </c>
      <c r="E1371" t="s">
        <v>69</v>
      </c>
      <c r="F1371" t="s">
        <v>70</v>
      </c>
      <c r="G1371" s="16">
        <v>2909.201</v>
      </c>
      <c r="H1371" t="s">
        <v>8</v>
      </c>
      <c r="I1371" s="16">
        <v>2529.7399999999998</v>
      </c>
    </row>
    <row r="1372" spans="1:9" x14ac:dyDescent="0.3">
      <c r="A1372" s="1">
        <v>46254</v>
      </c>
      <c r="B1372">
        <v>4</v>
      </c>
      <c r="C1372" t="s">
        <v>10888</v>
      </c>
      <c r="D1372" t="s">
        <v>2460</v>
      </c>
      <c r="E1372" t="s">
        <v>9829</v>
      </c>
      <c r="F1372" t="s">
        <v>9973</v>
      </c>
      <c r="G1372" s="16">
        <v>122.13</v>
      </c>
      <c r="H1372" t="s">
        <v>8</v>
      </c>
      <c r="I1372" s="16">
        <v>106.2</v>
      </c>
    </row>
    <row r="1373" spans="1:9" x14ac:dyDescent="0.3">
      <c r="A1373" s="1">
        <v>46254</v>
      </c>
      <c r="B1373">
        <v>4</v>
      </c>
      <c r="C1373" t="s">
        <v>10353</v>
      </c>
      <c r="D1373" t="s">
        <v>38</v>
      </c>
      <c r="E1373" t="s">
        <v>204</v>
      </c>
      <c r="F1373" t="s">
        <v>205</v>
      </c>
      <c r="G1373" s="16">
        <v>44.252000000000002</v>
      </c>
      <c r="H1373" t="s">
        <v>8</v>
      </c>
      <c r="I1373" s="16">
        <v>38.479999999999997</v>
      </c>
    </row>
    <row r="1374" spans="1:9" x14ac:dyDescent="0.3">
      <c r="A1374" s="1">
        <v>46254</v>
      </c>
      <c r="B1374">
        <v>4</v>
      </c>
      <c r="C1374" t="s">
        <v>10882</v>
      </c>
      <c r="D1374" t="s">
        <v>2463</v>
      </c>
      <c r="E1374" t="s">
        <v>75</v>
      </c>
      <c r="F1374" t="s">
        <v>76</v>
      </c>
      <c r="G1374" s="16">
        <v>2023.9979000000001</v>
      </c>
      <c r="H1374" t="s">
        <v>8</v>
      </c>
      <c r="I1374" s="16">
        <v>1759.9983</v>
      </c>
    </row>
    <row r="1375" spans="1:9" x14ac:dyDescent="0.3">
      <c r="A1375" s="1">
        <v>46254</v>
      </c>
      <c r="B1375">
        <v>4</v>
      </c>
      <c r="C1375" t="s">
        <v>10826</v>
      </c>
      <c r="D1375" t="s">
        <v>10</v>
      </c>
      <c r="E1375" t="s">
        <v>173</v>
      </c>
      <c r="F1375" t="s">
        <v>174</v>
      </c>
      <c r="G1375" s="16">
        <v>1845.9456</v>
      </c>
      <c r="H1375" t="s">
        <v>8</v>
      </c>
      <c r="I1375" s="16">
        <v>1605.17</v>
      </c>
    </row>
    <row r="1376" spans="1:9" x14ac:dyDescent="0.3">
      <c r="A1376" s="1">
        <v>46254</v>
      </c>
      <c r="B1376">
        <v>4</v>
      </c>
      <c r="C1376" t="s">
        <v>10886</v>
      </c>
      <c r="D1376" t="s">
        <v>2460</v>
      </c>
      <c r="E1376" t="s">
        <v>9483</v>
      </c>
      <c r="F1376" t="s">
        <v>9484</v>
      </c>
      <c r="G1376" s="16">
        <v>1508.8015</v>
      </c>
      <c r="H1376" t="s">
        <v>8</v>
      </c>
      <c r="I1376" s="16">
        <v>1312.0011999999999</v>
      </c>
    </row>
    <row r="1377" spans="1:9" x14ac:dyDescent="0.3">
      <c r="A1377" s="1">
        <v>46254</v>
      </c>
      <c r="B1377">
        <v>4</v>
      </c>
      <c r="C1377" t="s">
        <v>10753</v>
      </c>
      <c r="D1377" t="s">
        <v>38</v>
      </c>
      <c r="E1377" t="s">
        <v>154</v>
      </c>
      <c r="F1377" t="s">
        <v>155</v>
      </c>
      <c r="G1377" s="16">
        <v>4227.1997000000001</v>
      </c>
      <c r="H1377" t="s">
        <v>8</v>
      </c>
      <c r="I1377" s="16">
        <v>3675.8256999999999</v>
      </c>
    </row>
    <row r="1378" spans="1:9" x14ac:dyDescent="0.3">
      <c r="A1378" s="1">
        <v>46254</v>
      </c>
      <c r="B1378">
        <v>4</v>
      </c>
      <c r="C1378" t="s">
        <v>9984</v>
      </c>
      <c r="D1378" t="s">
        <v>10</v>
      </c>
      <c r="E1378" t="s">
        <v>420</v>
      </c>
      <c r="F1378" t="s">
        <v>421</v>
      </c>
      <c r="G1378" s="16">
        <v>91.904160000000005</v>
      </c>
      <c r="H1378" t="s">
        <v>8</v>
      </c>
      <c r="I1378" s="16">
        <v>79.916659999999993</v>
      </c>
    </row>
    <row r="1379" spans="1:9" x14ac:dyDescent="0.3">
      <c r="A1379" s="1">
        <v>46254</v>
      </c>
      <c r="B1379">
        <v>4</v>
      </c>
      <c r="C1379" t="s">
        <v>10752</v>
      </c>
      <c r="D1379" t="s">
        <v>10</v>
      </c>
      <c r="E1379" t="s">
        <v>5495</v>
      </c>
      <c r="F1379" t="s">
        <v>5496</v>
      </c>
      <c r="G1379" s="16">
        <v>43.987499999999997</v>
      </c>
      <c r="H1379" t="s">
        <v>8</v>
      </c>
      <c r="I1379" s="16">
        <v>38.25</v>
      </c>
    </row>
    <row r="1380" spans="1:9" x14ac:dyDescent="0.3">
      <c r="A1380" s="1">
        <v>46254</v>
      </c>
      <c r="B1380">
        <v>4</v>
      </c>
      <c r="C1380" t="s">
        <v>9702</v>
      </c>
      <c r="D1380" t="s">
        <v>38</v>
      </c>
      <c r="E1380" t="s">
        <v>8711</v>
      </c>
      <c r="F1380" t="s">
        <v>8712</v>
      </c>
      <c r="G1380" s="16">
        <v>189.75</v>
      </c>
      <c r="H1380" t="s">
        <v>8</v>
      </c>
      <c r="I1380" s="16">
        <v>165</v>
      </c>
    </row>
    <row r="1381" spans="1:9" x14ac:dyDescent="0.3">
      <c r="A1381" s="1">
        <v>46254</v>
      </c>
      <c r="B1381">
        <v>4</v>
      </c>
      <c r="C1381" t="s">
        <v>10867</v>
      </c>
      <c r="D1381" t="s">
        <v>10868</v>
      </c>
      <c r="E1381" t="s">
        <v>10869</v>
      </c>
      <c r="F1381" t="s">
        <v>10870</v>
      </c>
      <c r="G1381" s="16">
        <v>152.62</v>
      </c>
      <c r="H1381" t="s">
        <v>8</v>
      </c>
      <c r="I1381" s="16">
        <v>152.62</v>
      </c>
    </row>
    <row r="1382" spans="1:9" x14ac:dyDescent="0.3">
      <c r="A1382" s="1">
        <v>46254</v>
      </c>
      <c r="B1382">
        <v>4</v>
      </c>
      <c r="C1382" t="s">
        <v>10780</v>
      </c>
      <c r="D1382" t="s">
        <v>10</v>
      </c>
      <c r="E1382" t="s">
        <v>173</v>
      </c>
      <c r="F1382" t="s">
        <v>174</v>
      </c>
      <c r="G1382" s="16">
        <v>1634.4949999999999</v>
      </c>
      <c r="H1382" t="s">
        <v>8</v>
      </c>
      <c r="I1382" s="16">
        <v>1421.3</v>
      </c>
    </row>
    <row r="1383" spans="1:9" x14ac:dyDescent="0.3">
      <c r="A1383" s="1">
        <v>46254</v>
      </c>
      <c r="B1383">
        <v>4</v>
      </c>
      <c r="C1383" t="s">
        <v>10866</v>
      </c>
      <c r="D1383" t="s">
        <v>2460</v>
      </c>
      <c r="E1383" t="s">
        <v>7912</v>
      </c>
      <c r="F1383" t="s">
        <v>7913</v>
      </c>
      <c r="G1383" s="16">
        <v>88.412000000000006</v>
      </c>
      <c r="H1383" t="s">
        <v>8</v>
      </c>
      <c r="I1383" s="16">
        <v>76.88</v>
      </c>
    </row>
    <row r="1384" spans="1:9" x14ac:dyDescent="0.3">
      <c r="A1384" s="1">
        <v>46254</v>
      </c>
      <c r="B1384">
        <v>4</v>
      </c>
      <c r="C1384" t="s">
        <v>10787</v>
      </c>
      <c r="D1384" t="s">
        <v>10</v>
      </c>
      <c r="E1384" t="s">
        <v>128</v>
      </c>
      <c r="F1384" t="s">
        <v>129</v>
      </c>
      <c r="G1384" s="16">
        <v>387.91226</v>
      </c>
      <c r="H1384" t="s">
        <v>8</v>
      </c>
      <c r="I1384" s="16">
        <v>337.315</v>
      </c>
    </row>
    <row r="1385" spans="1:9" x14ac:dyDescent="0.3">
      <c r="A1385" s="1">
        <v>46254</v>
      </c>
      <c r="B1385">
        <v>4</v>
      </c>
      <c r="C1385" t="s">
        <v>11323</v>
      </c>
      <c r="D1385" t="s">
        <v>2463</v>
      </c>
      <c r="E1385" t="s">
        <v>4364</v>
      </c>
      <c r="F1385" t="s">
        <v>4542</v>
      </c>
      <c r="G1385" s="16">
        <v>37.26</v>
      </c>
      <c r="H1385" t="s">
        <v>8</v>
      </c>
      <c r="I1385" s="16">
        <v>32.4</v>
      </c>
    </row>
    <row r="1386" spans="1:9" x14ac:dyDescent="0.3">
      <c r="A1386" s="1">
        <v>46255</v>
      </c>
      <c r="B1386">
        <v>3</v>
      </c>
      <c r="C1386" t="s">
        <v>10838</v>
      </c>
      <c r="D1386" t="s">
        <v>10</v>
      </c>
      <c r="E1386" t="s">
        <v>2373</v>
      </c>
      <c r="F1386" t="s">
        <v>2374</v>
      </c>
      <c r="G1386" s="16">
        <v>2536.0720000000001</v>
      </c>
      <c r="H1386" t="s">
        <v>8</v>
      </c>
      <c r="I1386" s="16">
        <v>2205.2800000000002</v>
      </c>
    </row>
    <row r="1387" spans="1:9" x14ac:dyDescent="0.3">
      <c r="A1387" s="1">
        <v>46255</v>
      </c>
      <c r="B1387">
        <v>3</v>
      </c>
      <c r="C1387" t="s">
        <v>10836</v>
      </c>
      <c r="D1387" t="s">
        <v>10</v>
      </c>
      <c r="E1387" t="s">
        <v>69</v>
      </c>
      <c r="F1387" t="s">
        <v>70</v>
      </c>
      <c r="G1387" s="16">
        <v>3897.1545000000001</v>
      </c>
      <c r="H1387" t="s">
        <v>8</v>
      </c>
      <c r="I1387" s="16">
        <v>3388.83</v>
      </c>
    </row>
    <row r="1388" spans="1:9" x14ac:dyDescent="0.3">
      <c r="A1388" s="1">
        <v>46255</v>
      </c>
      <c r="B1388">
        <v>3</v>
      </c>
      <c r="C1388" t="s">
        <v>8431</v>
      </c>
      <c r="D1388" t="s">
        <v>10</v>
      </c>
      <c r="E1388" t="s">
        <v>8432</v>
      </c>
      <c r="F1388" t="s">
        <v>8433</v>
      </c>
      <c r="G1388" s="16">
        <v>1822.29</v>
      </c>
      <c r="H1388" t="s">
        <v>8</v>
      </c>
      <c r="I1388" s="16">
        <v>1584.6</v>
      </c>
    </row>
    <row r="1389" spans="1:9" x14ac:dyDescent="0.3">
      <c r="A1389" s="1">
        <v>46255</v>
      </c>
      <c r="B1389">
        <v>3</v>
      </c>
      <c r="C1389" t="s">
        <v>9496</v>
      </c>
      <c r="D1389" t="s">
        <v>10</v>
      </c>
      <c r="E1389" t="s">
        <v>2373</v>
      </c>
      <c r="F1389" t="s">
        <v>2374</v>
      </c>
      <c r="G1389" s="16">
        <v>3049.8</v>
      </c>
      <c r="H1389" t="s">
        <v>8</v>
      </c>
      <c r="I1389" s="16">
        <v>2652</v>
      </c>
    </row>
    <row r="1390" spans="1:9" x14ac:dyDescent="0.3">
      <c r="A1390" s="1">
        <v>46255</v>
      </c>
      <c r="B1390">
        <v>3</v>
      </c>
      <c r="C1390" t="s">
        <v>10299</v>
      </c>
      <c r="D1390" t="s">
        <v>10</v>
      </c>
      <c r="E1390" t="s">
        <v>321</v>
      </c>
      <c r="F1390" t="s">
        <v>322</v>
      </c>
      <c r="G1390" s="16">
        <v>844.84514999999999</v>
      </c>
      <c r="H1390" t="s">
        <v>8</v>
      </c>
      <c r="I1390" s="16">
        <v>734.64795000000004</v>
      </c>
    </row>
    <row r="1391" spans="1:9" x14ac:dyDescent="0.3">
      <c r="A1391" s="1">
        <v>46255</v>
      </c>
      <c r="B1391">
        <v>3</v>
      </c>
      <c r="C1391" t="s">
        <v>10848</v>
      </c>
      <c r="D1391" t="s">
        <v>10</v>
      </c>
      <c r="E1391" t="s">
        <v>137</v>
      </c>
      <c r="F1391" t="s">
        <v>138</v>
      </c>
      <c r="G1391" s="16">
        <v>16208.503000000001</v>
      </c>
      <c r="H1391" t="s">
        <v>8</v>
      </c>
      <c r="I1391" s="16">
        <v>14094.35</v>
      </c>
    </row>
    <row r="1392" spans="1:9" x14ac:dyDescent="0.3">
      <c r="A1392" s="1">
        <v>46255</v>
      </c>
      <c r="B1392">
        <v>3</v>
      </c>
      <c r="C1392" t="s">
        <v>10831</v>
      </c>
      <c r="D1392" t="s">
        <v>10</v>
      </c>
      <c r="E1392" t="s">
        <v>1161</v>
      </c>
      <c r="F1392" t="s">
        <v>1162</v>
      </c>
      <c r="G1392" s="16">
        <v>2407.134</v>
      </c>
      <c r="H1392" t="s">
        <v>8</v>
      </c>
      <c r="I1392" s="16">
        <v>2093.16</v>
      </c>
    </row>
    <row r="1393" spans="1:9" x14ac:dyDescent="0.3">
      <c r="A1393" s="1">
        <v>46255</v>
      </c>
      <c r="B1393">
        <v>3</v>
      </c>
      <c r="C1393" t="s">
        <v>10853</v>
      </c>
      <c r="D1393" t="s">
        <v>10</v>
      </c>
      <c r="E1393" t="s">
        <v>173</v>
      </c>
      <c r="F1393" t="s">
        <v>174</v>
      </c>
      <c r="G1393" s="16">
        <v>3090.0039999999999</v>
      </c>
      <c r="H1393" t="s">
        <v>8</v>
      </c>
      <c r="I1393" s="16">
        <v>2686.96</v>
      </c>
    </row>
    <row r="1394" spans="1:9" x14ac:dyDescent="0.3">
      <c r="A1394" s="1">
        <v>46255</v>
      </c>
      <c r="B1394">
        <v>3</v>
      </c>
      <c r="C1394" t="s">
        <v>8100</v>
      </c>
      <c r="D1394" t="s">
        <v>10</v>
      </c>
      <c r="E1394" t="s">
        <v>3103</v>
      </c>
      <c r="F1394" t="s">
        <v>3104</v>
      </c>
      <c r="G1394" s="16">
        <v>28.98</v>
      </c>
      <c r="H1394" t="s">
        <v>8</v>
      </c>
      <c r="I1394" s="16">
        <v>25.2</v>
      </c>
    </row>
    <row r="1395" spans="1:9" x14ac:dyDescent="0.3">
      <c r="A1395" s="1">
        <v>46255</v>
      </c>
      <c r="B1395">
        <v>3</v>
      </c>
      <c r="C1395" t="s">
        <v>10851</v>
      </c>
      <c r="D1395" t="s">
        <v>10</v>
      </c>
      <c r="E1395" t="s">
        <v>2373</v>
      </c>
      <c r="F1395" t="s">
        <v>2374</v>
      </c>
      <c r="G1395" s="16">
        <v>1603.1</v>
      </c>
      <c r="H1395" t="s">
        <v>8</v>
      </c>
      <c r="I1395" s="16">
        <v>1394</v>
      </c>
    </row>
    <row r="1396" spans="1:9" x14ac:dyDescent="0.3">
      <c r="A1396" s="1">
        <v>46255</v>
      </c>
      <c r="B1396">
        <v>3</v>
      </c>
      <c r="C1396" t="s">
        <v>9848</v>
      </c>
      <c r="D1396" t="s">
        <v>10</v>
      </c>
      <c r="E1396" t="s">
        <v>1022</v>
      </c>
      <c r="F1396" t="s">
        <v>1023</v>
      </c>
      <c r="G1396" s="16">
        <v>277.14999999999998</v>
      </c>
      <c r="H1396" t="s">
        <v>8</v>
      </c>
      <c r="I1396" s="16">
        <v>241</v>
      </c>
    </row>
    <row r="1397" spans="1:9" x14ac:dyDescent="0.3">
      <c r="A1397" s="1">
        <v>46255</v>
      </c>
      <c r="B1397">
        <v>3</v>
      </c>
      <c r="C1397" t="s">
        <v>9849</v>
      </c>
      <c r="D1397" t="s">
        <v>10</v>
      </c>
      <c r="E1397" t="s">
        <v>1615</v>
      </c>
      <c r="F1397" t="s">
        <v>1616</v>
      </c>
      <c r="G1397" s="16">
        <v>38.64</v>
      </c>
      <c r="H1397" t="s">
        <v>8</v>
      </c>
      <c r="I1397" s="16">
        <v>33.6</v>
      </c>
    </row>
    <row r="1398" spans="1:9" x14ac:dyDescent="0.3">
      <c r="A1398" s="1">
        <v>46255</v>
      </c>
      <c r="B1398">
        <v>3</v>
      </c>
      <c r="C1398" t="s">
        <v>10015</v>
      </c>
      <c r="D1398" t="s">
        <v>10</v>
      </c>
      <c r="E1398" t="s">
        <v>107</v>
      </c>
      <c r="F1398" t="s">
        <v>3864</v>
      </c>
      <c r="G1398" s="16">
        <v>141.28899999999999</v>
      </c>
      <c r="H1398" t="s">
        <v>8</v>
      </c>
      <c r="I1398" s="16">
        <v>122.86</v>
      </c>
    </row>
    <row r="1399" spans="1:9" x14ac:dyDescent="0.3">
      <c r="A1399" s="1">
        <v>46255</v>
      </c>
      <c r="B1399">
        <v>3</v>
      </c>
      <c r="C1399" t="s">
        <v>10651</v>
      </c>
      <c r="D1399" t="s">
        <v>10</v>
      </c>
      <c r="E1399" t="s">
        <v>2373</v>
      </c>
      <c r="F1399" t="s">
        <v>2374</v>
      </c>
      <c r="G1399" s="16">
        <v>3879.3180000000002</v>
      </c>
      <c r="H1399" t="s">
        <v>8</v>
      </c>
      <c r="I1399" s="16">
        <v>3373.32</v>
      </c>
    </row>
    <row r="1400" spans="1:9" x14ac:dyDescent="0.3">
      <c r="A1400" s="1">
        <v>46255</v>
      </c>
      <c r="B1400">
        <v>3</v>
      </c>
      <c r="C1400" t="s">
        <v>10849</v>
      </c>
      <c r="D1400" t="s">
        <v>10</v>
      </c>
      <c r="E1400" t="s">
        <v>120</v>
      </c>
      <c r="F1400" t="s">
        <v>121</v>
      </c>
      <c r="G1400" s="16">
        <v>726.51250000000005</v>
      </c>
      <c r="H1400" t="s">
        <v>8</v>
      </c>
      <c r="I1400" s="16">
        <v>631.75</v>
      </c>
    </row>
    <row r="1401" spans="1:9" x14ac:dyDescent="0.3">
      <c r="A1401" s="1">
        <v>46255</v>
      </c>
      <c r="B1401">
        <v>3</v>
      </c>
      <c r="C1401" t="s">
        <v>8885</v>
      </c>
      <c r="D1401" t="s">
        <v>10</v>
      </c>
      <c r="E1401" t="s">
        <v>3103</v>
      </c>
      <c r="F1401" t="s">
        <v>3104</v>
      </c>
      <c r="G1401" s="16">
        <v>16.100000000000001</v>
      </c>
      <c r="H1401" t="s">
        <v>8</v>
      </c>
      <c r="I1401" s="16">
        <v>14</v>
      </c>
    </row>
    <row r="1402" spans="1:9" x14ac:dyDescent="0.3">
      <c r="A1402" s="1">
        <v>46255</v>
      </c>
      <c r="B1402">
        <v>3</v>
      </c>
      <c r="C1402" t="s">
        <v>11324</v>
      </c>
      <c r="D1402" t="s">
        <v>10</v>
      </c>
      <c r="E1402" t="s">
        <v>8432</v>
      </c>
      <c r="F1402" t="s">
        <v>8433</v>
      </c>
      <c r="G1402" s="16">
        <v>1059.288</v>
      </c>
      <c r="H1402" t="s">
        <v>8</v>
      </c>
      <c r="I1402" s="16">
        <v>921.12</v>
      </c>
    </row>
    <row r="1403" spans="1:9" x14ac:dyDescent="0.3">
      <c r="A1403" s="1">
        <v>46255</v>
      </c>
      <c r="B1403">
        <v>3</v>
      </c>
      <c r="C1403" t="s">
        <v>10671</v>
      </c>
      <c r="D1403" t="s">
        <v>10</v>
      </c>
      <c r="E1403" t="s">
        <v>1022</v>
      </c>
      <c r="F1403" t="s">
        <v>1023</v>
      </c>
      <c r="G1403" s="16">
        <v>10.35</v>
      </c>
      <c r="H1403" t="s">
        <v>8</v>
      </c>
      <c r="I1403" s="16">
        <v>9</v>
      </c>
    </row>
    <row r="1404" spans="1:9" x14ac:dyDescent="0.3">
      <c r="A1404" s="1">
        <v>46255</v>
      </c>
      <c r="B1404">
        <v>3</v>
      </c>
      <c r="C1404" t="s">
        <v>10844</v>
      </c>
      <c r="D1404" t="s">
        <v>10</v>
      </c>
      <c r="E1404" t="s">
        <v>69</v>
      </c>
      <c r="F1404" t="s">
        <v>70</v>
      </c>
      <c r="G1404" s="16">
        <v>3753.7494999999999</v>
      </c>
      <c r="H1404" t="s">
        <v>8</v>
      </c>
      <c r="I1404" s="16">
        <v>3264.13</v>
      </c>
    </row>
    <row r="1405" spans="1:9" x14ac:dyDescent="0.3">
      <c r="A1405" s="1">
        <v>46255</v>
      </c>
      <c r="B1405">
        <v>3</v>
      </c>
      <c r="C1405" t="s">
        <v>10854</v>
      </c>
      <c r="D1405" t="s">
        <v>10</v>
      </c>
      <c r="E1405" t="s">
        <v>562</v>
      </c>
      <c r="F1405" t="s">
        <v>563</v>
      </c>
      <c r="G1405" s="16">
        <v>2605.761</v>
      </c>
      <c r="H1405" t="s">
        <v>8</v>
      </c>
      <c r="I1405" s="16">
        <v>2265.8791999999999</v>
      </c>
    </row>
    <row r="1406" spans="1:9" x14ac:dyDescent="0.3">
      <c r="A1406" s="1">
        <v>46255</v>
      </c>
      <c r="B1406">
        <v>3</v>
      </c>
      <c r="C1406" t="s">
        <v>10830</v>
      </c>
      <c r="D1406" t="s">
        <v>10</v>
      </c>
      <c r="E1406" t="s">
        <v>34</v>
      </c>
      <c r="F1406" t="s">
        <v>35</v>
      </c>
      <c r="G1406" s="16">
        <v>6434.5727999999999</v>
      </c>
      <c r="H1406" t="s">
        <v>8</v>
      </c>
      <c r="I1406" s="16">
        <v>5595.2809999999999</v>
      </c>
    </row>
    <row r="1407" spans="1:9" x14ac:dyDescent="0.3">
      <c r="A1407" s="1">
        <v>46255</v>
      </c>
      <c r="B1407">
        <v>3</v>
      </c>
      <c r="C1407" t="s">
        <v>10900</v>
      </c>
      <c r="D1407" t="s">
        <v>10</v>
      </c>
      <c r="E1407" t="s">
        <v>173</v>
      </c>
      <c r="F1407" t="s">
        <v>174</v>
      </c>
      <c r="G1407" s="16">
        <v>2401.913</v>
      </c>
      <c r="H1407" t="s">
        <v>8</v>
      </c>
      <c r="I1407" s="16">
        <v>2088.62</v>
      </c>
    </row>
    <row r="1408" spans="1:9" x14ac:dyDescent="0.3">
      <c r="A1408" s="1">
        <v>46255</v>
      </c>
      <c r="B1408">
        <v>3</v>
      </c>
      <c r="C1408" t="s">
        <v>10672</v>
      </c>
      <c r="D1408" t="s">
        <v>10</v>
      </c>
      <c r="E1408" t="s">
        <v>1022</v>
      </c>
      <c r="F1408" t="s">
        <v>1023</v>
      </c>
      <c r="G1408" s="16">
        <v>11.5</v>
      </c>
      <c r="H1408" t="s">
        <v>8</v>
      </c>
      <c r="I1408" s="16">
        <v>10</v>
      </c>
    </row>
    <row r="1409" spans="1:9" x14ac:dyDescent="0.3">
      <c r="A1409" s="1">
        <v>46255</v>
      </c>
      <c r="B1409">
        <v>3</v>
      </c>
      <c r="C1409" t="s">
        <v>9430</v>
      </c>
      <c r="D1409" t="s">
        <v>10</v>
      </c>
      <c r="E1409" t="s">
        <v>107</v>
      </c>
      <c r="F1409" t="s">
        <v>3864</v>
      </c>
      <c r="G1409" s="16">
        <v>363.5763</v>
      </c>
      <c r="H1409" t="s">
        <v>8</v>
      </c>
      <c r="I1409" s="16">
        <v>316.1533</v>
      </c>
    </row>
    <row r="1410" spans="1:9" x14ac:dyDescent="0.3">
      <c r="A1410" s="1">
        <v>46255</v>
      </c>
      <c r="B1410">
        <v>3</v>
      </c>
      <c r="C1410" t="s">
        <v>10846</v>
      </c>
      <c r="D1410" t="s">
        <v>10</v>
      </c>
      <c r="E1410" t="s">
        <v>49</v>
      </c>
      <c r="F1410" t="s">
        <v>50</v>
      </c>
      <c r="G1410" s="16">
        <v>2146.0839999999998</v>
      </c>
      <c r="H1410" t="s">
        <v>8</v>
      </c>
      <c r="I1410" s="16">
        <v>1866.16</v>
      </c>
    </row>
    <row r="1411" spans="1:9" x14ac:dyDescent="0.3">
      <c r="A1411" s="1">
        <v>46256</v>
      </c>
      <c r="B1411">
        <v>2</v>
      </c>
      <c r="C1411" t="s">
        <v>11024</v>
      </c>
      <c r="D1411" t="s">
        <v>10</v>
      </c>
      <c r="E1411" t="s">
        <v>508</v>
      </c>
      <c r="F1411" t="s">
        <v>509</v>
      </c>
      <c r="G1411" s="16">
        <v>115.95838000000001</v>
      </c>
      <c r="H1411" t="s">
        <v>8</v>
      </c>
      <c r="I1411" s="16">
        <v>100.83337</v>
      </c>
    </row>
    <row r="1412" spans="1:9" x14ac:dyDescent="0.3">
      <c r="A1412" s="1">
        <v>46256</v>
      </c>
      <c r="B1412">
        <v>2</v>
      </c>
      <c r="C1412" t="s">
        <v>11075</v>
      </c>
      <c r="D1412" t="s">
        <v>2460</v>
      </c>
      <c r="E1412" t="s">
        <v>2313</v>
      </c>
      <c r="F1412" t="s">
        <v>2314</v>
      </c>
      <c r="G1412" s="16">
        <v>227.7</v>
      </c>
      <c r="H1412" t="s">
        <v>8</v>
      </c>
      <c r="I1412" s="16">
        <v>198</v>
      </c>
    </row>
    <row r="1413" spans="1:9" x14ac:dyDescent="0.3">
      <c r="A1413" s="1">
        <v>46256</v>
      </c>
      <c r="B1413">
        <v>2</v>
      </c>
      <c r="C1413" t="s">
        <v>10906</v>
      </c>
      <c r="D1413" t="s">
        <v>38</v>
      </c>
      <c r="E1413" t="s">
        <v>358</v>
      </c>
      <c r="F1413" t="s">
        <v>359</v>
      </c>
      <c r="G1413" s="16">
        <v>314.8125</v>
      </c>
      <c r="H1413" t="s">
        <v>8</v>
      </c>
      <c r="I1413" s="16">
        <v>273.75</v>
      </c>
    </row>
    <row r="1414" spans="1:9" x14ac:dyDescent="0.3">
      <c r="A1414" s="1">
        <v>46256</v>
      </c>
      <c r="B1414">
        <v>2</v>
      </c>
      <c r="C1414" t="s">
        <v>10937</v>
      </c>
      <c r="D1414" t="s">
        <v>10</v>
      </c>
      <c r="E1414" t="s">
        <v>1020</v>
      </c>
      <c r="F1414" t="s">
        <v>1021</v>
      </c>
      <c r="G1414" s="16">
        <v>23.7</v>
      </c>
      <c r="H1414" t="s">
        <v>8</v>
      </c>
      <c r="I1414" s="16">
        <v>20.608699999999999</v>
      </c>
    </row>
    <row r="1415" spans="1:9" x14ac:dyDescent="0.3">
      <c r="A1415" s="1">
        <v>46256</v>
      </c>
      <c r="B1415">
        <v>2</v>
      </c>
      <c r="C1415" t="s">
        <v>10946</v>
      </c>
      <c r="D1415" t="s">
        <v>10</v>
      </c>
      <c r="E1415" t="s">
        <v>817</v>
      </c>
      <c r="F1415" t="s">
        <v>818</v>
      </c>
      <c r="G1415" s="16">
        <v>77.049949999999995</v>
      </c>
      <c r="H1415" t="s">
        <v>8</v>
      </c>
      <c r="I1415" s="16">
        <v>66.999960000000002</v>
      </c>
    </row>
    <row r="1416" spans="1:9" x14ac:dyDescent="0.3">
      <c r="A1416" s="1">
        <v>46256</v>
      </c>
      <c r="B1416">
        <v>2</v>
      </c>
      <c r="C1416" t="s">
        <v>10957</v>
      </c>
      <c r="D1416" t="s">
        <v>10</v>
      </c>
      <c r="E1416" t="s">
        <v>39</v>
      </c>
      <c r="F1416" t="s">
        <v>40</v>
      </c>
      <c r="G1416" s="16">
        <v>3366.6511</v>
      </c>
      <c r="H1416" t="s">
        <v>8</v>
      </c>
      <c r="I1416" s="16">
        <v>2927.5227</v>
      </c>
    </row>
    <row r="1417" spans="1:9" x14ac:dyDescent="0.3">
      <c r="A1417" s="1">
        <v>46256</v>
      </c>
      <c r="B1417">
        <v>2</v>
      </c>
      <c r="C1417" t="s">
        <v>11013</v>
      </c>
      <c r="D1417" t="s">
        <v>10</v>
      </c>
      <c r="E1417" t="s">
        <v>621</v>
      </c>
      <c r="F1417" t="s">
        <v>11012</v>
      </c>
      <c r="G1417" s="16">
        <v>1645.5809999999999</v>
      </c>
      <c r="H1417" t="s">
        <v>8</v>
      </c>
      <c r="I1417" s="16">
        <v>1430.94</v>
      </c>
    </row>
    <row r="1418" spans="1:9" x14ac:dyDescent="0.3">
      <c r="A1418" s="1">
        <v>46256</v>
      </c>
      <c r="B1418">
        <v>2</v>
      </c>
      <c r="C1418" t="s">
        <v>10913</v>
      </c>
      <c r="D1418" t="s">
        <v>10</v>
      </c>
      <c r="E1418" t="s">
        <v>151</v>
      </c>
      <c r="F1418" t="s">
        <v>152</v>
      </c>
      <c r="G1418" s="16">
        <v>2636.8838000000001</v>
      </c>
      <c r="H1418" t="s">
        <v>8</v>
      </c>
      <c r="I1418" s="16">
        <v>2292.9423999999999</v>
      </c>
    </row>
    <row r="1419" spans="1:9" x14ac:dyDescent="0.3">
      <c r="A1419" s="1">
        <v>46256</v>
      </c>
      <c r="B1419">
        <v>2</v>
      </c>
      <c r="C1419" t="s">
        <v>11077</v>
      </c>
      <c r="D1419" t="s">
        <v>2460</v>
      </c>
      <c r="E1419" t="s">
        <v>562</v>
      </c>
      <c r="F1419" t="s">
        <v>563</v>
      </c>
      <c r="G1419" s="16">
        <v>2302.6491999999998</v>
      </c>
      <c r="H1419" t="s">
        <v>8</v>
      </c>
      <c r="I1419" s="16">
        <v>2002.3036</v>
      </c>
    </row>
    <row r="1420" spans="1:9" x14ac:dyDescent="0.3">
      <c r="A1420" s="1">
        <v>46256</v>
      </c>
      <c r="B1420">
        <v>2</v>
      </c>
      <c r="C1420" t="s">
        <v>11010</v>
      </c>
      <c r="D1420" t="s">
        <v>10</v>
      </c>
      <c r="E1420" t="s">
        <v>84</v>
      </c>
      <c r="F1420" t="s">
        <v>85</v>
      </c>
      <c r="G1420" s="16">
        <v>249.68853999999999</v>
      </c>
      <c r="H1420" t="s">
        <v>8</v>
      </c>
      <c r="I1420" s="16">
        <v>217.12047000000001</v>
      </c>
    </row>
    <row r="1421" spans="1:9" x14ac:dyDescent="0.3">
      <c r="A1421" s="1">
        <v>46256</v>
      </c>
      <c r="B1421">
        <v>2</v>
      </c>
      <c r="C1421" t="s">
        <v>11029</v>
      </c>
      <c r="D1421" t="s">
        <v>10</v>
      </c>
      <c r="E1421" t="s">
        <v>2943</v>
      </c>
      <c r="F1421" t="s">
        <v>2944</v>
      </c>
      <c r="G1421" s="16">
        <v>747.85649999999998</v>
      </c>
      <c r="H1421" t="s">
        <v>8</v>
      </c>
      <c r="I1421" s="16">
        <v>650.30999999999995</v>
      </c>
    </row>
    <row r="1422" spans="1:9" x14ac:dyDescent="0.3">
      <c r="A1422" s="1">
        <v>46256</v>
      </c>
      <c r="B1422">
        <v>2</v>
      </c>
      <c r="C1422" t="s">
        <v>11325</v>
      </c>
      <c r="D1422" t="s">
        <v>2460</v>
      </c>
      <c r="E1422" t="s">
        <v>2328</v>
      </c>
      <c r="F1422" t="s">
        <v>2329</v>
      </c>
      <c r="G1422" s="16">
        <v>21.85</v>
      </c>
      <c r="H1422" t="s">
        <v>8</v>
      </c>
      <c r="I1422" s="16">
        <v>19</v>
      </c>
    </row>
    <row r="1423" spans="1:9" x14ac:dyDescent="0.3">
      <c r="A1423" s="1">
        <v>46256</v>
      </c>
      <c r="B1423">
        <v>2</v>
      </c>
      <c r="C1423" t="s">
        <v>10986</v>
      </c>
      <c r="D1423" t="s">
        <v>10</v>
      </c>
      <c r="E1423" t="s">
        <v>98</v>
      </c>
      <c r="F1423" t="s">
        <v>99</v>
      </c>
      <c r="G1423" s="16">
        <v>41.4</v>
      </c>
      <c r="H1423" t="s">
        <v>8</v>
      </c>
      <c r="I1423" s="16">
        <v>36</v>
      </c>
    </row>
    <row r="1424" spans="1:9" x14ac:dyDescent="0.3">
      <c r="A1424" s="1">
        <v>46256</v>
      </c>
      <c r="B1424">
        <v>2</v>
      </c>
      <c r="C1424" t="s">
        <v>10942</v>
      </c>
      <c r="D1424" t="s">
        <v>10</v>
      </c>
      <c r="E1424" t="s">
        <v>804</v>
      </c>
      <c r="F1424" t="s">
        <v>805</v>
      </c>
      <c r="G1424" s="16">
        <v>393.59899999999999</v>
      </c>
      <c r="H1424" t="s">
        <v>8</v>
      </c>
      <c r="I1424" s="16">
        <v>342.26</v>
      </c>
    </row>
    <row r="1425" spans="1:9" x14ac:dyDescent="0.3">
      <c r="A1425" s="1">
        <v>46256</v>
      </c>
      <c r="B1425">
        <v>2</v>
      </c>
      <c r="C1425" t="s">
        <v>10966</v>
      </c>
      <c r="D1425" t="s">
        <v>10</v>
      </c>
      <c r="E1425" t="s">
        <v>1024</v>
      </c>
      <c r="F1425" t="s">
        <v>1025</v>
      </c>
      <c r="G1425" s="16">
        <v>52.421599999999998</v>
      </c>
      <c r="H1425" t="s">
        <v>8</v>
      </c>
      <c r="I1425" s="16">
        <v>45.584000000000003</v>
      </c>
    </row>
    <row r="1426" spans="1:9" x14ac:dyDescent="0.3">
      <c r="A1426" s="1">
        <v>46256</v>
      </c>
      <c r="B1426">
        <v>2</v>
      </c>
      <c r="C1426" t="s">
        <v>11021</v>
      </c>
      <c r="D1426" t="s">
        <v>10</v>
      </c>
      <c r="E1426" t="s">
        <v>2269</v>
      </c>
      <c r="F1426" t="s">
        <v>2270</v>
      </c>
      <c r="G1426" s="16">
        <v>560.30695000000003</v>
      </c>
      <c r="H1426" t="s">
        <v>8</v>
      </c>
      <c r="I1426" s="16">
        <v>487.22341999999998</v>
      </c>
    </row>
    <row r="1427" spans="1:9" x14ac:dyDescent="0.3">
      <c r="A1427" s="1">
        <v>46256</v>
      </c>
      <c r="B1427">
        <v>2</v>
      </c>
      <c r="C1427" t="s">
        <v>10909</v>
      </c>
      <c r="D1427" t="s">
        <v>10</v>
      </c>
      <c r="E1427" t="s">
        <v>512</v>
      </c>
      <c r="F1427" t="s">
        <v>513</v>
      </c>
      <c r="G1427" s="16">
        <v>174.43199999999999</v>
      </c>
      <c r="H1427" t="s">
        <v>8</v>
      </c>
      <c r="I1427" s="16">
        <v>151.68</v>
      </c>
    </row>
    <row r="1428" spans="1:9" x14ac:dyDescent="0.3">
      <c r="A1428" s="1">
        <v>46256</v>
      </c>
      <c r="B1428">
        <v>2</v>
      </c>
      <c r="C1428" t="s">
        <v>11082</v>
      </c>
      <c r="D1428" t="s">
        <v>2460</v>
      </c>
      <c r="E1428" t="s">
        <v>2260</v>
      </c>
      <c r="F1428" t="s">
        <v>2261</v>
      </c>
      <c r="G1428" s="16">
        <v>5191.5600000000004</v>
      </c>
      <c r="H1428" t="s">
        <v>8</v>
      </c>
      <c r="I1428" s="16">
        <v>4514.3999999999996</v>
      </c>
    </row>
    <row r="1429" spans="1:9" x14ac:dyDescent="0.3">
      <c r="A1429" s="1">
        <v>46256</v>
      </c>
      <c r="B1429">
        <v>2</v>
      </c>
      <c r="C1429" t="s">
        <v>10948</v>
      </c>
      <c r="D1429" t="s">
        <v>10</v>
      </c>
      <c r="E1429" t="s">
        <v>2252</v>
      </c>
      <c r="F1429" t="s">
        <v>2253</v>
      </c>
      <c r="G1429" s="16">
        <v>132.25</v>
      </c>
      <c r="H1429" t="s">
        <v>8</v>
      </c>
      <c r="I1429" s="16">
        <v>115</v>
      </c>
    </row>
    <row r="1430" spans="1:9" x14ac:dyDescent="0.3">
      <c r="A1430" s="1">
        <v>46256</v>
      </c>
      <c r="B1430">
        <v>2</v>
      </c>
      <c r="C1430" t="s">
        <v>11020</v>
      </c>
      <c r="D1430" t="s">
        <v>10</v>
      </c>
      <c r="E1430" t="s">
        <v>809</v>
      </c>
      <c r="F1430" t="s">
        <v>360</v>
      </c>
      <c r="G1430" s="16">
        <v>46.8855</v>
      </c>
      <c r="H1430" t="s">
        <v>8</v>
      </c>
      <c r="I1430" s="16">
        <v>40.770000000000003</v>
      </c>
    </row>
    <row r="1431" spans="1:9" x14ac:dyDescent="0.3">
      <c r="A1431" s="1">
        <v>46256</v>
      </c>
      <c r="B1431">
        <v>2</v>
      </c>
      <c r="C1431" t="s">
        <v>11004</v>
      </c>
      <c r="D1431" t="s">
        <v>10</v>
      </c>
      <c r="E1431" t="s">
        <v>776</v>
      </c>
      <c r="F1431" t="s">
        <v>777</v>
      </c>
      <c r="G1431" s="16">
        <v>261.41800000000001</v>
      </c>
      <c r="H1431" t="s">
        <v>8</v>
      </c>
      <c r="I1431" s="16">
        <v>227.32</v>
      </c>
    </row>
    <row r="1432" spans="1:9" x14ac:dyDescent="0.3">
      <c r="A1432" s="1">
        <v>46256</v>
      </c>
      <c r="B1432">
        <v>2</v>
      </c>
      <c r="C1432" t="s">
        <v>11068</v>
      </c>
      <c r="D1432" t="s">
        <v>2460</v>
      </c>
      <c r="E1432" t="s">
        <v>7645</v>
      </c>
      <c r="F1432" t="s">
        <v>7646</v>
      </c>
      <c r="G1432" s="16">
        <v>34000.561999999998</v>
      </c>
      <c r="H1432" t="s">
        <v>8</v>
      </c>
      <c r="I1432" s="16">
        <v>29565.705000000002</v>
      </c>
    </row>
    <row r="1433" spans="1:9" x14ac:dyDescent="0.3">
      <c r="A1433" s="1">
        <v>46256</v>
      </c>
      <c r="B1433">
        <v>2</v>
      </c>
      <c r="C1433" t="s">
        <v>10959</v>
      </c>
      <c r="D1433" t="s">
        <v>10</v>
      </c>
      <c r="E1433" t="s">
        <v>863</v>
      </c>
      <c r="F1433" t="s">
        <v>864</v>
      </c>
      <c r="G1433" s="16">
        <v>49614.112999999998</v>
      </c>
      <c r="H1433" t="s">
        <v>8</v>
      </c>
      <c r="I1433" s="16">
        <v>43142.707000000002</v>
      </c>
    </row>
    <row r="1434" spans="1:9" x14ac:dyDescent="0.3">
      <c r="A1434" s="1">
        <v>46256</v>
      </c>
      <c r="B1434">
        <v>2</v>
      </c>
      <c r="C1434" t="s">
        <v>11018</v>
      </c>
      <c r="D1434" t="s">
        <v>10</v>
      </c>
      <c r="E1434" t="s">
        <v>95</v>
      </c>
      <c r="F1434" t="s">
        <v>96</v>
      </c>
      <c r="G1434" s="16">
        <v>1230.8030000000001</v>
      </c>
      <c r="H1434" t="s">
        <v>8</v>
      </c>
      <c r="I1434" s="16">
        <v>1070.2634</v>
      </c>
    </row>
    <row r="1435" spans="1:9" x14ac:dyDescent="0.3">
      <c r="A1435" s="1">
        <v>46256</v>
      </c>
      <c r="B1435">
        <v>2</v>
      </c>
      <c r="C1435" t="s">
        <v>11070</v>
      </c>
      <c r="D1435" t="s">
        <v>2460</v>
      </c>
      <c r="E1435" t="s">
        <v>911</v>
      </c>
      <c r="F1435" t="s">
        <v>912</v>
      </c>
      <c r="G1435" s="16">
        <v>387.09</v>
      </c>
      <c r="H1435" t="s">
        <v>8</v>
      </c>
      <c r="I1435" s="16">
        <v>336.6</v>
      </c>
    </row>
    <row r="1436" spans="1:9" x14ac:dyDescent="0.3">
      <c r="A1436" s="1">
        <v>46256</v>
      </c>
      <c r="B1436">
        <v>2</v>
      </c>
      <c r="C1436" t="s">
        <v>11073</v>
      </c>
      <c r="D1436" t="s">
        <v>2460</v>
      </c>
      <c r="E1436" t="s">
        <v>911</v>
      </c>
      <c r="F1436" t="s">
        <v>912</v>
      </c>
      <c r="G1436" s="16">
        <v>12.9375</v>
      </c>
      <c r="H1436" t="s">
        <v>8</v>
      </c>
      <c r="I1436" s="16">
        <v>11.25</v>
      </c>
    </row>
    <row r="1437" spans="1:9" x14ac:dyDescent="0.3">
      <c r="A1437" s="1">
        <v>46256</v>
      </c>
      <c r="B1437">
        <v>2</v>
      </c>
      <c r="C1437" t="s">
        <v>10996</v>
      </c>
      <c r="D1437" t="s">
        <v>10</v>
      </c>
      <c r="E1437" t="s">
        <v>197</v>
      </c>
      <c r="F1437" t="s">
        <v>198</v>
      </c>
      <c r="G1437" s="16">
        <v>56.541589999999999</v>
      </c>
      <c r="H1437" t="s">
        <v>8</v>
      </c>
      <c r="I1437" s="16">
        <v>49.166600000000003</v>
      </c>
    </row>
    <row r="1438" spans="1:9" x14ac:dyDescent="0.3">
      <c r="A1438" s="1">
        <v>46256</v>
      </c>
      <c r="B1438">
        <v>2</v>
      </c>
      <c r="C1438" t="s">
        <v>11064</v>
      </c>
      <c r="D1438" t="s">
        <v>2460</v>
      </c>
      <c r="E1438" t="s">
        <v>10861</v>
      </c>
      <c r="F1438" t="s">
        <v>10862</v>
      </c>
      <c r="G1438" s="16">
        <v>21125.398000000001</v>
      </c>
      <c r="H1438" t="s">
        <v>8</v>
      </c>
      <c r="I1438" s="16">
        <v>18369.912</v>
      </c>
    </row>
    <row r="1439" spans="1:9" x14ac:dyDescent="0.3">
      <c r="A1439" s="1">
        <v>46256</v>
      </c>
      <c r="B1439">
        <v>2</v>
      </c>
      <c r="C1439" t="s">
        <v>11017</v>
      </c>
      <c r="D1439" t="s">
        <v>10</v>
      </c>
      <c r="E1439" t="s">
        <v>173</v>
      </c>
      <c r="F1439" t="s">
        <v>174</v>
      </c>
      <c r="G1439" s="16">
        <v>1830.7194999999999</v>
      </c>
      <c r="H1439" t="s">
        <v>8</v>
      </c>
      <c r="I1439" s="16">
        <v>1591.93</v>
      </c>
    </row>
    <row r="1440" spans="1:9" x14ac:dyDescent="0.3">
      <c r="A1440" s="1">
        <v>46256</v>
      </c>
      <c r="B1440">
        <v>2</v>
      </c>
      <c r="C1440" t="s">
        <v>10990</v>
      </c>
      <c r="D1440" t="s">
        <v>10</v>
      </c>
      <c r="E1440" t="s">
        <v>295</v>
      </c>
      <c r="F1440" t="s">
        <v>345</v>
      </c>
      <c r="G1440" s="16">
        <v>54.912500000000001</v>
      </c>
      <c r="H1440" t="s">
        <v>8</v>
      </c>
      <c r="I1440" s="16">
        <v>47.75</v>
      </c>
    </row>
    <row r="1441" spans="1:9" x14ac:dyDescent="0.3">
      <c r="A1441" s="1">
        <v>46256</v>
      </c>
      <c r="B1441">
        <v>2</v>
      </c>
      <c r="C1441" t="s">
        <v>11000</v>
      </c>
      <c r="D1441" t="s">
        <v>10</v>
      </c>
      <c r="E1441" t="s">
        <v>154</v>
      </c>
      <c r="F1441" t="s">
        <v>155</v>
      </c>
      <c r="G1441" s="16">
        <v>1771.8598999999999</v>
      </c>
      <c r="H1441" t="s">
        <v>8</v>
      </c>
      <c r="I1441" s="16">
        <v>1540.7476999999999</v>
      </c>
    </row>
    <row r="1442" spans="1:9" x14ac:dyDescent="0.3">
      <c r="A1442" s="1">
        <v>46256</v>
      </c>
      <c r="B1442">
        <v>2</v>
      </c>
      <c r="C1442" t="s">
        <v>10967</v>
      </c>
      <c r="D1442" t="s">
        <v>10</v>
      </c>
      <c r="E1442" t="s">
        <v>987</v>
      </c>
      <c r="F1442" t="s">
        <v>988</v>
      </c>
      <c r="G1442" s="16">
        <v>69</v>
      </c>
      <c r="H1442" t="s">
        <v>8</v>
      </c>
      <c r="I1442" s="16">
        <v>60</v>
      </c>
    </row>
    <row r="1443" spans="1:9" x14ac:dyDescent="0.3">
      <c r="A1443" s="1">
        <v>46256</v>
      </c>
      <c r="B1443">
        <v>2</v>
      </c>
      <c r="C1443" t="s">
        <v>10914</v>
      </c>
      <c r="D1443" t="s">
        <v>10</v>
      </c>
      <c r="E1443" t="s">
        <v>596</v>
      </c>
      <c r="F1443" t="s">
        <v>597</v>
      </c>
      <c r="G1443" s="16">
        <v>184.79349999999999</v>
      </c>
      <c r="H1443" t="s">
        <v>8</v>
      </c>
      <c r="I1443" s="16">
        <v>160.69</v>
      </c>
    </row>
    <row r="1444" spans="1:9" x14ac:dyDescent="0.3">
      <c r="A1444" s="1">
        <v>46256</v>
      </c>
      <c r="B1444">
        <v>2</v>
      </c>
      <c r="C1444" t="s">
        <v>10935</v>
      </c>
      <c r="D1444" t="s">
        <v>10</v>
      </c>
      <c r="E1444" t="s">
        <v>57</v>
      </c>
      <c r="F1444" t="s">
        <v>58</v>
      </c>
      <c r="G1444" s="16">
        <v>940.7</v>
      </c>
      <c r="H1444" t="s">
        <v>8</v>
      </c>
      <c r="I1444" s="16">
        <v>818</v>
      </c>
    </row>
    <row r="1445" spans="1:9" x14ac:dyDescent="0.3">
      <c r="A1445" s="1">
        <v>46256</v>
      </c>
      <c r="B1445">
        <v>2</v>
      </c>
      <c r="C1445" t="s">
        <v>11067</v>
      </c>
      <c r="D1445" t="s">
        <v>2460</v>
      </c>
      <c r="E1445" t="s">
        <v>31</v>
      </c>
      <c r="F1445" t="s">
        <v>32</v>
      </c>
      <c r="G1445" s="16">
        <v>717.6</v>
      </c>
      <c r="H1445" t="s">
        <v>8</v>
      </c>
      <c r="I1445" s="16">
        <v>624</v>
      </c>
    </row>
    <row r="1446" spans="1:9" x14ac:dyDescent="0.3">
      <c r="A1446" s="1">
        <v>46256</v>
      </c>
      <c r="B1446">
        <v>2</v>
      </c>
      <c r="C1446" t="s">
        <v>10908</v>
      </c>
      <c r="D1446" t="s">
        <v>10</v>
      </c>
      <c r="E1446" t="s">
        <v>188</v>
      </c>
      <c r="F1446" t="s">
        <v>189</v>
      </c>
      <c r="G1446" s="16">
        <v>105.65625</v>
      </c>
      <c r="H1446" t="s">
        <v>8</v>
      </c>
      <c r="I1446" s="16">
        <v>91.875</v>
      </c>
    </row>
    <row r="1447" spans="1:9" x14ac:dyDescent="0.3">
      <c r="A1447" s="1">
        <v>46256</v>
      </c>
      <c r="B1447">
        <v>2</v>
      </c>
      <c r="C1447" t="s">
        <v>10901</v>
      </c>
      <c r="D1447" t="s">
        <v>10</v>
      </c>
      <c r="E1447" t="s">
        <v>5199</v>
      </c>
      <c r="F1447" t="s">
        <v>5200</v>
      </c>
      <c r="G1447" s="16">
        <v>123.9842</v>
      </c>
      <c r="H1447" t="s">
        <v>8</v>
      </c>
      <c r="I1447" s="16">
        <v>107.81235</v>
      </c>
    </row>
    <row r="1448" spans="1:9" x14ac:dyDescent="0.3">
      <c r="A1448" s="1">
        <v>46256</v>
      </c>
      <c r="B1448">
        <v>2</v>
      </c>
      <c r="C1448" t="s">
        <v>10975</v>
      </c>
      <c r="D1448" t="s">
        <v>10</v>
      </c>
      <c r="E1448" t="s">
        <v>181</v>
      </c>
      <c r="F1448" t="s">
        <v>182</v>
      </c>
      <c r="G1448" s="16">
        <v>53.666699999999999</v>
      </c>
      <c r="H1448" t="s">
        <v>8</v>
      </c>
      <c r="I1448" s="16">
        <v>46.666699999999999</v>
      </c>
    </row>
    <row r="1449" spans="1:9" x14ac:dyDescent="0.3">
      <c r="A1449" s="1">
        <v>46256</v>
      </c>
      <c r="B1449">
        <v>2</v>
      </c>
      <c r="C1449" t="s">
        <v>10936</v>
      </c>
      <c r="D1449" t="s">
        <v>10</v>
      </c>
      <c r="E1449" t="s">
        <v>2166</v>
      </c>
      <c r="F1449" t="s">
        <v>2167</v>
      </c>
      <c r="G1449" s="16">
        <v>1643.1659999999999</v>
      </c>
      <c r="H1449" t="s">
        <v>8</v>
      </c>
      <c r="I1449" s="16">
        <v>1428.84</v>
      </c>
    </row>
    <row r="1450" spans="1:9" x14ac:dyDescent="0.3">
      <c r="A1450" s="1">
        <v>46256</v>
      </c>
      <c r="B1450">
        <v>2</v>
      </c>
      <c r="C1450" t="s">
        <v>11078</v>
      </c>
      <c r="D1450" t="s">
        <v>2460</v>
      </c>
      <c r="E1450" t="s">
        <v>3777</v>
      </c>
      <c r="F1450" t="s">
        <v>3778</v>
      </c>
      <c r="G1450" s="16">
        <v>855.73800000000006</v>
      </c>
      <c r="H1450" t="s">
        <v>8</v>
      </c>
      <c r="I1450" s="16">
        <v>744.12</v>
      </c>
    </row>
    <row r="1451" spans="1:9" x14ac:dyDescent="0.3">
      <c r="A1451" s="1">
        <v>46256</v>
      </c>
      <c r="B1451">
        <v>2</v>
      </c>
      <c r="C1451" t="s">
        <v>11326</v>
      </c>
      <c r="D1451" t="s">
        <v>2460</v>
      </c>
      <c r="E1451" t="s">
        <v>177</v>
      </c>
      <c r="F1451" t="s">
        <v>178</v>
      </c>
      <c r="G1451" s="16">
        <v>395.50799999999998</v>
      </c>
      <c r="H1451" t="s">
        <v>8</v>
      </c>
      <c r="I1451" s="16">
        <v>343.92</v>
      </c>
    </row>
    <row r="1452" spans="1:9" x14ac:dyDescent="0.3">
      <c r="A1452" s="1">
        <v>46256</v>
      </c>
      <c r="B1452">
        <v>2</v>
      </c>
      <c r="C1452" t="s">
        <v>11060</v>
      </c>
      <c r="D1452" t="s">
        <v>2463</v>
      </c>
      <c r="E1452" t="s">
        <v>377</v>
      </c>
      <c r="F1452" t="s">
        <v>378</v>
      </c>
      <c r="G1452" s="16">
        <v>23.46</v>
      </c>
      <c r="H1452" t="s">
        <v>8</v>
      </c>
      <c r="I1452" s="16">
        <v>20.399999999999999</v>
      </c>
    </row>
    <row r="1453" spans="1:9" x14ac:dyDescent="0.3">
      <c r="A1453" s="1">
        <v>46256</v>
      </c>
      <c r="B1453">
        <v>2</v>
      </c>
      <c r="C1453" t="s">
        <v>11327</v>
      </c>
      <c r="D1453" t="s">
        <v>2460</v>
      </c>
      <c r="E1453" t="s">
        <v>79</v>
      </c>
      <c r="F1453" t="s">
        <v>80</v>
      </c>
      <c r="G1453" s="16">
        <v>12.931749999999999</v>
      </c>
      <c r="H1453" t="s">
        <v>8</v>
      </c>
      <c r="I1453" s="16">
        <v>11.244999999999999</v>
      </c>
    </row>
    <row r="1454" spans="1:9" x14ac:dyDescent="0.3">
      <c r="A1454" s="1">
        <v>46256</v>
      </c>
      <c r="B1454">
        <v>2</v>
      </c>
      <c r="C1454" t="s">
        <v>10934</v>
      </c>
      <c r="D1454" t="s">
        <v>10</v>
      </c>
      <c r="E1454" t="s">
        <v>1722</v>
      </c>
      <c r="F1454" t="s">
        <v>1723</v>
      </c>
      <c r="G1454" s="16">
        <v>231.15</v>
      </c>
      <c r="H1454" t="s">
        <v>8</v>
      </c>
      <c r="I1454" s="16">
        <v>201</v>
      </c>
    </row>
    <row r="1455" spans="1:9" x14ac:dyDescent="0.3">
      <c r="A1455" s="1">
        <v>46256</v>
      </c>
      <c r="B1455">
        <v>2</v>
      </c>
      <c r="C1455" t="s">
        <v>10984</v>
      </c>
      <c r="D1455" t="s">
        <v>10</v>
      </c>
      <c r="E1455" t="s">
        <v>173</v>
      </c>
      <c r="F1455" t="s">
        <v>174</v>
      </c>
      <c r="G1455" s="16">
        <v>2021.8725999999999</v>
      </c>
      <c r="H1455" t="s">
        <v>8</v>
      </c>
      <c r="I1455" s="16">
        <v>1758.15</v>
      </c>
    </row>
    <row r="1456" spans="1:9" x14ac:dyDescent="0.3">
      <c r="A1456" s="1">
        <v>46256</v>
      </c>
      <c r="B1456">
        <v>2</v>
      </c>
      <c r="C1456" t="s">
        <v>10998</v>
      </c>
      <c r="D1456" t="s">
        <v>10</v>
      </c>
      <c r="E1456" t="s">
        <v>177</v>
      </c>
      <c r="F1456" t="s">
        <v>178</v>
      </c>
      <c r="G1456" s="16">
        <v>386.00900000000001</v>
      </c>
      <c r="H1456" t="s">
        <v>8</v>
      </c>
      <c r="I1456" s="16">
        <v>335.66</v>
      </c>
    </row>
    <row r="1457" spans="1:9" x14ac:dyDescent="0.3">
      <c r="A1457" s="1">
        <v>46256</v>
      </c>
      <c r="B1457">
        <v>2</v>
      </c>
      <c r="C1457" t="s">
        <v>10952</v>
      </c>
      <c r="D1457" t="s">
        <v>10</v>
      </c>
      <c r="E1457" t="s">
        <v>102</v>
      </c>
      <c r="F1457" t="s">
        <v>103</v>
      </c>
      <c r="G1457" s="16">
        <v>95.22</v>
      </c>
      <c r="H1457" t="s">
        <v>8</v>
      </c>
      <c r="I1457" s="16">
        <v>82.8</v>
      </c>
    </row>
    <row r="1458" spans="1:9" x14ac:dyDescent="0.3">
      <c r="A1458" s="1">
        <v>46256</v>
      </c>
      <c r="B1458">
        <v>2</v>
      </c>
      <c r="C1458" t="s">
        <v>10972</v>
      </c>
      <c r="D1458" t="s">
        <v>10</v>
      </c>
      <c r="E1458" t="s">
        <v>877</v>
      </c>
      <c r="F1458" t="s">
        <v>2343</v>
      </c>
      <c r="G1458" s="16">
        <v>15.64</v>
      </c>
      <c r="H1458" t="s">
        <v>8</v>
      </c>
      <c r="I1458" s="16">
        <v>13.6</v>
      </c>
    </row>
    <row r="1459" spans="1:9" x14ac:dyDescent="0.3">
      <c r="A1459" s="1">
        <v>46256</v>
      </c>
      <c r="B1459">
        <v>2</v>
      </c>
      <c r="C1459" t="s">
        <v>11081</v>
      </c>
      <c r="D1459" t="s">
        <v>2460</v>
      </c>
      <c r="E1459" t="s">
        <v>931</v>
      </c>
      <c r="F1459" t="s">
        <v>1767</v>
      </c>
      <c r="G1459" s="16">
        <v>776.25</v>
      </c>
      <c r="H1459" t="s">
        <v>8</v>
      </c>
      <c r="I1459" s="16">
        <v>675</v>
      </c>
    </row>
    <row r="1460" spans="1:9" x14ac:dyDescent="0.3">
      <c r="A1460" s="1">
        <v>46256</v>
      </c>
      <c r="B1460">
        <v>2</v>
      </c>
      <c r="C1460" t="s">
        <v>10905</v>
      </c>
      <c r="D1460" t="s">
        <v>10</v>
      </c>
      <c r="E1460" t="s">
        <v>5437</v>
      </c>
      <c r="F1460" t="s">
        <v>5438</v>
      </c>
      <c r="G1460" s="16">
        <v>17.500699999999998</v>
      </c>
      <c r="H1460" t="s">
        <v>8</v>
      </c>
      <c r="I1460" s="16">
        <v>15.218</v>
      </c>
    </row>
    <row r="1461" spans="1:9" x14ac:dyDescent="0.3">
      <c r="A1461" s="1">
        <v>46256</v>
      </c>
      <c r="B1461">
        <v>2</v>
      </c>
      <c r="C1461" t="s">
        <v>10911</v>
      </c>
      <c r="D1461" t="s">
        <v>10</v>
      </c>
      <c r="E1461" t="s">
        <v>2263</v>
      </c>
      <c r="F1461" t="s">
        <v>2350</v>
      </c>
      <c r="G1461" s="16">
        <v>71.875</v>
      </c>
      <c r="H1461" t="s">
        <v>8</v>
      </c>
      <c r="I1461" s="16">
        <v>62.5</v>
      </c>
    </row>
    <row r="1462" spans="1:9" x14ac:dyDescent="0.3">
      <c r="A1462" s="1">
        <v>46256</v>
      </c>
      <c r="B1462">
        <v>2</v>
      </c>
      <c r="C1462" t="s">
        <v>10943</v>
      </c>
      <c r="D1462" t="s">
        <v>10</v>
      </c>
      <c r="E1462" t="s">
        <v>1018</v>
      </c>
      <c r="F1462" t="s">
        <v>1019</v>
      </c>
      <c r="G1462" s="16">
        <v>482.93848000000003</v>
      </c>
      <c r="H1462" t="s">
        <v>8</v>
      </c>
      <c r="I1462" s="16">
        <v>419.94650000000001</v>
      </c>
    </row>
    <row r="1463" spans="1:9" x14ac:dyDescent="0.3">
      <c r="A1463" s="1">
        <v>46256</v>
      </c>
      <c r="B1463">
        <v>2</v>
      </c>
      <c r="C1463" t="s">
        <v>11071</v>
      </c>
      <c r="D1463" t="s">
        <v>2460</v>
      </c>
      <c r="E1463" t="s">
        <v>5437</v>
      </c>
      <c r="F1463" t="s">
        <v>5438</v>
      </c>
      <c r="G1463" s="16">
        <v>90.999409999999997</v>
      </c>
      <c r="H1463" t="s">
        <v>8</v>
      </c>
      <c r="I1463" s="16">
        <v>79.129919999999998</v>
      </c>
    </row>
    <row r="1464" spans="1:9" x14ac:dyDescent="0.3">
      <c r="A1464" s="1">
        <v>46256</v>
      </c>
      <c r="B1464">
        <v>2</v>
      </c>
      <c r="C1464" t="s">
        <v>11001</v>
      </c>
      <c r="D1464" t="s">
        <v>10</v>
      </c>
      <c r="E1464" t="s">
        <v>158</v>
      </c>
      <c r="F1464" t="s">
        <v>159</v>
      </c>
      <c r="G1464" s="16">
        <v>276.69574</v>
      </c>
      <c r="H1464" t="s">
        <v>8</v>
      </c>
      <c r="I1464" s="16">
        <v>240.60499999999999</v>
      </c>
    </row>
    <row r="1465" spans="1:9" x14ac:dyDescent="0.3">
      <c r="A1465" s="1">
        <v>46256</v>
      </c>
      <c r="B1465">
        <v>2</v>
      </c>
      <c r="C1465" t="s">
        <v>10954</v>
      </c>
      <c r="D1465" t="s">
        <v>10</v>
      </c>
      <c r="E1465" t="s">
        <v>73</v>
      </c>
      <c r="F1465" t="s">
        <v>74</v>
      </c>
      <c r="G1465" s="16">
        <v>320.33629999999999</v>
      </c>
      <c r="H1465" t="s">
        <v>8</v>
      </c>
      <c r="I1465" s="16">
        <v>278.55329999999998</v>
      </c>
    </row>
    <row r="1466" spans="1:9" x14ac:dyDescent="0.3">
      <c r="A1466" s="1">
        <v>46256</v>
      </c>
      <c r="B1466">
        <v>2</v>
      </c>
      <c r="C1466" t="s">
        <v>10987</v>
      </c>
      <c r="D1466" t="s">
        <v>10</v>
      </c>
      <c r="E1466" t="s">
        <v>2775</v>
      </c>
      <c r="F1466" t="s">
        <v>2776</v>
      </c>
      <c r="G1466" s="16">
        <v>368</v>
      </c>
      <c r="H1466" t="s">
        <v>8</v>
      </c>
      <c r="I1466" s="16">
        <v>320</v>
      </c>
    </row>
    <row r="1467" spans="1:9" x14ac:dyDescent="0.3">
      <c r="A1467" s="1">
        <v>46256</v>
      </c>
      <c r="B1467">
        <v>2</v>
      </c>
      <c r="C1467" t="s">
        <v>11065</v>
      </c>
      <c r="D1467" t="s">
        <v>2460</v>
      </c>
      <c r="E1467" t="s">
        <v>10745</v>
      </c>
      <c r="F1467" t="s">
        <v>10746</v>
      </c>
      <c r="G1467" s="16">
        <v>651.07939999999996</v>
      </c>
      <c r="H1467" t="s">
        <v>8</v>
      </c>
      <c r="I1467" s="16">
        <v>566.15599999999995</v>
      </c>
    </row>
    <row r="1468" spans="1:9" x14ac:dyDescent="0.3">
      <c r="A1468" s="1">
        <v>46256</v>
      </c>
      <c r="B1468">
        <v>2</v>
      </c>
      <c r="C1468" t="s">
        <v>10939</v>
      </c>
      <c r="D1468" t="s">
        <v>10</v>
      </c>
      <c r="E1468" t="s">
        <v>67</v>
      </c>
      <c r="F1468" t="s">
        <v>68</v>
      </c>
      <c r="G1468" s="16">
        <v>244.38643999999999</v>
      </c>
      <c r="H1468" t="s">
        <v>8</v>
      </c>
      <c r="I1468" s="16">
        <v>212.50996000000001</v>
      </c>
    </row>
    <row r="1469" spans="1:9" x14ac:dyDescent="0.3">
      <c r="A1469" s="1">
        <v>46256</v>
      </c>
      <c r="B1469">
        <v>2</v>
      </c>
      <c r="C1469" t="s">
        <v>10973</v>
      </c>
      <c r="D1469" t="s">
        <v>10</v>
      </c>
      <c r="E1469" t="s">
        <v>34</v>
      </c>
      <c r="F1469" t="s">
        <v>35</v>
      </c>
      <c r="G1469" s="16">
        <v>284.27999999999997</v>
      </c>
      <c r="H1469" t="s">
        <v>8</v>
      </c>
      <c r="I1469" s="16">
        <v>247.2</v>
      </c>
    </row>
    <row r="1470" spans="1:9" x14ac:dyDescent="0.3">
      <c r="A1470" s="1">
        <v>46256</v>
      </c>
      <c r="B1470">
        <v>2</v>
      </c>
      <c r="C1470" t="s">
        <v>11076</v>
      </c>
      <c r="D1470" t="s">
        <v>2467</v>
      </c>
      <c r="E1470" t="s">
        <v>422</v>
      </c>
      <c r="F1470" t="s">
        <v>490</v>
      </c>
      <c r="G1470" s="16">
        <v>3109.7979999999998</v>
      </c>
      <c r="H1470" t="s">
        <v>8</v>
      </c>
      <c r="I1470" s="16">
        <v>2704.172</v>
      </c>
    </row>
    <row r="1471" spans="1:9" x14ac:dyDescent="0.3">
      <c r="A1471" s="1">
        <v>46256</v>
      </c>
      <c r="B1471">
        <v>2</v>
      </c>
      <c r="C1471" t="s">
        <v>11069</v>
      </c>
      <c r="D1471" t="s">
        <v>2460</v>
      </c>
      <c r="E1471" t="s">
        <v>73</v>
      </c>
      <c r="F1471" t="s">
        <v>74</v>
      </c>
      <c r="G1471" s="16">
        <v>4183.0910000000003</v>
      </c>
      <c r="H1471" t="s">
        <v>8</v>
      </c>
      <c r="I1471" s="16">
        <v>3637.4704999999999</v>
      </c>
    </row>
    <row r="1472" spans="1:9" x14ac:dyDescent="0.3">
      <c r="A1472" s="1">
        <v>46256</v>
      </c>
      <c r="B1472">
        <v>2</v>
      </c>
      <c r="C1472" t="s">
        <v>11028</v>
      </c>
      <c r="D1472" t="s">
        <v>10</v>
      </c>
      <c r="E1472" t="s">
        <v>130</v>
      </c>
      <c r="F1472" t="s">
        <v>131</v>
      </c>
      <c r="G1472" s="16">
        <v>60.145000000000003</v>
      </c>
      <c r="H1472" t="s">
        <v>8</v>
      </c>
      <c r="I1472" s="16">
        <v>52.3</v>
      </c>
    </row>
    <row r="1473" spans="1:9" x14ac:dyDescent="0.3">
      <c r="A1473" s="1">
        <v>46256</v>
      </c>
      <c r="B1473">
        <v>2</v>
      </c>
      <c r="C1473" t="s">
        <v>11002</v>
      </c>
      <c r="D1473" t="s">
        <v>10</v>
      </c>
      <c r="E1473" t="s">
        <v>2352</v>
      </c>
      <c r="F1473" t="s">
        <v>2353</v>
      </c>
      <c r="G1473" s="16">
        <v>65.929500000000004</v>
      </c>
      <c r="H1473" t="s">
        <v>8</v>
      </c>
      <c r="I1473" s="16">
        <v>57.33</v>
      </c>
    </row>
    <row r="1474" spans="1:9" x14ac:dyDescent="0.3">
      <c r="A1474" s="1">
        <v>46256</v>
      </c>
      <c r="B1474">
        <v>2</v>
      </c>
      <c r="C1474" t="s">
        <v>10995</v>
      </c>
      <c r="D1474" t="s">
        <v>10</v>
      </c>
      <c r="E1474" t="s">
        <v>613</v>
      </c>
      <c r="F1474" t="s">
        <v>614</v>
      </c>
      <c r="G1474" s="16">
        <v>158.47</v>
      </c>
      <c r="H1474" t="s">
        <v>8</v>
      </c>
      <c r="I1474" s="16">
        <v>137.80000000000001</v>
      </c>
    </row>
    <row r="1475" spans="1:9" x14ac:dyDescent="0.3">
      <c r="A1475" s="1">
        <v>46256</v>
      </c>
      <c r="B1475">
        <v>2</v>
      </c>
      <c r="C1475" t="s">
        <v>10926</v>
      </c>
      <c r="D1475" t="s">
        <v>10</v>
      </c>
      <c r="E1475" t="s">
        <v>1472</v>
      </c>
      <c r="F1475" t="s">
        <v>1473</v>
      </c>
      <c r="G1475" s="16">
        <v>249.18754999999999</v>
      </c>
      <c r="H1475" t="s">
        <v>8</v>
      </c>
      <c r="I1475" s="16">
        <v>216.68481</v>
      </c>
    </row>
    <row r="1476" spans="1:9" x14ac:dyDescent="0.3">
      <c r="A1476" s="1">
        <v>46256</v>
      </c>
      <c r="B1476">
        <v>2</v>
      </c>
      <c r="C1476" t="s">
        <v>10947</v>
      </c>
      <c r="D1476" t="s">
        <v>10</v>
      </c>
      <c r="E1476" t="s">
        <v>39</v>
      </c>
      <c r="F1476" t="s">
        <v>40</v>
      </c>
      <c r="G1476" s="16">
        <v>228.43853999999999</v>
      </c>
      <c r="H1476" t="s">
        <v>8</v>
      </c>
      <c r="I1476" s="16">
        <v>198.6422</v>
      </c>
    </row>
    <row r="1477" spans="1:9" x14ac:dyDescent="0.3">
      <c r="A1477" s="1">
        <v>46256</v>
      </c>
      <c r="B1477">
        <v>2</v>
      </c>
      <c r="C1477" t="s">
        <v>10976</v>
      </c>
      <c r="D1477" t="s">
        <v>10</v>
      </c>
      <c r="E1477" t="s">
        <v>422</v>
      </c>
      <c r="F1477" t="s">
        <v>490</v>
      </c>
      <c r="G1477" s="16">
        <v>388.93698000000001</v>
      </c>
      <c r="H1477" t="s">
        <v>8</v>
      </c>
      <c r="I1477" s="16">
        <v>338.20605</v>
      </c>
    </row>
    <row r="1478" spans="1:9" x14ac:dyDescent="0.3">
      <c r="A1478" s="1">
        <v>46256</v>
      </c>
      <c r="B1478">
        <v>2</v>
      </c>
      <c r="C1478" t="s">
        <v>11072</v>
      </c>
      <c r="D1478" t="s">
        <v>2467</v>
      </c>
      <c r="E1478" t="s">
        <v>4365</v>
      </c>
      <c r="F1478" t="s">
        <v>4366</v>
      </c>
      <c r="G1478" s="16">
        <v>690</v>
      </c>
      <c r="H1478" t="s">
        <v>8</v>
      </c>
      <c r="I1478" s="16">
        <v>600</v>
      </c>
    </row>
    <row r="1479" spans="1:9" x14ac:dyDescent="0.3">
      <c r="A1479" s="1">
        <v>46256</v>
      </c>
      <c r="B1479">
        <v>2</v>
      </c>
      <c r="C1479" t="s">
        <v>10958</v>
      </c>
      <c r="D1479" t="s">
        <v>10</v>
      </c>
      <c r="E1479" t="s">
        <v>633</v>
      </c>
      <c r="F1479" t="s">
        <v>690</v>
      </c>
      <c r="G1479" s="16">
        <v>472.17849999999999</v>
      </c>
      <c r="H1479" t="s">
        <v>8</v>
      </c>
      <c r="I1479" s="16">
        <v>410.59</v>
      </c>
    </row>
    <row r="1480" spans="1:9" x14ac:dyDescent="0.3">
      <c r="A1480" s="1">
        <v>46256</v>
      </c>
      <c r="B1480">
        <v>2</v>
      </c>
      <c r="C1480" t="s">
        <v>11063</v>
      </c>
      <c r="D1480" t="s">
        <v>2460</v>
      </c>
      <c r="E1480" t="s">
        <v>8841</v>
      </c>
      <c r="F1480" t="s">
        <v>8842</v>
      </c>
      <c r="G1480" s="16">
        <v>941.69989999999996</v>
      </c>
      <c r="H1480" t="s">
        <v>8</v>
      </c>
      <c r="I1480" s="16">
        <v>818.86945000000003</v>
      </c>
    </row>
    <row r="1481" spans="1:9" x14ac:dyDescent="0.3">
      <c r="A1481" s="1">
        <v>46256</v>
      </c>
      <c r="B1481">
        <v>2</v>
      </c>
      <c r="C1481" t="s">
        <v>11033</v>
      </c>
      <c r="D1481" t="s">
        <v>10</v>
      </c>
      <c r="E1481" t="s">
        <v>2267</v>
      </c>
      <c r="F1481" t="s">
        <v>2268</v>
      </c>
      <c r="G1481" s="16">
        <v>148.92500000000001</v>
      </c>
      <c r="H1481" t="s">
        <v>8</v>
      </c>
      <c r="I1481" s="16">
        <v>129.5</v>
      </c>
    </row>
    <row r="1482" spans="1:9" x14ac:dyDescent="0.3">
      <c r="A1482" s="1">
        <v>46256</v>
      </c>
      <c r="B1482">
        <v>2</v>
      </c>
      <c r="C1482" t="s">
        <v>10981</v>
      </c>
      <c r="D1482" t="s">
        <v>10</v>
      </c>
      <c r="E1482" t="s">
        <v>7131</v>
      </c>
      <c r="F1482" t="s">
        <v>7132</v>
      </c>
      <c r="G1482" s="16">
        <v>5834.9849999999997</v>
      </c>
      <c r="H1482" t="s">
        <v>8</v>
      </c>
      <c r="I1482" s="16">
        <v>5073.8999999999996</v>
      </c>
    </row>
    <row r="1483" spans="1:9" x14ac:dyDescent="0.3">
      <c r="A1483" s="1">
        <v>46256</v>
      </c>
      <c r="B1483">
        <v>2</v>
      </c>
      <c r="C1483" t="s">
        <v>11074</v>
      </c>
      <c r="D1483" t="s">
        <v>2467</v>
      </c>
      <c r="E1483" t="s">
        <v>75</v>
      </c>
      <c r="F1483" t="s">
        <v>76</v>
      </c>
      <c r="G1483" s="16">
        <v>85077</v>
      </c>
      <c r="H1483" t="s">
        <v>8</v>
      </c>
      <c r="I1483" s="16">
        <v>73980</v>
      </c>
    </row>
    <row r="1484" spans="1:9" x14ac:dyDescent="0.3">
      <c r="A1484" s="1">
        <v>46256</v>
      </c>
      <c r="B1484">
        <v>2</v>
      </c>
      <c r="C1484" t="s">
        <v>11031</v>
      </c>
      <c r="D1484" t="s">
        <v>10</v>
      </c>
      <c r="E1484" t="s">
        <v>69</v>
      </c>
      <c r="F1484" t="s">
        <v>70</v>
      </c>
      <c r="G1484" s="16">
        <v>4259.1170000000002</v>
      </c>
      <c r="H1484" t="s">
        <v>8</v>
      </c>
      <c r="I1484" s="16">
        <v>3703.58</v>
      </c>
    </row>
    <row r="1485" spans="1:9" x14ac:dyDescent="0.3">
      <c r="A1485" s="1">
        <v>46256</v>
      </c>
      <c r="B1485">
        <v>2</v>
      </c>
      <c r="C1485" t="s">
        <v>10916</v>
      </c>
      <c r="D1485" t="s">
        <v>10</v>
      </c>
      <c r="E1485" t="s">
        <v>7245</v>
      </c>
      <c r="F1485" t="s">
        <v>7246</v>
      </c>
      <c r="G1485" s="16">
        <v>1122.078</v>
      </c>
      <c r="H1485" t="s">
        <v>8</v>
      </c>
      <c r="I1485" s="16">
        <v>975.72</v>
      </c>
    </row>
    <row r="1486" spans="1:9" x14ac:dyDescent="0.3">
      <c r="A1486" s="1">
        <v>46256</v>
      </c>
      <c r="B1486">
        <v>2</v>
      </c>
      <c r="C1486" t="s">
        <v>10910</v>
      </c>
      <c r="D1486" t="s">
        <v>10</v>
      </c>
      <c r="E1486" t="s">
        <v>863</v>
      </c>
      <c r="F1486" t="s">
        <v>864</v>
      </c>
      <c r="G1486" s="16">
        <v>1723.9481000000001</v>
      </c>
      <c r="H1486" t="s">
        <v>8</v>
      </c>
      <c r="I1486" s="16">
        <v>1499.0853</v>
      </c>
    </row>
    <row r="1487" spans="1:9" x14ac:dyDescent="0.3">
      <c r="A1487" s="1">
        <v>46256</v>
      </c>
      <c r="B1487">
        <v>2</v>
      </c>
      <c r="C1487" t="s">
        <v>10944</v>
      </c>
      <c r="D1487" t="s">
        <v>10</v>
      </c>
      <c r="E1487" t="s">
        <v>2963</v>
      </c>
      <c r="F1487" t="s">
        <v>2964</v>
      </c>
      <c r="G1487" s="16">
        <v>76.666629999999998</v>
      </c>
      <c r="H1487" t="s">
        <v>8</v>
      </c>
      <c r="I1487" s="16">
        <v>66.666629999999998</v>
      </c>
    </row>
    <row r="1488" spans="1:9" x14ac:dyDescent="0.3">
      <c r="A1488" s="1">
        <v>46256</v>
      </c>
      <c r="B1488">
        <v>2</v>
      </c>
      <c r="C1488" t="s">
        <v>10963</v>
      </c>
      <c r="D1488" t="s">
        <v>38</v>
      </c>
      <c r="E1488" t="s">
        <v>75</v>
      </c>
      <c r="F1488" t="s">
        <v>76</v>
      </c>
      <c r="G1488" s="16">
        <v>264.90730000000002</v>
      </c>
      <c r="H1488" t="s">
        <v>8</v>
      </c>
      <c r="I1488" s="16">
        <v>230.35417000000001</v>
      </c>
    </row>
    <row r="1489" spans="1:9" x14ac:dyDescent="0.3">
      <c r="A1489" s="1">
        <v>46256</v>
      </c>
      <c r="B1489">
        <v>2</v>
      </c>
      <c r="C1489" t="s">
        <v>10950</v>
      </c>
      <c r="D1489" t="s">
        <v>10</v>
      </c>
      <c r="E1489" t="s">
        <v>137</v>
      </c>
      <c r="F1489" t="s">
        <v>138</v>
      </c>
      <c r="G1489" s="16">
        <v>3269.9675000000002</v>
      </c>
      <c r="H1489" t="s">
        <v>8</v>
      </c>
      <c r="I1489" s="16">
        <v>2843.45</v>
      </c>
    </row>
    <row r="1490" spans="1:9" x14ac:dyDescent="0.3">
      <c r="A1490" s="1">
        <v>46256</v>
      </c>
      <c r="B1490">
        <v>2</v>
      </c>
      <c r="C1490" t="s">
        <v>10922</v>
      </c>
      <c r="D1490" t="s">
        <v>10</v>
      </c>
      <c r="E1490" t="s">
        <v>5159</v>
      </c>
      <c r="F1490" t="s">
        <v>5160</v>
      </c>
      <c r="G1490" s="16">
        <v>649.84199999999998</v>
      </c>
      <c r="H1490" t="s">
        <v>8</v>
      </c>
      <c r="I1490" s="16">
        <v>565.08000000000004</v>
      </c>
    </row>
    <row r="1491" spans="1:9" x14ac:dyDescent="0.3">
      <c r="A1491" s="1">
        <v>46256</v>
      </c>
      <c r="B1491">
        <v>2</v>
      </c>
      <c r="C1491" t="s">
        <v>10994</v>
      </c>
      <c r="D1491" t="s">
        <v>10</v>
      </c>
      <c r="E1491" t="s">
        <v>71</v>
      </c>
      <c r="F1491" t="s">
        <v>72</v>
      </c>
      <c r="G1491" s="16">
        <v>1769.2374</v>
      </c>
      <c r="H1491" t="s">
        <v>8</v>
      </c>
      <c r="I1491" s="16">
        <v>1538.4673</v>
      </c>
    </row>
    <row r="1492" spans="1:9" x14ac:dyDescent="0.3">
      <c r="A1492" s="1">
        <v>46256</v>
      </c>
      <c r="B1492">
        <v>2</v>
      </c>
      <c r="C1492" t="s">
        <v>10961</v>
      </c>
      <c r="D1492" t="s">
        <v>10</v>
      </c>
      <c r="E1492" t="s">
        <v>111</v>
      </c>
      <c r="F1492" t="s">
        <v>112</v>
      </c>
      <c r="G1492" s="16">
        <v>307.98923000000002</v>
      </c>
      <c r="H1492" t="s">
        <v>8</v>
      </c>
      <c r="I1492" s="16">
        <v>267.81670000000003</v>
      </c>
    </row>
    <row r="1493" spans="1:9" x14ac:dyDescent="0.3">
      <c r="A1493" s="1">
        <v>46256</v>
      </c>
      <c r="B1493">
        <v>2</v>
      </c>
      <c r="C1493" t="s">
        <v>10960</v>
      </c>
      <c r="D1493" t="s">
        <v>10</v>
      </c>
      <c r="E1493" t="s">
        <v>69</v>
      </c>
      <c r="F1493" t="s">
        <v>70</v>
      </c>
      <c r="G1493" s="16">
        <v>4124.8774000000003</v>
      </c>
      <c r="H1493" t="s">
        <v>8</v>
      </c>
      <c r="I1493" s="16">
        <v>3586.85</v>
      </c>
    </row>
    <row r="1494" spans="1:9" x14ac:dyDescent="0.3">
      <c r="A1494" s="1">
        <v>46256</v>
      </c>
      <c r="B1494">
        <v>2</v>
      </c>
      <c r="C1494" t="s">
        <v>11016</v>
      </c>
      <c r="D1494" t="s">
        <v>10</v>
      </c>
      <c r="E1494" t="s">
        <v>1161</v>
      </c>
      <c r="F1494" t="s">
        <v>1162</v>
      </c>
      <c r="G1494" s="16">
        <v>568.1</v>
      </c>
      <c r="H1494" t="s">
        <v>8</v>
      </c>
      <c r="I1494" s="16">
        <v>494</v>
      </c>
    </row>
    <row r="1495" spans="1:9" x14ac:dyDescent="0.3">
      <c r="A1495" s="1">
        <v>46256</v>
      </c>
      <c r="B1495">
        <v>2</v>
      </c>
      <c r="C1495" t="s">
        <v>11062</v>
      </c>
      <c r="D1495" t="s">
        <v>2460</v>
      </c>
      <c r="E1495" t="s">
        <v>90</v>
      </c>
      <c r="F1495" t="s">
        <v>91</v>
      </c>
      <c r="G1495" s="16">
        <v>374.39400000000001</v>
      </c>
      <c r="H1495" t="s">
        <v>8</v>
      </c>
      <c r="I1495" s="16">
        <v>325.56</v>
      </c>
    </row>
    <row r="1496" spans="1:9" x14ac:dyDescent="0.3">
      <c r="A1496" s="1">
        <v>46256</v>
      </c>
      <c r="B1496">
        <v>2</v>
      </c>
      <c r="C1496" t="s">
        <v>10940</v>
      </c>
      <c r="D1496" t="s">
        <v>38</v>
      </c>
      <c r="E1496" t="s">
        <v>60</v>
      </c>
      <c r="F1496" t="s">
        <v>61</v>
      </c>
      <c r="G1496" s="16">
        <v>661.1925</v>
      </c>
      <c r="H1496" t="s">
        <v>8</v>
      </c>
      <c r="I1496" s="16">
        <v>574.95000000000005</v>
      </c>
    </row>
    <row r="1497" spans="1:9" x14ac:dyDescent="0.3">
      <c r="A1497" s="1">
        <v>46256</v>
      </c>
      <c r="B1497">
        <v>2</v>
      </c>
      <c r="C1497" t="s">
        <v>10980</v>
      </c>
      <c r="D1497" t="s">
        <v>10</v>
      </c>
      <c r="E1497" t="s">
        <v>107</v>
      </c>
      <c r="F1497" t="s">
        <v>3864</v>
      </c>
      <c r="G1497" s="16">
        <v>18.9175</v>
      </c>
      <c r="H1497" t="s">
        <v>8</v>
      </c>
      <c r="I1497" s="16">
        <v>16.45</v>
      </c>
    </row>
    <row r="1498" spans="1:9" x14ac:dyDescent="0.3">
      <c r="A1498" s="1">
        <v>46256</v>
      </c>
      <c r="B1498">
        <v>2</v>
      </c>
      <c r="C1498" t="s">
        <v>11328</v>
      </c>
      <c r="D1498" t="s">
        <v>2460</v>
      </c>
      <c r="E1498" t="s">
        <v>90</v>
      </c>
      <c r="F1498" t="s">
        <v>91</v>
      </c>
      <c r="G1498" s="16">
        <v>280.07100000000003</v>
      </c>
      <c r="H1498" t="s">
        <v>8</v>
      </c>
      <c r="I1498" s="16">
        <v>243.54</v>
      </c>
    </row>
    <row r="1499" spans="1:9" x14ac:dyDescent="0.3">
      <c r="A1499" s="1">
        <v>46256</v>
      </c>
      <c r="B1499">
        <v>2</v>
      </c>
      <c r="C1499" t="s">
        <v>10925</v>
      </c>
      <c r="D1499" t="s">
        <v>10</v>
      </c>
      <c r="E1499" t="s">
        <v>43</v>
      </c>
      <c r="F1499" t="s">
        <v>44</v>
      </c>
      <c r="G1499" s="16">
        <v>5.52</v>
      </c>
      <c r="H1499" t="s">
        <v>8</v>
      </c>
      <c r="I1499" s="16">
        <v>4.8</v>
      </c>
    </row>
    <row r="1500" spans="1:9" x14ac:dyDescent="0.3">
      <c r="A1500" s="1">
        <v>46256</v>
      </c>
      <c r="B1500">
        <v>2</v>
      </c>
      <c r="C1500" t="s">
        <v>11079</v>
      </c>
      <c r="D1500" t="s">
        <v>2460</v>
      </c>
      <c r="E1500" t="s">
        <v>79</v>
      </c>
      <c r="F1500" t="s">
        <v>80</v>
      </c>
      <c r="G1500" s="16">
        <v>2576.6619999999998</v>
      </c>
      <c r="H1500" t="s">
        <v>8</v>
      </c>
      <c r="I1500" s="16">
        <v>2240.5756999999999</v>
      </c>
    </row>
    <row r="1501" spans="1:9" x14ac:dyDescent="0.3">
      <c r="A1501" s="1">
        <v>46256</v>
      </c>
      <c r="B1501">
        <v>2</v>
      </c>
      <c r="C1501" t="s">
        <v>11080</v>
      </c>
      <c r="D1501" t="s">
        <v>2460</v>
      </c>
      <c r="E1501" t="s">
        <v>16</v>
      </c>
      <c r="F1501" t="s">
        <v>17</v>
      </c>
      <c r="G1501" s="16">
        <v>5835.2380000000003</v>
      </c>
      <c r="H1501" t="s">
        <v>8</v>
      </c>
      <c r="I1501" s="16">
        <v>5074.12</v>
      </c>
    </row>
    <row r="1502" spans="1:9" x14ac:dyDescent="0.3">
      <c r="A1502" s="1">
        <v>46256</v>
      </c>
      <c r="B1502">
        <v>2</v>
      </c>
      <c r="C1502" t="s">
        <v>10924</v>
      </c>
      <c r="D1502" t="s">
        <v>38</v>
      </c>
      <c r="E1502" t="s">
        <v>598</v>
      </c>
      <c r="F1502" t="s">
        <v>9088</v>
      </c>
      <c r="G1502" s="16">
        <v>1430.1285</v>
      </c>
      <c r="H1502" t="s">
        <v>8</v>
      </c>
      <c r="I1502" s="16">
        <v>1243.5899999999999</v>
      </c>
    </row>
    <row r="1503" spans="1:9" x14ac:dyDescent="0.3">
      <c r="A1503" s="1">
        <v>46256</v>
      </c>
      <c r="B1503">
        <v>2</v>
      </c>
      <c r="C1503" t="s">
        <v>10923</v>
      </c>
      <c r="D1503" t="s">
        <v>10</v>
      </c>
      <c r="E1503" t="s">
        <v>2290</v>
      </c>
      <c r="F1503" t="s">
        <v>2291</v>
      </c>
      <c r="G1503" s="16">
        <v>1.61</v>
      </c>
      <c r="H1503" t="s">
        <v>8</v>
      </c>
      <c r="I1503" s="16">
        <v>1.4</v>
      </c>
    </row>
    <row r="1504" spans="1:9" x14ac:dyDescent="0.3">
      <c r="A1504" s="1">
        <v>46256</v>
      </c>
      <c r="B1504">
        <v>2</v>
      </c>
      <c r="C1504" t="s">
        <v>11027</v>
      </c>
      <c r="D1504" t="s">
        <v>10</v>
      </c>
      <c r="E1504" t="s">
        <v>531</v>
      </c>
      <c r="F1504" t="s">
        <v>532</v>
      </c>
      <c r="G1504" s="16">
        <v>115</v>
      </c>
      <c r="H1504" t="s">
        <v>8</v>
      </c>
      <c r="I1504" s="16">
        <v>100</v>
      </c>
    </row>
    <row r="1505" spans="1:9" x14ac:dyDescent="0.3">
      <c r="A1505" s="1">
        <v>46256</v>
      </c>
      <c r="B1505">
        <v>2</v>
      </c>
      <c r="C1505" t="s">
        <v>10962</v>
      </c>
      <c r="D1505" t="s">
        <v>10</v>
      </c>
      <c r="E1505" t="s">
        <v>2317</v>
      </c>
      <c r="F1505" t="s">
        <v>2318</v>
      </c>
      <c r="G1505" s="16">
        <v>93.793999999999997</v>
      </c>
      <c r="H1505" t="s">
        <v>8</v>
      </c>
      <c r="I1505" s="16">
        <v>81.56</v>
      </c>
    </row>
    <row r="1506" spans="1:9" x14ac:dyDescent="0.3">
      <c r="A1506" s="1">
        <v>46256</v>
      </c>
      <c r="B1506">
        <v>2</v>
      </c>
      <c r="C1506" t="s">
        <v>10964</v>
      </c>
      <c r="D1506" t="s">
        <v>10</v>
      </c>
      <c r="E1506" t="s">
        <v>25</v>
      </c>
      <c r="F1506" t="s">
        <v>26</v>
      </c>
      <c r="G1506" s="16">
        <v>37.191000000000003</v>
      </c>
      <c r="H1506" t="s">
        <v>8</v>
      </c>
      <c r="I1506" s="16">
        <v>32.340000000000003</v>
      </c>
    </row>
    <row r="1507" spans="1:9" x14ac:dyDescent="0.3">
      <c r="A1507" s="1">
        <v>46256</v>
      </c>
      <c r="B1507">
        <v>2</v>
      </c>
      <c r="C1507" t="s">
        <v>10951</v>
      </c>
      <c r="D1507" t="s">
        <v>10</v>
      </c>
      <c r="E1507" t="s">
        <v>534</v>
      </c>
      <c r="F1507" t="s">
        <v>535</v>
      </c>
      <c r="G1507" s="16">
        <v>83.181229999999999</v>
      </c>
      <c r="H1507" t="s">
        <v>8</v>
      </c>
      <c r="I1507" s="16">
        <v>72.331500000000005</v>
      </c>
    </row>
    <row r="1508" spans="1:9" x14ac:dyDescent="0.3">
      <c r="A1508" s="1">
        <v>46256</v>
      </c>
      <c r="B1508">
        <v>2</v>
      </c>
      <c r="C1508" t="s">
        <v>10989</v>
      </c>
      <c r="D1508" t="s">
        <v>10</v>
      </c>
      <c r="E1508" t="s">
        <v>931</v>
      </c>
      <c r="F1508" t="s">
        <v>1767</v>
      </c>
      <c r="G1508" s="16">
        <v>1488.1</v>
      </c>
      <c r="H1508" t="s">
        <v>8</v>
      </c>
      <c r="I1508" s="16">
        <v>1294</v>
      </c>
    </row>
    <row r="1509" spans="1:9" x14ac:dyDescent="0.3">
      <c r="A1509" s="1">
        <v>46256</v>
      </c>
      <c r="B1509">
        <v>2</v>
      </c>
      <c r="C1509" t="s">
        <v>11061</v>
      </c>
      <c r="D1509" t="s">
        <v>2460</v>
      </c>
      <c r="E1509" t="s">
        <v>422</v>
      </c>
      <c r="F1509" t="s">
        <v>490</v>
      </c>
      <c r="G1509" s="16">
        <v>1044.8785</v>
      </c>
      <c r="H1509" t="s">
        <v>8</v>
      </c>
      <c r="I1509" s="16">
        <v>908.59</v>
      </c>
    </row>
    <row r="1510" spans="1:9" x14ac:dyDescent="0.3">
      <c r="A1510" s="1">
        <v>46256</v>
      </c>
      <c r="B1510">
        <v>2</v>
      </c>
      <c r="C1510" t="s">
        <v>11008</v>
      </c>
      <c r="D1510" t="s">
        <v>10</v>
      </c>
      <c r="E1510" t="s">
        <v>321</v>
      </c>
      <c r="F1510" t="s">
        <v>322</v>
      </c>
      <c r="G1510" s="16">
        <v>393.14659999999998</v>
      </c>
      <c r="H1510" t="s">
        <v>8</v>
      </c>
      <c r="I1510" s="16">
        <v>341.86660000000001</v>
      </c>
    </row>
    <row r="1511" spans="1:9" x14ac:dyDescent="0.3">
      <c r="A1511" s="1">
        <v>46256</v>
      </c>
      <c r="B1511">
        <v>2</v>
      </c>
      <c r="C1511" t="s">
        <v>10953</v>
      </c>
      <c r="D1511" t="s">
        <v>10</v>
      </c>
      <c r="E1511" t="s">
        <v>5157</v>
      </c>
      <c r="F1511" t="s">
        <v>5158</v>
      </c>
      <c r="G1511" s="16">
        <v>349.6</v>
      </c>
      <c r="H1511" t="s">
        <v>8</v>
      </c>
      <c r="I1511" s="16">
        <v>304</v>
      </c>
    </row>
    <row r="1512" spans="1:9" x14ac:dyDescent="0.3">
      <c r="A1512" s="1">
        <v>46256</v>
      </c>
      <c r="B1512">
        <v>2</v>
      </c>
      <c r="C1512" t="s">
        <v>11329</v>
      </c>
      <c r="D1512" t="s">
        <v>2460</v>
      </c>
      <c r="E1512" t="s">
        <v>361</v>
      </c>
      <c r="F1512" t="s">
        <v>7334</v>
      </c>
      <c r="G1512" s="16">
        <v>98.67</v>
      </c>
      <c r="H1512" t="s">
        <v>8</v>
      </c>
      <c r="I1512" s="16">
        <v>85.8</v>
      </c>
    </row>
    <row r="1513" spans="1:9" x14ac:dyDescent="0.3">
      <c r="A1513" s="1">
        <v>46256</v>
      </c>
      <c r="B1513">
        <v>2</v>
      </c>
      <c r="C1513" t="s">
        <v>10982</v>
      </c>
      <c r="D1513" t="s">
        <v>10</v>
      </c>
      <c r="E1513" t="s">
        <v>562</v>
      </c>
      <c r="F1513" t="s">
        <v>563</v>
      </c>
      <c r="G1513" s="16">
        <v>774.87103000000002</v>
      </c>
      <c r="H1513" t="s">
        <v>8</v>
      </c>
      <c r="I1513" s="16">
        <v>673.80089999999996</v>
      </c>
    </row>
    <row r="1514" spans="1:9" x14ac:dyDescent="0.3">
      <c r="A1514" s="1">
        <v>46256</v>
      </c>
      <c r="B1514">
        <v>2</v>
      </c>
      <c r="C1514" t="s">
        <v>11083</v>
      </c>
      <c r="D1514" t="s">
        <v>2460</v>
      </c>
      <c r="E1514" t="s">
        <v>911</v>
      </c>
      <c r="F1514" t="s">
        <v>912</v>
      </c>
      <c r="G1514" s="16">
        <v>653.37249999999995</v>
      </c>
      <c r="H1514" t="s">
        <v>8</v>
      </c>
      <c r="I1514" s="16">
        <v>568.15</v>
      </c>
    </row>
    <row r="1515" spans="1:9" x14ac:dyDescent="0.3">
      <c r="A1515" s="1">
        <v>46256</v>
      </c>
      <c r="B1515">
        <v>2</v>
      </c>
      <c r="C1515" t="s">
        <v>11023</v>
      </c>
      <c r="D1515" t="s">
        <v>38</v>
      </c>
      <c r="E1515" t="s">
        <v>43</v>
      </c>
      <c r="F1515" t="s">
        <v>44</v>
      </c>
      <c r="G1515" s="16">
        <v>5609.585</v>
      </c>
      <c r="H1515" t="s">
        <v>8</v>
      </c>
      <c r="I1515" s="16">
        <v>4877.8999999999996</v>
      </c>
    </row>
    <row r="1516" spans="1:9" x14ac:dyDescent="0.3">
      <c r="A1516" s="1">
        <v>46256</v>
      </c>
      <c r="B1516">
        <v>2</v>
      </c>
      <c r="C1516" t="s">
        <v>11015</v>
      </c>
      <c r="D1516" t="s">
        <v>10</v>
      </c>
      <c r="E1516" t="s">
        <v>2647</v>
      </c>
      <c r="F1516" t="s">
        <v>2648</v>
      </c>
      <c r="G1516" s="16">
        <v>40.503</v>
      </c>
      <c r="H1516" t="s">
        <v>8</v>
      </c>
      <c r="I1516" s="16">
        <v>35.22</v>
      </c>
    </row>
    <row r="1517" spans="1:9" x14ac:dyDescent="0.3">
      <c r="A1517" s="1">
        <v>46256</v>
      </c>
      <c r="B1517">
        <v>2</v>
      </c>
      <c r="C1517" t="s">
        <v>10945</v>
      </c>
      <c r="D1517" t="s">
        <v>38</v>
      </c>
      <c r="E1517" t="s">
        <v>154</v>
      </c>
      <c r="F1517" t="s">
        <v>155</v>
      </c>
      <c r="G1517" s="16">
        <v>1409.5998999999999</v>
      </c>
      <c r="H1517" t="s">
        <v>8</v>
      </c>
      <c r="I1517" s="16">
        <v>1225.739</v>
      </c>
    </row>
    <row r="1518" spans="1:9" x14ac:dyDescent="0.3">
      <c r="A1518" s="1">
        <v>46256</v>
      </c>
      <c r="B1518">
        <v>2</v>
      </c>
      <c r="C1518" t="s">
        <v>10903</v>
      </c>
      <c r="D1518" t="s">
        <v>10</v>
      </c>
      <c r="E1518" t="s">
        <v>598</v>
      </c>
      <c r="F1518" t="s">
        <v>9088</v>
      </c>
      <c r="G1518" s="16">
        <v>890.44500000000005</v>
      </c>
      <c r="H1518" t="s">
        <v>8</v>
      </c>
      <c r="I1518" s="16">
        <v>774.3</v>
      </c>
    </row>
    <row r="1519" spans="1:9" x14ac:dyDescent="0.3">
      <c r="A1519" s="1">
        <v>46256</v>
      </c>
      <c r="B1519">
        <v>2</v>
      </c>
      <c r="C1519" t="s">
        <v>11330</v>
      </c>
      <c r="D1519" t="s">
        <v>2460</v>
      </c>
      <c r="E1519" t="s">
        <v>191</v>
      </c>
      <c r="F1519" t="s">
        <v>192</v>
      </c>
      <c r="G1519" s="16">
        <v>134.55000000000001</v>
      </c>
      <c r="H1519" t="s">
        <v>8</v>
      </c>
      <c r="I1519" s="16">
        <v>117</v>
      </c>
    </row>
    <row r="1520" spans="1:9" x14ac:dyDescent="0.3">
      <c r="A1520" s="1">
        <v>46256</v>
      </c>
      <c r="B1520">
        <v>2</v>
      </c>
      <c r="C1520" t="s">
        <v>10912</v>
      </c>
      <c r="D1520" t="s">
        <v>38</v>
      </c>
      <c r="E1520" t="s">
        <v>7388</v>
      </c>
      <c r="F1520" t="s">
        <v>7389</v>
      </c>
      <c r="G1520" s="16">
        <v>200.33</v>
      </c>
      <c r="H1520" t="s">
        <v>8</v>
      </c>
      <c r="I1520" s="16">
        <v>174.2</v>
      </c>
    </row>
    <row r="1521" spans="1:9" x14ac:dyDescent="0.3">
      <c r="A1521" s="1">
        <v>46256</v>
      </c>
      <c r="B1521">
        <v>2</v>
      </c>
      <c r="C1521" t="s">
        <v>11066</v>
      </c>
      <c r="D1521" t="s">
        <v>2460</v>
      </c>
      <c r="E1521" t="s">
        <v>2461</v>
      </c>
      <c r="F1521" t="s">
        <v>2462</v>
      </c>
      <c r="G1521" s="16">
        <v>652.04999999999995</v>
      </c>
      <c r="H1521" t="s">
        <v>8</v>
      </c>
      <c r="I1521" s="16">
        <v>567</v>
      </c>
    </row>
    <row r="1522" spans="1:9" x14ac:dyDescent="0.3">
      <c r="A1522" s="1">
        <v>46257</v>
      </c>
      <c r="B1522">
        <v>1</v>
      </c>
      <c r="C1522" t="s">
        <v>5979</v>
      </c>
      <c r="D1522" t="s">
        <v>10</v>
      </c>
      <c r="E1522" t="s">
        <v>19</v>
      </c>
      <c r="F1522" t="s">
        <v>20</v>
      </c>
      <c r="G1522" s="16">
        <v>427.51249999999999</v>
      </c>
      <c r="H1522" t="s">
        <v>8</v>
      </c>
      <c r="I1522" s="16">
        <v>371.75</v>
      </c>
    </row>
    <row r="1523" spans="1:9" x14ac:dyDescent="0.3">
      <c r="A1523" s="1">
        <v>46257</v>
      </c>
      <c r="B1523">
        <v>1</v>
      </c>
      <c r="C1523" t="s">
        <v>11331</v>
      </c>
      <c r="D1523" t="s">
        <v>2467</v>
      </c>
      <c r="E1523" t="s">
        <v>6373</v>
      </c>
      <c r="F1523" t="s">
        <v>6374</v>
      </c>
      <c r="G1523" s="16">
        <v>259.85399999999998</v>
      </c>
      <c r="H1523" t="s">
        <v>8</v>
      </c>
      <c r="I1523" s="16">
        <v>225.96</v>
      </c>
    </row>
    <row r="1524" spans="1:9" x14ac:dyDescent="0.3">
      <c r="A1524" s="1">
        <v>46257</v>
      </c>
      <c r="B1524">
        <v>1</v>
      </c>
      <c r="C1524" t="s">
        <v>8142</v>
      </c>
      <c r="D1524" t="s">
        <v>10</v>
      </c>
      <c r="E1524" t="s">
        <v>19</v>
      </c>
      <c r="F1524" t="s">
        <v>20</v>
      </c>
      <c r="G1524" s="16">
        <v>47.38</v>
      </c>
      <c r="H1524" t="s">
        <v>8</v>
      </c>
      <c r="I1524" s="16">
        <v>41.2</v>
      </c>
    </row>
    <row r="1525" spans="1:9" x14ac:dyDescent="0.3">
      <c r="A1525" s="1">
        <v>46257</v>
      </c>
      <c r="B1525">
        <v>1</v>
      </c>
      <c r="C1525" t="s">
        <v>11127</v>
      </c>
      <c r="D1525" t="s">
        <v>38</v>
      </c>
      <c r="E1525" t="s">
        <v>8713</v>
      </c>
      <c r="F1525" t="s">
        <v>8714</v>
      </c>
      <c r="G1525" s="16">
        <v>815.85599999999999</v>
      </c>
      <c r="H1525" t="s">
        <v>8</v>
      </c>
      <c r="I1525" s="16">
        <v>709.44</v>
      </c>
    </row>
    <row r="1526" spans="1:9" x14ac:dyDescent="0.3">
      <c r="A1526" s="1">
        <v>46257</v>
      </c>
      <c r="B1526">
        <v>1</v>
      </c>
      <c r="C1526" t="s">
        <v>11163</v>
      </c>
      <c r="D1526" t="s">
        <v>10</v>
      </c>
      <c r="E1526" t="s">
        <v>710</v>
      </c>
      <c r="F1526" t="s">
        <v>711</v>
      </c>
      <c r="G1526" s="16">
        <v>61.237499999999997</v>
      </c>
      <c r="H1526" t="s">
        <v>8</v>
      </c>
      <c r="I1526" s="16">
        <v>53.25</v>
      </c>
    </row>
    <row r="1527" spans="1:9" x14ac:dyDescent="0.3">
      <c r="A1527" s="1">
        <v>46257</v>
      </c>
      <c r="B1527">
        <v>1</v>
      </c>
      <c r="C1527" t="s">
        <v>11173</v>
      </c>
      <c r="D1527" t="s">
        <v>10</v>
      </c>
      <c r="E1527" t="s">
        <v>562</v>
      </c>
      <c r="F1527" t="s">
        <v>563</v>
      </c>
      <c r="G1527" s="16">
        <v>1305.4586999999999</v>
      </c>
      <c r="H1527" t="s">
        <v>8</v>
      </c>
      <c r="I1527" s="16">
        <v>1135.1814999999999</v>
      </c>
    </row>
    <row r="1528" spans="1:9" x14ac:dyDescent="0.3">
      <c r="A1528" s="1">
        <v>46257</v>
      </c>
      <c r="B1528">
        <v>1</v>
      </c>
      <c r="C1528" t="s">
        <v>11160</v>
      </c>
      <c r="D1528" t="s">
        <v>38</v>
      </c>
      <c r="E1528" t="s">
        <v>418</v>
      </c>
      <c r="F1528" t="s">
        <v>419</v>
      </c>
      <c r="G1528" s="16">
        <v>55.2</v>
      </c>
      <c r="H1528" t="s">
        <v>8</v>
      </c>
      <c r="I1528" s="16">
        <v>48</v>
      </c>
    </row>
    <row r="1529" spans="1:9" x14ac:dyDescent="0.3">
      <c r="A1529" s="1">
        <v>46257</v>
      </c>
      <c r="B1529">
        <v>1</v>
      </c>
      <c r="C1529" t="s">
        <v>10296</v>
      </c>
      <c r="D1529" t="s">
        <v>10</v>
      </c>
      <c r="E1529" t="s">
        <v>621</v>
      </c>
      <c r="F1529" t="s">
        <v>622</v>
      </c>
      <c r="G1529" s="16">
        <v>5805.6369999999997</v>
      </c>
      <c r="H1529" t="s">
        <v>8</v>
      </c>
      <c r="I1529" s="16">
        <v>5048.38</v>
      </c>
    </row>
    <row r="1530" spans="1:9" x14ac:dyDescent="0.3">
      <c r="A1530" s="1">
        <v>46257</v>
      </c>
      <c r="B1530">
        <v>1</v>
      </c>
      <c r="C1530" t="s">
        <v>9123</v>
      </c>
      <c r="D1530" t="s">
        <v>10</v>
      </c>
      <c r="E1530" t="s">
        <v>19</v>
      </c>
      <c r="F1530" t="s">
        <v>20</v>
      </c>
      <c r="G1530" s="16">
        <v>229.26400000000001</v>
      </c>
      <c r="H1530" t="s">
        <v>8</v>
      </c>
      <c r="I1530" s="16">
        <v>199.36</v>
      </c>
    </row>
    <row r="1531" spans="1:9" x14ac:dyDescent="0.3">
      <c r="A1531" s="1">
        <v>46257</v>
      </c>
      <c r="B1531">
        <v>1</v>
      </c>
      <c r="C1531" t="s">
        <v>11220</v>
      </c>
      <c r="D1531" t="s">
        <v>2467</v>
      </c>
      <c r="E1531" t="s">
        <v>10742</v>
      </c>
      <c r="F1531" t="s">
        <v>11103</v>
      </c>
      <c r="G1531" s="16">
        <v>24.817</v>
      </c>
      <c r="H1531" t="s">
        <v>8</v>
      </c>
      <c r="I1531" s="16">
        <v>21.58</v>
      </c>
    </row>
    <row r="1532" spans="1:9" x14ac:dyDescent="0.3">
      <c r="A1532" s="1">
        <v>46257</v>
      </c>
      <c r="B1532">
        <v>1</v>
      </c>
      <c r="C1532" t="s">
        <v>10513</v>
      </c>
      <c r="D1532" t="s">
        <v>10</v>
      </c>
      <c r="E1532" t="s">
        <v>634</v>
      </c>
      <c r="F1532" t="s">
        <v>659</v>
      </c>
      <c r="G1532" s="16">
        <v>1497.0355</v>
      </c>
      <c r="H1532" t="s">
        <v>8</v>
      </c>
      <c r="I1532" s="16">
        <v>1301.77</v>
      </c>
    </row>
    <row r="1533" spans="1:9" x14ac:dyDescent="0.3">
      <c r="A1533" s="1">
        <v>46257</v>
      </c>
      <c r="B1533">
        <v>1</v>
      </c>
      <c r="C1533" t="s">
        <v>11176</v>
      </c>
      <c r="D1533" t="s">
        <v>38</v>
      </c>
      <c r="E1533" t="s">
        <v>1161</v>
      </c>
      <c r="F1533" t="s">
        <v>1162</v>
      </c>
      <c r="G1533" s="16">
        <v>19.547699999999999</v>
      </c>
      <c r="H1533" t="s">
        <v>8</v>
      </c>
      <c r="I1533" s="16">
        <v>16.998000000000001</v>
      </c>
    </row>
    <row r="1534" spans="1:9" x14ac:dyDescent="0.3">
      <c r="A1534" s="1">
        <v>46257</v>
      </c>
      <c r="B1534">
        <v>1</v>
      </c>
      <c r="C1534" t="s">
        <v>2582</v>
      </c>
      <c r="D1534" t="s">
        <v>10</v>
      </c>
      <c r="E1534" t="s">
        <v>19</v>
      </c>
      <c r="F1534" t="s">
        <v>20</v>
      </c>
      <c r="G1534" s="16">
        <v>629.22249999999997</v>
      </c>
      <c r="H1534" t="s">
        <v>8</v>
      </c>
      <c r="I1534" s="16">
        <v>547.15</v>
      </c>
    </row>
    <row r="1535" spans="1:9" x14ac:dyDescent="0.3">
      <c r="A1535" s="1">
        <v>46257</v>
      </c>
      <c r="B1535">
        <v>1</v>
      </c>
      <c r="C1535" t="s">
        <v>11135</v>
      </c>
      <c r="D1535" t="s">
        <v>10</v>
      </c>
      <c r="E1535" t="s">
        <v>548</v>
      </c>
      <c r="F1535" t="s">
        <v>549</v>
      </c>
      <c r="G1535" s="16">
        <v>1376.6796999999999</v>
      </c>
      <c r="H1535" t="s">
        <v>8</v>
      </c>
      <c r="I1535" s="16">
        <v>1197.1128000000001</v>
      </c>
    </row>
    <row r="1536" spans="1:9" x14ac:dyDescent="0.3">
      <c r="A1536" s="1">
        <v>46257</v>
      </c>
      <c r="B1536">
        <v>1</v>
      </c>
      <c r="C1536" t="s">
        <v>11214</v>
      </c>
      <c r="D1536" t="s">
        <v>2460</v>
      </c>
      <c r="E1536" t="s">
        <v>1020</v>
      </c>
      <c r="F1536" t="s">
        <v>1021</v>
      </c>
      <c r="G1536" s="16">
        <v>5066.1869999999999</v>
      </c>
      <c r="H1536" t="s">
        <v>8</v>
      </c>
      <c r="I1536" s="16">
        <v>4405.38</v>
      </c>
    </row>
    <row r="1537" spans="1:9" x14ac:dyDescent="0.3">
      <c r="A1537" s="1">
        <v>46257</v>
      </c>
      <c r="B1537">
        <v>1</v>
      </c>
      <c r="C1537" t="s">
        <v>11244</v>
      </c>
      <c r="D1537" t="s">
        <v>2460</v>
      </c>
      <c r="E1537" t="s">
        <v>148</v>
      </c>
      <c r="F1537" t="s">
        <v>149</v>
      </c>
      <c r="G1537" s="16">
        <v>3452.76</v>
      </c>
      <c r="H1537" t="s">
        <v>8</v>
      </c>
      <c r="I1537" s="16">
        <v>3002.4</v>
      </c>
    </row>
    <row r="1538" spans="1:9" x14ac:dyDescent="0.3">
      <c r="A1538" s="1">
        <v>46257</v>
      </c>
      <c r="B1538">
        <v>1</v>
      </c>
      <c r="C1538" t="s">
        <v>11170</v>
      </c>
      <c r="D1538" t="s">
        <v>10</v>
      </c>
      <c r="E1538" t="s">
        <v>173</v>
      </c>
      <c r="F1538" t="s">
        <v>174</v>
      </c>
      <c r="G1538" s="16">
        <v>1077.2049999999999</v>
      </c>
      <c r="H1538" t="s">
        <v>8</v>
      </c>
      <c r="I1538" s="16">
        <v>936.7</v>
      </c>
    </row>
    <row r="1539" spans="1:9" x14ac:dyDescent="0.3">
      <c r="A1539" s="1">
        <v>46257</v>
      </c>
      <c r="B1539">
        <v>1</v>
      </c>
      <c r="C1539" t="s">
        <v>11235</v>
      </c>
      <c r="D1539" t="s">
        <v>2460</v>
      </c>
      <c r="E1539" t="s">
        <v>573</v>
      </c>
      <c r="F1539" t="s">
        <v>574</v>
      </c>
      <c r="G1539" s="16">
        <v>3343.5329999999999</v>
      </c>
      <c r="H1539" t="s">
        <v>8</v>
      </c>
      <c r="I1539" s="16">
        <v>2907.42</v>
      </c>
    </row>
    <row r="1540" spans="1:9" x14ac:dyDescent="0.3">
      <c r="A1540" s="1">
        <v>46257</v>
      </c>
      <c r="B1540">
        <v>1</v>
      </c>
      <c r="C1540" t="s">
        <v>10301</v>
      </c>
      <c r="D1540" t="s">
        <v>10</v>
      </c>
      <c r="E1540" t="s">
        <v>19</v>
      </c>
      <c r="F1540" t="s">
        <v>20</v>
      </c>
      <c r="G1540" s="16">
        <v>927.61300000000006</v>
      </c>
      <c r="H1540" t="s">
        <v>8</v>
      </c>
      <c r="I1540" s="16">
        <v>806.62</v>
      </c>
    </row>
    <row r="1541" spans="1:9" x14ac:dyDescent="0.3">
      <c r="A1541" s="1">
        <v>46257</v>
      </c>
      <c r="B1541">
        <v>1</v>
      </c>
      <c r="C1541" t="s">
        <v>11236</v>
      </c>
      <c r="D1541" t="s">
        <v>2460</v>
      </c>
      <c r="E1541" t="s">
        <v>361</v>
      </c>
      <c r="F1541" t="s">
        <v>7334</v>
      </c>
      <c r="G1541" s="16">
        <v>438.15</v>
      </c>
      <c r="H1541" t="s">
        <v>8</v>
      </c>
      <c r="I1541" s="16">
        <v>381</v>
      </c>
    </row>
    <row r="1542" spans="1:9" x14ac:dyDescent="0.3">
      <c r="A1542" s="1">
        <v>46257</v>
      </c>
      <c r="B1542">
        <v>1</v>
      </c>
      <c r="C1542" t="s">
        <v>11130</v>
      </c>
      <c r="D1542" t="s">
        <v>38</v>
      </c>
      <c r="E1542" t="s">
        <v>377</v>
      </c>
      <c r="F1542" t="s">
        <v>378</v>
      </c>
      <c r="G1542" s="16">
        <v>235.14008000000001</v>
      </c>
      <c r="H1542" t="s">
        <v>8</v>
      </c>
      <c r="I1542" s="16">
        <v>204.46961999999999</v>
      </c>
    </row>
    <row r="1543" spans="1:9" x14ac:dyDescent="0.3">
      <c r="A1543" s="1">
        <v>46257</v>
      </c>
      <c r="B1543">
        <v>1</v>
      </c>
      <c r="C1543" t="s">
        <v>11216</v>
      </c>
      <c r="D1543" t="s">
        <v>2460</v>
      </c>
      <c r="E1543" t="s">
        <v>877</v>
      </c>
      <c r="F1543" t="s">
        <v>2343</v>
      </c>
      <c r="G1543" s="16">
        <v>33.15</v>
      </c>
      <c r="H1543" t="s">
        <v>8</v>
      </c>
      <c r="I1543" s="16">
        <v>28.826090000000001</v>
      </c>
    </row>
    <row r="1544" spans="1:9" x14ac:dyDescent="0.3">
      <c r="A1544" s="1">
        <v>46257</v>
      </c>
      <c r="B1544">
        <v>1</v>
      </c>
      <c r="C1544" t="s">
        <v>11164</v>
      </c>
      <c r="D1544" t="s">
        <v>38</v>
      </c>
      <c r="E1544" t="s">
        <v>808</v>
      </c>
      <c r="F1544" t="s">
        <v>904</v>
      </c>
      <c r="G1544" s="16">
        <v>5557.4430000000002</v>
      </c>
      <c r="H1544" t="s">
        <v>8</v>
      </c>
      <c r="I1544" s="16">
        <v>4832.5590000000002</v>
      </c>
    </row>
    <row r="1545" spans="1:9" x14ac:dyDescent="0.3">
      <c r="A1545" s="1">
        <v>46257</v>
      </c>
      <c r="B1545">
        <v>1</v>
      </c>
      <c r="C1545" t="s">
        <v>11107</v>
      </c>
      <c r="D1545" t="s">
        <v>38</v>
      </c>
      <c r="E1545" t="s">
        <v>6256</v>
      </c>
      <c r="F1545" t="s">
        <v>6257</v>
      </c>
      <c r="G1545" s="16">
        <v>885.16045999999994</v>
      </c>
      <c r="H1545" t="s">
        <v>8</v>
      </c>
      <c r="I1545" s="16">
        <v>769.7047</v>
      </c>
    </row>
    <row r="1546" spans="1:9" x14ac:dyDescent="0.3">
      <c r="A1546" s="1">
        <v>46257</v>
      </c>
      <c r="B1546">
        <v>1</v>
      </c>
      <c r="C1546" t="s">
        <v>11180</v>
      </c>
      <c r="D1546" t="s">
        <v>10</v>
      </c>
      <c r="E1546" t="s">
        <v>373</v>
      </c>
      <c r="F1546" t="s">
        <v>374</v>
      </c>
      <c r="G1546" s="16">
        <v>483.57499999999999</v>
      </c>
      <c r="H1546" t="s">
        <v>8</v>
      </c>
      <c r="I1546" s="16">
        <v>420.5</v>
      </c>
    </row>
    <row r="1547" spans="1:9" x14ac:dyDescent="0.3">
      <c r="A1547" s="1">
        <v>46257</v>
      </c>
      <c r="B1547">
        <v>1</v>
      </c>
      <c r="C1547" t="s">
        <v>11182</v>
      </c>
      <c r="D1547" t="s">
        <v>10</v>
      </c>
      <c r="E1547" t="s">
        <v>3773</v>
      </c>
      <c r="F1547" t="s">
        <v>3774</v>
      </c>
      <c r="G1547" s="16">
        <v>1903.944</v>
      </c>
      <c r="H1547" t="s">
        <v>8</v>
      </c>
      <c r="I1547" s="16">
        <v>1655.6034999999999</v>
      </c>
    </row>
    <row r="1548" spans="1:9" x14ac:dyDescent="0.3">
      <c r="A1548" s="1">
        <v>46257</v>
      </c>
      <c r="B1548">
        <v>1</v>
      </c>
      <c r="C1548" t="s">
        <v>11158</v>
      </c>
      <c r="D1548" t="s">
        <v>38</v>
      </c>
      <c r="E1548" t="s">
        <v>71</v>
      </c>
      <c r="F1548" t="s">
        <v>72</v>
      </c>
      <c r="G1548" s="16">
        <v>959.9855</v>
      </c>
      <c r="H1548" t="s">
        <v>8</v>
      </c>
      <c r="I1548" s="16">
        <v>834.77</v>
      </c>
    </row>
    <row r="1549" spans="1:9" x14ac:dyDescent="0.3">
      <c r="A1549" s="1">
        <v>46257</v>
      </c>
      <c r="B1549">
        <v>1</v>
      </c>
      <c r="C1549" t="s">
        <v>1852</v>
      </c>
      <c r="D1549" t="s">
        <v>10</v>
      </c>
      <c r="E1549" t="s">
        <v>19</v>
      </c>
      <c r="F1549" t="s">
        <v>20</v>
      </c>
      <c r="G1549" s="16">
        <v>2719.221</v>
      </c>
      <c r="H1549" t="s">
        <v>8</v>
      </c>
      <c r="I1549" s="16">
        <v>2364.54</v>
      </c>
    </row>
    <row r="1550" spans="1:9" x14ac:dyDescent="0.3">
      <c r="A1550" s="1">
        <v>46257</v>
      </c>
      <c r="B1550">
        <v>1</v>
      </c>
      <c r="C1550" t="s">
        <v>11233</v>
      </c>
      <c r="D1550" t="s">
        <v>2460</v>
      </c>
      <c r="E1550" t="s">
        <v>151</v>
      </c>
      <c r="F1550" t="s">
        <v>152</v>
      </c>
      <c r="G1550" s="16">
        <v>4681.9949999999999</v>
      </c>
      <c r="H1550" t="s">
        <v>8</v>
      </c>
      <c r="I1550" s="16">
        <v>4071.3</v>
      </c>
    </row>
    <row r="1551" spans="1:9" x14ac:dyDescent="0.3">
      <c r="A1551" s="1">
        <v>46257</v>
      </c>
      <c r="B1551">
        <v>1</v>
      </c>
      <c r="C1551" t="s">
        <v>11153</v>
      </c>
      <c r="D1551" t="s">
        <v>10</v>
      </c>
      <c r="E1551" t="s">
        <v>2943</v>
      </c>
      <c r="F1551" t="s">
        <v>2944</v>
      </c>
      <c r="G1551" s="16">
        <v>115.575</v>
      </c>
      <c r="H1551" t="s">
        <v>8</v>
      </c>
      <c r="I1551" s="16">
        <v>100.5</v>
      </c>
    </row>
    <row r="1552" spans="1:9" x14ac:dyDescent="0.3">
      <c r="A1552" s="1">
        <v>46257</v>
      </c>
      <c r="B1552">
        <v>1</v>
      </c>
      <c r="C1552" t="s">
        <v>7241</v>
      </c>
      <c r="D1552" t="s">
        <v>10</v>
      </c>
      <c r="E1552" t="s">
        <v>19</v>
      </c>
      <c r="F1552" t="s">
        <v>20</v>
      </c>
      <c r="G1552" s="16">
        <v>814.34950000000003</v>
      </c>
      <c r="H1552" t="s">
        <v>8</v>
      </c>
      <c r="I1552" s="16">
        <v>708.13</v>
      </c>
    </row>
    <row r="1553" spans="1:9" x14ac:dyDescent="0.3">
      <c r="A1553" s="1">
        <v>46257</v>
      </c>
      <c r="B1553">
        <v>1</v>
      </c>
      <c r="C1553" t="s">
        <v>11215</v>
      </c>
      <c r="D1553" t="s">
        <v>2460</v>
      </c>
      <c r="E1553" t="s">
        <v>310</v>
      </c>
      <c r="F1553" t="s">
        <v>311</v>
      </c>
      <c r="G1553" s="16">
        <v>3682.3004999999998</v>
      </c>
      <c r="H1553" t="s">
        <v>8</v>
      </c>
      <c r="I1553" s="16">
        <v>3202.0005000000001</v>
      </c>
    </row>
    <row r="1554" spans="1:9" x14ac:dyDescent="0.3">
      <c r="A1554" s="1">
        <v>46257</v>
      </c>
      <c r="B1554">
        <v>1</v>
      </c>
      <c r="C1554" t="s">
        <v>11122</v>
      </c>
      <c r="D1554" t="s">
        <v>38</v>
      </c>
      <c r="E1554" t="s">
        <v>8711</v>
      </c>
      <c r="F1554" t="s">
        <v>8712</v>
      </c>
      <c r="G1554" s="16">
        <v>88.55</v>
      </c>
      <c r="H1554" t="s">
        <v>8</v>
      </c>
      <c r="I1554" s="16">
        <v>77</v>
      </c>
    </row>
    <row r="1555" spans="1:9" x14ac:dyDescent="0.3">
      <c r="A1555" s="1">
        <v>46257</v>
      </c>
      <c r="B1555">
        <v>1</v>
      </c>
      <c r="C1555" t="s">
        <v>11141</v>
      </c>
      <c r="D1555" t="s">
        <v>10</v>
      </c>
      <c r="E1555" t="s">
        <v>2319</v>
      </c>
      <c r="F1555" t="s">
        <v>2320</v>
      </c>
      <c r="G1555" s="16">
        <v>50.968000000000004</v>
      </c>
      <c r="H1555" t="s">
        <v>8</v>
      </c>
      <c r="I1555" s="16">
        <v>44.32</v>
      </c>
    </row>
    <row r="1556" spans="1:9" x14ac:dyDescent="0.3">
      <c r="A1556" s="1">
        <v>46257</v>
      </c>
      <c r="B1556">
        <v>1</v>
      </c>
      <c r="C1556" t="s">
        <v>11109</v>
      </c>
      <c r="D1556" t="s">
        <v>10</v>
      </c>
      <c r="E1556" t="s">
        <v>95</v>
      </c>
      <c r="F1556" t="s">
        <v>96</v>
      </c>
      <c r="G1556" s="16">
        <v>302.43</v>
      </c>
      <c r="H1556" t="s">
        <v>8</v>
      </c>
      <c r="I1556" s="16">
        <v>262.98259999999999</v>
      </c>
    </row>
    <row r="1557" spans="1:9" x14ac:dyDescent="0.3">
      <c r="A1557" s="1">
        <v>46257</v>
      </c>
      <c r="B1557">
        <v>1</v>
      </c>
      <c r="C1557" t="s">
        <v>11178</v>
      </c>
      <c r="D1557" t="s">
        <v>10</v>
      </c>
      <c r="E1557" t="s">
        <v>935</v>
      </c>
      <c r="F1557" t="s">
        <v>936</v>
      </c>
      <c r="G1557" s="16">
        <v>5290</v>
      </c>
      <c r="H1557" t="s">
        <v>8</v>
      </c>
      <c r="I1557" s="16">
        <v>4600</v>
      </c>
    </row>
    <row r="1558" spans="1:9" x14ac:dyDescent="0.3">
      <c r="A1558" s="1">
        <v>46257</v>
      </c>
      <c r="B1558">
        <v>1</v>
      </c>
      <c r="C1558" t="s">
        <v>11332</v>
      </c>
      <c r="D1558" t="s">
        <v>2467</v>
      </c>
      <c r="E1558" t="s">
        <v>600</v>
      </c>
      <c r="F1558" t="s">
        <v>601</v>
      </c>
      <c r="G1558" s="16">
        <v>79.349999999999994</v>
      </c>
      <c r="H1558" t="s">
        <v>8</v>
      </c>
      <c r="I1558" s="16">
        <v>69</v>
      </c>
    </row>
    <row r="1559" spans="1:9" x14ac:dyDescent="0.3">
      <c r="A1559" s="1">
        <v>46257</v>
      </c>
      <c r="B1559">
        <v>1</v>
      </c>
      <c r="C1559" t="s">
        <v>11239</v>
      </c>
      <c r="D1559" t="s">
        <v>2460</v>
      </c>
      <c r="E1559" t="s">
        <v>185</v>
      </c>
      <c r="F1559" t="s">
        <v>186</v>
      </c>
      <c r="G1559" s="16">
        <v>46.8</v>
      </c>
      <c r="H1559" t="s">
        <v>8</v>
      </c>
      <c r="I1559" s="16">
        <v>46.8</v>
      </c>
    </row>
    <row r="1560" spans="1:9" x14ac:dyDescent="0.3">
      <c r="A1560" s="1">
        <v>46257</v>
      </c>
      <c r="B1560">
        <v>1</v>
      </c>
      <c r="C1560" t="s">
        <v>11333</v>
      </c>
      <c r="D1560" t="s">
        <v>2460</v>
      </c>
      <c r="E1560" t="s">
        <v>1353</v>
      </c>
      <c r="F1560" t="s">
        <v>1354</v>
      </c>
      <c r="G1560" s="16">
        <v>299</v>
      </c>
      <c r="H1560" t="s">
        <v>8</v>
      </c>
      <c r="I1560" s="16">
        <v>260</v>
      </c>
    </row>
    <row r="1561" spans="1:9" x14ac:dyDescent="0.3">
      <c r="A1561" s="1">
        <v>46257</v>
      </c>
      <c r="B1561">
        <v>1</v>
      </c>
      <c r="C1561" t="s">
        <v>11211</v>
      </c>
      <c r="D1561" t="s">
        <v>2463</v>
      </c>
      <c r="E1561" t="s">
        <v>776</v>
      </c>
      <c r="F1561" t="s">
        <v>777</v>
      </c>
      <c r="G1561" s="16">
        <v>253.36799999999999</v>
      </c>
      <c r="H1561" t="s">
        <v>8</v>
      </c>
      <c r="I1561" s="16">
        <v>220.32</v>
      </c>
    </row>
    <row r="1562" spans="1:9" x14ac:dyDescent="0.3">
      <c r="A1562" s="1">
        <v>46257</v>
      </c>
      <c r="B1562">
        <v>1</v>
      </c>
      <c r="C1562" t="s">
        <v>3210</v>
      </c>
      <c r="D1562" t="s">
        <v>10</v>
      </c>
      <c r="E1562" t="s">
        <v>19</v>
      </c>
      <c r="F1562" t="s">
        <v>20</v>
      </c>
      <c r="G1562" s="16">
        <v>257.78399999999999</v>
      </c>
      <c r="H1562" t="s">
        <v>8</v>
      </c>
      <c r="I1562" s="16">
        <v>224.16</v>
      </c>
    </row>
    <row r="1563" spans="1:9" x14ac:dyDescent="0.3">
      <c r="A1563" s="1">
        <v>46257</v>
      </c>
      <c r="B1563">
        <v>1</v>
      </c>
      <c r="C1563" t="s">
        <v>11238</v>
      </c>
      <c r="D1563" t="s">
        <v>2460</v>
      </c>
      <c r="E1563" t="s">
        <v>5151</v>
      </c>
      <c r="F1563" t="s">
        <v>5152</v>
      </c>
      <c r="G1563" s="16">
        <v>1079.8499999999999</v>
      </c>
      <c r="H1563" t="s">
        <v>8</v>
      </c>
      <c r="I1563" s="16">
        <v>939</v>
      </c>
    </row>
    <row r="1564" spans="1:9" x14ac:dyDescent="0.3">
      <c r="A1564" s="1">
        <v>46257</v>
      </c>
      <c r="B1564">
        <v>1</v>
      </c>
      <c r="C1564" t="s">
        <v>11223</v>
      </c>
      <c r="D1564" t="s">
        <v>2460</v>
      </c>
      <c r="E1564" t="s">
        <v>148</v>
      </c>
      <c r="F1564" t="s">
        <v>149</v>
      </c>
      <c r="G1564" s="16">
        <v>426.65005000000002</v>
      </c>
      <c r="H1564" t="s">
        <v>8</v>
      </c>
      <c r="I1564" s="16">
        <v>371.00002999999998</v>
      </c>
    </row>
    <row r="1565" spans="1:9" x14ac:dyDescent="0.3">
      <c r="A1565" s="1">
        <v>46257</v>
      </c>
      <c r="B1565">
        <v>1</v>
      </c>
      <c r="C1565" t="s">
        <v>10683</v>
      </c>
      <c r="D1565" t="s">
        <v>10</v>
      </c>
      <c r="E1565" t="s">
        <v>634</v>
      </c>
      <c r="F1565" t="s">
        <v>659</v>
      </c>
      <c r="G1565" s="16">
        <v>463.87549999999999</v>
      </c>
      <c r="H1565" t="s">
        <v>8</v>
      </c>
      <c r="I1565" s="16">
        <v>403.37</v>
      </c>
    </row>
    <row r="1566" spans="1:9" x14ac:dyDescent="0.3">
      <c r="A1566" s="1">
        <v>46257</v>
      </c>
      <c r="B1566">
        <v>1</v>
      </c>
      <c r="C1566" t="s">
        <v>11151</v>
      </c>
      <c r="D1566" t="s">
        <v>38</v>
      </c>
      <c r="E1566" t="s">
        <v>508</v>
      </c>
      <c r="F1566" t="s">
        <v>509</v>
      </c>
      <c r="G1566" s="16">
        <v>88.354500000000002</v>
      </c>
      <c r="H1566" t="s">
        <v>8</v>
      </c>
      <c r="I1566" s="16">
        <v>76.83</v>
      </c>
    </row>
    <row r="1567" spans="1:9" x14ac:dyDescent="0.3">
      <c r="A1567" s="1">
        <v>46257</v>
      </c>
      <c r="B1567">
        <v>1</v>
      </c>
      <c r="C1567" t="s">
        <v>11165</v>
      </c>
      <c r="D1567" t="s">
        <v>10</v>
      </c>
      <c r="E1567" t="s">
        <v>69</v>
      </c>
      <c r="F1567" t="s">
        <v>70</v>
      </c>
      <c r="G1567" s="16">
        <v>3186.42</v>
      </c>
      <c r="H1567" t="s">
        <v>8</v>
      </c>
      <c r="I1567" s="16">
        <v>2770.8</v>
      </c>
    </row>
    <row r="1568" spans="1:9" x14ac:dyDescent="0.3">
      <c r="A1568" s="1">
        <v>46257</v>
      </c>
      <c r="B1568">
        <v>1</v>
      </c>
      <c r="C1568" t="s">
        <v>9640</v>
      </c>
      <c r="D1568" t="s">
        <v>10</v>
      </c>
      <c r="E1568" t="s">
        <v>422</v>
      </c>
      <c r="F1568" t="s">
        <v>490</v>
      </c>
      <c r="G1568" s="16">
        <v>447.39352000000002</v>
      </c>
      <c r="H1568" t="s">
        <v>8</v>
      </c>
      <c r="I1568" s="16">
        <v>389.03784000000002</v>
      </c>
    </row>
    <row r="1569" spans="1:9" x14ac:dyDescent="0.3">
      <c r="A1569" s="1">
        <v>46257</v>
      </c>
      <c r="B1569">
        <v>1</v>
      </c>
      <c r="C1569" t="s">
        <v>11334</v>
      </c>
      <c r="D1569" t="s">
        <v>2463</v>
      </c>
      <c r="E1569" t="s">
        <v>329</v>
      </c>
      <c r="F1569" t="s">
        <v>10773</v>
      </c>
      <c r="G1569" s="16">
        <v>35.65</v>
      </c>
      <c r="H1569" t="s">
        <v>8</v>
      </c>
      <c r="I1569" s="16">
        <v>31</v>
      </c>
    </row>
    <row r="1570" spans="1:9" x14ac:dyDescent="0.3">
      <c r="A1570" s="1">
        <v>46257</v>
      </c>
      <c r="B1570">
        <v>1</v>
      </c>
      <c r="C1570" t="s">
        <v>11143</v>
      </c>
      <c r="D1570" t="s">
        <v>38</v>
      </c>
      <c r="E1570" t="s">
        <v>5007</v>
      </c>
      <c r="F1570" t="s">
        <v>5008</v>
      </c>
      <c r="G1570" s="16">
        <v>201.92505</v>
      </c>
      <c r="H1570" t="s">
        <v>8</v>
      </c>
      <c r="I1570" s="16">
        <v>175.58699999999999</v>
      </c>
    </row>
    <row r="1571" spans="1:9" x14ac:dyDescent="0.3">
      <c r="A1571" s="1">
        <v>46257</v>
      </c>
      <c r="B1571">
        <v>1</v>
      </c>
      <c r="C1571" t="s">
        <v>11242</v>
      </c>
      <c r="D1571" t="s">
        <v>2460</v>
      </c>
      <c r="E1571" t="s">
        <v>151</v>
      </c>
      <c r="F1571" t="s">
        <v>152</v>
      </c>
      <c r="G1571" s="16">
        <v>1218.885</v>
      </c>
      <c r="H1571" t="s">
        <v>8</v>
      </c>
      <c r="I1571" s="16">
        <v>1059.9000000000001</v>
      </c>
    </row>
    <row r="1572" spans="1:9" x14ac:dyDescent="0.3">
      <c r="A1572" s="1">
        <v>46257</v>
      </c>
      <c r="B1572">
        <v>1</v>
      </c>
      <c r="C1572" t="s">
        <v>1982</v>
      </c>
      <c r="D1572" t="s">
        <v>10</v>
      </c>
      <c r="E1572" t="s">
        <v>19</v>
      </c>
      <c r="F1572" t="s">
        <v>20</v>
      </c>
      <c r="G1572" s="16">
        <v>2863.6840000000002</v>
      </c>
      <c r="H1572" t="s">
        <v>8</v>
      </c>
      <c r="I1572" s="16">
        <v>2490.16</v>
      </c>
    </row>
    <row r="1573" spans="1:9" x14ac:dyDescent="0.3">
      <c r="A1573" s="1">
        <v>46257</v>
      </c>
      <c r="B1573">
        <v>1</v>
      </c>
      <c r="C1573" t="s">
        <v>11108</v>
      </c>
      <c r="D1573" t="s">
        <v>38</v>
      </c>
      <c r="E1573" t="s">
        <v>810</v>
      </c>
      <c r="F1573" t="s">
        <v>811</v>
      </c>
      <c r="G1573" s="16">
        <v>12.65</v>
      </c>
      <c r="H1573" t="s">
        <v>8</v>
      </c>
      <c r="I1573" s="16">
        <v>11</v>
      </c>
    </row>
    <row r="1574" spans="1:9" x14ac:dyDescent="0.3">
      <c r="A1574" s="1">
        <v>46257</v>
      </c>
      <c r="B1574">
        <v>1</v>
      </c>
      <c r="C1574" t="s">
        <v>11187</v>
      </c>
      <c r="D1574" t="s">
        <v>10</v>
      </c>
      <c r="E1574" t="s">
        <v>1124</v>
      </c>
      <c r="F1574" t="s">
        <v>1125</v>
      </c>
      <c r="G1574" s="16">
        <v>207</v>
      </c>
      <c r="H1574" t="s">
        <v>8</v>
      </c>
      <c r="I1574" s="16">
        <v>180</v>
      </c>
    </row>
    <row r="1575" spans="1:9" x14ac:dyDescent="0.3">
      <c r="A1575" s="1">
        <v>46257</v>
      </c>
      <c r="B1575">
        <v>1</v>
      </c>
      <c r="C1575" t="s">
        <v>6999</v>
      </c>
      <c r="D1575" t="s">
        <v>2463</v>
      </c>
      <c r="E1575" t="s">
        <v>358</v>
      </c>
      <c r="F1575" t="s">
        <v>359</v>
      </c>
      <c r="G1575" s="16">
        <v>3332.7</v>
      </c>
      <c r="H1575" t="s">
        <v>8</v>
      </c>
      <c r="I1575" s="16">
        <v>2898</v>
      </c>
    </row>
    <row r="1576" spans="1:9" x14ac:dyDescent="0.3">
      <c r="A1576" s="1">
        <v>46257</v>
      </c>
      <c r="B1576">
        <v>1</v>
      </c>
      <c r="C1576" t="s">
        <v>11335</v>
      </c>
      <c r="D1576" t="s">
        <v>2460</v>
      </c>
      <c r="E1576" t="s">
        <v>1196</v>
      </c>
      <c r="F1576" t="s">
        <v>1197</v>
      </c>
      <c r="G1576" s="16">
        <v>26.45</v>
      </c>
      <c r="H1576" t="s">
        <v>8</v>
      </c>
      <c r="I1576" s="16">
        <v>23</v>
      </c>
    </row>
    <row r="1577" spans="1:9" x14ac:dyDescent="0.3">
      <c r="A1577" s="1">
        <v>46257</v>
      </c>
      <c r="B1577">
        <v>1</v>
      </c>
      <c r="C1577" t="s">
        <v>11229</v>
      </c>
      <c r="D1577" t="s">
        <v>2460</v>
      </c>
      <c r="E1577" t="s">
        <v>2461</v>
      </c>
      <c r="F1577" t="s">
        <v>2462</v>
      </c>
      <c r="G1577" s="16">
        <v>914.25</v>
      </c>
      <c r="H1577" t="s">
        <v>8</v>
      </c>
      <c r="I1577" s="16">
        <v>795</v>
      </c>
    </row>
    <row r="1578" spans="1:9" x14ac:dyDescent="0.3">
      <c r="A1578" s="1">
        <v>46257</v>
      </c>
      <c r="B1578">
        <v>1</v>
      </c>
      <c r="C1578" t="s">
        <v>5010</v>
      </c>
      <c r="D1578" t="s">
        <v>10</v>
      </c>
      <c r="E1578" t="s">
        <v>19</v>
      </c>
      <c r="F1578" t="s">
        <v>20</v>
      </c>
      <c r="G1578" s="16">
        <v>348.79500000000002</v>
      </c>
      <c r="H1578" t="s">
        <v>8</v>
      </c>
      <c r="I1578" s="16">
        <v>303.3</v>
      </c>
    </row>
    <row r="1579" spans="1:9" x14ac:dyDescent="0.3">
      <c r="A1579" s="1">
        <v>46257</v>
      </c>
      <c r="B1579">
        <v>1</v>
      </c>
      <c r="C1579" t="s">
        <v>9940</v>
      </c>
      <c r="D1579" t="s">
        <v>10</v>
      </c>
      <c r="E1579" t="s">
        <v>621</v>
      </c>
      <c r="F1579" t="s">
        <v>622</v>
      </c>
      <c r="G1579" s="16">
        <v>7266.2749999999996</v>
      </c>
      <c r="H1579" t="s">
        <v>8</v>
      </c>
      <c r="I1579" s="16">
        <v>6318.5</v>
      </c>
    </row>
    <row r="1580" spans="1:9" x14ac:dyDescent="0.3">
      <c r="A1580" s="1">
        <v>46257</v>
      </c>
      <c r="B1580">
        <v>1</v>
      </c>
      <c r="C1580" t="s">
        <v>11119</v>
      </c>
      <c r="D1580" t="s">
        <v>38</v>
      </c>
      <c r="E1580" t="s">
        <v>6256</v>
      </c>
      <c r="F1580" t="s">
        <v>6257</v>
      </c>
      <c r="G1580" s="16">
        <v>813.178</v>
      </c>
      <c r="H1580" t="s">
        <v>8</v>
      </c>
      <c r="I1580" s="16">
        <v>707.11126999999999</v>
      </c>
    </row>
    <row r="1581" spans="1:9" x14ac:dyDescent="0.3">
      <c r="A1581" s="1">
        <v>46257</v>
      </c>
      <c r="B1581">
        <v>1</v>
      </c>
      <c r="C1581" t="s">
        <v>11237</v>
      </c>
      <c r="D1581" t="s">
        <v>2460</v>
      </c>
      <c r="E1581" t="s">
        <v>10743</v>
      </c>
      <c r="F1581" t="s">
        <v>10744</v>
      </c>
      <c r="G1581" s="16">
        <v>102.35</v>
      </c>
      <c r="H1581" t="s">
        <v>8</v>
      </c>
      <c r="I1581" s="16">
        <v>89</v>
      </c>
    </row>
    <row r="1582" spans="1:9" x14ac:dyDescent="0.3">
      <c r="A1582" s="1">
        <v>46257</v>
      </c>
      <c r="B1582">
        <v>1</v>
      </c>
      <c r="C1582" t="s">
        <v>11146</v>
      </c>
      <c r="D1582" t="s">
        <v>10</v>
      </c>
      <c r="E1582" t="s">
        <v>49</v>
      </c>
      <c r="F1582" t="s">
        <v>50</v>
      </c>
      <c r="G1582" s="16">
        <v>1989.201</v>
      </c>
      <c r="H1582" t="s">
        <v>8</v>
      </c>
      <c r="I1582" s="16">
        <v>1729.74</v>
      </c>
    </row>
    <row r="1583" spans="1:9" x14ac:dyDescent="0.3">
      <c r="A1583" s="1">
        <v>46257</v>
      </c>
      <c r="B1583">
        <v>1</v>
      </c>
      <c r="C1583" t="s">
        <v>11336</v>
      </c>
      <c r="D1583" t="s">
        <v>2460</v>
      </c>
      <c r="E1583" t="s">
        <v>536</v>
      </c>
      <c r="F1583" t="s">
        <v>537</v>
      </c>
      <c r="G1583" s="16">
        <v>10.0625</v>
      </c>
      <c r="H1583" t="s">
        <v>8</v>
      </c>
      <c r="I1583" s="16">
        <v>8.75</v>
      </c>
    </row>
    <row r="1584" spans="1:9" x14ac:dyDescent="0.3">
      <c r="A1584" s="1">
        <v>46257</v>
      </c>
      <c r="B1584">
        <v>1</v>
      </c>
      <c r="C1584" t="s">
        <v>11183</v>
      </c>
      <c r="D1584" t="s">
        <v>38</v>
      </c>
      <c r="E1584" t="s">
        <v>2326</v>
      </c>
      <c r="F1584" t="s">
        <v>2327</v>
      </c>
      <c r="G1584" s="16">
        <v>264.78750000000002</v>
      </c>
      <c r="H1584" t="s">
        <v>8</v>
      </c>
      <c r="I1584" s="16">
        <v>230.25</v>
      </c>
    </row>
    <row r="1585" spans="1:9" x14ac:dyDescent="0.3">
      <c r="A1585" s="1">
        <v>46257</v>
      </c>
      <c r="B1585">
        <v>1</v>
      </c>
      <c r="C1585" t="s">
        <v>11227</v>
      </c>
      <c r="D1585" t="s">
        <v>2460</v>
      </c>
      <c r="E1585" t="s">
        <v>9830</v>
      </c>
      <c r="F1585" t="s">
        <v>11228</v>
      </c>
      <c r="G1585" s="16">
        <v>507.5</v>
      </c>
      <c r="H1585" t="s">
        <v>8</v>
      </c>
      <c r="I1585" s="16">
        <v>507.5</v>
      </c>
    </row>
    <row r="1586" spans="1:9" x14ac:dyDescent="0.3">
      <c r="A1586" s="1">
        <v>46257</v>
      </c>
      <c r="B1586">
        <v>1</v>
      </c>
      <c r="C1586" t="s">
        <v>11337</v>
      </c>
      <c r="D1586" t="s">
        <v>2467</v>
      </c>
      <c r="E1586" t="s">
        <v>75</v>
      </c>
      <c r="F1586" t="s">
        <v>76</v>
      </c>
      <c r="G1586" s="16">
        <v>127.50624999999999</v>
      </c>
      <c r="H1586" t="s">
        <v>8</v>
      </c>
      <c r="I1586" s="16">
        <v>110.875</v>
      </c>
    </row>
    <row r="1587" spans="1:9" x14ac:dyDescent="0.3">
      <c r="A1587" s="1">
        <v>46257</v>
      </c>
      <c r="B1587">
        <v>1</v>
      </c>
      <c r="C1587" t="s">
        <v>11186</v>
      </c>
      <c r="D1587" t="s">
        <v>38</v>
      </c>
      <c r="E1587" t="s">
        <v>812</v>
      </c>
      <c r="F1587" t="s">
        <v>2394</v>
      </c>
      <c r="G1587" s="16">
        <v>408.25</v>
      </c>
      <c r="H1587" t="s">
        <v>8</v>
      </c>
      <c r="I1587" s="16">
        <v>355</v>
      </c>
    </row>
    <row r="1588" spans="1:9" x14ac:dyDescent="0.3">
      <c r="A1588" s="1">
        <v>46257</v>
      </c>
      <c r="B1588">
        <v>1</v>
      </c>
      <c r="C1588" t="s">
        <v>11240</v>
      </c>
      <c r="D1588" t="s">
        <v>2460</v>
      </c>
      <c r="E1588" t="s">
        <v>177</v>
      </c>
      <c r="F1588" t="s">
        <v>178</v>
      </c>
      <c r="G1588" s="16">
        <v>7595.75</v>
      </c>
      <c r="H1588" t="s">
        <v>8</v>
      </c>
      <c r="I1588" s="16">
        <v>6605</v>
      </c>
    </row>
    <row r="1589" spans="1:9" x14ac:dyDescent="0.3">
      <c r="A1589" s="1">
        <v>46257</v>
      </c>
      <c r="B1589">
        <v>1</v>
      </c>
      <c r="C1589" t="s">
        <v>11117</v>
      </c>
      <c r="D1589" t="s">
        <v>10</v>
      </c>
      <c r="E1589" t="s">
        <v>69</v>
      </c>
      <c r="F1589" t="s">
        <v>70</v>
      </c>
      <c r="G1589" s="16">
        <v>1185.6844000000001</v>
      </c>
      <c r="H1589" t="s">
        <v>8</v>
      </c>
      <c r="I1589" s="16">
        <v>1031.03</v>
      </c>
    </row>
    <row r="1590" spans="1:9" x14ac:dyDescent="0.3">
      <c r="A1590" s="1">
        <v>46257</v>
      </c>
      <c r="B1590">
        <v>1</v>
      </c>
      <c r="C1590" t="s">
        <v>11131</v>
      </c>
      <c r="D1590" t="s">
        <v>10</v>
      </c>
      <c r="E1590" t="s">
        <v>9689</v>
      </c>
      <c r="F1590" t="s">
        <v>9690</v>
      </c>
      <c r="G1590" s="16">
        <v>486.20850000000002</v>
      </c>
      <c r="H1590" t="s">
        <v>8</v>
      </c>
      <c r="I1590" s="16">
        <v>422.79</v>
      </c>
    </row>
    <row r="1591" spans="1:9" x14ac:dyDescent="0.3">
      <c r="A1591" s="1">
        <v>46257</v>
      </c>
      <c r="B1591">
        <v>1</v>
      </c>
      <c r="C1591" t="s">
        <v>11155</v>
      </c>
      <c r="D1591" t="s">
        <v>10</v>
      </c>
      <c r="E1591" t="s">
        <v>73</v>
      </c>
      <c r="F1591" t="s">
        <v>74</v>
      </c>
      <c r="G1591" s="16">
        <v>75.900000000000006</v>
      </c>
      <c r="H1591" t="s">
        <v>8</v>
      </c>
      <c r="I1591" s="16">
        <v>66</v>
      </c>
    </row>
    <row r="1592" spans="1:9" x14ac:dyDescent="0.3">
      <c r="A1592" s="1">
        <v>46257</v>
      </c>
      <c r="B1592">
        <v>1</v>
      </c>
      <c r="C1592" t="s">
        <v>11245</v>
      </c>
      <c r="D1592" t="s">
        <v>2460</v>
      </c>
      <c r="E1592" t="s">
        <v>185</v>
      </c>
      <c r="F1592" t="s">
        <v>186</v>
      </c>
      <c r="G1592" s="16">
        <v>128.80000000000001</v>
      </c>
      <c r="H1592" t="s">
        <v>8</v>
      </c>
      <c r="I1592" s="16">
        <v>112</v>
      </c>
    </row>
    <row r="1593" spans="1:9" x14ac:dyDescent="0.3">
      <c r="A1593" s="1">
        <v>46257</v>
      </c>
      <c r="B1593">
        <v>1</v>
      </c>
      <c r="C1593" t="s">
        <v>11225</v>
      </c>
      <c r="D1593" t="s">
        <v>2460</v>
      </c>
      <c r="E1593" t="s">
        <v>776</v>
      </c>
      <c r="F1593" t="s">
        <v>777</v>
      </c>
      <c r="G1593" s="16">
        <v>20043.544999999998</v>
      </c>
      <c r="H1593" t="s">
        <v>8</v>
      </c>
      <c r="I1593" s="16">
        <v>17429.169999999998</v>
      </c>
    </row>
    <row r="1594" spans="1:9" x14ac:dyDescent="0.3">
      <c r="A1594" s="1">
        <v>46257</v>
      </c>
      <c r="B1594">
        <v>1</v>
      </c>
      <c r="C1594" t="s">
        <v>11217</v>
      </c>
      <c r="D1594" t="s">
        <v>2460</v>
      </c>
      <c r="E1594" t="s">
        <v>10897</v>
      </c>
      <c r="F1594" t="s">
        <v>10898</v>
      </c>
      <c r="G1594" s="16">
        <v>4512.83</v>
      </c>
      <c r="H1594" t="s">
        <v>8</v>
      </c>
      <c r="I1594" s="16">
        <v>3924.2</v>
      </c>
    </row>
    <row r="1595" spans="1:9" x14ac:dyDescent="0.3">
      <c r="A1595" s="1">
        <v>46257</v>
      </c>
      <c r="B1595">
        <v>1</v>
      </c>
      <c r="C1595" t="s">
        <v>11222</v>
      </c>
      <c r="D1595" t="s">
        <v>2460</v>
      </c>
      <c r="E1595" t="s">
        <v>423</v>
      </c>
      <c r="F1595" t="s">
        <v>424</v>
      </c>
      <c r="G1595" s="16">
        <v>84941.48</v>
      </c>
      <c r="H1595" t="s">
        <v>8</v>
      </c>
      <c r="I1595" s="16">
        <v>73862.16</v>
      </c>
    </row>
    <row r="1596" spans="1:9" x14ac:dyDescent="0.3">
      <c r="A1596" s="1">
        <v>46257</v>
      </c>
      <c r="B1596">
        <v>1</v>
      </c>
      <c r="C1596" t="s">
        <v>11129</v>
      </c>
      <c r="D1596" t="s">
        <v>10</v>
      </c>
      <c r="E1596" t="s">
        <v>358</v>
      </c>
      <c r="F1596" t="s">
        <v>359</v>
      </c>
      <c r="G1596" s="16">
        <v>60.72</v>
      </c>
      <c r="H1596" t="s">
        <v>8</v>
      </c>
      <c r="I1596" s="16">
        <v>52.8</v>
      </c>
    </row>
    <row r="1597" spans="1:9" x14ac:dyDescent="0.3">
      <c r="A1597" s="1">
        <v>46257</v>
      </c>
      <c r="B1597">
        <v>1</v>
      </c>
      <c r="C1597" t="s">
        <v>11338</v>
      </c>
      <c r="D1597" t="s">
        <v>2467</v>
      </c>
      <c r="E1597" t="s">
        <v>2468</v>
      </c>
      <c r="F1597" t="s">
        <v>2469</v>
      </c>
      <c r="G1597" s="16">
        <v>27.6</v>
      </c>
      <c r="H1597" t="s">
        <v>8</v>
      </c>
      <c r="I1597" s="16">
        <v>24</v>
      </c>
    </row>
    <row r="1598" spans="1:9" x14ac:dyDescent="0.3">
      <c r="A1598" s="1">
        <v>46257</v>
      </c>
      <c r="B1598">
        <v>1</v>
      </c>
      <c r="C1598" t="s">
        <v>11231</v>
      </c>
      <c r="D1598" t="s">
        <v>2460</v>
      </c>
      <c r="E1598" t="s">
        <v>146</v>
      </c>
      <c r="F1598" t="s">
        <v>147</v>
      </c>
      <c r="G1598" s="16">
        <v>604.44000000000005</v>
      </c>
      <c r="H1598" t="s">
        <v>8</v>
      </c>
      <c r="I1598" s="16">
        <v>525.6</v>
      </c>
    </row>
    <row r="1599" spans="1:9" x14ac:dyDescent="0.3">
      <c r="A1599" s="1">
        <v>46257</v>
      </c>
      <c r="B1599">
        <v>1</v>
      </c>
      <c r="C1599" t="s">
        <v>11213</v>
      </c>
      <c r="D1599" t="s">
        <v>2467</v>
      </c>
      <c r="E1599" t="s">
        <v>356</v>
      </c>
      <c r="F1599" t="s">
        <v>357</v>
      </c>
      <c r="G1599" s="16">
        <v>7279.3620000000001</v>
      </c>
      <c r="H1599" t="s">
        <v>8</v>
      </c>
      <c r="I1599" s="16">
        <v>6329.88</v>
      </c>
    </row>
    <row r="1600" spans="1:9" x14ac:dyDescent="0.3">
      <c r="A1600" s="1">
        <v>46257</v>
      </c>
      <c r="B1600">
        <v>1</v>
      </c>
      <c r="C1600" t="s">
        <v>11162</v>
      </c>
      <c r="D1600" t="s">
        <v>10</v>
      </c>
      <c r="E1600" t="s">
        <v>3773</v>
      </c>
      <c r="F1600" t="s">
        <v>3774</v>
      </c>
      <c r="G1600" s="16">
        <v>3019.4879999999998</v>
      </c>
      <c r="H1600" t="s">
        <v>8</v>
      </c>
      <c r="I1600" s="16">
        <v>2625.6417999999999</v>
      </c>
    </row>
    <row r="1601" spans="1:9" x14ac:dyDescent="0.3">
      <c r="A1601" s="1">
        <v>46257</v>
      </c>
      <c r="B1601">
        <v>1</v>
      </c>
      <c r="C1601" t="s">
        <v>11241</v>
      </c>
      <c r="D1601" t="s">
        <v>2460</v>
      </c>
      <c r="E1601" t="s">
        <v>578</v>
      </c>
      <c r="F1601" t="s">
        <v>579</v>
      </c>
      <c r="G1601" s="16">
        <v>333.96</v>
      </c>
      <c r="H1601" t="s">
        <v>8</v>
      </c>
      <c r="I1601" s="16">
        <v>290.39999999999998</v>
      </c>
    </row>
    <row r="1602" spans="1:9" x14ac:dyDescent="0.3">
      <c r="A1602" s="1">
        <v>46257</v>
      </c>
      <c r="B1602">
        <v>1</v>
      </c>
      <c r="C1602" t="s">
        <v>11114</v>
      </c>
      <c r="D1602" t="s">
        <v>10</v>
      </c>
      <c r="E1602" t="s">
        <v>318</v>
      </c>
      <c r="F1602" t="s">
        <v>319</v>
      </c>
      <c r="G1602" s="16">
        <v>428.87723</v>
      </c>
      <c r="H1602" t="s">
        <v>8</v>
      </c>
      <c r="I1602" s="16">
        <v>372.93669999999997</v>
      </c>
    </row>
    <row r="1603" spans="1:9" x14ac:dyDescent="0.3">
      <c r="A1603" s="1">
        <v>46257</v>
      </c>
      <c r="B1603">
        <v>1</v>
      </c>
      <c r="C1603" t="s">
        <v>11128</v>
      </c>
      <c r="D1603" t="s">
        <v>38</v>
      </c>
      <c r="E1603" t="s">
        <v>201</v>
      </c>
      <c r="F1603" t="s">
        <v>202</v>
      </c>
      <c r="G1603" s="16">
        <v>135.30373</v>
      </c>
      <c r="H1603" t="s">
        <v>8</v>
      </c>
      <c r="I1603" s="16">
        <v>117.65542000000001</v>
      </c>
    </row>
    <row r="1604" spans="1:9" x14ac:dyDescent="0.3">
      <c r="A1604" s="1">
        <v>46257</v>
      </c>
      <c r="B1604">
        <v>1</v>
      </c>
      <c r="C1604" t="s">
        <v>10460</v>
      </c>
      <c r="D1604" t="s">
        <v>169</v>
      </c>
      <c r="E1604" t="s">
        <v>356</v>
      </c>
      <c r="F1604" t="s">
        <v>357</v>
      </c>
      <c r="G1604" s="16">
        <v>14.6625</v>
      </c>
      <c r="H1604" t="s">
        <v>8</v>
      </c>
      <c r="I1604" s="16">
        <v>12.75</v>
      </c>
    </row>
    <row r="1605" spans="1:9" x14ac:dyDescent="0.3">
      <c r="A1605" s="1">
        <v>46257</v>
      </c>
      <c r="B1605">
        <v>1</v>
      </c>
      <c r="C1605" t="s">
        <v>11124</v>
      </c>
      <c r="D1605" t="s">
        <v>10</v>
      </c>
      <c r="E1605" t="s">
        <v>57</v>
      </c>
      <c r="F1605" t="s">
        <v>58</v>
      </c>
      <c r="G1605" s="16">
        <v>188.02500000000001</v>
      </c>
      <c r="H1605" t="s">
        <v>8</v>
      </c>
      <c r="I1605" s="16">
        <v>163.5</v>
      </c>
    </row>
    <row r="1606" spans="1:9" x14ac:dyDescent="0.3">
      <c r="A1606" s="1">
        <v>46257</v>
      </c>
      <c r="B1606">
        <v>1</v>
      </c>
      <c r="C1606" t="s">
        <v>8661</v>
      </c>
      <c r="D1606" t="s">
        <v>10</v>
      </c>
      <c r="E1606" t="s">
        <v>19</v>
      </c>
      <c r="F1606" t="s">
        <v>20</v>
      </c>
      <c r="G1606" s="16">
        <v>420.24450000000002</v>
      </c>
      <c r="H1606" t="s">
        <v>8</v>
      </c>
      <c r="I1606" s="16">
        <v>365.43</v>
      </c>
    </row>
    <row r="1607" spans="1:9" x14ac:dyDescent="0.3">
      <c r="A1607" s="1">
        <v>46257</v>
      </c>
      <c r="B1607">
        <v>1</v>
      </c>
      <c r="C1607" t="s">
        <v>11120</v>
      </c>
      <c r="D1607" t="s">
        <v>38</v>
      </c>
      <c r="E1607" t="s">
        <v>4387</v>
      </c>
      <c r="F1607" t="s">
        <v>4388</v>
      </c>
      <c r="G1607" s="16">
        <v>359.47390000000001</v>
      </c>
      <c r="H1607" t="s">
        <v>8</v>
      </c>
      <c r="I1607" s="16">
        <v>312.58600000000001</v>
      </c>
    </row>
    <row r="1608" spans="1:9" x14ac:dyDescent="0.3">
      <c r="A1608" s="1">
        <v>46257</v>
      </c>
      <c r="B1608">
        <v>1</v>
      </c>
      <c r="C1608" t="s">
        <v>11133</v>
      </c>
      <c r="D1608" t="s">
        <v>38</v>
      </c>
      <c r="E1608" t="s">
        <v>2300</v>
      </c>
      <c r="F1608" t="s">
        <v>2301</v>
      </c>
      <c r="G1608" s="16">
        <v>1322.4770000000001</v>
      </c>
      <c r="H1608" t="s">
        <v>8</v>
      </c>
      <c r="I1608" s="16">
        <v>1149.98</v>
      </c>
    </row>
    <row r="1609" spans="1:9" x14ac:dyDescent="0.3">
      <c r="A1609" s="1">
        <v>46257</v>
      </c>
      <c r="B1609">
        <v>1</v>
      </c>
      <c r="C1609" t="s">
        <v>10978</v>
      </c>
      <c r="D1609" t="s">
        <v>169</v>
      </c>
      <c r="E1609" t="s">
        <v>6373</v>
      </c>
      <c r="F1609" t="s">
        <v>6374</v>
      </c>
      <c r="G1609" s="16">
        <v>1757.1195</v>
      </c>
      <c r="H1609" t="s">
        <v>8</v>
      </c>
      <c r="I1609" s="16">
        <v>1527.93</v>
      </c>
    </row>
    <row r="1610" spans="1:9" x14ac:dyDescent="0.3">
      <c r="A1610" s="1">
        <v>46257</v>
      </c>
      <c r="B1610">
        <v>1</v>
      </c>
      <c r="C1610" t="s">
        <v>11234</v>
      </c>
      <c r="D1610" t="s">
        <v>2460</v>
      </c>
      <c r="E1610" t="s">
        <v>10892</v>
      </c>
      <c r="F1610" t="s">
        <v>10893</v>
      </c>
      <c r="G1610" s="16">
        <v>2695.14</v>
      </c>
      <c r="H1610" t="s">
        <v>8</v>
      </c>
      <c r="I1610" s="16">
        <v>2343.6</v>
      </c>
    </row>
    <row r="1611" spans="1:9" x14ac:dyDescent="0.3">
      <c r="A1611" s="1">
        <v>46257</v>
      </c>
      <c r="B1611">
        <v>1</v>
      </c>
      <c r="C1611" t="s">
        <v>10636</v>
      </c>
      <c r="D1611" t="s">
        <v>10</v>
      </c>
      <c r="E1611" t="s">
        <v>19</v>
      </c>
      <c r="F1611" t="s">
        <v>20</v>
      </c>
      <c r="G1611" s="16">
        <v>305.923</v>
      </c>
      <c r="H1611" t="s">
        <v>8</v>
      </c>
      <c r="I1611" s="16">
        <v>266.02</v>
      </c>
    </row>
    <row r="1612" spans="1:9" x14ac:dyDescent="0.3">
      <c r="A1612" s="1">
        <v>46257</v>
      </c>
      <c r="B1612">
        <v>1</v>
      </c>
      <c r="C1612" t="s">
        <v>4417</v>
      </c>
      <c r="D1612" t="s">
        <v>10</v>
      </c>
      <c r="E1612" t="s">
        <v>19</v>
      </c>
      <c r="F1612" t="s">
        <v>20</v>
      </c>
      <c r="G1612" s="16">
        <v>1049.329</v>
      </c>
      <c r="H1612" t="s">
        <v>8</v>
      </c>
      <c r="I1612" s="16">
        <v>912.46</v>
      </c>
    </row>
    <row r="1613" spans="1:9" x14ac:dyDescent="0.3">
      <c r="A1613" s="1">
        <v>46257</v>
      </c>
      <c r="B1613">
        <v>1</v>
      </c>
      <c r="C1613" t="s">
        <v>11218</v>
      </c>
      <c r="D1613" t="s">
        <v>2460</v>
      </c>
      <c r="E1613" t="s">
        <v>10899</v>
      </c>
      <c r="F1613" t="s">
        <v>11219</v>
      </c>
      <c r="G1613" s="16">
        <v>186382.38</v>
      </c>
      <c r="H1613" t="s">
        <v>8</v>
      </c>
      <c r="I1613" s="16">
        <v>162071.62</v>
      </c>
    </row>
    <row r="1614" spans="1:9" x14ac:dyDescent="0.3">
      <c r="A1614" s="1">
        <v>46257</v>
      </c>
      <c r="B1614">
        <v>1</v>
      </c>
      <c r="C1614" t="s">
        <v>11156</v>
      </c>
      <c r="D1614" t="s">
        <v>10</v>
      </c>
      <c r="E1614" t="s">
        <v>173</v>
      </c>
      <c r="F1614" t="s">
        <v>174</v>
      </c>
      <c r="G1614" s="16">
        <v>1672.077</v>
      </c>
      <c r="H1614" t="s">
        <v>8</v>
      </c>
      <c r="I1614" s="16">
        <v>1453.98</v>
      </c>
    </row>
    <row r="1615" spans="1:9" x14ac:dyDescent="0.3">
      <c r="A1615" s="1">
        <v>46257</v>
      </c>
      <c r="B1615">
        <v>1</v>
      </c>
      <c r="C1615" t="s">
        <v>11112</v>
      </c>
      <c r="D1615" t="s">
        <v>169</v>
      </c>
      <c r="E1615" t="s">
        <v>65</v>
      </c>
      <c r="F1615" t="s">
        <v>66</v>
      </c>
      <c r="G1615" s="16">
        <v>366.64873999999998</v>
      </c>
      <c r="H1615" t="s">
        <v>8</v>
      </c>
      <c r="I1615" s="16">
        <v>318.82499999999999</v>
      </c>
    </row>
    <row r="1616" spans="1:9" x14ac:dyDescent="0.3">
      <c r="A1616" s="1">
        <v>46257</v>
      </c>
      <c r="B1616">
        <v>1</v>
      </c>
      <c r="C1616" t="s">
        <v>9687</v>
      </c>
      <c r="D1616" t="s">
        <v>10</v>
      </c>
      <c r="E1616" t="s">
        <v>19</v>
      </c>
      <c r="F1616" t="s">
        <v>20</v>
      </c>
      <c r="G1616" s="16">
        <v>980.85799999999995</v>
      </c>
      <c r="H1616" t="s">
        <v>8</v>
      </c>
      <c r="I1616" s="16">
        <v>852.92</v>
      </c>
    </row>
    <row r="1617" spans="1:9" x14ac:dyDescent="0.3">
      <c r="A1617" s="1">
        <v>46257</v>
      </c>
      <c r="B1617">
        <v>1</v>
      </c>
      <c r="C1617" t="s">
        <v>11104</v>
      </c>
      <c r="D1617" t="s">
        <v>38</v>
      </c>
      <c r="E1617" t="s">
        <v>4144</v>
      </c>
      <c r="F1617" t="s">
        <v>4145</v>
      </c>
      <c r="G1617" s="16">
        <v>455.4</v>
      </c>
      <c r="H1617" t="s">
        <v>8</v>
      </c>
      <c r="I1617" s="16">
        <v>396</v>
      </c>
    </row>
    <row r="1618" spans="1:9" x14ac:dyDescent="0.3">
      <c r="A1618" s="1">
        <v>46257</v>
      </c>
      <c r="B1618">
        <v>1</v>
      </c>
      <c r="C1618" t="s">
        <v>11230</v>
      </c>
      <c r="D1618" t="s">
        <v>2460</v>
      </c>
      <c r="E1618" t="s">
        <v>177</v>
      </c>
      <c r="F1618" t="s">
        <v>178</v>
      </c>
      <c r="G1618" s="16">
        <v>18118.357</v>
      </c>
      <c r="H1618" t="s">
        <v>8</v>
      </c>
      <c r="I1618" s="16">
        <v>15755.093000000001</v>
      </c>
    </row>
    <row r="1619" spans="1:9" x14ac:dyDescent="0.3">
      <c r="A1619" s="1">
        <v>46257</v>
      </c>
      <c r="B1619">
        <v>1</v>
      </c>
      <c r="C1619" t="s">
        <v>11171</v>
      </c>
      <c r="D1619" t="s">
        <v>38</v>
      </c>
      <c r="E1619" t="s">
        <v>69</v>
      </c>
      <c r="F1619" t="s">
        <v>70</v>
      </c>
      <c r="G1619" s="16">
        <v>39.399000000000001</v>
      </c>
      <c r="H1619" t="s">
        <v>8</v>
      </c>
      <c r="I1619" s="16">
        <v>34.26</v>
      </c>
    </row>
    <row r="1620" spans="1:9" x14ac:dyDescent="0.3">
      <c r="A1620" s="1">
        <v>46257</v>
      </c>
      <c r="B1620">
        <v>1</v>
      </c>
      <c r="C1620" t="s">
        <v>11152</v>
      </c>
      <c r="D1620" t="s">
        <v>10</v>
      </c>
      <c r="E1620" t="s">
        <v>39</v>
      </c>
      <c r="F1620" t="s">
        <v>40</v>
      </c>
      <c r="G1620" s="16">
        <v>1177.5599</v>
      </c>
      <c r="H1620" t="s">
        <v>8</v>
      </c>
      <c r="I1620" s="16">
        <v>1023.9652</v>
      </c>
    </row>
    <row r="1621" spans="1:9" x14ac:dyDescent="0.3">
      <c r="A1621" s="1">
        <v>46257</v>
      </c>
      <c r="B1621">
        <v>1</v>
      </c>
      <c r="C1621" t="s">
        <v>11221</v>
      </c>
      <c r="D1621" t="s">
        <v>2460</v>
      </c>
      <c r="E1621" t="s">
        <v>79</v>
      </c>
      <c r="F1621" t="s">
        <v>80</v>
      </c>
      <c r="G1621" s="16">
        <v>517.94849999999997</v>
      </c>
      <c r="H1621" t="s">
        <v>8</v>
      </c>
      <c r="I1621" s="16">
        <v>450.39</v>
      </c>
    </row>
    <row r="1622" spans="1:9" x14ac:dyDescent="0.3">
      <c r="A1622" s="1">
        <v>46257</v>
      </c>
      <c r="B1622">
        <v>1</v>
      </c>
      <c r="C1622" t="s">
        <v>11159</v>
      </c>
      <c r="D1622" t="s">
        <v>38</v>
      </c>
      <c r="E1622" t="s">
        <v>4364</v>
      </c>
      <c r="F1622" t="s">
        <v>4542</v>
      </c>
      <c r="G1622" s="16">
        <v>793.69550000000004</v>
      </c>
      <c r="H1622" t="s">
        <v>8</v>
      </c>
      <c r="I1622" s="16">
        <v>690.17</v>
      </c>
    </row>
    <row r="1623" spans="1:9" x14ac:dyDescent="0.3">
      <c r="A1623" s="1">
        <v>46257</v>
      </c>
      <c r="B1623">
        <v>1</v>
      </c>
      <c r="C1623" t="s">
        <v>10993</v>
      </c>
      <c r="D1623" t="s">
        <v>38</v>
      </c>
      <c r="E1623" t="s">
        <v>7440</v>
      </c>
      <c r="F1623" t="s">
        <v>7441</v>
      </c>
      <c r="G1623" s="16">
        <v>1867.4994999999999</v>
      </c>
      <c r="H1623" t="s">
        <v>8</v>
      </c>
      <c r="I1623" s="16">
        <v>1623.9126000000001</v>
      </c>
    </row>
    <row r="1624" spans="1:9" x14ac:dyDescent="0.3">
      <c r="A1624" s="1">
        <v>46257</v>
      </c>
      <c r="B1624">
        <v>1</v>
      </c>
      <c r="C1624" t="s">
        <v>11226</v>
      </c>
      <c r="D1624" t="s">
        <v>2463</v>
      </c>
      <c r="E1624" t="s">
        <v>7388</v>
      </c>
      <c r="F1624" t="s">
        <v>7389</v>
      </c>
      <c r="G1624" s="16">
        <v>168.82</v>
      </c>
      <c r="H1624" t="s">
        <v>8</v>
      </c>
      <c r="I1624" s="16">
        <v>146.80000000000001</v>
      </c>
    </row>
    <row r="1625" spans="1:9" x14ac:dyDescent="0.3">
      <c r="A1625" s="1">
        <v>46257</v>
      </c>
      <c r="B1625">
        <v>1</v>
      </c>
      <c r="C1625" t="s">
        <v>11172</v>
      </c>
      <c r="D1625" t="s">
        <v>38</v>
      </c>
      <c r="E1625" t="s">
        <v>643</v>
      </c>
      <c r="F1625" t="s">
        <v>644</v>
      </c>
      <c r="G1625" s="16">
        <v>40.825000000000003</v>
      </c>
      <c r="H1625" t="s">
        <v>8</v>
      </c>
      <c r="I1625" s="16">
        <v>35.5</v>
      </c>
    </row>
    <row r="1626" spans="1:9" x14ac:dyDescent="0.3">
      <c r="A1626" s="1">
        <v>46257</v>
      </c>
      <c r="B1626">
        <v>1</v>
      </c>
      <c r="C1626" t="s">
        <v>11339</v>
      </c>
      <c r="D1626" t="s">
        <v>2467</v>
      </c>
      <c r="E1626" t="s">
        <v>2468</v>
      </c>
      <c r="F1626" t="s">
        <v>2469</v>
      </c>
      <c r="G1626" s="16">
        <v>51.75</v>
      </c>
      <c r="H1626" t="s">
        <v>8</v>
      </c>
      <c r="I1626" s="16">
        <v>45</v>
      </c>
    </row>
    <row r="1627" spans="1:9" x14ac:dyDescent="0.3">
      <c r="A1627" s="1">
        <v>46257</v>
      </c>
      <c r="B1627">
        <v>1</v>
      </c>
      <c r="C1627" t="s">
        <v>8965</v>
      </c>
      <c r="D1627" t="s">
        <v>38</v>
      </c>
      <c r="E1627" t="s">
        <v>173</v>
      </c>
      <c r="F1627" t="s">
        <v>174</v>
      </c>
      <c r="G1627" s="16">
        <v>13334.353999999999</v>
      </c>
      <c r="H1627" t="s">
        <v>8</v>
      </c>
      <c r="I1627" s="16">
        <v>11595.09</v>
      </c>
    </row>
    <row r="1628" spans="1:9" x14ac:dyDescent="0.3">
      <c r="A1628" s="1">
        <v>46257</v>
      </c>
      <c r="B1628">
        <v>1</v>
      </c>
      <c r="C1628" t="s">
        <v>11140</v>
      </c>
      <c r="D1628" t="s">
        <v>38</v>
      </c>
      <c r="E1628" t="s">
        <v>398</v>
      </c>
      <c r="F1628" t="s">
        <v>399</v>
      </c>
      <c r="G1628" s="16">
        <v>1712.6913999999999</v>
      </c>
      <c r="H1628" t="s">
        <v>8</v>
      </c>
      <c r="I1628" s="16">
        <v>1489.2969000000001</v>
      </c>
    </row>
    <row r="1629" spans="1:9" x14ac:dyDescent="0.3">
      <c r="A1629" s="1">
        <v>46257</v>
      </c>
      <c r="B1629">
        <v>1</v>
      </c>
      <c r="C1629" t="s">
        <v>11111</v>
      </c>
      <c r="D1629" t="s">
        <v>10</v>
      </c>
      <c r="E1629" t="s">
        <v>937</v>
      </c>
      <c r="F1629" t="s">
        <v>938</v>
      </c>
      <c r="G1629" s="16">
        <v>176.07079999999999</v>
      </c>
      <c r="H1629" t="s">
        <v>8</v>
      </c>
      <c r="I1629" s="16">
        <v>153.10504</v>
      </c>
    </row>
    <row r="1630" spans="1:9" x14ac:dyDescent="0.3">
      <c r="A1630" s="1">
        <v>46257</v>
      </c>
      <c r="B1630">
        <v>1</v>
      </c>
      <c r="C1630" t="s">
        <v>11212</v>
      </c>
      <c r="D1630" t="s">
        <v>2460</v>
      </c>
      <c r="E1630" t="s">
        <v>181</v>
      </c>
      <c r="F1630" t="s">
        <v>182</v>
      </c>
      <c r="G1630" s="16">
        <v>62.1</v>
      </c>
      <c r="H1630" t="s">
        <v>8</v>
      </c>
      <c r="I1630" s="16">
        <v>54</v>
      </c>
    </row>
    <row r="1631" spans="1:9" x14ac:dyDescent="0.3">
      <c r="A1631" s="1">
        <v>46257</v>
      </c>
      <c r="B1631">
        <v>1</v>
      </c>
      <c r="C1631" t="s">
        <v>11340</v>
      </c>
      <c r="D1631" t="s">
        <v>2467</v>
      </c>
      <c r="E1631" t="s">
        <v>356</v>
      </c>
      <c r="F1631" t="s">
        <v>357</v>
      </c>
      <c r="G1631" s="16">
        <v>579.83219999999994</v>
      </c>
      <c r="H1631" t="s">
        <v>8</v>
      </c>
      <c r="I1631" s="16">
        <v>504.20190000000002</v>
      </c>
    </row>
    <row r="1632" spans="1:9" x14ac:dyDescent="0.3">
      <c r="A1632" s="1">
        <v>46257</v>
      </c>
      <c r="B1632">
        <v>1</v>
      </c>
      <c r="C1632" t="s">
        <v>11148</v>
      </c>
      <c r="D1632" t="s">
        <v>10</v>
      </c>
      <c r="E1632" t="s">
        <v>381</v>
      </c>
      <c r="F1632" t="s">
        <v>382</v>
      </c>
      <c r="G1632" s="16">
        <v>229.71250000000001</v>
      </c>
      <c r="H1632" t="s">
        <v>8</v>
      </c>
      <c r="I1632" s="16">
        <v>199.75</v>
      </c>
    </row>
    <row r="1633" spans="1:9" x14ac:dyDescent="0.3">
      <c r="A1633" s="1">
        <v>46257</v>
      </c>
      <c r="B1633">
        <v>1</v>
      </c>
      <c r="C1633" t="s">
        <v>11142</v>
      </c>
      <c r="D1633" t="s">
        <v>10</v>
      </c>
      <c r="E1633" t="s">
        <v>576</v>
      </c>
      <c r="F1633" t="s">
        <v>577</v>
      </c>
      <c r="G1633" s="16">
        <v>112.10343</v>
      </c>
      <c r="H1633" t="s">
        <v>8</v>
      </c>
      <c r="I1633" s="16">
        <v>97.48124</v>
      </c>
    </row>
    <row r="1634" spans="1:9" x14ac:dyDescent="0.3">
      <c r="A1634" s="1">
        <v>46257</v>
      </c>
      <c r="B1634">
        <v>1</v>
      </c>
      <c r="C1634" t="s">
        <v>1856</v>
      </c>
      <c r="D1634" t="s">
        <v>10</v>
      </c>
      <c r="E1634" t="s">
        <v>19</v>
      </c>
      <c r="F1634" t="s">
        <v>20</v>
      </c>
      <c r="G1634" s="16">
        <v>2711.3319999999999</v>
      </c>
      <c r="H1634" t="s">
        <v>8</v>
      </c>
      <c r="I1634" s="16">
        <v>2357.6799999999998</v>
      </c>
    </row>
    <row r="1635" spans="1:9" x14ac:dyDescent="0.3">
      <c r="A1635" s="1">
        <v>46257</v>
      </c>
      <c r="B1635">
        <v>1</v>
      </c>
      <c r="C1635" t="s">
        <v>11137</v>
      </c>
      <c r="D1635" t="s">
        <v>10</v>
      </c>
      <c r="E1635" t="s">
        <v>7245</v>
      </c>
      <c r="F1635" t="s">
        <v>7246</v>
      </c>
      <c r="G1635" s="16">
        <v>254.65600000000001</v>
      </c>
      <c r="H1635" t="s">
        <v>8</v>
      </c>
      <c r="I1635" s="16">
        <v>221.44</v>
      </c>
    </row>
    <row r="1636" spans="1:9" x14ac:dyDescent="0.3">
      <c r="A1636" s="1">
        <v>46257</v>
      </c>
      <c r="B1636">
        <v>1</v>
      </c>
      <c r="C1636" t="s">
        <v>11243</v>
      </c>
      <c r="D1636" t="s">
        <v>2460</v>
      </c>
      <c r="E1636" t="s">
        <v>10895</v>
      </c>
      <c r="F1636" t="s">
        <v>10896</v>
      </c>
      <c r="G1636" s="16">
        <v>1217.1600000000001</v>
      </c>
      <c r="H1636" t="s">
        <v>8</v>
      </c>
      <c r="I1636" s="16">
        <v>1058.4000000000001</v>
      </c>
    </row>
    <row r="1637" spans="1:9" x14ac:dyDescent="0.3">
      <c r="A1637" s="1">
        <v>46257</v>
      </c>
      <c r="B1637">
        <v>1</v>
      </c>
      <c r="C1637" t="s">
        <v>4711</v>
      </c>
      <c r="D1637" t="s">
        <v>10</v>
      </c>
      <c r="E1637" t="s">
        <v>19</v>
      </c>
      <c r="F1637" t="s">
        <v>20</v>
      </c>
      <c r="G1637" s="16">
        <v>693.18550000000005</v>
      </c>
      <c r="H1637" t="s">
        <v>8</v>
      </c>
      <c r="I1637" s="16">
        <v>602.77</v>
      </c>
    </row>
    <row r="1638" spans="1:9" x14ac:dyDescent="0.3">
      <c r="A1638" s="1">
        <v>46257</v>
      </c>
      <c r="B1638">
        <v>1</v>
      </c>
      <c r="C1638" t="s">
        <v>10876</v>
      </c>
      <c r="D1638" t="s">
        <v>2460</v>
      </c>
      <c r="E1638" t="s">
        <v>160</v>
      </c>
      <c r="F1638" t="s">
        <v>161</v>
      </c>
      <c r="G1638" s="16">
        <v>180</v>
      </c>
      <c r="H1638" t="s">
        <v>8</v>
      </c>
      <c r="I1638" s="16">
        <v>180</v>
      </c>
    </row>
    <row r="1639" spans="1:9" x14ac:dyDescent="0.3">
      <c r="A1639" s="1">
        <v>46257</v>
      </c>
      <c r="B1639">
        <v>1</v>
      </c>
      <c r="C1639" t="s">
        <v>6488</v>
      </c>
      <c r="D1639" t="s">
        <v>10</v>
      </c>
      <c r="E1639" t="s">
        <v>19</v>
      </c>
      <c r="F1639" t="s">
        <v>20</v>
      </c>
      <c r="G1639" s="16">
        <v>704.75450000000001</v>
      </c>
      <c r="H1639" t="s">
        <v>8</v>
      </c>
      <c r="I1639" s="16">
        <v>612.83000000000004</v>
      </c>
    </row>
    <row r="1640" spans="1:9" x14ac:dyDescent="0.3">
      <c r="A1640" s="1">
        <v>46257</v>
      </c>
      <c r="B1640">
        <v>1</v>
      </c>
      <c r="C1640" t="s">
        <v>10276</v>
      </c>
      <c r="D1640" t="s">
        <v>10</v>
      </c>
      <c r="E1640" t="s">
        <v>422</v>
      </c>
      <c r="F1640" t="s">
        <v>490</v>
      </c>
      <c r="G1640" s="16">
        <v>239.691</v>
      </c>
      <c r="H1640" t="s">
        <v>8</v>
      </c>
      <c r="I1640" s="16">
        <v>208.42696000000001</v>
      </c>
    </row>
    <row r="1641" spans="1:9" x14ac:dyDescent="0.3">
      <c r="A1641" s="1">
        <v>46257</v>
      </c>
      <c r="B1641">
        <v>1</v>
      </c>
      <c r="C1641" t="s">
        <v>7733</v>
      </c>
      <c r="D1641" t="s">
        <v>10</v>
      </c>
      <c r="E1641" t="s">
        <v>19</v>
      </c>
      <c r="F1641" t="s">
        <v>20</v>
      </c>
      <c r="G1641" s="16">
        <v>288.07499999999999</v>
      </c>
      <c r="H1641" t="s">
        <v>8</v>
      </c>
      <c r="I1641" s="16">
        <v>250.5</v>
      </c>
    </row>
    <row r="1642" spans="1:9" x14ac:dyDescent="0.3">
      <c r="A1642" s="1">
        <v>46257</v>
      </c>
      <c r="B1642">
        <v>1</v>
      </c>
      <c r="C1642" t="s">
        <v>11059</v>
      </c>
      <c r="D1642" t="s">
        <v>2460</v>
      </c>
      <c r="E1642" t="s">
        <v>1732</v>
      </c>
      <c r="F1642" t="s">
        <v>1733</v>
      </c>
      <c r="G1642" s="16">
        <v>496.8</v>
      </c>
      <c r="H1642" t="s">
        <v>8</v>
      </c>
      <c r="I1642" s="16">
        <v>432</v>
      </c>
    </row>
    <row r="1643" spans="1:9" x14ac:dyDescent="0.3">
      <c r="A1643" s="1">
        <v>46257</v>
      </c>
      <c r="B1643">
        <v>1</v>
      </c>
      <c r="C1643" t="s">
        <v>11232</v>
      </c>
      <c r="D1643" t="s">
        <v>2460</v>
      </c>
      <c r="E1643" t="s">
        <v>185</v>
      </c>
      <c r="F1643" t="s">
        <v>186</v>
      </c>
      <c r="G1643" s="16">
        <v>46</v>
      </c>
      <c r="H1643" t="s">
        <v>8</v>
      </c>
      <c r="I1643" s="16">
        <v>40</v>
      </c>
    </row>
    <row r="1644" spans="1:9" x14ac:dyDescent="0.3">
      <c r="A1644" s="1">
        <v>46257</v>
      </c>
      <c r="B1644">
        <v>1</v>
      </c>
      <c r="C1644" t="s">
        <v>10890</v>
      </c>
      <c r="D1644" t="s">
        <v>2460</v>
      </c>
      <c r="E1644" t="s">
        <v>107</v>
      </c>
      <c r="F1644" t="s">
        <v>3864</v>
      </c>
      <c r="G1644" s="16">
        <v>10510.999</v>
      </c>
      <c r="H1644" t="s">
        <v>8</v>
      </c>
      <c r="I1644" s="16">
        <v>9139.9989999999998</v>
      </c>
    </row>
    <row r="1645" spans="1:9" x14ac:dyDescent="0.3">
      <c r="A1645" s="1">
        <v>46257</v>
      </c>
      <c r="B1645">
        <v>1</v>
      </c>
      <c r="C1645" t="s">
        <v>11157</v>
      </c>
      <c r="D1645" t="s">
        <v>38</v>
      </c>
      <c r="E1645" t="s">
        <v>582</v>
      </c>
      <c r="F1645" t="s">
        <v>583</v>
      </c>
      <c r="G1645" s="16">
        <v>1460.9829999999999</v>
      </c>
      <c r="H1645" t="s">
        <v>8</v>
      </c>
      <c r="I1645" s="16">
        <v>1270.42</v>
      </c>
    </row>
    <row r="1646" spans="1:9" x14ac:dyDescent="0.3">
      <c r="A1646" s="1">
        <v>46257</v>
      </c>
      <c r="B1646">
        <v>1</v>
      </c>
      <c r="C1646" t="s">
        <v>11138</v>
      </c>
      <c r="D1646" t="s">
        <v>10</v>
      </c>
      <c r="E1646" t="s">
        <v>69</v>
      </c>
      <c r="F1646" t="s">
        <v>70</v>
      </c>
      <c r="G1646" s="16">
        <v>2282.451</v>
      </c>
      <c r="H1646" t="s">
        <v>8</v>
      </c>
      <c r="I1646" s="16">
        <v>1984.74</v>
      </c>
    </row>
    <row r="1647" spans="1:9" x14ac:dyDescent="0.3">
      <c r="A1647" s="1">
        <v>46257</v>
      </c>
      <c r="B1647">
        <v>1</v>
      </c>
      <c r="C1647" t="s">
        <v>11144</v>
      </c>
      <c r="D1647" t="s">
        <v>38</v>
      </c>
      <c r="E1647" t="s">
        <v>621</v>
      </c>
      <c r="F1647" t="s">
        <v>11012</v>
      </c>
      <c r="G1647" s="16">
        <v>30.233499999999999</v>
      </c>
      <c r="H1647" t="s">
        <v>8</v>
      </c>
      <c r="I1647" s="16">
        <v>26.29</v>
      </c>
    </row>
    <row r="1648" spans="1:9" x14ac:dyDescent="0.3">
      <c r="A1648" s="1">
        <v>46257</v>
      </c>
      <c r="B1648">
        <v>1</v>
      </c>
      <c r="C1648" t="s">
        <v>10632</v>
      </c>
      <c r="D1648" t="s">
        <v>10</v>
      </c>
      <c r="E1648" t="s">
        <v>621</v>
      </c>
      <c r="F1648" t="s">
        <v>622</v>
      </c>
      <c r="G1648" s="16">
        <v>3230.0853999999999</v>
      </c>
      <c r="H1648" t="s">
        <v>8</v>
      </c>
      <c r="I1648" s="16">
        <v>2808.77</v>
      </c>
    </row>
    <row r="1649" spans="1:9" x14ac:dyDescent="0.3">
      <c r="A1649" s="1">
        <v>46257</v>
      </c>
      <c r="B1649">
        <v>1</v>
      </c>
      <c r="C1649" t="s">
        <v>9755</v>
      </c>
      <c r="D1649" t="s">
        <v>38</v>
      </c>
      <c r="E1649" t="s">
        <v>173</v>
      </c>
      <c r="F1649" t="s">
        <v>174</v>
      </c>
      <c r="G1649" s="16">
        <v>12904.781999999999</v>
      </c>
      <c r="H1649" t="s">
        <v>8</v>
      </c>
      <c r="I1649" s="16">
        <v>11221.55</v>
      </c>
    </row>
    <row r="1650" spans="1:9" x14ac:dyDescent="0.3">
      <c r="A1650" s="1">
        <v>46257</v>
      </c>
      <c r="B1650">
        <v>1</v>
      </c>
      <c r="C1650" t="s">
        <v>11115</v>
      </c>
      <c r="D1650" t="s">
        <v>10</v>
      </c>
      <c r="E1650" t="s">
        <v>776</v>
      </c>
      <c r="F1650" t="s">
        <v>777</v>
      </c>
      <c r="G1650" s="16">
        <v>32.89</v>
      </c>
      <c r="H1650" t="s">
        <v>8</v>
      </c>
      <c r="I1650" s="16">
        <v>28.6</v>
      </c>
    </row>
    <row r="1651" spans="1:9" x14ac:dyDescent="0.3">
      <c r="A1651" s="1">
        <v>46257</v>
      </c>
      <c r="B1651">
        <v>1</v>
      </c>
      <c r="C1651" t="s">
        <v>11147</v>
      </c>
      <c r="D1651" t="s">
        <v>10</v>
      </c>
      <c r="E1651" t="s">
        <v>2315</v>
      </c>
      <c r="F1651" t="s">
        <v>2316</v>
      </c>
      <c r="G1651" s="16">
        <v>90.941999999999993</v>
      </c>
      <c r="H1651" t="s">
        <v>8</v>
      </c>
      <c r="I1651" s="16">
        <v>79.08</v>
      </c>
    </row>
    <row r="1652" spans="1:9" x14ac:dyDescent="0.3">
      <c r="A1652" s="1">
        <v>46258</v>
      </c>
      <c r="B1652">
        <v>0</v>
      </c>
      <c r="C1652" t="s">
        <v>11341</v>
      </c>
      <c r="D1652" t="s">
        <v>10</v>
      </c>
      <c r="E1652" t="s">
        <v>8372</v>
      </c>
      <c r="F1652" t="s">
        <v>8373</v>
      </c>
      <c r="G1652" s="16">
        <v>1277.075</v>
      </c>
      <c r="H1652" t="s">
        <v>8</v>
      </c>
      <c r="I1652" s="16">
        <v>1110.5</v>
      </c>
    </row>
    <row r="1653" spans="1:9" x14ac:dyDescent="0.3">
      <c r="A1653" s="1">
        <v>46258</v>
      </c>
      <c r="B1653">
        <v>0</v>
      </c>
      <c r="C1653" t="s">
        <v>11342</v>
      </c>
      <c r="D1653" t="s">
        <v>10</v>
      </c>
      <c r="E1653" t="s">
        <v>420</v>
      </c>
      <c r="F1653" t="s">
        <v>421</v>
      </c>
      <c r="G1653" s="16">
        <v>393.37779999999998</v>
      </c>
      <c r="H1653" t="s">
        <v>8</v>
      </c>
      <c r="I1653" s="16">
        <v>342.06765999999999</v>
      </c>
    </row>
    <row r="1654" spans="1:9" x14ac:dyDescent="0.3">
      <c r="A1654" s="1">
        <v>46258</v>
      </c>
      <c r="B1654">
        <v>0</v>
      </c>
      <c r="C1654" t="s">
        <v>11032</v>
      </c>
      <c r="D1654" t="s">
        <v>10</v>
      </c>
      <c r="E1654" t="s">
        <v>310</v>
      </c>
      <c r="F1654" t="s">
        <v>311</v>
      </c>
      <c r="G1654" s="16">
        <v>307.76299999999998</v>
      </c>
      <c r="H1654" t="s">
        <v>8</v>
      </c>
      <c r="I1654" s="16">
        <v>267.62</v>
      </c>
    </row>
    <row r="1655" spans="1:9" x14ac:dyDescent="0.3">
      <c r="A1655" s="1">
        <v>46258</v>
      </c>
      <c r="B1655">
        <v>0</v>
      </c>
      <c r="C1655" t="s">
        <v>11343</v>
      </c>
      <c r="D1655" t="s">
        <v>10</v>
      </c>
      <c r="E1655" t="s">
        <v>137</v>
      </c>
      <c r="F1655" t="s">
        <v>138</v>
      </c>
      <c r="G1655" s="16">
        <v>1741.1575</v>
      </c>
      <c r="H1655" t="s">
        <v>8</v>
      </c>
      <c r="I1655" s="16">
        <v>1514.05</v>
      </c>
    </row>
    <row r="1656" spans="1:9" x14ac:dyDescent="0.3">
      <c r="A1656" s="1">
        <v>46258</v>
      </c>
      <c r="B1656">
        <v>0</v>
      </c>
      <c r="C1656" t="s">
        <v>10619</v>
      </c>
      <c r="D1656" t="s">
        <v>10</v>
      </c>
      <c r="E1656" t="s">
        <v>491</v>
      </c>
      <c r="F1656" t="s">
        <v>492</v>
      </c>
      <c r="G1656" s="16">
        <v>956.8</v>
      </c>
      <c r="H1656" t="s">
        <v>8</v>
      </c>
      <c r="I1656" s="16">
        <v>832</v>
      </c>
    </row>
    <row r="1657" spans="1:9" x14ac:dyDescent="0.3">
      <c r="A1657" s="1">
        <v>46258</v>
      </c>
      <c r="B1657">
        <v>0</v>
      </c>
      <c r="C1657" t="s">
        <v>11344</v>
      </c>
      <c r="D1657" t="s">
        <v>10</v>
      </c>
      <c r="E1657" t="s">
        <v>1722</v>
      </c>
      <c r="F1657" t="s">
        <v>1723</v>
      </c>
      <c r="G1657" s="16">
        <v>43.316670000000002</v>
      </c>
      <c r="H1657" t="s">
        <v>8</v>
      </c>
      <c r="I1657" s="16">
        <v>37.666670000000003</v>
      </c>
    </row>
    <row r="1658" spans="1:9" x14ac:dyDescent="0.3">
      <c r="A1658" s="1">
        <v>46258</v>
      </c>
      <c r="B1658">
        <v>0</v>
      </c>
      <c r="C1658" t="s">
        <v>11345</v>
      </c>
      <c r="D1658" t="s">
        <v>2467</v>
      </c>
      <c r="E1658" t="s">
        <v>11093</v>
      </c>
      <c r="F1658" t="s">
        <v>11094</v>
      </c>
      <c r="G1658" s="16">
        <v>16774.175999999999</v>
      </c>
      <c r="H1658" t="s">
        <v>8</v>
      </c>
      <c r="I1658" s="16">
        <v>14586.24</v>
      </c>
    </row>
    <row r="1659" spans="1:9" x14ac:dyDescent="0.3">
      <c r="A1659" s="1">
        <v>46258</v>
      </c>
      <c r="B1659">
        <v>0</v>
      </c>
      <c r="C1659" t="s">
        <v>11346</v>
      </c>
      <c r="D1659" t="s">
        <v>2460</v>
      </c>
      <c r="E1659" t="s">
        <v>302</v>
      </c>
      <c r="F1659" t="s">
        <v>303</v>
      </c>
      <c r="G1659" s="16">
        <v>5299.3609999999999</v>
      </c>
      <c r="H1659" t="s">
        <v>8</v>
      </c>
      <c r="I1659" s="16">
        <v>4608.1396000000004</v>
      </c>
    </row>
    <row r="1660" spans="1:9" x14ac:dyDescent="0.3">
      <c r="A1660" s="1">
        <v>46258</v>
      </c>
      <c r="B1660">
        <v>0</v>
      </c>
      <c r="C1660" t="s">
        <v>11347</v>
      </c>
      <c r="D1660" t="s">
        <v>10</v>
      </c>
      <c r="E1660" t="s">
        <v>502</v>
      </c>
      <c r="F1660" t="s">
        <v>503</v>
      </c>
      <c r="G1660" s="16">
        <v>96.576999999999998</v>
      </c>
      <c r="H1660" t="s">
        <v>8</v>
      </c>
      <c r="I1660" s="16">
        <v>83.98</v>
      </c>
    </row>
    <row r="1661" spans="1:9" x14ac:dyDescent="0.3">
      <c r="A1661" s="1">
        <v>46258</v>
      </c>
      <c r="B1661">
        <v>0</v>
      </c>
      <c r="C1661" t="s">
        <v>11348</v>
      </c>
      <c r="D1661" t="s">
        <v>2460</v>
      </c>
      <c r="E1661" t="s">
        <v>4244</v>
      </c>
      <c r="F1661" t="s">
        <v>4245</v>
      </c>
      <c r="G1661" s="16">
        <v>822.25</v>
      </c>
      <c r="H1661" t="s">
        <v>8</v>
      </c>
      <c r="I1661" s="16">
        <v>715</v>
      </c>
    </row>
    <row r="1662" spans="1:9" x14ac:dyDescent="0.3">
      <c r="A1662" s="1">
        <v>46258</v>
      </c>
      <c r="B1662">
        <v>0</v>
      </c>
      <c r="C1662" t="s">
        <v>11349</v>
      </c>
      <c r="D1662" t="s">
        <v>2460</v>
      </c>
      <c r="E1662" t="s">
        <v>11093</v>
      </c>
      <c r="F1662" t="s">
        <v>11094</v>
      </c>
      <c r="G1662" s="16">
        <v>823.99800000000005</v>
      </c>
      <c r="H1662" t="s">
        <v>8</v>
      </c>
      <c r="I1662" s="16">
        <v>716.52</v>
      </c>
    </row>
    <row r="1663" spans="1:9" x14ac:dyDescent="0.3">
      <c r="A1663" s="1">
        <v>46258</v>
      </c>
      <c r="B1663">
        <v>0</v>
      </c>
      <c r="C1663" t="s">
        <v>11350</v>
      </c>
      <c r="D1663" t="s">
        <v>2460</v>
      </c>
      <c r="E1663" t="s">
        <v>362</v>
      </c>
      <c r="F1663" t="s">
        <v>363</v>
      </c>
      <c r="G1663" s="16">
        <v>673.9</v>
      </c>
      <c r="H1663" t="s">
        <v>8</v>
      </c>
      <c r="I1663" s="16">
        <v>586</v>
      </c>
    </row>
    <row r="1664" spans="1:9" x14ac:dyDescent="0.3">
      <c r="A1664" s="1">
        <v>46258</v>
      </c>
      <c r="B1664">
        <v>0</v>
      </c>
      <c r="C1664" t="s">
        <v>11351</v>
      </c>
      <c r="D1664" t="s">
        <v>2460</v>
      </c>
      <c r="E1664" t="s">
        <v>2332</v>
      </c>
      <c r="F1664" t="s">
        <v>2333</v>
      </c>
      <c r="G1664" s="16">
        <v>2654.0735</v>
      </c>
      <c r="H1664" t="s">
        <v>8</v>
      </c>
      <c r="I1664" s="16">
        <v>2307.89</v>
      </c>
    </row>
    <row r="1665" spans="1:9" x14ac:dyDescent="0.3">
      <c r="A1665" s="1">
        <v>46258</v>
      </c>
      <c r="B1665">
        <v>0</v>
      </c>
      <c r="C1665" t="s">
        <v>11352</v>
      </c>
      <c r="D1665" t="s">
        <v>38</v>
      </c>
      <c r="E1665" t="s">
        <v>154</v>
      </c>
      <c r="F1665" t="s">
        <v>155</v>
      </c>
      <c r="G1665" s="16">
        <v>1150.45</v>
      </c>
      <c r="H1665" t="s">
        <v>8</v>
      </c>
      <c r="I1665" s="16">
        <v>1000.39124</v>
      </c>
    </row>
    <row r="1666" spans="1:9" x14ac:dyDescent="0.3">
      <c r="A1666" s="1">
        <v>46258</v>
      </c>
      <c r="B1666">
        <v>0</v>
      </c>
      <c r="C1666" t="s">
        <v>11006</v>
      </c>
      <c r="D1666" t="s">
        <v>10</v>
      </c>
      <c r="E1666" t="s">
        <v>2431</v>
      </c>
      <c r="F1666" t="s">
        <v>2432</v>
      </c>
      <c r="G1666" s="16">
        <v>253</v>
      </c>
      <c r="H1666" t="s">
        <v>8</v>
      </c>
      <c r="I1666" s="16">
        <v>220</v>
      </c>
    </row>
    <row r="1667" spans="1:9" x14ac:dyDescent="0.3">
      <c r="A1667" s="1">
        <v>46258</v>
      </c>
      <c r="B1667">
        <v>0</v>
      </c>
      <c r="C1667" t="s">
        <v>11353</v>
      </c>
      <c r="D1667" t="s">
        <v>169</v>
      </c>
      <c r="E1667" t="s">
        <v>2468</v>
      </c>
      <c r="F1667" t="s">
        <v>2469</v>
      </c>
      <c r="G1667" s="16">
        <v>29.9</v>
      </c>
      <c r="H1667" t="s">
        <v>8</v>
      </c>
      <c r="I1667" s="16">
        <v>26</v>
      </c>
    </row>
    <row r="1668" spans="1:9" x14ac:dyDescent="0.3">
      <c r="A1668" s="1">
        <v>46258</v>
      </c>
      <c r="B1668">
        <v>0</v>
      </c>
      <c r="C1668" t="s">
        <v>11354</v>
      </c>
      <c r="D1668" t="s">
        <v>38</v>
      </c>
      <c r="E1668" t="s">
        <v>941</v>
      </c>
      <c r="F1668" t="s">
        <v>942</v>
      </c>
      <c r="G1668" s="16">
        <v>952.00450000000001</v>
      </c>
      <c r="H1668" t="s">
        <v>8</v>
      </c>
      <c r="I1668" s="16">
        <v>827.83</v>
      </c>
    </row>
    <row r="1669" spans="1:9" x14ac:dyDescent="0.3">
      <c r="A1669" s="1">
        <v>46258</v>
      </c>
      <c r="B1669">
        <v>0</v>
      </c>
      <c r="C1669" t="s">
        <v>11355</v>
      </c>
      <c r="D1669" t="s">
        <v>2467</v>
      </c>
      <c r="E1669" t="s">
        <v>11270</v>
      </c>
      <c r="F1669" t="s">
        <v>11271</v>
      </c>
      <c r="G1669" s="16">
        <v>452.81700000000001</v>
      </c>
      <c r="H1669" t="s">
        <v>8</v>
      </c>
      <c r="I1669" s="16">
        <v>452.81700000000001</v>
      </c>
    </row>
    <row r="1670" spans="1:9" x14ac:dyDescent="0.3">
      <c r="A1670" s="1">
        <v>46258</v>
      </c>
      <c r="B1670">
        <v>0</v>
      </c>
      <c r="C1670" t="s">
        <v>11356</v>
      </c>
      <c r="D1670" t="s">
        <v>169</v>
      </c>
      <c r="E1670" t="s">
        <v>65</v>
      </c>
      <c r="F1670" t="s">
        <v>66</v>
      </c>
      <c r="G1670" s="16">
        <v>96.668999999999997</v>
      </c>
      <c r="H1670" t="s">
        <v>8</v>
      </c>
      <c r="I1670" s="16">
        <v>84.06</v>
      </c>
    </row>
    <row r="1671" spans="1:9" x14ac:dyDescent="0.3">
      <c r="A1671" s="1">
        <v>46258</v>
      </c>
      <c r="B1671">
        <v>0</v>
      </c>
      <c r="C1671" t="s">
        <v>10544</v>
      </c>
      <c r="D1671" t="s">
        <v>10</v>
      </c>
      <c r="E1671" t="s">
        <v>423</v>
      </c>
      <c r="F1671" t="s">
        <v>424</v>
      </c>
      <c r="G1671" s="16">
        <v>857.52049999999997</v>
      </c>
      <c r="H1671" t="s">
        <v>8</v>
      </c>
      <c r="I1671" s="16">
        <v>745.67</v>
      </c>
    </row>
    <row r="1672" spans="1:9" x14ac:dyDescent="0.3">
      <c r="A1672" s="1">
        <v>46258</v>
      </c>
      <c r="B1672">
        <v>0</v>
      </c>
      <c r="C1672" t="s">
        <v>11357</v>
      </c>
      <c r="D1672" t="s">
        <v>10</v>
      </c>
      <c r="E1672" t="s">
        <v>634</v>
      </c>
      <c r="F1672" t="s">
        <v>659</v>
      </c>
      <c r="G1672" s="16">
        <v>84.340999999999994</v>
      </c>
      <c r="H1672" t="s">
        <v>8</v>
      </c>
      <c r="I1672" s="16">
        <v>73.34</v>
      </c>
    </row>
    <row r="1673" spans="1:9" x14ac:dyDescent="0.3">
      <c r="A1673" s="1">
        <v>46258</v>
      </c>
      <c r="B1673">
        <v>0</v>
      </c>
      <c r="C1673" t="s">
        <v>11358</v>
      </c>
      <c r="D1673" t="s">
        <v>2460</v>
      </c>
      <c r="E1673" t="s">
        <v>11093</v>
      </c>
      <c r="F1673" t="s">
        <v>11094</v>
      </c>
      <c r="G1673" s="16">
        <v>1242.6787999999999</v>
      </c>
      <c r="H1673" t="s">
        <v>8</v>
      </c>
      <c r="I1673" s="16">
        <v>1080.5903000000001</v>
      </c>
    </row>
    <row r="1674" spans="1:9" x14ac:dyDescent="0.3">
      <c r="A1674" s="1">
        <v>46258</v>
      </c>
      <c r="B1674">
        <v>0</v>
      </c>
      <c r="C1674" t="s">
        <v>11359</v>
      </c>
      <c r="D1674" t="s">
        <v>10</v>
      </c>
      <c r="E1674" t="s">
        <v>837</v>
      </c>
      <c r="F1674" t="s">
        <v>838</v>
      </c>
      <c r="G1674" s="16">
        <v>4748.5420000000004</v>
      </c>
      <c r="H1674" t="s">
        <v>8</v>
      </c>
      <c r="I1674" s="16">
        <v>4129.1670000000004</v>
      </c>
    </row>
    <row r="1675" spans="1:9" x14ac:dyDescent="0.3">
      <c r="A1675" s="1">
        <v>46258</v>
      </c>
      <c r="B1675">
        <v>0</v>
      </c>
      <c r="C1675" t="s">
        <v>11360</v>
      </c>
      <c r="D1675" t="s">
        <v>38</v>
      </c>
      <c r="E1675" t="s">
        <v>618</v>
      </c>
      <c r="F1675" t="s">
        <v>6379</v>
      </c>
      <c r="G1675" s="16">
        <v>299.36367999999999</v>
      </c>
      <c r="H1675" t="s">
        <v>8</v>
      </c>
      <c r="I1675" s="16">
        <v>299.36367999999999</v>
      </c>
    </row>
    <row r="1676" spans="1:9" x14ac:dyDescent="0.3">
      <c r="A1676" s="1">
        <v>46258</v>
      </c>
      <c r="B1676">
        <v>0</v>
      </c>
      <c r="C1676" t="s">
        <v>11361</v>
      </c>
      <c r="D1676" t="s">
        <v>2460</v>
      </c>
      <c r="E1676" t="s">
        <v>51</v>
      </c>
      <c r="F1676" t="s">
        <v>52</v>
      </c>
      <c r="G1676" s="16">
        <v>299.17250000000001</v>
      </c>
      <c r="H1676" t="s">
        <v>8</v>
      </c>
      <c r="I1676" s="16">
        <v>260.14999999999998</v>
      </c>
    </row>
    <row r="1677" spans="1:9" x14ac:dyDescent="0.3">
      <c r="A1677" s="1">
        <v>46258</v>
      </c>
      <c r="B1677">
        <v>0</v>
      </c>
      <c r="C1677" t="s">
        <v>11362</v>
      </c>
      <c r="D1677" t="s">
        <v>10</v>
      </c>
      <c r="E1677" t="s">
        <v>199</v>
      </c>
      <c r="F1677" t="s">
        <v>200</v>
      </c>
      <c r="G1677" s="16">
        <v>345</v>
      </c>
      <c r="H1677" t="s">
        <v>8</v>
      </c>
      <c r="I1677" s="16">
        <v>300</v>
      </c>
    </row>
    <row r="1678" spans="1:9" x14ac:dyDescent="0.3">
      <c r="A1678" s="1">
        <v>46258</v>
      </c>
      <c r="B1678">
        <v>0</v>
      </c>
      <c r="C1678" t="s">
        <v>11363</v>
      </c>
      <c r="D1678" t="s">
        <v>10</v>
      </c>
      <c r="E1678" t="s">
        <v>133</v>
      </c>
      <c r="F1678" t="s">
        <v>134</v>
      </c>
      <c r="G1678" s="16">
        <v>164.26599999999999</v>
      </c>
      <c r="H1678" t="s">
        <v>8</v>
      </c>
      <c r="I1678" s="16">
        <v>142.84</v>
      </c>
    </row>
    <row r="1679" spans="1:9" x14ac:dyDescent="0.3">
      <c r="A1679" s="1">
        <v>46258</v>
      </c>
      <c r="B1679">
        <v>0</v>
      </c>
      <c r="C1679" t="s">
        <v>11364</v>
      </c>
      <c r="D1679" t="s">
        <v>2460</v>
      </c>
      <c r="E1679" t="s">
        <v>201</v>
      </c>
      <c r="F1679" t="s">
        <v>202</v>
      </c>
      <c r="G1679" s="16">
        <v>2546.1464999999998</v>
      </c>
      <c r="H1679" t="s">
        <v>8</v>
      </c>
      <c r="I1679" s="16">
        <v>2214.0403000000001</v>
      </c>
    </row>
    <row r="1680" spans="1:9" x14ac:dyDescent="0.3">
      <c r="A1680" s="1">
        <v>46258</v>
      </c>
      <c r="B1680">
        <v>0</v>
      </c>
      <c r="C1680" t="s">
        <v>11365</v>
      </c>
      <c r="D1680" t="s">
        <v>2460</v>
      </c>
      <c r="E1680" t="s">
        <v>1915</v>
      </c>
      <c r="F1680" t="s">
        <v>3229</v>
      </c>
      <c r="G1680" s="16">
        <v>342.35500000000002</v>
      </c>
      <c r="H1680" t="s">
        <v>8</v>
      </c>
      <c r="I1680" s="16">
        <v>297.7</v>
      </c>
    </row>
    <row r="1681" spans="1:9" x14ac:dyDescent="0.3">
      <c r="A1681" s="1">
        <v>46258</v>
      </c>
      <c r="B1681">
        <v>0</v>
      </c>
      <c r="C1681" t="s">
        <v>9518</v>
      </c>
      <c r="D1681" t="s">
        <v>10</v>
      </c>
      <c r="E1681" t="s">
        <v>781</v>
      </c>
      <c r="F1681" t="s">
        <v>782</v>
      </c>
      <c r="G1681" s="16">
        <v>102.35</v>
      </c>
      <c r="H1681" t="s">
        <v>8</v>
      </c>
      <c r="I1681" s="16">
        <v>89</v>
      </c>
    </row>
    <row r="1682" spans="1:9" x14ac:dyDescent="0.3">
      <c r="A1682" s="1">
        <v>46258</v>
      </c>
      <c r="B1682">
        <v>0</v>
      </c>
      <c r="C1682" t="s">
        <v>11366</v>
      </c>
      <c r="D1682" t="s">
        <v>10</v>
      </c>
      <c r="E1682" t="s">
        <v>51</v>
      </c>
      <c r="F1682" t="s">
        <v>52</v>
      </c>
      <c r="G1682" s="16">
        <v>376.67099999999999</v>
      </c>
      <c r="H1682" t="s">
        <v>8</v>
      </c>
      <c r="I1682" s="16">
        <v>327.54000000000002</v>
      </c>
    </row>
    <row r="1683" spans="1:9" x14ac:dyDescent="0.3">
      <c r="A1683" s="1">
        <v>46258</v>
      </c>
      <c r="B1683">
        <v>0</v>
      </c>
      <c r="C1683" t="s">
        <v>11367</v>
      </c>
      <c r="D1683" t="s">
        <v>169</v>
      </c>
      <c r="E1683" t="s">
        <v>356</v>
      </c>
      <c r="F1683" t="s">
        <v>357</v>
      </c>
      <c r="G1683" s="16">
        <v>11.97917</v>
      </c>
      <c r="H1683" t="s">
        <v>8</v>
      </c>
      <c r="I1683" s="16">
        <v>10.41667</v>
      </c>
    </row>
    <row r="1684" spans="1:9" x14ac:dyDescent="0.3">
      <c r="A1684" s="1">
        <v>46258</v>
      </c>
      <c r="B1684">
        <v>0</v>
      </c>
      <c r="C1684" t="s">
        <v>11368</v>
      </c>
      <c r="D1684" t="s">
        <v>2460</v>
      </c>
      <c r="E1684" t="s">
        <v>9050</v>
      </c>
      <c r="F1684" t="s">
        <v>9258</v>
      </c>
      <c r="G1684" s="16">
        <v>202.00896</v>
      </c>
      <c r="H1684" t="s">
        <v>8</v>
      </c>
      <c r="I1684" s="16">
        <v>175.65996000000001</v>
      </c>
    </row>
    <row r="1685" spans="1:9" x14ac:dyDescent="0.3">
      <c r="A1685" s="1">
        <v>46258</v>
      </c>
      <c r="B1685">
        <v>0</v>
      </c>
      <c r="C1685" t="s">
        <v>11369</v>
      </c>
      <c r="D1685" t="s">
        <v>10</v>
      </c>
      <c r="E1685" t="s">
        <v>7131</v>
      </c>
      <c r="F1685" t="s">
        <v>7132</v>
      </c>
      <c r="G1685" s="16">
        <v>7426.93</v>
      </c>
      <c r="H1685" t="s">
        <v>8</v>
      </c>
      <c r="I1685" s="16">
        <v>6458.2</v>
      </c>
    </row>
    <row r="1686" spans="1:9" x14ac:dyDescent="0.3">
      <c r="A1686" s="1">
        <v>46258</v>
      </c>
      <c r="B1686">
        <v>0</v>
      </c>
      <c r="C1686" t="s">
        <v>11370</v>
      </c>
      <c r="D1686" t="s">
        <v>10</v>
      </c>
      <c r="E1686" t="s">
        <v>839</v>
      </c>
      <c r="F1686" t="s">
        <v>840</v>
      </c>
      <c r="G1686" s="16">
        <v>423.2</v>
      </c>
      <c r="H1686" t="s">
        <v>8</v>
      </c>
      <c r="I1686" s="16">
        <v>368</v>
      </c>
    </row>
    <row r="1687" spans="1:9" x14ac:dyDescent="0.3">
      <c r="A1687" s="1">
        <v>46258</v>
      </c>
      <c r="B1687">
        <v>0</v>
      </c>
      <c r="C1687" t="s">
        <v>11371</v>
      </c>
      <c r="D1687" t="s">
        <v>10</v>
      </c>
      <c r="E1687" t="s">
        <v>2311</v>
      </c>
      <c r="F1687" t="s">
        <v>2312</v>
      </c>
      <c r="G1687" s="16">
        <v>32.25</v>
      </c>
      <c r="H1687" t="s">
        <v>8</v>
      </c>
      <c r="I1687" s="16">
        <v>28.043479999999999</v>
      </c>
    </row>
    <row r="1688" spans="1:9" x14ac:dyDescent="0.3">
      <c r="A1688" s="1">
        <v>46258</v>
      </c>
      <c r="B1688">
        <v>0</v>
      </c>
      <c r="C1688" t="s">
        <v>11372</v>
      </c>
      <c r="D1688" t="s">
        <v>169</v>
      </c>
      <c r="E1688" t="s">
        <v>6373</v>
      </c>
      <c r="F1688" t="s">
        <v>6374</v>
      </c>
      <c r="G1688" s="16">
        <v>122.3485</v>
      </c>
      <c r="H1688" t="s">
        <v>8</v>
      </c>
      <c r="I1688" s="16">
        <v>106.39</v>
      </c>
    </row>
    <row r="1689" spans="1:9" x14ac:dyDescent="0.3">
      <c r="A1689" s="1">
        <v>46258</v>
      </c>
      <c r="B1689">
        <v>0</v>
      </c>
      <c r="C1689" t="s">
        <v>9985</v>
      </c>
      <c r="D1689" t="s">
        <v>10</v>
      </c>
      <c r="E1689" t="s">
        <v>2431</v>
      </c>
      <c r="F1689" t="s">
        <v>2432</v>
      </c>
      <c r="G1689" s="16">
        <v>12.65</v>
      </c>
      <c r="H1689" t="s">
        <v>8</v>
      </c>
      <c r="I1689" s="16">
        <v>11</v>
      </c>
    </row>
    <row r="1690" spans="1:9" x14ac:dyDescent="0.3">
      <c r="A1690" s="1">
        <v>46258</v>
      </c>
      <c r="B1690">
        <v>0</v>
      </c>
      <c r="C1690" t="s">
        <v>11373</v>
      </c>
      <c r="D1690" t="s">
        <v>10</v>
      </c>
      <c r="E1690" t="s">
        <v>704</v>
      </c>
      <c r="F1690" t="s">
        <v>705</v>
      </c>
      <c r="G1690" s="16">
        <v>333.30450000000002</v>
      </c>
      <c r="H1690" t="s">
        <v>8</v>
      </c>
      <c r="I1690" s="16">
        <v>289.83</v>
      </c>
    </row>
    <row r="1691" spans="1:9" x14ac:dyDescent="0.3">
      <c r="A1691" s="1">
        <v>46258</v>
      </c>
      <c r="B1691">
        <v>0</v>
      </c>
      <c r="C1691" t="s">
        <v>11374</v>
      </c>
      <c r="D1691" t="s">
        <v>38</v>
      </c>
      <c r="E1691" t="s">
        <v>886</v>
      </c>
      <c r="F1691" t="s">
        <v>887</v>
      </c>
      <c r="G1691" s="16">
        <v>10162.653</v>
      </c>
      <c r="H1691" t="s">
        <v>8</v>
      </c>
      <c r="I1691" s="16">
        <v>8837.09</v>
      </c>
    </row>
    <row r="1692" spans="1:9" x14ac:dyDescent="0.3">
      <c r="A1692" s="1">
        <v>46258</v>
      </c>
      <c r="B1692">
        <v>0</v>
      </c>
      <c r="C1692" t="s">
        <v>11375</v>
      </c>
      <c r="D1692" t="s">
        <v>2460</v>
      </c>
      <c r="E1692" t="s">
        <v>148</v>
      </c>
      <c r="F1692" t="s">
        <v>149</v>
      </c>
      <c r="G1692" s="16">
        <v>23103.48</v>
      </c>
      <c r="H1692" t="s">
        <v>8</v>
      </c>
      <c r="I1692" s="16">
        <v>20089.984</v>
      </c>
    </row>
    <row r="1693" spans="1:9" x14ac:dyDescent="0.3">
      <c r="A1693" s="1">
        <v>46258</v>
      </c>
      <c r="B1693">
        <v>0</v>
      </c>
      <c r="C1693" t="s">
        <v>11376</v>
      </c>
      <c r="D1693" t="s">
        <v>10</v>
      </c>
      <c r="E1693" t="s">
        <v>1279</v>
      </c>
      <c r="F1693" t="s">
        <v>1280</v>
      </c>
      <c r="G1693" s="16">
        <v>179.4</v>
      </c>
      <c r="H1693" t="s">
        <v>8</v>
      </c>
      <c r="I1693" s="16">
        <v>156</v>
      </c>
    </row>
    <row r="1694" spans="1:9" x14ac:dyDescent="0.3">
      <c r="A1694" s="1">
        <v>46258</v>
      </c>
      <c r="B1694">
        <v>0</v>
      </c>
      <c r="C1694" t="s">
        <v>11377</v>
      </c>
      <c r="D1694" t="s">
        <v>169</v>
      </c>
      <c r="E1694" t="s">
        <v>135</v>
      </c>
      <c r="F1694" t="s">
        <v>136</v>
      </c>
      <c r="G1694" s="16">
        <v>23</v>
      </c>
      <c r="H1694" t="s">
        <v>8</v>
      </c>
      <c r="I1694" s="16">
        <v>20</v>
      </c>
    </row>
    <row r="1695" spans="1:9" x14ac:dyDescent="0.3">
      <c r="A1695" s="1">
        <v>46258</v>
      </c>
      <c r="B1695">
        <v>0</v>
      </c>
      <c r="C1695" t="s">
        <v>11378</v>
      </c>
      <c r="D1695" t="s">
        <v>38</v>
      </c>
      <c r="E1695" t="s">
        <v>204</v>
      </c>
      <c r="F1695" t="s">
        <v>205</v>
      </c>
      <c r="G1695" s="16">
        <v>1106.9595999999999</v>
      </c>
      <c r="H1695" t="s">
        <v>8</v>
      </c>
      <c r="I1695" s="16">
        <v>962.57349999999997</v>
      </c>
    </row>
    <row r="1696" spans="1:9" x14ac:dyDescent="0.3">
      <c r="A1696" s="1">
        <v>46258</v>
      </c>
      <c r="B1696">
        <v>0</v>
      </c>
      <c r="C1696" t="s">
        <v>11379</v>
      </c>
      <c r="D1696" t="s">
        <v>169</v>
      </c>
      <c r="E1696" t="s">
        <v>773</v>
      </c>
      <c r="F1696" t="s">
        <v>774</v>
      </c>
      <c r="G1696" s="16">
        <v>105.74999</v>
      </c>
      <c r="H1696" t="s">
        <v>8</v>
      </c>
      <c r="I1696" s="16">
        <v>91.956509999999994</v>
      </c>
    </row>
    <row r="1697" spans="1:9" x14ac:dyDescent="0.3">
      <c r="A1697" s="1">
        <v>46258</v>
      </c>
      <c r="B1697">
        <v>0</v>
      </c>
      <c r="C1697" t="s">
        <v>11380</v>
      </c>
      <c r="D1697" t="s">
        <v>169</v>
      </c>
      <c r="E1697" t="s">
        <v>11255</v>
      </c>
      <c r="F1697" t="s">
        <v>11256</v>
      </c>
      <c r="G1697" s="16">
        <v>5.75</v>
      </c>
      <c r="H1697" t="s">
        <v>8</v>
      </c>
      <c r="I1697" s="16">
        <v>5</v>
      </c>
    </row>
    <row r="1698" spans="1:9" x14ac:dyDescent="0.3">
      <c r="A1698" s="1">
        <v>46258</v>
      </c>
      <c r="B1698">
        <v>0</v>
      </c>
      <c r="C1698" t="s">
        <v>11381</v>
      </c>
      <c r="D1698" t="s">
        <v>38</v>
      </c>
      <c r="E1698" t="s">
        <v>43</v>
      </c>
      <c r="F1698" t="s">
        <v>44</v>
      </c>
      <c r="G1698" s="16">
        <v>3450.9313999999999</v>
      </c>
      <c r="H1698" t="s">
        <v>8</v>
      </c>
      <c r="I1698" s="16">
        <v>3000.81</v>
      </c>
    </row>
    <row r="1699" spans="1:9" x14ac:dyDescent="0.3">
      <c r="A1699" s="1">
        <v>46258</v>
      </c>
      <c r="B1699">
        <v>0</v>
      </c>
      <c r="C1699" t="s">
        <v>11382</v>
      </c>
      <c r="D1699" t="s">
        <v>2460</v>
      </c>
      <c r="E1699" t="s">
        <v>632</v>
      </c>
      <c r="F1699" t="s">
        <v>682</v>
      </c>
      <c r="G1699" s="16">
        <v>8.0500000000000007</v>
      </c>
      <c r="H1699" t="s">
        <v>8</v>
      </c>
      <c r="I1699" s="16">
        <v>7</v>
      </c>
    </row>
    <row r="1700" spans="1:9" x14ac:dyDescent="0.3">
      <c r="A1700" s="1">
        <v>46258</v>
      </c>
      <c r="B1700">
        <v>0</v>
      </c>
      <c r="C1700" t="s">
        <v>10691</v>
      </c>
      <c r="D1700" t="s">
        <v>10</v>
      </c>
      <c r="E1700" t="s">
        <v>3777</v>
      </c>
      <c r="F1700" t="s">
        <v>3778</v>
      </c>
      <c r="G1700" s="16">
        <v>287.61500000000001</v>
      </c>
      <c r="H1700" t="s">
        <v>8</v>
      </c>
      <c r="I1700" s="16">
        <v>250.1</v>
      </c>
    </row>
    <row r="1701" spans="1:9" x14ac:dyDescent="0.3">
      <c r="A1701" s="1">
        <v>46258</v>
      </c>
      <c r="B1701">
        <v>0</v>
      </c>
      <c r="C1701" t="s">
        <v>11383</v>
      </c>
      <c r="D1701" t="s">
        <v>169</v>
      </c>
      <c r="E1701" t="s">
        <v>75</v>
      </c>
      <c r="F1701" t="s">
        <v>76</v>
      </c>
      <c r="G1701" s="16">
        <v>399.07873999999998</v>
      </c>
      <c r="H1701" t="s">
        <v>8</v>
      </c>
      <c r="I1701" s="16">
        <v>347.02499999999998</v>
      </c>
    </row>
    <row r="1702" spans="1:9" x14ac:dyDescent="0.3">
      <c r="A1702" s="1">
        <v>46258</v>
      </c>
      <c r="B1702">
        <v>0</v>
      </c>
      <c r="C1702" t="s">
        <v>11384</v>
      </c>
      <c r="D1702" t="s">
        <v>169</v>
      </c>
      <c r="E1702" t="s">
        <v>11385</v>
      </c>
      <c r="F1702" t="s">
        <v>11386</v>
      </c>
      <c r="G1702" s="16">
        <v>24.15</v>
      </c>
      <c r="H1702" t="s">
        <v>8</v>
      </c>
      <c r="I1702" s="16">
        <v>21</v>
      </c>
    </row>
    <row r="1703" spans="1:9" x14ac:dyDescent="0.3">
      <c r="A1703" s="1">
        <v>46258</v>
      </c>
      <c r="B1703">
        <v>0</v>
      </c>
      <c r="C1703" t="s">
        <v>11387</v>
      </c>
      <c r="D1703" t="s">
        <v>2463</v>
      </c>
      <c r="E1703" t="s">
        <v>802</v>
      </c>
      <c r="F1703" t="s">
        <v>2331</v>
      </c>
      <c r="G1703" s="16">
        <v>1445.8030000000001</v>
      </c>
      <c r="H1703" t="s">
        <v>8</v>
      </c>
      <c r="I1703" s="16">
        <v>1257.22</v>
      </c>
    </row>
    <row r="1704" spans="1:9" x14ac:dyDescent="0.3">
      <c r="A1704" s="1">
        <v>46258</v>
      </c>
      <c r="B1704">
        <v>0</v>
      </c>
      <c r="C1704" t="s">
        <v>10129</v>
      </c>
      <c r="D1704" t="s">
        <v>38</v>
      </c>
      <c r="E1704" t="s">
        <v>1643</v>
      </c>
      <c r="F1704" t="s">
        <v>1644</v>
      </c>
      <c r="G1704" s="16">
        <v>7605.5190000000002</v>
      </c>
      <c r="H1704" t="s">
        <v>8</v>
      </c>
      <c r="I1704" s="16">
        <v>6613.4949999999999</v>
      </c>
    </row>
    <row r="1705" spans="1:9" x14ac:dyDescent="0.3">
      <c r="A1705" s="1">
        <v>46258</v>
      </c>
      <c r="B1705">
        <v>0</v>
      </c>
      <c r="C1705" t="s">
        <v>9784</v>
      </c>
      <c r="D1705" t="s">
        <v>10</v>
      </c>
      <c r="E1705" t="s">
        <v>877</v>
      </c>
      <c r="F1705" t="s">
        <v>2343</v>
      </c>
      <c r="G1705" s="16">
        <v>78.2</v>
      </c>
      <c r="H1705" t="s">
        <v>8</v>
      </c>
      <c r="I1705" s="16">
        <v>68</v>
      </c>
    </row>
    <row r="1706" spans="1:9" x14ac:dyDescent="0.3">
      <c r="A1706" s="1">
        <v>46258</v>
      </c>
      <c r="B1706">
        <v>0</v>
      </c>
      <c r="C1706" t="s">
        <v>11388</v>
      </c>
      <c r="D1706" t="s">
        <v>2460</v>
      </c>
      <c r="E1706" t="s">
        <v>11093</v>
      </c>
      <c r="F1706" t="s">
        <v>11094</v>
      </c>
      <c r="G1706" s="16">
        <v>790.53290000000004</v>
      </c>
      <c r="H1706" t="s">
        <v>8</v>
      </c>
      <c r="I1706" s="16">
        <v>687.41989999999998</v>
      </c>
    </row>
    <row r="1707" spans="1:9" x14ac:dyDescent="0.3">
      <c r="A1707" s="1">
        <v>46258</v>
      </c>
      <c r="B1707">
        <v>0</v>
      </c>
      <c r="C1707" t="s">
        <v>4953</v>
      </c>
      <c r="D1707" t="s">
        <v>10</v>
      </c>
      <c r="E1707" t="s">
        <v>162</v>
      </c>
      <c r="F1707" t="s">
        <v>163</v>
      </c>
      <c r="G1707" s="16">
        <v>714.17790000000002</v>
      </c>
      <c r="H1707" t="s">
        <v>8</v>
      </c>
      <c r="I1707" s="16">
        <v>621.02422999999999</v>
      </c>
    </row>
    <row r="1708" spans="1:9" x14ac:dyDescent="0.3">
      <c r="A1708" s="1">
        <v>46258</v>
      </c>
      <c r="B1708">
        <v>0</v>
      </c>
      <c r="C1708" t="s">
        <v>11389</v>
      </c>
      <c r="D1708" t="s">
        <v>2460</v>
      </c>
      <c r="E1708" t="s">
        <v>5256</v>
      </c>
      <c r="F1708" t="s">
        <v>5257</v>
      </c>
      <c r="G1708" s="16">
        <v>27307.048999999999</v>
      </c>
      <c r="H1708" t="s">
        <v>8</v>
      </c>
      <c r="I1708" s="16">
        <v>23745.26</v>
      </c>
    </row>
    <row r="1709" spans="1:9" x14ac:dyDescent="0.3">
      <c r="A1709" s="1">
        <v>46258</v>
      </c>
      <c r="B1709">
        <v>0</v>
      </c>
      <c r="C1709" t="s">
        <v>11390</v>
      </c>
      <c r="D1709" t="s">
        <v>10</v>
      </c>
      <c r="E1709" t="s">
        <v>1593</v>
      </c>
      <c r="F1709" t="s">
        <v>1594</v>
      </c>
      <c r="G1709" s="16">
        <v>35.362499999999997</v>
      </c>
      <c r="H1709" t="s">
        <v>8</v>
      </c>
      <c r="I1709" s="16">
        <v>30.75</v>
      </c>
    </row>
    <row r="1710" spans="1:9" x14ac:dyDescent="0.3">
      <c r="A1710" s="1">
        <v>46258</v>
      </c>
      <c r="B1710">
        <v>0</v>
      </c>
      <c r="C1710" t="s">
        <v>10633</v>
      </c>
      <c r="D1710" t="s">
        <v>10</v>
      </c>
      <c r="E1710" t="s">
        <v>877</v>
      </c>
      <c r="F1710" t="s">
        <v>2343</v>
      </c>
      <c r="G1710" s="16">
        <v>109.48</v>
      </c>
      <c r="H1710" t="s">
        <v>8</v>
      </c>
      <c r="I1710" s="16">
        <v>95.2</v>
      </c>
    </row>
    <row r="1711" spans="1:9" x14ac:dyDescent="0.3">
      <c r="A1711" s="1">
        <v>46258</v>
      </c>
      <c r="B1711">
        <v>0</v>
      </c>
      <c r="C1711" t="s">
        <v>11391</v>
      </c>
      <c r="D1711" t="s">
        <v>38</v>
      </c>
      <c r="E1711" t="s">
        <v>598</v>
      </c>
      <c r="F1711" t="s">
        <v>9088</v>
      </c>
      <c r="G1711" s="16">
        <v>1962.1368</v>
      </c>
      <c r="H1711" t="s">
        <v>8</v>
      </c>
      <c r="I1711" s="16">
        <v>1706.2059999999999</v>
      </c>
    </row>
    <row r="1712" spans="1:9" x14ac:dyDescent="0.3">
      <c r="A1712" s="1">
        <v>46258</v>
      </c>
      <c r="B1712">
        <v>0</v>
      </c>
      <c r="C1712" t="s">
        <v>11392</v>
      </c>
      <c r="D1712" t="s">
        <v>10</v>
      </c>
      <c r="E1712" t="s">
        <v>67</v>
      </c>
      <c r="F1712" t="s">
        <v>68</v>
      </c>
      <c r="G1712" s="16">
        <v>5041.0844999999999</v>
      </c>
      <c r="H1712" t="s">
        <v>8</v>
      </c>
      <c r="I1712" s="16">
        <v>4383.5519999999997</v>
      </c>
    </row>
    <row r="1713" spans="1:9" x14ac:dyDescent="0.3">
      <c r="A1713" s="1">
        <v>46258</v>
      </c>
      <c r="B1713">
        <v>0</v>
      </c>
      <c r="C1713" t="s">
        <v>11393</v>
      </c>
      <c r="D1713" t="s">
        <v>10</v>
      </c>
      <c r="E1713" t="s">
        <v>502</v>
      </c>
      <c r="F1713" t="s">
        <v>503</v>
      </c>
      <c r="G1713" s="16">
        <v>172.04</v>
      </c>
      <c r="H1713" t="s">
        <v>8</v>
      </c>
      <c r="I1713" s="16">
        <v>149.6</v>
      </c>
    </row>
    <row r="1714" spans="1:9" x14ac:dyDescent="0.3">
      <c r="A1714" s="1">
        <v>46258</v>
      </c>
      <c r="B1714">
        <v>0</v>
      </c>
      <c r="C1714" t="s">
        <v>11394</v>
      </c>
      <c r="D1714" t="s">
        <v>38</v>
      </c>
      <c r="E1714" t="s">
        <v>401</v>
      </c>
      <c r="F1714" t="s">
        <v>402</v>
      </c>
      <c r="G1714" s="16">
        <v>9522</v>
      </c>
      <c r="H1714" t="s">
        <v>8</v>
      </c>
      <c r="I1714" s="16">
        <v>8280</v>
      </c>
    </row>
    <row r="1715" spans="1:9" x14ac:dyDescent="0.3">
      <c r="A1715" s="1">
        <v>46258</v>
      </c>
      <c r="B1715">
        <v>0</v>
      </c>
      <c r="C1715" t="s">
        <v>8207</v>
      </c>
      <c r="D1715" t="s">
        <v>10</v>
      </c>
      <c r="E1715" t="s">
        <v>162</v>
      </c>
      <c r="F1715" t="s">
        <v>163</v>
      </c>
      <c r="G1715" s="16">
        <v>28.349029999999999</v>
      </c>
      <c r="H1715" t="s">
        <v>8</v>
      </c>
      <c r="I1715" s="16">
        <v>24.651330000000002</v>
      </c>
    </row>
    <row r="1716" spans="1:9" x14ac:dyDescent="0.3">
      <c r="A1716" s="1">
        <v>46258</v>
      </c>
      <c r="B1716">
        <v>0</v>
      </c>
      <c r="C1716" t="s">
        <v>11395</v>
      </c>
      <c r="D1716" t="s">
        <v>2460</v>
      </c>
      <c r="E1716" t="s">
        <v>67</v>
      </c>
      <c r="F1716" t="s">
        <v>68</v>
      </c>
      <c r="G1716" s="16">
        <v>49335</v>
      </c>
      <c r="H1716" t="s">
        <v>8</v>
      </c>
      <c r="I1716" s="16">
        <v>42900</v>
      </c>
    </row>
    <row r="1717" spans="1:9" x14ac:dyDescent="0.3">
      <c r="A1717" s="1">
        <v>46258</v>
      </c>
      <c r="B1717">
        <v>0</v>
      </c>
      <c r="C1717" t="s">
        <v>11396</v>
      </c>
      <c r="D1717" t="s">
        <v>169</v>
      </c>
      <c r="E1717" t="s">
        <v>5199</v>
      </c>
      <c r="F1717" t="s">
        <v>5200</v>
      </c>
      <c r="G1717" s="16">
        <v>15.237500000000001</v>
      </c>
      <c r="H1717" t="s">
        <v>8</v>
      </c>
      <c r="I1717" s="16">
        <v>13.25</v>
      </c>
    </row>
    <row r="1718" spans="1:9" x14ac:dyDescent="0.3">
      <c r="A1718" s="1">
        <v>46258</v>
      </c>
      <c r="B1718">
        <v>0</v>
      </c>
      <c r="C1718" t="s">
        <v>11397</v>
      </c>
      <c r="D1718" t="s">
        <v>38</v>
      </c>
      <c r="E1718" t="s">
        <v>1424</v>
      </c>
      <c r="F1718" t="s">
        <v>1425</v>
      </c>
      <c r="G1718" s="16">
        <v>3988.2</v>
      </c>
      <c r="H1718" t="s">
        <v>8</v>
      </c>
      <c r="I1718" s="16">
        <v>3468</v>
      </c>
    </row>
    <row r="1719" spans="1:9" x14ac:dyDescent="0.3">
      <c r="A1719" s="1">
        <v>46258</v>
      </c>
      <c r="B1719">
        <v>0</v>
      </c>
      <c r="C1719" t="s">
        <v>10231</v>
      </c>
      <c r="D1719" t="s">
        <v>10</v>
      </c>
      <c r="E1719" t="s">
        <v>310</v>
      </c>
      <c r="F1719" t="s">
        <v>311</v>
      </c>
      <c r="G1719" s="16">
        <v>305.279</v>
      </c>
      <c r="H1719" t="s">
        <v>8</v>
      </c>
      <c r="I1719" s="16">
        <v>265.45999999999998</v>
      </c>
    </row>
    <row r="1720" spans="1:9" x14ac:dyDescent="0.3">
      <c r="A1720" s="1">
        <v>46258</v>
      </c>
      <c r="B1720">
        <v>0</v>
      </c>
      <c r="C1720" t="s">
        <v>11398</v>
      </c>
      <c r="D1720" t="s">
        <v>169</v>
      </c>
      <c r="E1720" t="s">
        <v>422</v>
      </c>
      <c r="F1720" t="s">
        <v>490</v>
      </c>
      <c r="G1720" s="16">
        <v>81.701750000000004</v>
      </c>
      <c r="H1720" t="s">
        <v>8</v>
      </c>
      <c r="I1720" s="16">
        <v>71.045000000000002</v>
      </c>
    </row>
    <row r="1721" spans="1:9" x14ac:dyDescent="0.3">
      <c r="A1721" s="1">
        <v>46258</v>
      </c>
      <c r="B1721">
        <v>0</v>
      </c>
      <c r="C1721" t="s">
        <v>11399</v>
      </c>
      <c r="D1721" t="s">
        <v>10</v>
      </c>
      <c r="E1721" t="s">
        <v>710</v>
      </c>
      <c r="F1721" t="s">
        <v>711</v>
      </c>
      <c r="G1721" s="16">
        <v>87.768000000000001</v>
      </c>
      <c r="H1721" t="s">
        <v>8</v>
      </c>
      <c r="I1721" s="16">
        <v>76.319999999999993</v>
      </c>
    </row>
    <row r="1722" spans="1:9" x14ac:dyDescent="0.3">
      <c r="A1722" s="1">
        <v>46258</v>
      </c>
      <c r="B1722">
        <v>0</v>
      </c>
      <c r="C1722" t="s">
        <v>11400</v>
      </c>
      <c r="D1722" t="s">
        <v>10</v>
      </c>
      <c r="E1722" t="s">
        <v>1424</v>
      </c>
      <c r="F1722" t="s">
        <v>1425</v>
      </c>
      <c r="G1722" s="16">
        <v>2173.5</v>
      </c>
      <c r="H1722" t="s">
        <v>8</v>
      </c>
      <c r="I1722" s="16">
        <v>1890</v>
      </c>
    </row>
    <row r="1723" spans="1:9" x14ac:dyDescent="0.3">
      <c r="A1723" s="1">
        <v>46258</v>
      </c>
      <c r="B1723">
        <v>0</v>
      </c>
      <c r="C1723" t="s">
        <v>11401</v>
      </c>
      <c r="D1723" t="s">
        <v>38</v>
      </c>
      <c r="E1723" t="s">
        <v>116</v>
      </c>
      <c r="F1723" t="s">
        <v>117</v>
      </c>
      <c r="G1723" s="16">
        <v>671.84720000000004</v>
      </c>
      <c r="H1723" t="s">
        <v>8</v>
      </c>
      <c r="I1723" s="16">
        <v>584.21500000000003</v>
      </c>
    </row>
    <row r="1724" spans="1:9" x14ac:dyDescent="0.3">
      <c r="A1724" s="1">
        <v>46258</v>
      </c>
      <c r="B1724">
        <v>0</v>
      </c>
      <c r="C1724" t="s">
        <v>5419</v>
      </c>
      <c r="D1724" t="s">
        <v>10</v>
      </c>
      <c r="E1724" t="s">
        <v>162</v>
      </c>
      <c r="F1724" t="s">
        <v>163</v>
      </c>
      <c r="G1724" s="16">
        <v>67.762590000000003</v>
      </c>
      <c r="H1724" t="s">
        <v>8</v>
      </c>
      <c r="I1724" s="16">
        <v>58.923990000000003</v>
      </c>
    </row>
    <row r="1725" spans="1:9" x14ac:dyDescent="0.3">
      <c r="A1725" s="1">
        <v>46258</v>
      </c>
      <c r="B1725">
        <v>0</v>
      </c>
      <c r="C1725" t="s">
        <v>11402</v>
      </c>
      <c r="D1725" t="s">
        <v>10</v>
      </c>
      <c r="E1725" t="s">
        <v>1743</v>
      </c>
      <c r="F1725" t="s">
        <v>1744</v>
      </c>
      <c r="G1725" s="16">
        <v>207</v>
      </c>
      <c r="H1725" t="s">
        <v>8</v>
      </c>
      <c r="I1725" s="16">
        <v>180</v>
      </c>
    </row>
    <row r="1726" spans="1:9" x14ac:dyDescent="0.3">
      <c r="A1726" s="1">
        <v>46258</v>
      </c>
      <c r="B1726">
        <v>0</v>
      </c>
      <c r="C1726" t="s">
        <v>10928</v>
      </c>
      <c r="D1726" t="s">
        <v>10</v>
      </c>
      <c r="E1726" t="s">
        <v>423</v>
      </c>
      <c r="F1726" t="s">
        <v>424</v>
      </c>
      <c r="G1726" s="16">
        <v>220.8</v>
      </c>
      <c r="H1726" t="s">
        <v>8</v>
      </c>
      <c r="I1726" s="16">
        <v>192</v>
      </c>
    </row>
    <row r="1727" spans="1:9" x14ac:dyDescent="0.3">
      <c r="A1727" s="1">
        <v>46258</v>
      </c>
      <c r="B1727">
        <v>0</v>
      </c>
      <c r="C1727" t="s">
        <v>11403</v>
      </c>
      <c r="D1727" t="s">
        <v>10</v>
      </c>
      <c r="E1727" t="s">
        <v>880</v>
      </c>
      <c r="F1727" t="s">
        <v>881</v>
      </c>
      <c r="G1727" s="16">
        <v>193.2</v>
      </c>
      <c r="H1727" t="s">
        <v>8</v>
      </c>
      <c r="I1727" s="16">
        <v>168</v>
      </c>
    </row>
    <row r="1728" spans="1:9" x14ac:dyDescent="0.3">
      <c r="A1728" s="1">
        <v>46258</v>
      </c>
      <c r="B1728">
        <v>0</v>
      </c>
      <c r="C1728" t="s">
        <v>11404</v>
      </c>
      <c r="D1728" t="s">
        <v>10</v>
      </c>
      <c r="E1728" t="s">
        <v>104</v>
      </c>
      <c r="F1728" t="s">
        <v>105</v>
      </c>
      <c r="G1728" s="16">
        <v>56.994</v>
      </c>
      <c r="H1728" t="s">
        <v>8</v>
      </c>
      <c r="I1728" s="16">
        <v>49.56</v>
      </c>
    </row>
    <row r="1729" spans="1:9" x14ac:dyDescent="0.3">
      <c r="A1729" s="1">
        <v>46258</v>
      </c>
      <c r="B1729">
        <v>0</v>
      </c>
      <c r="C1729" t="s">
        <v>11405</v>
      </c>
      <c r="D1729" t="s">
        <v>2463</v>
      </c>
      <c r="E1729" t="s">
        <v>4364</v>
      </c>
      <c r="F1729" t="s">
        <v>4542</v>
      </c>
      <c r="G1729" s="16">
        <v>24.84</v>
      </c>
      <c r="H1729" t="s">
        <v>8</v>
      </c>
      <c r="I1729" s="16">
        <v>21.6</v>
      </c>
    </row>
    <row r="1730" spans="1:9" x14ac:dyDescent="0.3">
      <c r="A1730" s="1">
        <v>46258</v>
      </c>
      <c r="B1730">
        <v>0</v>
      </c>
      <c r="C1730" t="s">
        <v>11406</v>
      </c>
      <c r="D1730" t="s">
        <v>10</v>
      </c>
      <c r="E1730" t="s">
        <v>812</v>
      </c>
      <c r="F1730" t="s">
        <v>2394</v>
      </c>
      <c r="G1730" s="16">
        <v>18.975000000000001</v>
      </c>
      <c r="H1730" t="s">
        <v>8</v>
      </c>
      <c r="I1730" s="16">
        <v>16.5</v>
      </c>
    </row>
    <row r="1731" spans="1:9" x14ac:dyDescent="0.3">
      <c r="A1731" s="1">
        <v>46258</v>
      </c>
      <c r="B1731">
        <v>0</v>
      </c>
      <c r="C1731" t="s">
        <v>11407</v>
      </c>
      <c r="D1731" t="s">
        <v>2460</v>
      </c>
      <c r="E1731" t="s">
        <v>921</v>
      </c>
      <c r="F1731" t="s">
        <v>922</v>
      </c>
      <c r="G1731" s="16">
        <v>137.08000000000001</v>
      </c>
      <c r="H1731" t="s">
        <v>8</v>
      </c>
      <c r="I1731" s="16">
        <v>119.2</v>
      </c>
    </row>
    <row r="1732" spans="1:9" x14ac:dyDescent="0.3">
      <c r="A1732" s="1">
        <v>46258</v>
      </c>
      <c r="B1732">
        <v>0</v>
      </c>
      <c r="C1732" t="s">
        <v>11408</v>
      </c>
      <c r="D1732" t="s">
        <v>2460</v>
      </c>
      <c r="E1732" t="s">
        <v>2193</v>
      </c>
      <c r="F1732" t="s">
        <v>2482</v>
      </c>
      <c r="G1732" s="16">
        <v>409.5</v>
      </c>
      <c r="H1732" t="s">
        <v>8</v>
      </c>
      <c r="I1732" s="16">
        <v>409.5</v>
      </c>
    </row>
    <row r="1733" spans="1:9" x14ac:dyDescent="0.3">
      <c r="A1733" s="1">
        <v>46258</v>
      </c>
      <c r="B1733">
        <v>0</v>
      </c>
      <c r="C1733" t="s">
        <v>11409</v>
      </c>
      <c r="D1733" t="s">
        <v>10</v>
      </c>
      <c r="E1733" t="s">
        <v>9055</v>
      </c>
      <c r="F1733" t="s">
        <v>9056</v>
      </c>
      <c r="G1733" s="16">
        <v>499.65</v>
      </c>
      <c r="H1733" t="s">
        <v>8</v>
      </c>
      <c r="I1733" s="16">
        <v>441</v>
      </c>
    </row>
    <row r="1734" spans="1:9" x14ac:dyDescent="0.3">
      <c r="A1734" s="1">
        <v>46258</v>
      </c>
      <c r="B1734">
        <v>0</v>
      </c>
      <c r="C1734" t="s">
        <v>10674</v>
      </c>
      <c r="D1734" t="s">
        <v>10</v>
      </c>
      <c r="E1734" t="s">
        <v>536</v>
      </c>
      <c r="F1734" t="s">
        <v>537</v>
      </c>
      <c r="G1734" s="16">
        <v>50.09975</v>
      </c>
      <c r="H1734" t="s">
        <v>8</v>
      </c>
      <c r="I1734" s="16">
        <v>43.564999999999998</v>
      </c>
    </row>
    <row r="1735" spans="1:9" x14ac:dyDescent="0.3">
      <c r="A1735" s="1">
        <v>46258</v>
      </c>
      <c r="B1735">
        <v>0</v>
      </c>
      <c r="C1735" t="s">
        <v>11410</v>
      </c>
      <c r="D1735" t="s">
        <v>2467</v>
      </c>
      <c r="E1735" t="s">
        <v>95</v>
      </c>
      <c r="F1735" t="s">
        <v>96</v>
      </c>
      <c r="G1735" s="16">
        <v>69.92</v>
      </c>
      <c r="H1735" t="s">
        <v>8</v>
      </c>
      <c r="I1735" s="16">
        <v>60.8</v>
      </c>
    </row>
    <row r="1736" spans="1:9" x14ac:dyDescent="0.3">
      <c r="A1736" s="1">
        <v>46258</v>
      </c>
      <c r="B1736">
        <v>0</v>
      </c>
      <c r="C1736" t="s">
        <v>11411</v>
      </c>
      <c r="D1736" t="s">
        <v>2460</v>
      </c>
      <c r="E1736" t="s">
        <v>11089</v>
      </c>
      <c r="F1736" t="s">
        <v>11090</v>
      </c>
      <c r="G1736" s="16">
        <v>2274.7919999999999</v>
      </c>
      <c r="H1736" t="s">
        <v>8</v>
      </c>
      <c r="I1736" s="16">
        <v>1978.08</v>
      </c>
    </row>
    <row r="1737" spans="1:9" x14ac:dyDescent="0.3">
      <c r="A1737" s="1">
        <v>46258</v>
      </c>
      <c r="B1737">
        <v>0</v>
      </c>
      <c r="C1737" t="s">
        <v>11412</v>
      </c>
      <c r="D1737" t="s">
        <v>10</v>
      </c>
      <c r="E1737" t="s">
        <v>19</v>
      </c>
      <c r="F1737" t="s">
        <v>20</v>
      </c>
      <c r="G1737" s="16">
        <v>675.26850000000002</v>
      </c>
      <c r="H1737" t="s">
        <v>8</v>
      </c>
      <c r="I1737" s="16">
        <v>587.19000000000005</v>
      </c>
    </row>
    <row r="1738" spans="1:9" x14ac:dyDescent="0.3">
      <c r="A1738" s="1">
        <v>46258</v>
      </c>
      <c r="B1738">
        <v>0</v>
      </c>
      <c r="C1738" t="s">
        <v>11413</v>
      </c>
      <c r="D1738" t="s">
        <v>2460</v>
      </c>
      <c r="E1738" t="s">
        <v>11097</v>
      </c>
      <c r="F1738" t="s">
        <v>11098</v>
      </c>
      <c r="G1738" s="16">
        <v>1225.44</v>
      </c>
      <c r="H1738" t="s">
        <v>8</v>
      </c>
      <c r="I1738" s="16">
        <v>1065.5999999999999</v>
      </c>
    </row>
    <row r="1739" spans="1:9" x14ac:dyDescent="0.3">
      <c r="A1739" s="1">
        <v>46258</v>
      </c>
      <c r="B1739">
        <v>0</v>
      </c>
      <c r="C1739" t="s">
        <v>11414</v>
      </c>
      <c r="D1739" t="s">
        <v>10</v>
      </c>
      <c r="E1739" t="s">
        <v>65</v>
      </c>
      <c r="F1739" t="s">
        <v>66</v>
      </c>
      <c r="G1739" s="16">
        <v>131.45285000000001</v>
      </c>
      <c r="H1739" t="s">
        <v>8</v>
      </c>
      <c r="I1739" s="16">
        <v>114.30683000000001</v>
      </c>
    </row>
    <row r="1740" spans="1:9" x14ac:dyDescent="0.3">
      <c r="A1740" s="1">
        <v>46258</v>
      </c>
      <c r="B1740">
        <v>0</v>
      </c>
      <c r="C1740" t="s">
        <v>9999</v>
      </c>
      <c r="D1740" t="s">
        <v>10</v>
      </c>
      <c r="E1740" t="s">
        <v>536</v>
      </c>
      <c r="F1740" t="s">
        <v>537</v>
      </c>
      <c r="G1740" s="16">
        <v>755.64777000000004</v>
      </c>
      <c r="H1740" t="s">
        <v>8</v>
      </c>
      <c r="I1740" s="16">
        <v>657.08500000000004</v>
      </c>
    </row>
    <row r="1741" spans="1:9" x14ac:dyDescent="0.3">
      <c r="A1741" s="1">
        <v>46258</v>
      </c>
      <c r="B1741">
        <v>0</v>
      </c>
      <c r="C1741" t="s">
        <v>11415</v>
      </c>
      <c r="D1741" t="s">
        <v>10</v>
      </c>
      <c r="E1741" t="s">
        <v>1031</v>
      </c>
      <c r="F1741" t="s">
        <v>1032</v>
      </c>
      <c r="G1741" s="16">
        <v>236.67</v>
      </c>
      <c r="H1741" t="s">
        <v>8</v>
      </c>
      <c r="I1741" s="16">
        <v>205.8</v>
      </c>
    </row>
    <row r="1742" spans="1:9" x14ac:dyDescent="0.3">
      <c r="A1742" s="1">
        <v>46258</v>
      </c>
      <c r="B1742">
        <v>0</v>
      </c>
      <c r="C1742" t="s">
        <v>11416</v>
      </c>
      <c r="D1742" t="s">
        <v>10</v>
      </c>
      <c r="E1742" t="s">
        <v>494</v>
      </c>
      <c r="F1742" t="s">
        <v>495</v>
      </c>
      <c r="G1742" s="16">
        <v>309.488</v>
      </c>
      <c r="H1742" t="s">
        <v>8</v>
      </c>
      <c r="I1742" s="16">
        <v>269.12</v>
      </c>
    </row>
    <row r="1743" spans="1:9" x14ac:dyDescent="0.3">
      <c r="A1743" s="1">
        <v>46258</v>
      </c>
      <c r="B1743">
        <v>0</v>
      </c>
      <c r="C1743" t="s">
        <v>11417</v>
      </c>
      <c r="D1743" t="s">
        <v>2460</v>
      </c>
      <c r="E1743" t="s">
        <v>566</v>
      </c>
      <c r="F1743" t="s">
        <v>590</v>
      </c>
      <c r="G1743" s="16">
        <v>196.65</v>
      </c>
      <c r="H1743" t="s">
        <v>8</v>
      </c>
      <c r="I1743" s="16">
        <v>171</v>
      </c>
    </row>
    <row r="1744" spans="1:9" x14ac:dyDescent="0.3">
      <c r="A1744" s="1">
        <v>46258</v>
      </c>
      <c r="B1744">
        <v>0</v>
      </c>
      <c r="C1744" t="s">
        <v>11418</v>
      </c>
      <c r="D1744" t="s">
        <v>2460</v>
      </c>
      <c r="E1744" t="s">
        <v>462</v>
      </c>
      <c r="F1744" t="s">
        <v>463</v>
      </c>
      <c r="G1744" s="16">
        <v>76.05001</v>
      </c>
      <c r="H1744" t="s">
        <v>8</v>
      </c>
      <c r="I1744" s="16">
        <v>66.130439999999993</v>
      </c>
    </row>
    <row r="1745" spans="1:9" x14ac:dyDescent="0.3">
      <c r="A1745" s="1">
        <v>46258</v>
      </c>
      <c r="B1745">
        <v>0</v>
      </c>
      <c r="C1745" t="s">
        <v>11419</v>
      </c>
      <c r="D1745" t="s">
        <v>38</v>
      </c>
      <c r="E1745" t="s">
        <v>88</v>
      </c>
      <c r="F1745" t="s">
        <v>89</v>
      </c>
      <c r="G1745" s="16">
        <v>1283.9175</v>
      </c>
      <c r="H1745" t="s">
        <v>8</v>
      </c>
      <c r="I1745" s="16">
        <v>1116.45</v>
      </c>
    </row>
    <row r="1746" spans="1:9" x14ac:dyDescent="0.3">
      <c r="A1746" s="1">
        <v>46258</v>
      </c>
      <c r="B1746">
        <v>0</v>
      </c>
      <c r="C1746" t="s">
        <v>11420</v>
      </c>
      <c r="D1746" t="s">
        <v>10</v>
      </c>
      <c r="E1746" t="s">
        <v>156</v>
      </c>
      <c r="F1746" t="s">
        <v>157</v>
      </c>
      <c r="G1746" s="16">
        <v>248.67592999999999</v>
      </c>
      <c r="H1746" t="s">
        <v>8</v>
      </c>
      <c r="I1746" s="16">
        <v>216.23993999999999</v>
      </c>
    </row>
    <row r="1747" spans="1:9" x14ac:dyDescent="0.3">
      <c r="A1747" s="1">
        <v>46258</v>
      </c>
      <c r="B1747">
        <v>0</v>
      </c>
      <c r="C1747" t="s">
        <v>11421</v>
      </c>
      <c r="D1747" t="s">
        <v>2467</v>
      </c>
      <c r="E1747" t="s">
        <v>11270</v>
      </c>
      <c r="F1747" t="s">
        <v>11271</v>
      </c>
      <c r="G1747" s="16">
        <v>83.855000000000004</v>
      </c>
      <c r="H1747" t="s">
        <v>8</v>
      </c>
      <c r="I1747" s="16">
        <v>83.855000000000004</v>
      </c>
    </row>
    <row r="1748" spans="1:9" x14ac:dyDescent="0.3">
      <c r="A1748" s="1">
        <v>46258</v>
      </c>
      <c r="B1748">
        <v>0</v>
      </c>
      <c r="C1748" t="s">
        <v>11224</v>
      </c>
      <c r="D1748" t="s">
        <v>2460</v>
      </c>
      <c r="E1748" t="s">
        <v>10865</v>
      </c>
      <c r="F1748" t="s">
        <v>11210</v>
      </c>
      <c r="G1748" s="16">
        <v>6900</v>
      </c>
      <c r="H1748" t="s">
        <v>8</v>
      </c>
      <c r="I1748" s="16">
        <v>6000</v>
      </c>
    </row>
    <row r="1749" spans="1:9" x14ac:dyDescent="0.3">
      <c r="A1749" s="1">
        <v>46258</v>
      </c>
      <c r="B1749">
        <v>0</v>
      </c>
      <c r="C1749" t="s">
        <v>11422</v>
      </c>
      <c r="D1749" t="s">
        <v>10</v>
      </c>
      <c r="E1749" t="s">
        <v>191</v>
      </c>
      <c r="F1749" t="s">
        <v>192</v>
      </c>
      <c r="G1749" s="16">
        <v>25.460999999999999</v>
      </c>
      <c r="H1749" t="s">
        <v>8</v>
      </c>
      <c r="I1749" s="16">
        <v>22.14</v>
      </c>
    </row>
    <row r="1750" spans="1:9" x14ac:dyDescent="0.3">
      <c r="A1750" s="1">
        <v>46258</v>
      </c>
      <c r="B1750">
        <v>0</v>
      </c>
      <c r="C1750" t="s">
        <v>11423</v>
      </c>
      <c r="D1750" t="s">
        <v>10</v>
      </c>
      <c r="E1750" t="s">
        <v>2328</v>
      </c>
      <c r="F1750" t="s">
        <v>2329</v>
      </c>
      <c r="G1750" s="16">
        <v>48.3</v>
      </c>
      <c r="H1750" t="s">
        <v>8</v>
      </c>
      <c r="I1750" s="16">
        <v>42</v>
      </c>
    </row>
    <row r="1751" spans="1:9" x14ac:dyDescent="0.3">
      <c r="A1751" s="1">
        <v>46258</v>
      </c>
      <c r="B1751">
        <v>0</v>
      </c>
      <c r="C1751" t="s">
        <v>11424</v>
      </c>
      <c r="D1751" t="s">
        <v>2460</v>
      </c>
      <c r="E1751" t="s">
        <v>148</v>
      </c>
      <c r="F1751" t="s">
        <v>149</v>
      </c>
      <c r="G1751" s="16">
        <v>365.7</v>
      </c>
      <c r="H1751" t="s">
        <v>8</v>
      </c>
      <c r="I1751" s="16">
        <v>318</v>
      </c>
    </row>
    <row r="1752" spans="1:9" x14ac:dyDescent="0.3">
      <c r="A1752" s="1">
        <v>46258</v>
      </c>
      <c r="B1752">
        <v>0</v>
      </c>
      <c r="C1752" t="s">
        <v>10767</v>
      </c>
      <c r="D1752" t="s">
        <v>10</v>
      </c>
      <c r="E1752" t="s">
        <v>781</v>
      </c>
      <c r="F1752" t="s">
        <v>782</v>
      </c>
      <c r="G1752" s="16">
        <v>54.05</v>
      </c>
      <c r="H1752" t="s">
        <v>8</v>
      </c>
      <c r="I1752" s="16">
        <v>47</v>
      </c>
    </row>
    <row r="1753" spans="1:9" x14ac:dyDescent="0.3">
      <c r="A1753" s="1">
        <v>46258</v>
      </c>
      <c r="B1753">
        <v>0</v>
      </c>
      <c r="C1753" t="s">
        <v>11425</v>
      </c>
      <c r="D1753" t="s">
        <v>10</v>
      </c>
      <c r="E1753" t="s">
        <v>151</v>
      </c>
      <c r="F1753" t="s">
        <v>152</v>
      </c>
      <c r="G1753" s="16">
        <v>329.11849999999998</v>
      </c>
      <c r="H1753" t="s">
        <v>8</v>
      </c>
      <c r="I1753" s="16">
        <v>286.19</v>
      </c>
    </row>
    <row r="1754" spans="1:9" x14ac:dyDescent="0.3">
      <c r="A1754" s="1">
        <v>46258</v>
      </c>
      <c r="B1754">
        <v>0</v>
      </c>
      <c r="C1754" t="s">
        <v>11426</v>
      </c>
      <c r="D1754" t="s">
        <v>2460</v>
      </c>
      <c r="E1754" t="s">
        <v>148</v>
      </c>
      <c r="F1754" t="s">
        <v>149</v>
      </c>
      <c r="G1754" s="16">
        <v>223.10016999999999</v>
      </c>
      <c r="H1754" t="s">
        <v>8</v>
      </c>
      <c r="I1754" s="16">
        <v>194.00014999999999</v>
      </c>
    </row>
    <row r="1755" spans="1:9" x14ac:dyDescent="0.3">
      <c r="A1755" s="1">
        <v>46258</v>
      </c>
      <c r="B1755">
        <v>0</v>
      </c>
      <c r="C1755" t="s">
        <v>6637</v>
      </c>
      <c r="D1755" t="s">
        <v>10</v>
      </c>
      <c r="E1755" t="s">
        <v>162</v>
      </c>
      <c r="F1755" t="s">
        <v>163</v>
      </c>
      <c r="G1755" s="16">
        <v>297.44959999999998</v>
      </c>
      <c r="H1755" t="s">
        <v>8</v>
      </c>
      <c r="I1755" s="16">
        <v>258.65179999999998</v>
      </c>
    </row>
    <row r="1756" spans="1:9" x14ac:dyDescent="0.3">
      <c r="A1756" s="1">
        <v>46258</v>
      </c>
      <c r="B1756">
        <v>0</v>
      </c>
      <c r="C1756" t="s">
        <v>9443</v>
      </c>
      <c r="D1756" t="s">
        <v>10</v>
      </c>
      <c r="E1756" t="s">
        <v>162</v>
      </c>
      <c r="F1756" t="s">
        <v>163</v>
      </c>
      <c r="G1756" s="16">
        <v>32.093710000000002</v>
      </c>
      <c r="H1756" t="s">
        <v>8</v>
      </c>
      <c r="I1756" s="16">
        <v>27.90757</v>
      </c>
    </row>
    <row r="1757" spans="1:9" x14ac:dyDescent="0.3">
      <c r="A1757" s="1">
        <v>46258</v>
      </c>
      <c r="B1757">
        <v>0</v>
      </c>
      <c r="C1757" t="s">
        <v>9429</v>
      </c>
      <c r="D1757" t="s">
        <v>10</v>
      </c>
      <c r="E1757" t="s">
        <v>146</v>
      </c>
      <c r="F1757" t="s">
        <v>147</v>
      </c>
      <c r="G1757" s="16">
        <v>68.390500000000003</v>
      </c>
      <c r="H1757" t="s">
        <v>8</v>
      </c>
      <c r="I1757" s="16">
        <v>59.47</v>
      </c>
    </row>
    <row r="1758" spans="1:9" x14ac:dyDescent="0.3">
      <c r="A1758" s="1">
        <v>46258</v>
      </c>
      <c r="B1758">
        <v>0</v>
      </c>
      <c r="C1758" t="s">
        <v>10917</v>
      </c>
      <c r="D1758" t="s">
        <v>10</v>
      </c>
      <c r="E1758" t="s">
        <v>16</v>
      </c>
      <c r="F1758" t="s">
        <v>17</v>
      </c>
      <c r="G1758" s="16">
        <v>34.683999999999997</v>
      </c>
      <c r="H1758" t="s">
        <v>8</v>
      </c>
      <c r="I1758" s="16">
        <v>30.16</v>
      </c>
    </row>
    <row r="1759" spans="1:9" x14ac:dyDescent="0.3">
      <c r="A1759" s="1">
        <v>46258</v>
      </c>
      <c r="B1759">
        <v>0</v>
      </c>
      <c r="C1759" t="s">
        <v>11427</v>
      </c>
      <c r="D1759" t="s">
        <v>2460</v>
      </c>
      <c r="E1759" t="s">
        <v>2344</v>
      </c>
      <c r="F1759" t="s">
        <v>2345</v>
      </c>
      <c r="G1759" s="16">
        <v>276</v>
      </c>
      <c r="H1759" t="s">
        <v>8</v>
      </c>
      <c r="I1759" s="16">
        <v>240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PROs Today</vt:lpstr>
      <vt:lpstr>Next Day Scheduled</vt:lpstr>
      <vt:lpstr>Pending Returns</vt:lpstr>
      <vt:lpstr>Linked_With_PO</vt:lpstr>
      <vt:lpstr>Pending PROs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2026-08-25T05:36:23Z</dcterms:modified>
</cp:coreProperties>
</file>